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FA5EAF3B-5FEA-4DFB-82A9-CC30CC6647C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Fatores_Emissao" sheetId="2" r:id="rId2"/>
    <sheet name="Inventario_GEE" sheetId="3" r:id="rId3"/>
    <sheet name="Calculadora_GEE" sheetId="4" r:id="rId4"/>
    <sheet name="Metas_Clima" sheetId="5" r:id="rId5"/>
    <sheet name="Pegada_Produto" sheetId="6" r:id="rId6"/>
    <sheet name="Indicadores_ESG_E" sheetId="7" r:id="rId7"/>
    <sheet name="Refs_Outros_Registos" sheetId="8" r:id="rId8"/>
    <sheet name="Matriz_ESG_E" sheetId="9" r:id="rId9"/>
    <sheet name="Listas" sheetId="10" r:id="rId10"/>
    <sheet name="Dicionario_Dados" sheetId="11" r:id="rId11"/>
  </sheets>
  <definedNames>
    <definedName name="calc_INT_2030">Calculadora_GEE!$I$38</definedName>
    <definedName name="calc_INT_base">Calculadora_GEE!$C$34</definedName>
    <definedName name="calc_PCR_2030">Calculadora_GEE!$I$37</definedName>
    <definedName name="calc_PCR_base">Calculadora_GEE!$H$26</definedName>
    <definedName name="calc_PROD_t">Calculadora_GEE!$C$31</definedName>
    <definedName name="calc_REN_2030">Calculadora_GEE!$I$36</definedName>
    <definedName name="calc_REN_base">Calculadora_GEE!$H$36</definedName>
    <definedName name="calc_S12_2030">Calculadora_GEE!$I$34</definedName>
    <definedName name="calc_S12_base">Calculadora_GEE!$E$28</definedName>
    <definedName name="calc_S3_2030">Calculadora_GEE!$I$33</definedName>
    <definedName name="calc_S3_base">Calculadora_GEE!$E$25</definedName>
    <definedName name="calc_TOT_MB_base">Calculadora_GEE!$E$27</definedName>
    <definedName name="DataRef">Listas!$A$3</definedName>
    <definedName name="lst_Ambito">Listas!$B$3:$B$5</definedName>
    <definedName name="lst_DataReferencia">Listas!$A$3:$A$3</definedName>
    <definedName name="lst_EstadoESG">Listas!$G$3:$G$6</definedName>
    <definedName name="lst_EstadoReqE">Listas!$I$3:$I$5</definedName>
    <definedName name="lst_Funcao">Listas!$H$3:$H$24</definedName>
    <definedName name="lst_Metodo">Listas!$C$3:$C$5</definedName>
    <definedName name="lst_Periodo">Listas!$F$3:$F$6</definedName>
    <definedName name="lst_Qualidade">Listas!$D$3:$D$5</definedName>
    <definedName name="lst_QualidadeDado">Listas!$E$3:$E$5</definedName>
    <definedName name="tbl_analises_ref">Refs_Outros_Registos!$A$2:$A$47</definedName>
    <definedName name="tbl_incidentes_ref">Refs_Outros_Registos!$B$2:$B$22</definedName>
    <definedName name="_xlnm.Print_Titles" localSheetId="1">Fatores_Emissao!$4:$4</definedName>
    <definedName name="_xlnm.Print_Titles" localSheetId="6">Indicadores_ESG_E!$4:$4</definedName>
    <definedName name="_xlnm.Print_Titles" localSheetId="2">Inventario_GEE!$4:$4</definedName>
    <definedName name="_xlnm.Print_Titles" localSheetId="8">Matriz_ESG_E!$4:$4</definedName>
    <definedName name="_xlnm.Print_Titles" localSheetId="4">Metas_Clima!$4:$4</definedName>
    <definedName name="_xlnm.Print_Titles" localSheetId="5">Pegada_Produto!$4:$4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9" l="1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D35" i="7"/>
  <c r="D18" i="7"/>
  <c r="D14" i="7"/>
  <c r="N153" i="6"/>
  <c r="M153" i="6"/>
  <c r="L153" i="6"/>
  <c r="N152" i="6"/>
  <c r="M152" i="6"/>
  <c r="L152" i="6"/>
  <c r="N151" i="6"/>
  <c r="M151" i="6"/>
  <c r="L151" i="6"/>
  <c r="O151" i="6" s="1"/>
  <c r="P151" i="6" s="1"/>
  <c r="N150" i="6"/>
  <c r="M150" i="6"/>
  <c r="L150" i="6"/>
  <c r="O150" i="6" s="1"/>
  <c r="P150" i="6" s="1"/>
  <c r="N149" i="6"/>
  <c r="M149" i="6"/>
  <c r="L149" i="6"/>
  <c r="N148" i="6"/>
  <c r="M148" i="6"/>
  <c r="L148" i="6"/>
  <c r="N147" i="6"/>
  <c r="M147" i="6"/>
  <c r="O147" i="6" s="1"/>
  <c r="P147" i="6" s="1"/>
  <c r="L147" i="6"/>
  <c r="N146" i="6"/>
  <c r="M146" i="6"/>
  <c r="L146" i="6"/>
  <c r="N145" i="6"/>
  <c r="M145" i="6"/>
  <c r="L145" i="6"/>
  <c r="O145" i="6" s="1"/>
  <c r="P145" i="6" s="1"/>
  <c r="N144" i="6"/>
  <c r="M144" i="6"/>
  <c r="L144" i="6"/>
  <c r="O143" i="6"/>
  <c r="P143" i="6" s="1"/>
  <c r="N143" i="6"/>
  <c r="M143" i="6"/>
  <c r="L143" i="6"/>
  <c r="N142" i="6"/>
  <c r="M142" i="6"/>
  <c r="L142" i="6"/>
  <c r="N141" i="6"/>
  <c r="M141" i="6"/>
  <c r="L141" i="6"/>
  <c r="N140" i="6"/>
  <c r="M140" i="6"/>
  <c r="L140" i="6"/>
  <c r="N139" i="6"/>
  <c r="M139" i="6"/>
  <c r="L139" i="6"/>
  <c r="O139" i="6" s="1"/>
  <c r="P139" i="6" s="1"/>
  <c r="N138" i="6"/>
  <c r="M138" i="6"/>
  <c r="L138" i="6"/>
  <c r="O138" i="6" s="1"/>
  <c r="P138" i="6" s="1"/>
  <c r="N137" i="6"/>
  <c r="M137" i="6"/>
  <c r="L137" i="6"/>
  <c r="N136" i="6"/>
  <c r="M136" i="6"/>
  <c r="L136" i="6"/>
  <c r="N135" i="6"/>
  <c r="M135" i="6"/>
  <c r="L135" i="6"/>
  <c r="O135" i="6" s="1"/>
  <c r="P135" i="6" s="1"/>
  <c r="N134" i="6"/>
  <c r="M134" i="6"/>
  <c r="L134" i="6"/>
  <c r="O134" i="6" s="1"/>
  <c r="P134" i="6" s="1"/>
  <c r="N133" i="6"/>
  <c r="M133" i="6"/>
  <c r="L133" i="6"/>
  <c r="O133" i="6" s="1"/>
  <c r="P133" i="6" s="1"/>
  <c r="N132" i="6"/>
  <c r="M132" i="6"/>
  <c r="L132" i="6"/>
  <c r="N131" i="6"/>
  <c r="M131" i="6"/>
  <c r="O131" i="6" s="1"/>
  <c r="P131" i="6" s="1"/>
  <c r="L131" i="6"/>
  <c r="N130" i="6"/>
  <c r="M130" i="6"/>
  <c r="L130" i="6"/>
  <c r="N129" i="6"/>
  <c r="M129" i="6"/>
  <c r="L129" i="6"/>
  <c r="O129" i="6" s="1"/>
  <c r="P129" i="6" s="1"/>
  <c r="N128" i="6"/>
  <c r="M128" i="6"/>
  <c r="L128" i="6"/>
  <c r="O127" i="6"/>
  <c r="P127" i="6" s="1"/>
  <c r="N127" i="6"/>
  <c r="M127" i="6"/>
  <c r="L127" i="6"/>
  <c r="N126" i="6"/>
  <c r="M126" i="6"/>
  <c r="L126" i="6"/>
  <c r="N125" i="6"/>
  <c r="M125" i="6"/>
  <c r="L125" i="6"/>
  <c r="N124" i="6"/>
  <c r="M124" i="6"/>
  <c r="L124" i="6"/>
  <c r="N123" i="6"/>
  <c r="M123" i="6"/>
  <c r="L123" i="6"/>
  <c r="O123" i="6" s="1"/>
  <c r="P123" i="6" s="1"/>
  <c r="N122" i="6"/>
  <c r="M122" i="6"/>
  <c r="L122" i="6"/>
  <c r="O122" i="6" s="1"/>
  <c r="P122" i="6" s="1"/>
  <c r="N121" i="6"/>
  <c r="M121" i="6"/>
  <c r="L121" i="6"/>
  <c r="N120" i="6"/>
  <c r="M120" i="6"/>
  <c r="L120" i="6"/>
  <c r="N119" i="6"/>
  <c r="M119" i="6"/>
  <c r="L119" i="6"/>
  <c r="O119" i="6" s="1"/>
  <c r="P119" i="6" s="1"/>
  <c r="N118" i="6"/>
  <c r="M118" i="6"/>
  <c r="L118" i="6"/>
  <c r="O118" i="6" s="1"/>
  <c r="P118" i="6" s="1"/>
  <c r="N117" i="6"/>
  <c r="M117" i="6"/>
  <c r="L117" i="6"/>
  <c r="O117" i="6" s="1"/>
  <c r="P117" i="6" s="1"/>
  <c r="N116" i="6"/>
  <c r="M116" i="6"/>
  <c r="L116" i="6"/>
  <c r="N115" i="6"/>
  <c r="M115" i="6"/>
  <c r="O115" i="6" s="1"/>
  <c r="P115" i="6" s="1"/>
  <c r="L115" i="6"/>
  <c r="N114" i="6"/>
  <c r="M114" i="6"/>
  <c r="L114" i="6"/>
  <c r="N113" i="6"/>
  <c r="M113" i="6"/>
  <c r="L113" i="6"/>
  <c r="O113" i="6" s="1"/>
  <c r="P113" i="6" s="1"/>
  <c r="N112" i="6"/>
  <c r="M112" i="6"/>
  <c r="L112" i="6"/>
  <c r="O111" i="6"/>
  <c r="P111" i="6" s="1"/>
  <c r="N111" i="6"/>
  <c r="M111" i="6"/>
  <c r="L111" i="6"/>
  <c r="N110" i="6"/>
  <c r="M110" i="6"/>
  <c r="L110" i="6"/>
  <c r="N109" i="6"/>
  <c r="M109" i="6"/>
  <c r="L109" i="6"/>
  <c r="N108" i="6"/>
  <c r="M108" i="6"/>
  <c r="L108" i="6"/>
  <c r="N107" i="6"/>
  <c r="M107" i="6"/>
  <c r="L107" i="6"/>
  <c r="O107" i="6" s="1"/>
  <c r="P107" i="6" s="1"/>
  <c r="N106" i="6"/>
  <c r="M106" i="6"/>
  <c r="L106" i="6"/>
  <c r="O106" i="6" s="1"/>
  <c r="P106" i="6" s="1"/>
  <c r="N105" i="6"/>
  <c r="M105" i="6"/>
  <c r="L105" i="6"/>
  <c r="N104" i="6"/>
  <c r="M104" i="6"/>
  <c r="L104" i="6"/>
  <c r="N103" i="6"/>
  <c r="M103" i="6"/>
  <c r="L103" i="6"/>
  <c r="O103" i="6" s="1"/>
  <c r="P103" i="6" s="1"/>
  <c r="N102" i="6"/>
  <c r="M102" i="6"/>
  <c r="L102" i="6"/>
  <c r="O102" i="6" s="1"/>
  <c r="P102" i="6" s="1"/>
  <c r="N101" i="6"/>
  <c r="M101" i="6"/>
  <c r="L101" i="6"/>
  <c r="O101" i="6" s="1"/>
  <c r="P101" i="6" s="1"/>
  <c r="N100" i="6"/>
  <c r="M100" i="6"/>
  <c r="L100" i="6"/>
  <c r="N99" i="6"/>
  <c r="O99" i="6" s="1"/>
  <c r="P99" i="6" s="1"/>
  <c r="M99" i="6"/>
  <c r="L99" i="6"/>
  <c r="N98" i="6"/>
  <c r="M98" i="6"/>
  <c r="L98" i="6"/>
  <c r="N97" i="6"/>
  <c r="M97" i="6"/>
  <c r="L97" i="6"/>
  <c r="O97" i="6" s="1"/>
  <c r="P97" i="6" s="1"/>
  <c r="N96" i="6"/>
  <c r="M96" i="6"/>
  <c r="L96" i="6"/>
  <c r="O95" i="6"/>
  <c r="P95" i="6" s="1"/>
  <c r="N95" i="6"/>
  <c r="M95" i="6"/>
  <c r="L95" i="6"/>
  <c r="N94" i="6"/>
  <c r="M94" i="6"/>
  <c r="L94" i="6"/>
  <c r="N93" i="6"/>
  <c r="M93" i="6"/>
  <c r="L93" i="6"/>
  <c r="N92" i="6"/>
  <c r="M92" i="6"/>
  <c r="L92" i="6"/>
  <c r="N91" i="6"/>
  <c r="M91" i="6"/>
  <c r="L91" i="6"/>
  <c r="O91" i="6" s="1"/>
  <c r="P91" i="6" s="1"/>
  <c r="N90" i="6"/>
  <c r="M90" i="6"/>
  <c r="L90" i="6"/>
  <c r="O90" i="6" s="1"/>
  <c r="P90" i="6" s="1"/>
  <c r="N89" i="6"/>
  <c r="M89" i="6"/>
  <c r="L89" i="6"/>
  <c r="N88" i="6"/>
  <c r="M88" i="6"/>
  <c r="L88" i="6"/>
  <c r="N87" i="6"/>
  <c r="M87" i="6"/>
  <c r="L87" i="6"/>
  <c r="O87" i="6" s="1"/>
  <c r="P87" i="6" s="1"/>
  <c r="N86" i="6"/>
  <c r="M86" i="6"/>
  <c r="L86" i="6"/>
  <c r="O86" i="6" s="1"/>
  <c r="P86" i="6" s="1"/>
  <c r="N85" i="6"/>
  <c r="M85" i="6"/>
  <c r="L85" i="6"/>
  <c r="N84" i="6"/>
  <c r="M84" i="6"/>
  <c r="L84" i="6"/>
  <c r="N83" i="6"/>
  <c r="O83" i="6" s="1"/>
  <c r="P83" i="6" s="1"/>
  <c r="M83" i="6"/>
  <c r="L83" i="6"/>
  <c r="N82" i="6"/>
  <c r="M82" i="6"/>
  <c r="L82" i="6"/>
  <c r="N81" i="6"/>
  <c r="M81" i="6"/>
  <c r="L81" i="6"/>
  <c r="N80" i="6"/>
  <c r="M80" i="6"/>
  <c r="L80" i="6"/>
  <c r="N79" i="6"/>
  <c r="M79" i="6"/>
  <c r="L79" i="6"/>
  <c r="O79" i="6" s="1"/>
  <c r="P79" i="6" s="1"/>
  <c r="N78" i="6"/>
  <c r="M78" i="6"/>
  <c r="L78" i="6"/>
  <c r="N77" i="6"/>
  <c r="M77" i="6"/>
  <c r="L77" i="6"/>
  <c r="N76" i="6"/>
  <c r="M76" i="6"/>
  <c r="L76" i="6"/>
  <c r="N75" i="6"/>
  <c r="M75" i="6"/>
  <c r="L75" i="6"/>
  <c r="O75" i="6" s="1"/>
  <c r="P75" i="6" s="1"/>
  <c r="N74" i="6"/>
  <c r="M74" i="6"/>
  <c r="L74" i="6"/>
  <c r="O74" i="6" s="1"/>
  <c r="P74" i="6" s="1"/>
  <c r="N73" i="6"/>
  <c r="M73" i="6"/>
  <c r="L73" i="6"/>
  <c r="N72" i="6"/>
  <c r="M72" i="6"/>
  <c r="L72" i="6"/>
  <c r="N71" i="6"/>
  <c r="M71" i="6"/>
  <c r="L71" i="6"/>
  <c r="O71" i="6" s="1"/>
  <c r="P71" i="6" s="1"/>
  <c r="N70" i="6"/>
  <c r="M70" i="6"/>
  <c r="L70" i="6"/>
  <c r="O70" i="6" s="1"/>
  <c r="P70" i="6" s="1"/>
  <c r="N69" i="6"/>
  <c r="M69" i="6"/>
  <c r="L69" i="6"/>
  <c r="O69" i="6" s="1"/>
  <c r="P69" i="6" s="1"/>
  <c r="N68" i="6"/>
  <c r="M68" i="6"/>
  <c r="L68" i="6"/>
  <c r="N67" i="6"/>
  <c r="M67" i="6"/>
  <c r="L67" i="6"/>
  <c r="O67" i="6" s="1"/>
  <c r="P67" i="6" s="1"/>
  <c r="N66" i="6"/>
  <c r="M66" i="6"/>
  <c r="L66" i="6"/>
  <c r="N65" i="6"/>
  <c r="O65" i="6" s="1"/>
  <c r="P65" i="6" s="1"/>
  <c r="M65" i="6"/>
  <c r="L65" i="6"/>
  <c r="N64" i="6"/>
  <c r="M64" i="6"/>
  <c r="L64" i="6"/>
  <c r="N63" i="6"/>
  <c r="M63" i="6"/>
  <c r="L63" i="6"/>
  <c r="O63" i="6" s="1"/>
  <c r="P63" i="6" s="1"/>
  <c r="N62" i="6"/>
  <c r="M62" i="6"/>
  <c r="L62" i="6"/>
  <c r="O62" i="6" s="1"/>
  <c r="P62" i="6" s="1"/>
  <c r="N61" i="6"/>
  <c r="M61" i="6"/>
  <c r="L61" i="6"/>
  <c r="O61" i="6" s="1"/>
  <c r="P61" i="6" s="1"/>
  <c r="N60" i="6"/>
  <c r="M60" i="6"/>
  <c r="L60" i="6"/>
  <c r="N59" i="6"/>
  <c r="M59" i="6"/>
  <c r="L59" i="6"/>
  <c r="O59" i="6" s="1"/>
  <c r="P59" i="6" s="1"/>
  <c r="N58" i="6"/>
  <c r="M58" i="6"/>
  <c r="L58" i="6"/>
  <c r="N57" i="6"/>
  <c r="M57" i="6"/>
  <c r="L57" i="6"/>
  <c r="N56" i="6"/>
  <c r="M56" i="6"/>
  <c r="L56" i="6"/>
  <c r="N55" i="6"/>
  <c r="M55" i="6"/>
  <c r="L55" i="6"/>
  <c r="O55" i="6" s="1"/>
  <c r="P55" i="6" s="1"/>
  <c r="N54" i="6"/>
  <c r="M54" i="6"/>
  <c r="L54" i="6"/>
  <c r="O54" i="6" s="1"/>
  <c r="P54" i="6" s="1"/>
  <c r="N53" i="6"/>
  <c r="O53" i="6" s="1"/>
  <c r="P53" i="6" s="1"/>
  <c r="M53" i="6"/>
  <c r="L53" i="6"/>
  <c r="N52" i="6"/>
  <c r="M52" i="6"/>
  <c r="L52" i="6"/>
  <c r="N51" i="6"/>
  <c r="M51" i="6"/>
  <c r="L51" i="6"/>
  <c r="O51" i="6" s="1"/>
  <c r="P51" i="6" s="1"/>
  <c r="N50" i="6"/>
  <c r="M50" i="6"/>
  <c r="L50" i="6"/>
  <c r="O50" i="6" s="1"/>
  <c r="P50" i="6" s="1"/>
  <c r="N49" i="6"/>
  <c r="M49" i="6"/>
  <c r="L49" i="6"/>
  <c r="O49" i="6" s="1"/>
  <c r="P49" i="6" s="1"/>
  <c r="N48" i="6"/>
  <c r="M48" i="6"/>
  <c r="L48" i="6"/>
  <c r="O48" i="6" s="1"/>
  <c r="P48" i="6" s="1"/>
  <c r="N47" i="6"/>
  <c r="M47" i="6"/>
  <c r="L47" i="6"/>
  <c r="O46" i="6"/>
  <c r="P46" i="6" s="1"/>
  <c r="N46" i="6"/>
  <c r="M46" i="6"/>
  <c r="L46" i="6"/>
  <c r="N45" i="6"/>
  <c r="M45" i="6"/>
  <c r="L45" i="6"/>
  <c r="N44" i="6"/>
  <c r="M44" i="6"/>
  <c r="L44" i="6"/>
  <c r="O44" i="6" s="1"/>
  <c r="P44" i="6" s="1"/>
  <c r="N43" i="6"/>
  <c r="M43" i="6"/>
  <c r="L43" i="6"/>
  <c r="O43" i="6" s="1"/>
  <c r="P43" i="6" s="1"/>
  <c r="N42" i="6"/>
  <c r="M42" i="6"/>
  <c r="L42" i="6"/>
  <c r="O42" i="6" s="1"/>
  <c r="P42" i="6" s="1"/>
  <c r="N41" i="6"/>
  <c r="M41" i="6"/>
  <c r="L41" i="6"/>
  <c r="O41" i="6" s="1"/>
  <c r="P41" i="6" s="1"/>
  <c r="N40" i="6"/>
  <c r="M40" i="6"/>
  <c r="L40" i="6"/>
  <c r="O40" i="6" s="1"/>
  <c r="P40" i="6" s="1"/>
  <c r="N39" i="6"/>
  <c r="M39" i="6"/>
  <c r="L39" i="6"/>
  <c r="O38" i="6"/>
  <c r="P38" i="6" s="1"/>
  <c r="N38" i="6"/>
  <c r="M38" i="6"/>
  <c r="L38" i="6"/>
  <c r="N37" i="6"/>
  <c r="M37" i="6"/>
  <c r="L37" i="6"/>
  <c r="N36" i="6"/>
  <c r="M36" i="6"/>
  <c r="L36" i="6"/>
  <c r="O36" i="6" s="1"/>
  <c r="P36" i="6" s="1"/>
  <c r="N35" i="6"/>
  <c r="M35" i="6"/>
  <c r="L35" i="6"/>
  <c r="O35" i="6" s="1"/>
  <c r="P35" i="6" s="1"/>
  <c r="N34" i="6"/>
  <c r="M34" i="6"/>
  <c r="L34" i="6"/>
  <c r="O34" i="6" s="1"/>
  <c r="P34" i="6" s="1"/>
  <c r="N33" i="6"/>
  <c r="M33" i="6"/>
  <c r="L33" i="6"/>
  <c r="O33" i="6" s="1"/>
  <c r="P33" i="6" s="1"/>
  <c r="N32" i="6"/>
  <c r="M32" i="6"/>
  <c r="L32" i="6"/>
  <c r="O32" i="6" s="1"/>
  <c r="P32" i="6" s="1"/>
  <c r="N31" i="6"/>
  <c r="M31" i="6"/>
  <c r="L31" i="6"/>
  <c r="O30" i="6"/>
  <c r="P30" i="6" s="1"/>
  <c r="N30" i="6"/>
  <c r="M30" i="6"/>
  <c r="L30" i="6"/>
  <c r="N29" i="6"/>
  <c r="M29" i="6"/>
  <c r="L29" i="6"/>
  <c r="N28" i="6"/>
  <c r="M28" i="6"/>
  <c r="L28" i="6"/>
  <c r="O28" i="6" s="1"/>
  <c r="P28" i="6" s="1"/>
  <c r="N27" i="6"/>
  <c r="M27" i="6"/>
  <c r="L27" i="6"/>
  <c r="O27" i="6" s="1"/>
  <c r="P27" i="6" s="1"/>
  <c r="N26" i="6"/>
  <c r="M26" i="6"/>
  <c r="L26" i="6"/>
  <c r="O26" i="6" s="1"/>
  <c r="P26" i="6" s="1"/>
  <c r="N25" i="6"/>
  <c r="M25" i="6"/>
  <c r="L25" i="6"/>
  <c r="O25" i="6" s="1"/>
  <c r="P25" i="6" s="1"/>
  <c r="N24" i="6"/>
  <c r="M24" i="6"/>
  <c r="L24" i="6"/>
  <c r="O24" i="6" s="1"/>
  <c r="P24" i="6" s="1"/>
  <c r="N23" i="6"/>
  <c r="M23" i="6"/>
  <c r="L23" i="6"/>
  <c r="O22" i="6"/>
  <c r="P22" i="6" s="1"/>
  <c r="N22" i="6"/>
  <c r="M22" i="6"/>
  <c r="L22" i="6"/>
  <c r="N21" i="6"/>
  <c r="M21" i="6"/>
  <c r="L21" i="6"/>
  <c r="N20" i="6"/>
  <c r="M20" i="6"/>
  <c r="L20" i="6"/>
  <c r="O20" i="6" s="1"/>
  <c r="P20" i="6" s="1"/>
  <c r="N19" i="6"/>
  <c r="M19" i="6"/>
  <c r="L19" i="6"/>
  <c r="O19" i="6" s="1"/>
  <c r="P19" i="6" s="1"/>
  <c r="N18" i="6"/>
  <c r="M18" i="6"/>
  <c r="L18" i="6"/>
  <c r="O18" i="6" s="1"/>
  <c r="P18" i="6" s="1"/>
  <c r="N17" i="6"/>
  <c r="M17" i="6"/>
  <c r="L17" i="6"/>
  <c r="O17" i="6" s="1"/>
  <c r="P17" i="6" s="1"/>
  <c r="N16" i="6"/>
  <c r="M16" i="6"/>
  <c r="L16" i="6"/>
  <c r="O16" i="6" s="1"/>
  <c r="P16" i="6" s="1"/>
  <c r="N15" i="6"/>
  <c r="M15" i="6"/>
  <c r="L15" i="6"/>
  <c r="O14" i="6"/>
  <c r="P14" i="6" s="1"/>
  <c r="N14" i="6"/>
  <c r="M14" i="6"/>
  <c r="L14" i="6"/>
  <c r="N13" i="6"/>
  <c r="M13" i="6"/>
  <c r="L13" i="6"/>
  <c r="N12" i="6"/>
  <c r="M12" i="6"/>
  <c r="L12" i="6"/>
  <c r="O12" i="6" s="1"/>
  <c r="P12" i="6" s="1"/>
  <c r="N11" i="6"/>
  <c r="M11" i="6"/>
  <c r="L11" i="6"/>
  <c r="O11" i="6" s="1"/>
  <c r="P11" i="6" s="1"/>
  <c r="N10" i="6"/>
  <c r="M10" i="6"/>
  <c r="L10" i="6"/>
  <c r="O10" i="6" s="1"/>
  <c r="P10" i="6" s="1"/>
  <c r="N9" i="6"/>
  <c r="M9" i="6"/>
  <c r="L9" i="6"/>
  <c r="O9" i="6" s="1"/>
  <c r="P9" i="6" s="1"/>
  <c r="N8" i="6"/>
  <c r="M8" i="6"/>
  <c r="L8" i="6"/>
  <c r="O8" i="6" s="1"/>
  <c r="P8" i="6" s="1"/>
  <c r="N7" i="6"/>
  <c r="M7" i="6"/>
  <c r="L7" i="6"/>
  <c r="O6" i="6"/>
  <c r="P6" i="6" s="1"/>
  <c r="N6" i="6"/>
  <c r="M6" i="6"/>
  <c r="L6" i="6"/>
  <c r="N5" i="6"/>
  <c r="M5" i="6"/>
  <c r="L5" i="6"/>
  <c r="J8" i="5"/>
  <c r="E7" i="5"/>
  <c r="I7" i="5" s="1"/>
  <c r="I37" i="4"/>
  <c r="M644" i="3"/>
  <c r="N644" i="3" s="1"/>
  <c r="D644" i="3"/>
  <c r="C644" i="3"/>
  <c r="A644" i="3"/>
  <c r="M643" i="3"/>
  <c r="N643" i="3" s="1"/>
  <c r="D643" i="3"/>
  <c r="C643" i="3"/>
  <c r="A643" i="3"/>
  <c r="N642" i="3"/>
  <c r="M642" i="3"/>
  <c r="D642" i="3"/>
  <c r="C642" i="3"/>
  <c r="A642" i="3"/>
  <c r="M641" i="3"/>
  <c r="N641" i="3" s="1"/>
  <c r="D641" i="3"/>
  <c r="C641" i="3"/>
  <c r="A641" i="3"/>
  <c r="M640" i="3"/>
  <c r="N640" i="3" s="1"/>
  <c r="D640" i="3"/>
  <c r="C640" i="3"/>
  <c r="A640" i="3"/>
  <c r="N639" i="3"/>
  <c r="M639" i="3"/>
  <c r="D639" i="3"/>
  <c r="C639" i="3"/>
  <c r="A639" i="3"/>
  <c r="M638" i="3"/>
  <c r="N638" i="3" s="1"/>
  <c r="D638" i="3"/>
  <c r="C638" i="3"/>
  <c r="A638" i="3"/>
  <c r="M637" i="3"/>
  <c r="N637" i="3" s="1"/>
  <c r="D637" i="3"/>
  <c r="C637" i="3"/>
  <c r="A637" i="3"/>
  <c r="M636" i="3"/>
  <c r="N636" i="3" s="1"/>
  <c r="D636" i="3"/>
  <c r="C636" i="3"/>
  <c r="A636" i="3"/>
  <c r="M635" i="3"/>
  <c r="N635" i="3" s="1"/>
  <c r="D635" i="3"/>
  <c r="C635" i="3"/>
  <c r="A635" i="3"/>
  <c r="N634" i="3"/>
  <c r="M634" i="3"/>
  <c r="D634" i="3"/>
  <c r="C634" i="3"/>
  <c r="A634" i="3"/>
  <c r="M633" i="3"/>
  <c r="N633" i="3" s="1"/>
  <c r="D633" i="3"/>
  <c r="C633" i="3"/>
  <c r="A633" i="3"/>
  <c r="N632" i="3"/>
  <c r="M632" i="3"/>
  <c r="D632" i="3"/>
  <c r="C632" i="3"/>
  <c r="A632" i="3"/>
  <c r="M631" i="3"/>
  <c r="N631" i="3" s="1"/>
  <c r="D631" i="3"/>
  <c r="C631" i="3"/>
  <c r="A631" i="3"/>
  <c r="N630" i="3"/>
  <c r="M630" i="3"/>
  <c r="D630" i="3"/>
  <c r="C630" i="3"/>
  <c r="A630" i="3"/>
  <c r="M629" i="3"/>
  <c r="N629" i="3" s="1"/>
  <c r="D629" i="3"/>
  <c r="C629" i="3"/>
  <c r="A629" i="3"/>
  <c r="M628" i="3"/>
  <c r="N628" i="3" s="1"/>
  <c r="D628" i="3"/>
  <c r="C628" i="3"/>
  <c r="A628" i="3"/>
  <c r="N627" i="3"/>
  <c r="M627" i="3"/>
  <c r="D627" i="3"/>
  <c r="C627" i="3"/>
  <c r="A627" i="3"/>
  <c r="N626" i="3"/>
  <c r="M626" i="3"/>
  <c r="D626" i="3"/>
  <c r="C626" i="3"/>
  <c r="A626" i="3"/>
  <c r="M625" i="3"/>
  <c r="N625" i="3" s="1"/>
  <c r="D625" i="3"/>
  <c r="C625" i="3"/>
  <c r="A625" i="3"/>
  <c r="M624" i="3"/>
  <c r="N624" i="3" s="1"/>
  <c r="D624" i="3"/>
  <c r="C624" i="3"/>
  <c r="A624" i="3"/>
  <c r="N623" i="3"/>
  <c r="M623" i="3"/>
  <c r="D623" i="3"/>
  <c r="C623" i="3"/>
  <c r="A623" i="3"/>
  <c r="M622" i="3"/>
  <c r="N622" i="3" s="1"/>
  <c r="D622" i="3"/>
  <c r="C622" i="3"/>
  <c r="A622" i="3"/>
  <c r="M621" i="3"/>
  <c r="N621" i="3" s="1"/>
  <c r="D621" i="3"/>
  <c r="C621" i="3"/>
  <c r="A621" i="3"/>
  <c r="M620" i="3"/>
  <c r="N620" i="3" s="1"/>
  <c r="D620" i="3"/>
  <c r="C620" i="3"/>
  <c r="A620" i="3"/>
  <c r="M619" i="3"/>
  <c r="N619" i="3" s="1"/>
  <c r="D619" i="3"/>
  <c r="C619" i="3"/>
  <c r="A619" i="3"/>
  <c r="N618" i="3"/>
  <c r="M618" i="3"/>
  <c r="D618" i="3"/>
  <c r="C618" i="3"/>
  <c r="A618" i="3"/>
  <c r="M617" i="3"/>
  <c r="N617" i="3" s="1"/>
  <c r="D617" i="3"/>
  <c r="C617" i="3"/>
  <c r="A617" i="3"/>
  <c r="N616" i="3"/>
  <c r="M616" i="3"/>
  <c r="D616" i="3"/>
  <c r="C616" i="3"/>
  <c r="A616" i="3"/>
  <c r="M615" i="3"/>
  <c r="N615" i="3" s="1"/>
  <c r="D615" i="3"/>
  <c r="C615" i="3"/>
  <c r="A615" i="3"/>
  <c r="N614" i="3"/>
  <c r="M614" i="3"/>
  <c r="D614" i="3"/>
  <c r="C614" i="3"/>
  <c r="A614" i="3"/>
  <c r="M613" i="3"/>
  <c r="N613" i="3" s="1"/>
  <c r="D613" i="3"/>
  <c r="C613" i="3"/>
  <c r="A613" i="3"/>
  <c r="M612" i="3"/>
  <c r="N612" i="3" s="1"/>
  <c r="D612" i="3"/>
  <c r="C612" i="3"/>
  <c r="A612" i="3"/>
  <c r="N611" i="3"/>
  <c r="M611" i="3"/>
  <c r="D611" i="3"/>
  <c r="C611" i="3"/>
  <c r="A611" i="3"/>
  <c r="N610" i="3"/>
  <c r="M610" i="3"/>
  <c r="D610" i="3"/>
  <c r="C610" i="3"/>
  <c r="A610" i="3"/>
  <c r="M609" i="3"/>
  <c r="N609" i="3" s="1"/>
  <c r="D609" i="3"/>
  <c r="C609" i="3"/>
  <c r="A609" i="3"/>
  <c r="M608" i="3"/>
  <c r="N608" i="3" s="1"/>
  <c r="D608" i="3"/>
  <c r="C608" i="3"/>
  <c r="A608" i="3"/>
  <c r="N607" i="3"/>
  <c r="M607" i="3"/>
  <c r="D607" i="3"/>
  <c r="C607" i="3"/>
  <c r="A607" i="3"/>
  <c r="M606" i="3"/>
  <c r="N606" i="3" s="1"/>
  <c r="D606" i="3"/>
  <c r="C606" i="3"/>
  <c r="A606" i="3"/>
  <c r="M605" i="3"/>
  <c r="N605" i="3" s="1"/>
  <c r="D605" i="3"/>
  <c r="C605" i="3"/>
  <c r="A605" i="3"/>
  <c r="M604" i="3"/>
  <c r="N604" i="3" s="1"/>
  <c r="D604" i="3"/>
  <c r="C604" i="3"/>
  <c r="A604" i="3"/>
  <c r="M603" i="3"/>
  <c r="N603" i="3" s="1"/>
  <c r="D603" i="3"/>
  <c r="C603" i="3"/>
  <c r="A603" i="3"/>
  <c r="M602" i="3"/>
  <c r="N602" i="3" s="1"/>
  <c r="D602" i="3"/>
  <c r="C602" i="3"/>
  <c r="A602" i="3"/>
  <c r="M601" i="3"/>
  <c r="N601" i="3" s="1"/>
  <c r="D601" i="3"/>
  <c r="C601" i="3"/>
  <c r="A601" i="3"/>
  <c r="N600" i="3"/>
  <c r="M600" i="3"/>
  <c r="D600" i="3"/>
  <c r="C600" i="3"/>
  <c r="A600" i="3"/>
  <c r="M599" i="3"/>
  <c r="N599" i="3" s="1"/>
  <c r="D599" i="3"/>
  <c r="C599" i="3"/>
  <c r="A599" i="3"/>
  <c r="N598" i="3"/>
  <c r="M598" i="3"/>
  <c r="D598" i="3"/>
  <c r="C598" i="3"/>
  <c r="A598" i="3"/>
  <c r="M597" i="3"/>
  <c r="N597" i="3" s="1"/>
  <c r="D597" i="3"/>
  <c r="C597" i="3"/>
  <c r="A597" i="3"/>
  <c r="M596" i="3"/>
  <c r="N596" i="3" s="1"/>
  <c r="D596" i="3"/>
  <c r="C596" i="3"/>
  <c r="A596" i="3"/>
  <c r="M595" i="3"/>
  <c r="N595" i="3" s="1"/>
  <c r="D595" i="3"/>
  <c r="C595" i="3"/>
  <c r="A595" i="3"/>
  <c r="N594" i="3"/>
  <c r="M594" i="3"/>
  <c r="D594" i="3"/>
  <c r="C594" i="3"/>
  <c r="A594" i="3"/>
  <c r="M593" i="3"/>
  <c r="N593" i="3" s="1"/>
  <c r="D593" i="3"/>
  <c r="C593" i="3"/>
  <c r="A593" i="3"/>
  <c r="M592" i="3"/>
  <c r="N592" i="3" s="1"/>
  <c r="D592" i="3"/>
  <c r="C592" i="3"/>
  <c r="A592" i="3"/>
  <c r="N591" i="3"/>
  <c r="M591" i="3"/>
  <c r="D591" i="3"/>
  <c r="C591" i="3"/>
  <c r="A591" i="3"/>
  <c r="M590" i="3"/>
  <c r="N590" i="3" s="1"/>
  <c r="D590" i="3"/>
  <c r="C590" i="3"/>
  <c r="A590" i="3"/>
  <c r="M589" i="3"/>
  <c r="N589" i="3" s="1"/>
  <c r="D589" i="3"/>
  <c r="C589" i="3"/>
  <c r="A589" i="3"/>
  <c r="M588" i="3"/>
  <c r="N588" i="3" s="1"/>
  <c r="D588" i="3"/>
  <c r="C588" i="3"/>
  <c r="A588" i="3"/>
  <c r="M587" i="3"/>
  <c r="N587" i="3" s="1"/>
  <c r="D587" i="3"/>
  <c r="C587" i="3"/>
  <c r="A587" i="3"/>
  <c r="M586" i="3"/>
  <c r="N586" i="3" s="1"/>
  <c r="D586" i="3"/>
  <c r="C586" i="3"/>
  <c r="A586" i="3"/>
  <c r="M585" i="3"/>
  <c r="N585" i="3" s="1"/>
  <c r="D585" i="3"/>
  <c r="C585" i="3"/>
  <c r="A585" i="3"/>
  <c r="N584" i="3"/>
  <c r="M584" i="3"/>
  <c r="D584" i="3"/>
  <c r="C584" i="3"/>
  <c r="A584" i="3"/>
  <c r="M583" i="3"/>
  <c r="N583" i="3" s="1"/>
  <c r="D583" i="3"/>
  <c r="C583" i="3"/>
  <c r="A583" i="3"/>
  <c r="N582" i="3"/>
  <c r="M582" i="3"/>
  <c r="D582" i="3"/>
  <c r="C582" i="3"/>
  <c r="A582" i="3"/>
  <c r="M581" i="3"/>
  <c r="N581" i="3" s="1"/>
  <c r="D581" i="3"/>
  <c r="C581" i="3"/>
  <c r="A581" i="3"/>
  <c r="M580" i="3"/>
  <c r="N580" i="3" s="1"/>
  <c r="D580" i="3"/>
  <c r="C580" i="3"/>
  <c r="A580" i="3"/>
  <c r="M579" i="3"/>
  <c r="N579" i="3" s="1"/>
  <c r="D579" i="3"/>
  <c r="C579" i="3"/>
  <c r="A579" i="3"/>
  <c r="N578" i="3"/>
  <c r="M578" i="3"/>
  <c r="D578" i="3"/>
  <c r="C578" i="3"/>
  <c r="A578" i="3"/>
  <c r="M577" i="3"/>
  <c r="N577" i="3" s="1"/>
  <c r="D577" i="3"/>
  <c r="C577" i="3"/>
  <c r="A577" i="3"/>
  <c r="M576" i="3"/>
  <c r="N576" i="3" s="1"/>
  <c r="D576" i="3"/>
  <c r="C576" i="3"/>
  <c r="A576" i="3"/>
  <c r="N575" i="3"/>
  <c r="M575" i="3"/>
  <c r="D575" i="3"/>
  <c r="C575" i="3"/>
  <c r="A575" i="3"/>
  <c r="M574" i="3"/>
  <c r="N574" i="3" s="1"/>
  <c r="D574" i="3"/>
  <c r="C574" i="3"/>
  <c r="A574" i="3"/>
  <c r="M573" i="3"/>
  <c r="N573" i="3" s="1"/>
  <c r="D573" i="3"/>
  <c r="C573" i="3"/>
  <c r="A573" i="3"/>
  <c r="M572" i="3"/>
  <c r="N572" i="3" s="1"/>
  <c r="D572" i="3"/>
  <c r="C572" i="3"/>
  <c r="A572" i="3"/>
  <c r="M571" i="3"/>
  <c r="N571" i="3" s="1"/>
  <c r="D571" i="3"/>
  <c r="C571" i="3"/>
  <c r="A571" i="3"/>
  <c r="M570" i="3"/>
  <c r="N570" i="3" s="1"/>
  <c r="D570" i="3"/>
  <c r="C570" i="3"/>
  <c r="A570" i="3"/>
  <c r="M569" i="3"/>
  <c r="N569" i="3" s="1"/>
  <c r="D569" i="3"/>
  <c r="C569" i="3"/>
  <c r="A569" i="3"/>
  <c r="N568" i="3"/>
  <c r="M568" i="3"/>
  <c r="D568" i="3"/>
  <c r="C568" i="3"/>
  <c r="A568" i="3"/>
  <c r="M567" i="3"/>
  <c r="N567" i="3" s="1"/>
  <c r="D567" i="3"/>
  <c r="C567" i="3"/>
  <c r="A567" i="3"/>
  <c r="N566" i="3"/>
  <c r="M566" i="3"/>
  <c r="D566" i="3"/>
  <c r="C566" i="3"/>
  <c r="A566" i="3"/>
  <c r="M565" i="3"/>
  <c r="N565" i="3" s="1"/>
  <c r="D565" i="3"/>
  <c r="C565" i="3"/>
  <c r="A565" i="3"/>
  <c r="M564" i="3"/>
  <c r="N564" i="3" s="1"/>
  <c r="D564" i="3"/>
  <c r="C564" i="3"/>
  <c r="A564" i="3"/>
  <c r="M563" i="3"/>
  <c r="N563" i="3" s="1"/>
  <c r="D563" i="3"/>
  <c r="C563" i="3"/>
  <c r="A563" i="3"/>
  <c r="N562" i="3"/>
  <c r="M562" i="3"/>
  <c r="D562" i="3"/>
  <c r="C562" i="3"/>
  <c r="A562" i="3"/>
  <c r="M561" i="3"/>
  <c r="N561" i="3" s="1"/>
  <c r="D561" i="3"/>
  <c r="C561" i="3"/>
  <c r="A561" i="3"/>
  <c r="M560" i="3"/>
  <c r="N560" i="3" s="1"/>
  <c r="D560" i="3"/>
  <c r="C560" i="3"/>
  <c r="A560" i="3"/>
  <c r="N559" i="3"/>
  <c r="M559" i="3"/>
  <c r="D559" i="3"/>
  <c r="C559" i="3"/>
  <c r="A559" i="3"/>
  <c r="M558" i="3"/>
  <c r="N558" i="3" s="1"/>
  <c r="D558" i="3"/>
  <c r="C558" i="3"/>
  <c r="A558" i="3"/>
  <c r="M557" i="3"/>
  <c r="N557" i="3" s="1"/>
  <c r="D557" i="3"/>
  <c r="C557" i="3"/>
  <c r="A557" i="3"/>
  <c r="M556" i="3"/>
  <c r="N556" i="3" s="1"/>
  <c r="D556" i="3"/>
  <c r="C556" i="3"/>
  <c r="A556" i="3"/>
  <c r="M555" i="3"/>
  <c r="N555" i="3" s="1"/>
  <c r="D555" i="3"/>
  <c r="C555" i="3"/>
  <c r="A555" i="3"/>
  <c r="M554" i="3"/>
  <c r="N554" i="3" s="1"/>
  <c r="D554" i="3"/>
  <c r="C554" i="3"/>
  <c r="A554" i="3"/>
  <c r="M553" i="3"/>
  <c r="N553" i="3" s="1"/>
  <c r="D553" i="3"/>
  <c r="C553" i="3"/>
  <c r="A553" i="3"/>
  <c r="N552" i="3"/>
  <c r="M552" i="3"/>
  <c r="D552" i="3"/>
  <c r="C552" i="3"/>
  <c r="A552" i="3"/>
  <c r="M551" i="3"/>
  <c r="N551" i="3" s="1"/>
  <c r="D551" i="3"/>
  <c r="C551" i="3"/>
  <c r="A551" i="3"/>
  <c r="N550" i="3"/>
  <c r="M550" i="3"/>
  <c r="D550" i="3"/>
  <c r="C550" i="3"/>
  <c r="A550" i="3"/>
  <c r="M549" i="3"/>
  <c r="N549" i="3" s="1"/>
  <c r="D549" i="3"/>
  <c r="C549" i="3"/>
  <c r="A549" i="3"/>
  <c r="M548" i="3"/>
  <c r="N548" i="3" s="1"/>
  <c r="D548" i="3"/>
  <c r="C548" i="3"/>
  <c r="A548" i="3"/>
  <c r="M547" i="3"/>
  <c r="N547" i="3" s="1"/>
  <c r="D547" i="3"/>
  <c r="C547" i="3"/>
  <c r="A547" i="3"/>
  <c r="N546" i="3"/>
  <c r="M546" i="3"/>
  <c r="D546" i="3"/>
  <c r="C546" i="3"/>
  <c r="A546" i="3"/>
  <c r="M545" i="3"/>
  <c r="N545" i="3" s="1"/>
  <c r="D545" i="3"/>
  <c r="C545" i="3"/>
  <c r="A545" i="3"/>
  <c r="M544" i="3"/>
  <c r="N544" i="3" s="1"/>
  <c r="D544" i="3"/>
  <c r="C544" i="3"/>
  <c r="A544" i="3"/>
  <c r="N543" i="3"/>
  <c r="M543" i="3"/>
  <c r="D543" i="3"/>
  <c r="C543" i="3"/>
  <c r="A543" i="3"/>
  <c r="M542" i="3"/>
  <c r="N542" i="3" s="1"/>
  <c r="D542" i="3"/>
  <c r="C542" i="3"/>
  <c r="A542" i="3"/>
  <c r="M541" i="3"/>
  <c r="N541" i="3" s="1"/>
  <c r="D541" i="3"/>
  <c r="C541" i="3"/>
  <c r="A541" i="3"/>
  <c r="M540" i="3"/>
  <c r="N540" i="3" s="1"/>
  <c r="D540" i="3"/>
  <c r="C540" i="3"/>
  <c r="A540" i="3"/>
  <c r="M539" i="3"/>
  <c r="N539" i="3" s="1"/>
  <c r="D539" i="3"/>
  <c r="C539" i="3"/>
  <c r="A539" i="3"/>
  <c r="M538" i="3"/>
  <c r="N538" i="3" s="1"/>
  <c r="D538" i="3"/>
  <c r="C538" i="3"/>
  <c r="A538" i="3"/>
  <c r="M537" i="3"/>
  <c r="N537" i="3" s="1"/>
  <c r="D537" i="3"/>
  <c r="C537" i="3"/>
  <c r="A537" i="3"/>
  <c r="N536" i="3"/>
  <c r="M536" i="3"/>
  <c r="D536" i="3"/>
  <c r="C536" i="3"/>
  <c r="A536" i="3"/>
  <c r="M535" i="3"/>
  <c r="N535" i="3" s="1"/>
  <c r="D535" i="3"/>
  <c r="C535" i="3"/>
  <c r="A535" i="3"/>
  <c r="N534" i="3"/>
  <c r="M534" i="3"/>
  <c r="D534" i="3"/>
  <c r="C534" i="3"/>
  <c r="A534" i="3"/>
  <c r="M533" i="3"/>
  <c r="N533" i="3" s="1"/>
  <c r="D533" i="3"/>
  <c r="C533" i="3"/>
  <c r="A533" i="3"/>
  <c r="M532" i="3"/>
  <c r="N532" i="3" s="1"/>
  <c r="D532" i="3"/>
  <c r="C532" i="3"/>
  <c r="A532" i="3"/>
  <c r="M531" i="3"/>
  <c r="N531" i="3" s="1"/>
  <c r="D531" i="3"/>
  <c r="C531" i="3"/>
  <c r="A531" i="3"/>
  <c r="N530" i="3"/>
  <c r="M530" i="3"/>
  <c r="D530" i="3"/>
  <c r="C530" i="3"/>
  <c r="A530" i="3"/>
  <c r="M529" i="3"/>
  <c r="N529" i="3" s="1"/>
  <c r="D529" i="3"/>
  <c r="C529" i="3"/>
  <c r="A529" i="3"/>
  <c r="M528" i="3"/>
  <c r="N528" i="3" s="1"/>
  <c r="D528" i="3"/>
  <c r="C528" i="3"/>
  <c r="A528" i="3"/>
  <c r="N527" i="3"/>
  <c r="M527" i="3"/>
  <c r="D527" i="3"/>
  <c r="C527" i="3"/>
  <c r="A527" i="3"/>
  <c r="M526" i="3"/>
  <c r="N526" i="3" s="1"/>
  <c r="D526" i="3"/>
  <c r="C526" i="3"/>
  <c r="A526" i="3"/>
  <c r="M525" i="3"/>
  <c r="N525" i="3" s="1"/>
  <c r="D525" i="3"/>
  <c r="C525" i="3"/>
  <c r="A525" i="3"/>
  <c r="M524" i="3"/>
  <c r="N524" i="3" s="1"/>
  <c r="D524" i="3"/>
  <c r="C524" i="3"/>
  <c r="A524" i="3"/>
  <c r="M523" i="3"/>
  <c r="N523" i="3" s="1"/>
  <c r="D523" i="3"/>
  <c r="C523" i="3"/>
  <c r="A523" i="3"/>
  <c r="M522" i="3"/>
  <c r="N522" i="3" s="1"/>
  <c r="D522" i="3"/>
  <c r="C522" i="3"/>
  <c r="A522" i="3"/>
  <c r="M521" i="3"/>
  <c r="N521" i="3" s="1"/>
  <c r="D521" i="3"/>
  <c r="C521" i="3"/>
  <c r="A521" i="3"/>
  <c r="N520" i="3"/>
  <c r="M520" i="3"/>
  <c r="D520" i="3"/>
  <c r="C520" i="3"/>
  <c r="A520" i="3"/>
  <c r="M519" i="3"/>
  <c r="N519" i="3" s="1"/>
  <c r="D519" i="3"/>
  <c r="C519" i="3"/>
  <c r="A519" i="3"/>
  <c r="N518" i="3"/>
  <c r="M518" i="3"/>
  <c r="D518" i="3"/>
  <c r="C518" i="3"/>
  <c r="A518" i="3"/>
  <c r="M517" i="3"/>
  <c r="N517" i="3" s="1"/>
  <c r="D517" i="3"/>
  <c r="C517" i="3"/>
  <c r="A517" i="3"/>
  <c r="M516" i="3"/>
  <c r="N516" i="3" s="1"/>
  <c r="D516" i="3"/>
  <c r="C516" i="3"/>
  <c r="A516" i="3"/>
  <c r="M515" i="3"/>
  <c r="N515" i="3" s="1"/>
  <c r="D515" i="3"/>
  <c r="C515" i="3"/>
  <c r="A515" i="3"/>
  <c r="N514" i="3"/>
  <c r="M514" i="3"/>
  <c r="D514" i="3"/>
  <c r="C514" i="3"/>
  <c r="A514" i="3"/>
  <c r="M513" i="3"/>
  <c r="N513" i="3" s="1"/>
  <c r="D513" i="3"/>
  <c r="C513" i="3"/>
  <c r="A513" i="3"/>
  <c r="M512" i="3"/>
  <c r="N512" i="3" s="1"/>
  <c r="D512" i="3"/>
  <c r="C512" i="3"/>
  <c r="A512" i="3"/>
  <c r="N511" i="3"/>
  <c r="M511" i="3"/>
  <c r="D511" i="3"/>
  <c r="C511" i="3"/>
  <c r="A511" i="3"/>
  <c r="M510" i="3"/>
  <c r="N510" i="3" s="1"/>
  <c r="D510" i="3"/>
  <c r="C510" i="3"/>
  <c r="A510" i="3"/>
  <c r="M509" i="3"/>
  <c r="N509" i="3" s="1"/>
  <c r="D509" i="3"/>
  <c r="C509" i="3"/>
  <c r="A509" i="3"/>
  <c r="M508" i="3"/>
  <c r="N508" i="3" s="1"/>
  <c r="D508" i="3"/>
  <c r="C508" i="3"/>
  <c r="A508" i="3"/>
  <c r="M507" i="3"/>
  <c r="N507" i="3" s="1"/>
  <c r="D507" i="3"/>
  <c r="C507" i="3"/>
  <c r="A507" i="3"/>
  <c r="M506" i="3"/>
  <c r="N506" i="3" s="1"/>
  <c r="D506" i="3"/>
  <c r="C506" i="3"/>
  <c r="A506" i="3"/>
  <c r="M505" i="3"/>
  <c r="N505" i="3" s="1"/>
  <c r="D505" i="3"/>
  <c r="C505" i="3"/>
  <c r="A505" i="3"/>
  <c r="N504" i="3"/>
  <c r="M504" i="3"/>
  <c r="D504" i="3"/>
  <c r="C504" i="3"/>
  <c r="A504" i="3"/>
  <c r="M503" i="3"/>
  <c r="N503" i="3" s="1"/>
  <c r="D503" i="3"/>
  <c r="C503" i="3"/>
  <c r="A503" i="3"/>
  <c r="N502" i="3"/>
  <c r="M502" i="3"/>
  <c r="D502" i="3"/>
  <c r="C502" i="3"/>
  <c r="A502" i="3"/>
  <c r="M501" i="3"/>
  <c r="N501" i="3" s="1"/>
  <c r="D501" i="3"/>
  <c r="C501" i="3"/>
  <c r="A501" i="3"/>
  <c r="M500" i="3"/>
  <c r="N500" i="3" s="1"/>
  <c r="D500" i="3"/>
  <c r="C500" i="3"/>
  <c r="A500" i="3"/>
  <c r="M499" i="3"/>
  <c r="N499" i="3" s="1"/>
  <c r="D499" i="3"/>
  <c r="C499" i="3"/>
  <c r="A499" i="3"/>
  <c r="N498" i="3"/>
  <c r="M498" i="3"/>
  <c r="D498" i="3"/>
  <c r="C498" i="3"/>
  <c r="A498" i="3"/>
  <c r="M497" i="3"/>
  <c r="N497" i="3" s="1"/>
  <c r="D497" i="3"/>
  <c r="C497" i="3"/>
  <c r="A497" i="3"/>
  <c r="M496" i="3"/>
  <c r="N496" i="3" s="1"/>
  <c r="D496" i="3"/>
  <c r="C496" i="3"/>
  <c r="A496" i="3"/>
  <c r="N495" i="3"/>
  <c r="M495" i="3"/>
  <c r="D495" i="3"/>
  <c r="C495" i="3"/>
  <c r="A495" i="3"/>
  <c r="M494" i="3"/>
  <c r="N494" i="3" s="1"/>
  <c r="D494" i="3"/>
  <c r="C494" i="3"/>
  <c r="A494" i="3"/>
  <c r="M493" i="3"/>
  <c r="N493" i="3" s="1"/>
  <c r="D493" i="3"/>
  <c r="C493" i="3"/>
  <c r="A493" i="3"/>
  <c r="M492" i="3"/>
  <c r="N492" i="3" s="1"/>
  <c r="D492" i="3"/>
  <c r="C492" i="3"/>
  <c r="A492" i="3"/>
  <c r="M491" i="3"/>
  <c r="N491" i="3" s="1"/>
  <c r="D491" i="3"/>
  <c r="C491" i="3"/>
  <c r="A491" i="3"/>
  <c r="N490" i="3"/>
  <c r="M490" i="3"/>
  <c r="D490" i="3"/>
  <c r="C490" i="3"/>
  <c r="A490" i="3"/>
  <c r="M489" i="3"/>
  <c r="N489" i="3" s="1"/>
  <c r="D489" i="3"/>
  <c r="C489" i="3"/>
  <c r="A489" i="3"/>
  <c r="N488" i="3"/>
  <c r="M488" i="3"/>
  <c r="D488" i="3"/>
  <c r="C488" i="3"/>
  <c r="A488" i="3"/>
  <c r="M487" i="3"/>
  <c r="N487" i="3" s="1"/>
  <c r="D487" i="3"/>
  <c r="C487" i="3"/>
  <c r="A487" i="3"/>
  <c r="N486" i="3"/>
  <c r="M486" i="3"/>
  <c r="D486" i="3"/>
  <c r="C486" i="3"/>
  <c r="A486" i="3"/>
  <c r="M485" i="3"/>
  <c r="N485" i="3" s="1"/>
  <c r="D485" i="3"/>
  <c r="C485" i="3"/>
  <c r="A485" i="3"/>
  <c r="M484" i="3"/>
  <c r="N484" i="3" s="1"/>
  <c r="D484" i="3"/>
  <c r="C484" i="3"/>
  <c r="A484" i="3"/>
  <c r="M483" i="3"/>
  <c r="N483" i="3" s="1"/>
  <c r="D483" i="3"/>
  <c r="C483" i="3"/>
  <c r="A483" i="3"/>
  <c r="N482" i="3"/>
  <c r="M482" i="3"/>
  <c r="D482" i="3"/>
  <c r="C482" i="3"/>
  <c r="A482" i="3"/>
  <c r="M481" i="3"/>
  <c r="N481" i="3" s="1"/>
  <c r="D481" i="3"/>
  <c r="C481" i="3"/>
  <c r="A481" i="3"/>
  <c r="M480" i="3"/>
  <c r="N480" i="3" s="1"/>
  <c r="D480" i="3"/>
  <c r="C480" i="3"/>
  <c r="A480" i="3"/>
  <c r="N479" i="3"/>
  <c r="M479" i="3"/>
  <c r="D479" i="3"/>
  <c r="C479" i="3"/>
  <c r="A479" i="3"/>
  <c r="M478" i="3"/>
  <c r="N478" i="3" s="1"/>
  <c r="D478" i="3"/>
  <c r="C478" i="3"/>
  <c r="A478" i="3"/>
  <c r="M477" i="3"/>
  <c r="N477" i="3" s="1"/>
  <c r="D477" i="3"/>
  <c r="C477" i="3"/>
  <c r="A477" i="3"/>
  <c r="M476" i="3"/>
  <c r="N476" i="3" s="1"/>
  <c r="D476" i="3"/>
  <c r="C476" i="3"/>
  <c r="A476" i="3"/>
  <c r="M475" i="3"/>
  <c r="N475" i="3" s="1"/>
  <c r="D475" i="3"/>
  <c r="C475" i="3"/>
  <c r="A475" i="3"/>
  <c r="N474" i="3"/>
  <c r="M474" i="3"/>
  <c r="D474" i="3"/>
  <c r="C474" i="3"/>
  <c r="A474" i="3"/>
  <c r="M473" i="3"/>
  <c r="N473" i="3" s="1"/>
  <c r="D473" i="3"/>
  <c r="C473" i="3"/>
  <c r="A473" i="3"/>
  <c r="N472" i="3"/>
  <c r="M472" i="3"/>
  <c r="D472" i="3"/>
  <c r="C472" i="3"/>
  <c r="A472" i="3"/>
  <c r="M471" i="3"/>
  <c r="N471" i="3" s="1"/>
  <c r="D471" i="3"/>
  <c r="C471" i="3"/>
  <c r="A471" i="3"/>
  <c r="N470" i="3"/>
  <c r="M470" i="3"/>
  <c r="D470" i="3"/>
  <c r="C470" i="3"/>
  <c r="A470" i="3"/>
  <c r="M469" i="3"/>
  <c r="N469" i="3" s="1"/>
  <c r="D469" i="3"/>
  <c r="C469" i="3"/>
  <c r="A469" i="3"/>
  <c r="M468" i="3"/>
  <c r="N468" i="3" s="1"/>
  <c r="D468" i="3"/>
  <c r="C468" i="3"/>
  <c r="A468" i="3"/>
  <c r="N467" i="3"/>
  <c r="M467" i="3"/>
  <c r="D467" i="3"/>
  <c r="C467" i="3"/>
  <c r="A467" i="3"/>
  <c r="N466" i="3"/>
  <c r="M466" i="3"/>
  <c r="D466" i="3"/>
  <c r="C466" i="3"/>
  <c r="A466" i="3"/>
  <c r="M465" i="3"/>
  <c r="N465" i="3" s="1"/>
  <c r="D465" i="3"/>
  <c r="C465" i="3"/>
  <c r="A465" i="3"/>
  <c r="M464" i="3"/>
  <c r="N464" i="3" s="1"/>
  <c r="D464" i="3"/>
  <c r="C464" i="3"/>
  <c r="A464" i="3"/>
  <c r="N463" i="3"/>
  <c r="M463" i="3"/>
  <c r="D463" i="3"/>
  <c r="C463" i="3"/>
  <c r="A463" i="3"/>
  <c r="M462" i="3"/>
  <c r="N462" i="3" s="1"/>
  <c r="D462" i="3"/>
  <c r="C462" i="3"/>
  <c r="A462" i="3"/>
  <c r="M461" i="3"/>
  <c r="N461" i="3" s="1"/>
  <c r="D461" i="3"/>
  <c r="C461" i="3"/>
  <c r="A461" i="3"/>
  <c r="M460" i="3"/>
  <c r="N460" i="3" s="1"/>
  <c r="D460" i="3"/>
  <c r="C460" i="3"/>
  <c r="A460" i="3"/>
  <c r="M459" i="3"/>
  <c r="N459" i="3" s="1"/>
  <c r="D459" i="3"/>
  <c r="C459" i="3"/>
  <c r="A459" i="3"/>
  <c r="N458" i="3"/>
  <c r="M458" i="3"/>
  <c r="D458" i="3"/>
  <c r="C458" i="3"/>
  <c r="A458" i="3"/>
  <c r="M457" i="3"/>
  <c r="N457" i="3" s="1"/>
  <c r="D457" i="3"/>
  <c r="C457" i="3"/>
  <c r="A457" i="3"/>
  <c r="M456" i="3"/>
  <c r="N456" i="3" s="1"/>
  <c r="D456" i="3"/>
  <c r="C456" i="3"/>
  <c r="A456" i="3"/>
  <c r="M455" i="3"/>
  <c r="N455" i="3" s="1"/>
  <c r="D455" i="3"/>
  <c r="C455" i="3"/>
  <c r="A455" i="3"/>
  <c r="N454" i="3"/>
  <c r="M454" i="3"/>
  <c r="D454" i="3"/>
  <c r="C454" i="3"/>
  <c r="A454" i="3"/>
  <c r="M453" i="3"/>
  <c r="N453" i="3" s="1"/>
  <c r="D453" i="3"/>
  <c r="C453" i="3"/>
  <c r="A453" i="3"/>
  <c r="M452" i="3"/>
  <c r="N452" i="3" s="1"/>
  <c r="D452" i="3"/>
  <c r="C452" i="3"/>
  <c r="A452" i="3"/>
  <c r="N451" i="3"/>
  <c r="M451" i="3"/>
  <c r="D451" i="3"/>
  <c r="C451" i="3"/>
  <c r="A451" i="3"/>
  <c r="M450" i="3"/>
  <c r="N450" i="3" s="1"/>
  <c r="D450" i="3"/>
  <c r="C450" i="3"/>
  <c r="A450" i="3"/>
  <c r="M449" i="3"/>
  <c r="N449" i="3" s="1"/>
  <c r="D449" i="3"/>
  <c r="C449" i="3"/>
  <c r="A449" i="3"/>
  <c r="M448" i="3"/>
  <c r="N448" i="3" s="1"/>
  <c r="D448" i="3"/>
  <c r="C448" i="3"/>
  <c r="A448" i="3"/>
  <c r="N447" i="3"/>
  <c r="M447" i="3"/>
  <c r="D447" i="3"/>
  <c r="C447" i="3"/>
  <c r="A447" i="3"/>
  <c r="M446" i="3"/>
  <c r="N446" i="3" s="1"/>
  <c r="D446" i="3"/>
  <c r="C446" i="3"/>
  <c r="A446" i="3"/>
  <c r="M445" i="3"/>
  <c r="N445" i="3" s="1"/>
  <c r="D445" i="3"/>
  <c r="C445" i="3"/>
  <c r="A445" i="3"/>
  <c r="M444" i="3"/>
  <c r="N444" i="3" s="1"/>
  <c r="D444" i="3"/>
  <c r="C444" i="3"/>
  <c r="A444" i="3"/>
  <c r="M443" i="3"/>
  <c r="N443" i="3" s="1"/>
  <c r="D443" i="3"/>
  <c r="C443" i="3"/>
  <c r="A443" i="3"/>
  <c r="N442" i="3"/>
  <c r="M442" i="3"/>
  <c r="D442" i="3"/>
  <c r="C442" i="3"/>
  <c r="A442" i="3"/>
  <c r="M441" i="3"/>
  <c r="N441" i="3" s="1"/>
  <c r="D441" i="3"/>
  <c r="C441" i="3"/>
  <c r="A441" i="3"/>
  <c r="N440" i="3"/>
  <c r="M440" i="3"/>
  <c r="D440" i="3"/>
  <c r="C440" i="3"/>
  <c r="A440" i="3"/>
  <c r="M439" i="3"/>
  <c r="N439" i="3" s="1"/>
  <c r="D439" i="3"/>
  <c r="C439" i="3"/>
  <c r="A439" i="3"/>
  <c r="N438" i="3"/>
  <c r="M438" i="3"/>
  <c r="D438" i="3"/>
  <c r="C438" i="3"/>
  <c r="A438" i="3"/>
  <c r="M437" i="3"/>
  <c r="N437" i="3" s="1"/>
  <c r="D437" i="3"/>
  <c r="C437" i="3"/>
  <c r="A437" i="3"/>
  <c r="M436" i="3"/>
  <c r="N436" i="3" s="1"/>
  <c r="D436" i="3"/>
  <c r="C436" i="3"/>
  <c r="A436" i="3"/>
  <c r="N435" i="3"/>
  <c r="M435" i="3"/>
  <c r="D435" i="3"/>
  <c r="C435" i="3"/>
  <c r="A435" i="3"/>
  <c r="M434" i="3"/>
  <c r="N434" i="3" s="1"/>
  <c r="D434" i="3"/>
  <c r="C434" i="3"/>
  <c r="A434" i="3"/>
  <c r="M433" i="3"/>
  <c r="N433" i="3" s="1"/>
  <c r="D433" i="3"/>
  <c r="C433" i="3"/>
  <c r="A433" i="3"/>
  <c r="M432" i="3"/>
  <c r="N432" i="3" s="1"/>
  <c r="D432" i="3"/>
  <c r="C432" i="3"/>
  <c r="A432" i="3"/>
  <c r="N431" i="3"/>
  <c r="M431" i="3"/>
  <c r="D431" i="3"/>
  <c r="C431" i="3"/>
  <c r="A431" i="3"/>
  <c r="M430" i="3"/>
  <c r="N430" i="3" s="1"/>
  <c r="D430" i="3"/>
  <c r="C430" i="3"/>
  <c r="A430" i="3"/>
  <c r="M429" i="3"/>
  <c r="N429" i="3" s="1"/>
  <c r="D429" i="3"/>
  <c r="C429" i="3"/>
  <c r="A429" i="3"/>
  <c r="M428" i="3"/>
  <c r="N428" i="3" s="1"/>
  <c r="D428" i="3"/>
  <c r="C428" i="3"/>
  <c r="A428" i="3"/>
  <c r="M427" i="3"/>
  <c r="N427" i="3" s="1"/>
  <c r="D427" i="3"/>
  <c r="C427" i="3"/>
  <c r="A427" i="3"/>
  <c r="N426" i="3"/>
  <c r="M426" i="3"/>
  <c r="D426" i="3"/>
  <c r="C426" i="3"/>
  <c r="A426" i="3"/>
  <c r="M425" i="3"/>
  <c r="N425" i="3" s="1"/>
  <c r="D425" i="3"/>
  <c r="C425" i="3"/>
  <c r="A425" i="3"/>
  <c r="M424" i="3"/>
  <c r="N424" i="3" s="1"/>
  <c r="D424" i="3"/>
  <c r="C424" i="3"/>
  <c r="A424" i="3"/>
  <c r="M423" i="3"/>
  <c r="N423" i="3" s="1"/>
  <c r="D423" i="3"/>
  <c r="C423" i="3"/>
  <c r="A423" i="3"/>
  <c r="N422" i="3"/>
  <c r="M422" i="3"/>
  <c r="D422" i="3"/>
  <c r="C422" i="3"/>
  <c r="A422" i="3"/>
  <c r="M421" i="3"/>
  <c r="N421" i="3" s="1"/>
  <c r="D421" i="3"/>
  <c r="C421" i="3"/>
  <c r="A421" i="3"/>
  <c r="M420" i="3"/>
  <c r="N420" i="3" s="1"/>
  <c r="D420" i="3"/>
  <c r="C420" i="3"/>
  <c r="A420" i="3"/>
  <c r="N419" i="3"/>
  <c r="M419" i="3"/>
  <c r="D419" i="3"/>
  <c r="C419" i="3"/>
  <c r="A419" i="3"/>
  <c r="M418" i="3"/>
  <c r="N418" i="3" s="1"/>
  <c r="D418" i="3"/>
  <c r="C418" i="3"/>
  <c r="A418" i="3"/>
  <c r="M417" i="3"/>
  <c r="N417" i="3" s="1"/>
  <c r="D417" i="3"/>
  <c r="C417" i="3"/>
  <c r="A417" i="3"/>
  <c r="M416" i="3"/>
  <c r="N416" i="3" s="1"/>
  <c r="D416" i="3"/>
  <c r="C416" i="3"/>
  <c r="A416" i="3"/>
  <c r="N415" i="3"/>
  <c r="M415" i="3"/>
  <c r="D415" i="3"/>
  <c r="C415" i="3"/>
  <c r="A415" i="3"/>
  <c r="M414" i="3"/>
  <c r="N414" i="3" s="1"/>
  <c r="D414" i="3"/>
  <c r="C414" i="3"/>
  <c r="A414" i="3"/>
  <c r="M413" i="3"/>
  <c r="N413" i="3" s="1"/>
  <c r="D413" i="3"/>
  <c r="C413" i="3"/>
  <c r="A413" i="3"/>
  <c r="M412" i="3"/>
  <c r="N412" i="3" s="1"/>
  <c r="D412" i="3"/>
  <c r="C412" i="3"/>
  <c r="A412" i="3"/>
  <c r="M411" i="3"/>
  <c r="N411" i="3" s="1"/>
  <c r="D411" i="3"/>
  <c r="C411" i="3"/>
  <c r="A411" i="3"/>
  <c r="N410" i="3"/>
  <c r="M410" i="3"/>
  <c r="D410" i="3"/>
  <c r="C410" i="3"/>
  <c r="A410" i="3"/>
  <c r="M409" i="3"/>
  <c r="N409" i="3" s="1"/>
  <c r="D409" i="3"/>
  <c r="C409" i="3"/>
  <c r="A409" i="3"/>
  <c r="M408" i="3"/>
  <c r="N408" i="3" s="1"/>
  <c r="D408" i="3"/>
  <c r="C408" i="3"/>
  <c r="A408" i="3"/>
  <c r="M407" i="3"/>
  <c r="N407" i="3" s="1"/>
  <c r="D407" i="3"/>
  <c r="C407" i="3"/>
  <c r="A407" i="3"/>
  <c r="N406" i="3"/>
  <c r="M406" i="3"/>
  <c r="D406" i="3"/>
  <c r="C406" i="3"/>
  <c r="A406" i="3"/>
  <c r="M405" i="3"/>
  <c r="N405" i="3" s="1"/>
  <c r="D405" i="3"/>
  <c r="C405" i="3"/>
  <c r="A405" i="3"/>
  <c r="M404" i="3"/>
  <c r="N404" i="3" s="1"/>
  <c r="D404" i="3"/>
  <c r="C404" i="3"/>
  <c r="A404" i="3"/>
  <c r="N403" i="3"/>
  <c r="M403" i="3"/>
  <c r="D403" i="3"/>
  <c r="C403" i="3"/>
  <c r="A403" i="3"/>
  <c r="M402" i="3"/>
  <c r="N402" i="3" s="1"/>
  <c r="D402" i="3"/>
  <c r="C402" i="3"/>
  <c r="A402" i="3"/>
  <c r="M401" i="3"/>
  <c r="N401" i="3" s="1"/>
  <c r="D401" i="3"/>
  <c r="C401" i="3"/>
  <c r="A401" i="3"/>
  <c r="M400" i="3"/>
  <c r="N400" i="3" s="1"/>
  <c r="D400" i="3"/>
  <c r="C400" i="3"/>
  <c r="A400" i="3"/>
  <c r="N399" i="3"/>
  <c r="M399" i="3"/>
  <c r="D399" i="3"/>
  <c r="C399" i="3"/>
  <c r="A399" i="3"/>
  <c r="M398" i="3"/>
  <c r="N398" i="3" s="1"/>
  <c r="D398" i="3"/>
  <c r="C398" i="3"/>
  <c r="A398" i="3"/>
  <c r="M397" i="3"/>
  <c r="N397" i="3" s="1"/>
  <c r="D397" i="3"/>
  <c r="C397" i="3"/>
  <c r="A397" i="3"/>
  <c r="M396" i="3"/>
  <c r="N396" i="3" s="1"/>
  <c r="D396" i="3"/>
  <c r="C396" i="3"/>
  <c r="A396" i="3"/>
  <c r="M395" i="3"/>
  <c r="N395" i="3" s="1"/>
  <c r="D395" i="3"/>
  <c r="C395" i="3"/>
  <c r="A395" i="3"/>
  <c r="N394" i="3"/>
  <c r="M394" i="3"/>
  <c r="D394" i="3"/>
  <c r="C394" i="3"/>
  <c r="A394" i="3"/>
  <c r="M393" i="3"/>
  <c r="N393" i="3" s="1"/>
  <c r="D393" i="3"/>
  <c r="C393" i="3"/>
  <c r="A393" i="3"/>
  <c r="M392" i="3"/>
  <c r="N392" i="3" s="1"/>
  <c r="D392" i="3"/>
  <c r="C392" i="3"/>
  <c r="A392" i="3"/>
  <c r="M391" i="3"/>
  <c r="N391" i="3" s="1"/>
  <c r="D391" i="3"/>
  <c r="C391" i="3"/>
  <c r="A391" i="3"/>
  <c r="N390" i="3"/>
  <c r="M390" i="3"/>
  <c r="D390" i="3"/>
  <c r="C390" i="3"/>
  <c r="A390" i="3"/>
  <c r="M389" i="3"/>
  <c r="N389" i="3" s="1"/>
  <c r="D389" i="3"/>
  <c r="C389" i="3"/>
  <c r="A389" i="3"/>
  <c r="M388" i="3"/>
  <c r="N388" i="3" s="1"/>
  <c r="D388" i="3"/>
  <c r="C388" i="3"/>
  <c r="A388" i="3"/>
  <c r="N387" i="3"/>
  <c r="M387" i="3"/>
  <c r="D387" i="3"/>
  <c r="C387" i="3"/>
  <c r="A387" i="3"/>
  <c r="M386" i="3"/>
  <c r="N386" i="3" s="1"/>
  <c r="D386" i="3"/>
  <c r="C386" i="3"/>
  <c r="A386" i="3"/>
  <c r="M385" i="3"/>
  <c r="N385" i="3" s="1"/>
  <c r="D385" i="3"/>
  <c r="C385" i="3"/>
  <c r="A385" i="3"/>
  <c r="M384" i="3"/>
  <c r="N384" i="3" s="1"/>
  <c r="D384" i="3"/>
  <c r="C384" i="3"/>
  <c r="A384" i="3"/>
  <c r="N383" i="3"/>
  <c r="M383" i="3"/>
  <c r="D383" i="3"/>
  <c r="C383" i="3"/>
  <c r="A383" i="3"/>
  <c r="M382" i="3"/>
  <c r="N382" i="3" s="1"/>
  <c r="D382" i="3"/>
  <c r="C382" i="3"/>
  <c r="A382" i="3"/>
  <c r="M381" i="3"/>
  <c r="N381" i="3" s="1"/>
  <c r="D381" i="3"/>
  <c r="C381" i="3"/>
  <c r="A381" i="3"/>
  <c r="M380" i="3"/>
  <c r="N380" i="3" s="1"/>
  <c r="D380" i="3"/>
  <c r="C380" i="3"/>
  <c r="A380" i="3"/>
  <c r="M379" i="3"/>
  <c r="N379" i="3" s="1"/>
  <c r="D379" i="3"/>
  <c r="C379" i="3"/>
  <c r="A379" i="3"/>
  <c r="N378" i="3"/>
  <c r="M378" i="3"/>
  <c r="D378" i="3"/>
  <c r="C378" i="3"/>
  <c r="A378" i="3"/>
  <c r="M377" i="3"/>
  <c r="N377" i="3" s="1"/>
  <c r="D377" i="3"/>
  <c r="C377" i="3"/>
  <c r="A377" i="3"/>
  <c r="M376" i="3"/>
  <c r="N376" i="3" s="1"/>
  <c r="D376" i="3"/>
  <c r="C376" i="3"/>
  <c r="A376" i="3"/>
  <c r="M375" i="3"/>
  <c r="N375" i="3" s="1"/>
  <c r="D375" i="3"/>
  <c r="C375" i="3"/>
  <c r="A375" i="3"/>
  <c r="N374" i="3"/>
  <c r="M374" i="3"/>
  <c r="D374" i="3"/>
  <c r="C374" i="3"/>
  <c r="A374" i="3"/>
  <c r="M373" i="3"/>
  <c r="N373" i="3" s="1"/>
  <c r="D373" i="3"/>
  <c r="C373" i="3"/>
  <c r="A373" i="3"/>
  <c r="M372" i="3"/>
  <c r="N372" i="3" s="1"/>
  <c r="D372" i="3"/>
  <c r="C372" i="3"/>
  <c r="A372" i="3"/>
  <c r="N371" i="3"/>
  <c r="M371" i="3"/>
  <c r="D371" i="3"/>
  <c r="C371" i="3"/>
  <c r="A371" i="3"/>
  <c r="M370" i="3"/>
  <c r="N370" i="3" s="1"/>
  <c r="D370" i="3"/>
  <c r="C370" i="3"/>
  <c r="A370" i="3"/>
  <c r="M369" i="3"/>
  <c r="N369" i="3" s="1"/>
  <c r="D369" i="3"/>
  <c r="C369" i="3"/>
  <c r="A369" i="3"/>
  <c r="M368" i="3"/>
  <c r="N368" i="3" s="1"/>
  <c r="D368" i="3"/>
  <c r="C368" i="3"/>
  <c r="A368" i="3"/>
  <c r="N367" i="3"/>
  <c r="M367" i="3"/>
  <c r="D367" i="3"/>
  <c r="C367" i="3"/>
  <c r="A367" i="3"/>
  <c r="M366" i="3"/>
  <c r="N366" i="3" s="1"/>
  <c r="D366" i="3"/>
  <c r="C366" i="3"/>
  <c r="A366" i="3"/>
  <c r="M365" i="3"/>
  <c r="N365" i="3" s="1"/>
  <c r="D365" i="3"/>
  <c r="C365" i="3"/>
  <c r="A365" i="3"/>
  <c r="M364" i="3"/>
  <c r="N364" i="3" s="1"/>
  <c r="D364" i="3"/>
  <c r="C364" i="3"/>
  <c r="A364" i="3"/>
  <c r="M363" i="3"/>
  <c r="N363" i="3" s="1"/>
  <c r="D363" i="3"/>
  <c r="C363" i="3"/>
  <c r="A363" i="3"/>
  <c r="N362" i="3"/>
  <c r="M362" i="3"/>
  <c r="D362" i="3"/>
  <c r="C362" i="3"/>
  <c r="A362" i="3"/>
  <c r="M361" i="3"/>
  <c r="N361" i="3" s="1"/>
  <c r="D361" i="3"/>
  <c r="C361" i="3"/>
  <c r="A361" i="3"/>
  <c r="M360" i="3"/>
  <c r="N360" i="3" s="1"/>
  <c r="D360" i="3"/>
  <c r="C360" i="3"/>
  <c r="A360" i="3"/>
  <c r="M359" i="3"/>
  <c r="N359" i="3" s="1"/>
  <c r="D359" i="3"/>
  <c r="C359" i="3"/>
  <c r="A359" i="3"/>
  <c r="N358" i="3"/>
  <c r="M358" i="3"/>
  <c r="D358" i="3"/>
  <c r="C358" i="3"/>
  <c r="A358" i="3"/>
  <c r="M357" i="3"/>
  <c r="N357" i="3" s="1"/>
  <c r="D357" i="3"/>
  <c r="C357" i="3"/>
  <c r="A357" i="3"/>
  <c r="M356" i="3"/>
  <c r="N356" i="3" s="1"/>
  <c r="D356" i="3"/>
  <c r="C356" i="3"/>
  <c r="A356" i="3"/>
  <c r="N355" i="3"/>
  <c r="M355" i="3"/>
  <c r="D355" i="3"/>
  <c r="C355" i="3"/>
  <c r="A355" i="3"/>
  <c r="M354" i="3"/>
  <c r="N354" i="3" s="1"/>
  <c r="D354" i="3"/>
  <c r="C354" i="3"/>
  <c r="A354" i="3"/>
  <c r="M353" i="3"/>
  <c r="N353" i="3" s="1"/>
  <c r="D353" i="3"/>
  <c r="C353" i="3"/>
  <c r="A353" i="3"/>
  <c r="M352" i="3"/>
  <c r="N352" i="3" s="1"/>
  <c r="D352" i="3"/>
  <c r="C352" i="3"/>
  <c r="A352" i="3"/>
  <c r="N351" i="3"/>
  <c r="M351" i="3"/>
  <c r="D351" i="3"/>
  <c r="C351" i="3"/>
  <c r="A351" i="3"/>
  <c r="M350" i="3"/>
  <c r="N350" i="3" s="1"/>
  <c r="D350" i="3"/>
  <c r="C350" i="3"/>
  <c r="A350" i="3"/>
  <c r="M349" i="3"/>
  <c r="N349" i="3" s="1"/>
  <c r="D349" i="3"/>
  <c r="C349" i="3"/>
  <c r="A349" i="3"/>
  <c r="M348" i="3"/>
  <c r="N348" i="3" s="1"/>
  <c r="D348" i="3"/>
  <c r="C348" i="3"/>
  <c r="A348" i="3"/>
  <c r="M347" i="3"/>
  <c r="N347" i="3" s="1"/>
  <c r="D347" i="3"/>
  <c r="C347" i="3"/>
  <c r="A347" i="3"/>
  <c r="N346" i="3"/>
  <c r="M346" i="3"/>
  <c r="D346" i="3"/>
  <c r="C346" i="3"/>
  <c r="A346" i="3"/>
  <c r="M345" i="3"/>
  <c r="N345" i="3" s="1"/>
  <c r="D345" i="3"/>
  <c r="C345" i="3"/>
  <c r="A345" i="3"/>
  <c r="M344" i="3"/>
  <c r="N344" i="3" s="1"/>
  <c r="D344" i="3"/>
  <c r="C344" i="3"/>
  <c r="A344" i="3"/>
  <c r="M343" i="3"/>
  <c r="N343" i="3" s="1"/>
  <c r="D343" i="3"/>
  <c r="C343" i="3"/>
  <c r="A343" i="3"/>
  <c r="N342" i="3"/>
  <c r="M342" i="3"/>
  <c r="D342" i="3"/>
  <c r="C342" i="3"/>
  <c r="A342" i="3"/>
  <c r="M341" i="3"/>
  <c r="N341" i="3" s="1"/>
  <c r="D341" i="3"/>
  <c r="C341" i="3"/>
  <c r="A341" i="3"/>
  <c r="M340" i="3"/>
  <c r="N340" i="3" s="1"/>
  <c r="D340" i="3"/>
  <c r="C340" i="3"/>
  <c r="A340" i="3"/>
  <c r="N339" i="3"/>
  <c r="M339" i="3"/>
  <c r="D339" i="3"/>
  <c r="C339" i="3"/>
  <c r="A339" i="3"/>
  <c r="M338" i="3"/>
  <c r="N338" i="3" s="1"/>
  <c r="D338" i="3"/>
  <c r="C338" i="3"/>
  <c r="A338" i="3"/>
  <c r="M337" i="3"/>
  <c r="N337" i="3" s="1"/>
  <c r="D337" i="3"/>
  <c r="C337" i="3"/>
  <c r="A337" i="3"/>
  <c r="M336" i="3"/>
  <c r="N336" i="3" s="1"/>
  <c r="D336" i="3"/>
  <c r="C336" i="3"/>
  <c r="A336" i="3"/>
  <c r="N335" i="3"/>
  <c r="M335" i="3"/>
  <c r="D335" i="3"/>
  <c r="C335" i="3"/>
  <c r="A335" i="3"/>
  <c r="M334" i="3"/>
  <c r="N334" i="3" s="1"/>
  <c r="D334" i="3"/>
  <c r="C334" i="3"/>
  <c r="A334" i="3"/>
  <c r="M333" i="3"/>
  <c r="N333" i="3" s="1"/>
  <c r="D333" i="3"/>
  <c r="C333" i="3"/>
  <c r="A333" i="3"/>
  <c r="M332" i="3"/>
  <c r="N332" i="3" s="1"/>
  <c r="D332" i="3"/>
  <c r="C332" i="3"/>
  <c r="A332" i="3"/>
  <c r="M331" i="3"/>
  <c r="N331" i="3" s="1"/>
  <c r="D331" i="3"/>
  <c r="C331" i="3"/>
  <c r="A331" i="3"/>
  <c r="N330" i="3"/>
  <c r="M330" i="3"/>
  <c r="D330" i="3"/>
  <c r="C330" i="3"/>
  <c r="A330" i="3"/>
  <c r="M329" i="3"/>
  <c r="N329" i="3" s="1"/>
  <c r="D329" i="3"/>
  <c r="C329" i="3"/>
  <c r="A329" i="3"/>
  <c r="M328" i="3"/>
  <c r="N328" i="3" s="1"/>
  <c r="D328" i="3"/>
  <c r="C328" i="3"/>
  <c r="A328" i="3"/>
  <c r="M327" i="3"/>
  <c r="N327" i="3" s="1"/>
  <c r="D327" i="3"/>
  <c r="C327" i="3"/>
  <c r="A327" i="3"/>
  <c r="N326" i="3"/>
  <c r="M326" i="3"/>
  <c r="D326" i="3"/>
  <c r="C326" i="3"/>
  <c r="A326" i="3"/>
  <c r="M325" i="3"/>
  <c r="N325" i="3" s="1"/>
  <c r="D325" i="3"/>
  <c r="C325" i="3"/>
  <c r="A325" i="3"/>
  <c r="M324" i="3"/>
  <c r="N324" i="3" s="1"/>
  <c r="D324" i="3"/>
  <c r="C324" i="3"/>
  <c r="A324" i="3"/>
  <c r="N323" i="3"/>
  <c r="M323" i="3"/>
  <c r="D323" i="3"/>
  <c r="C323" i="3"/>
  <c r="A323" i="3"/>
  <c r="M322" i="3"/>
  <c r="N322" i="3" s="1"/>
  <c r="D322" i="3"/>
  <c r="C322" i="3"/>
  <c r="A322" i="3"/>
  <c r="M321" i="3"/>
  <c r="N321" i="3" s="1"/>
  <c r="D321" i="3"/>
  <c r="C321" i="3"/>
  <c r="A321" i="3"/>
  <c r="M320" i="3"/>
  <c r="N320" i="3" s="1"/>
  <c r="D320" i="3"/>
  <c r="C320" i="3"/>
  <c r="A320" i="3"/>
  <c r="N319" i="3"/>
  <c r="M319" i="3"/>
  <c r="D319" i="3"/>
  <c r="C319" i="3"/>
  <c r="A319" i="3"/>
  <c r="M318" i="3"/>
  <c r="N318" i="3" s="1"/>
  <c r="D318" i="3"/>
  <c r="C318" i="3"/>
  <c r="A318" i="3"/>
  <c r="M317" i="3"/>
  <c r="N317" i="3" s="1"/>
  <c r="D317" i="3"/>
  <c r="C317" i="3"/>
  <c r="A317" i="3"/>
  <c r="M316" i="3"/>
  <c r="N316" i="3" s="1"/>
  <c r="D316" i="3"/>
  <c r="C316" i="3"/>
  <c r="A316" i="3"/>
  <c r="M315" i="3"/>
  <c r="N315" i="3" s="1"/>
  <c r="D315" i="3"/>
  <c r="C315" i="3"/>
  <c r="A315" i="3"/>
  <c r="N314" i="3"/>
  <c r="M314" i="3"/>
  <c r="D314" i="3"/>
  <c r="C314" i="3"/>
  <c r="A314" i="3"/>
  <c r="M313" i="3"/>
  <c r="N313" i="3" s="1"/>
  <c r="D313" i="3"/>
  <c r="C313" i="3"/>
  <c r="A313" i="3"/>
  <c r="M312" i="3"/>
  <c r="N312" i="3" s="1"/>
  <c r="D312" i="3"/>
  <c r="C312" i="3"/>
  <c r="A312" i="3"/>
  <c r="M311" i="3"/>
  <c r="N311" i="3" s="1"/>
  <c r="D311" i="3"/>
  <c r="C311" i="3"/>
  <c r="A311" i="3"/>
  <c r="N310" i="3"/>
  <c r="M310" i="3"/>
  <c r="D310" i="3"/>
  <c r="C310" i="3"/>
  <c r="A310" i="3"/>
  <c r="M309" i="3"/>
  <c r="N309" i="3" s="1"/>
  <c r="D309" i="3"/>
  <c r="C309" i="3"/>
  <c r="A309" i="3"/>
  <c r="M308" i="3"/>
  <c r="N308" i="3" s="1"/>
  <c r="D308" i="3"/>
  <c r="C308" i="3"/>
  <c r="A308" i="3"/>
  <c r="M307" i="3"/>
  <c r="N307" i="3" s="1"/>
  <c r="D307" i="3"/>
  <c r="C307" i="3"/>
  <c r="A307" i="3"/>
  <c r="N306" i="3"/>
  <c r="M306" i="3"/>
  <c r="D306" i="3"/>
  <c r="C306" i="3"/>
  <c r="A306" i="3"/>
  <c r="M305" i="3"/>
  <c r="N305" i="3" s="1"/>
  <c r="D305" i="3"/>
  <c r="C305" i="3"/>
  <c r="A305" i="3"/>
  <c r="M304" i="3"/>
  <c r="N304" i="3" s="1"/>
  <c r="D304" i="3"/>
  <c r="C304" i="3"/>
  <c r="A304" i="3"/>
  <c r="M303" i="3"/>
  <c r="N303" i="3" s="1"/>
  <c r="D303" i="3"/>
  <c r="C303" i="3"/>
  <c r="A303" i="3"/>
  <c r="N302" i="3"/>
  <c r="M302" i="3"/>
  <c r="D302" i="3"/>
  <c r="C302" i="3"/>
  <c r="A302" i="3"/>
  <c r="M301" i="3"/>
  <c r="N301" i="3" s="1"/>
  <c r="D301" i="3"/>
  <c r="C301" i="3"/>
  <c r="A301" i="3"/>
  <c r="M300" i="3"/>
  <c r="N300" i="3" s="1"/>
  <c r="D300" i="3"/>
  <c r="C300" i="3"/>
  <c r="A300" i="3"/>
  <c r="M299" i="3"/>
  <c r="N299" i="3" s="1"/>
  <c r="D299" i="3"/>
  <c r="C299" i="3"/>
  <c r="A299" i="3"/>
  <c r="N298" i="3"/>
  <c r="M298" i="3"/>
  <c r="D298" i="3"/>
  <c r="C298" i="3"/>
  <c r="A298" i="3"/>
  <c r="M297" i="3"/>
  <c r="N297" i="3" s="1"/>
  <c r="D297" i="3"/>
  <c r="C297" i="3"/>
  <c r="A297" i="3"/>
  <c r="M296" i="3"/>
  <c r="N296" i="3" s="1"/>
  <c r="D296" i="3"/>
  <c r="C296" i="3"/>
  <c r="A296" i="3"/>
  <c r="M295" i="3"/>
  <c r="N295" i="3" s="1"/>
  <c r="D295" i="3"/>
  <c r="C295" i="3"/>
  <c r="A295" i="3"/>
  <c r="N294" i="3"/>
  <c r="M294" i="3"/>
  <c r="D294" i="3"/>
  <c r="C294" i="3"/>
  <c r="A294" i="3"/>
  <c r="M293" i="3"/>
  <c r="N293" i="3" s="1"/>
  <c r="D293" i="3"/>
  <c r="C293" i="3"/>
  <c r="A293" i="3"/>
  <c r="M292" i="3"/>
  <c r="N292" i="3" s="1"/>
  <c r="D292" i="3"/>
  <c r="C292" i="3"/>
  <c r="A292" i="3"/>
  <c r="M291" i="3"/>
  <c r="N291" i="3" s="1"/>
  <c r="D291" i="3"/>
  <c r="C291" i="3"/>
  <c r="A291" i="3"/>
  <c r="M290" i="3"/>
  <c r="N290" i="3" s="1"/>
  <c r="D290" i="3"/>
  <c r="C290" i="3"/>
  <c r="A290" i="3"/>
  <c r="N289" i="3"/>
  <c r="M289" i="3"/>
  <c r="D289" i="3"/>
  <c r="C289" i="3"/>
  <c r="A289" i="3"/>
  <c r="M288" i="3"/>
  <c r="N288" i="3" s="1"/>
  <c r="D288" i="3"/>
  <c r="C288" i="3"/>
  <c r="A288" i="3"/>
  <c r="M287" i="3"/>
  <c r="N287" i="3" s="1"/>
  <c r="D287" i="3"/>
  <c r="C287" i="3"/>
  <c r="A287" i="3"/>
  <c r="M286" i="3"/>
  <c r="N286" i="3" s="1"/>
  <c r="D286" i="3"/>
  <c r="C286" i="3"/>
  <c r="A286" i="3"/>
  <c r="N285" i="3"/>
  <c r="M285" i="3"/>
  <c r="D285" i="3"/>
  <c r="C285" i="3"/>
  <c r="A285" i="3"/>
  <c r="M284" i="3"/>
  <c r="N284" i="3" s="1"/>
  <c r="D284" i="3"/>
  <c r="C284" i="3"/>
  <c r="A284" i="3"/>
  <c r="M283" i="3"/>
  <c r="N283" i="3" s="1"/>
  <c r="D283" i="3"/>
  <c r="C283" i="3"/>
  <c r="A283" i="3"/>
  <c r="M282" i="3"/>
  <c r="N282" i="3" s="1"/>
  <c r="D282" i="3"/>
  <c r="C282" i="3"/>
  <c r="A282" i="3"/>
  <c r="N281" i="3"/>
  <c r="M281" i="3"/>
  <c r="D281" i="3"/>
  <c r="C281" i="3"/>
  <c r="A281" i="3"/>
  <c r="M280" i="3"/>
  <c r="N280" i="3" s="1"/>
  <c r="D280" i="3"/>
  <c r="C280" i="3"/>
  <c r="A280" i="3"/>
  <c r="M279" i="3"/>
  <c r="N279" i="3" s="1"/>
  <c r="D279" i="3"/>
  <c r="C279" i="3"/>
  <c r="A279" i="3"/>
  <c r="M278" i="3"/>
  <c r="N278" i="3" s="1"/>
  <c r="D278" i="3"/>
  <c r="C278" i="3"/>
  <c r="A278" i="3"/>
  <c r="N277" i="3"/>
  <c r="M277" i="3"/>
  <c r="D277" i="3"/>
  <c r="C277" i="3"/>
  <c r="A277" i="3"/>
  <c r="M276" i="3"/>
  <c r="N276" i="3" s="1"/>
  <c r="D276" i="3"/>
  <c r="C276" i="3"/>
  <c r="A276" i="3"/>
  <c r="M275" i="3"/>
  <c r="N275" i="3" s="1"/>
  <c r="D275" i="3"/>
  <c r="C275" i="3"/>
  <c r="A275" i="3"/>
  <c r="M274" i="3"/>
  <c r="N274" i="3" s="1"/>
  <c r="D274" i="3"/>
  <c r="C274" i="3"/>
  <c r="A274" i="3"/>
  <c r="N273" i="3"/>
  <c r="M273" i="3"/>
  <c r="D273" i="3"/>
  <c r="C273" i="3"/>
  <c r="A273" i="3"/>
  <c r="M272" i="3"/>
  <c r="N272" i="3" s="1"/>
  <c r="D272" i="3"/>
  <c r="C272" i="3"/>
  <c r="A272" i="3"/>
  <c r="M271" i="3"/>
  <c r="N271" i="3" s="1"/>
  <c r="D271" i="3"/>
  <c r="C271" i="3"/>
  <c r="A271" i="3"/>
  <c r="M270" i="3"/>
  <c r="N270" i="3" s="1"/>
  <c r="D270" i="3"/>
  <c r="C270" i="3"/>
  <c r="A270" i="3"/>
  <c r="N269" i="3"/>
  <c r="M269" i="3"/>
  <c r="D269" i="3"/>
  <c r="C269" i="3"/>
  <c r="A269" i="3"/>
  <c r="M268" i="3"/>
  <c r="N268" i="3" s="1"/>
  <c r="D268" i="3"/>
  <c r="C268" i="3"/>
  <c r="A268" i="3"/>
  <c r="M267" i="3"/>
  <c r="N267" i="3" s="1"/>
  <c r="D267" i="3"/>
  <c r="C267" i="3"/>
  <c r="A267" i="3"/>
  <c r="M266" i="3"/>
  <c r="N266" i="3" s="1"/>
  <c r="D266" i="3"/>
  <c r="C266" i="3"/>
  <c r="A266" i="3"/>
  <c r="N265" i="3"/>
  <c r="M265" i="3"/>
  <c r="D265" i="3"/>
  <c r="C265" i="3"/>
  <c r="A265" i="3"/>
  <c r="M264" i="3"/>
  <c r="N264" i="3" s="1"/>
  <c r="D264" i="3"/>
  <c r="C264" i="3"/>
  <c r="A264" i="3"/>
  <c r="M263" i="3"/>
  <c r="N263" i="3" s="1"/>
  <c r="D263" i="3"/>
  <c r="C263" i="3"/>
  <c r="A263" i="3"/>
  <c r="M262" i="3"/>
  <c r="N262" i="3" s="1"/>
  <c r="D262" i="3"/>
  <c r="C262" i="3"/>
  <c r="A262" i="3"/>
  <c r="N261" i="3"/>
  <c r="M261" i="3"/>
  <c r="D261" i="3"/>
  <c r="C261" i="3"/>
  <c r="A261" i="3"/>
  <c r="M260" i="3"/>
  <c r="N260" i="3" s="1"/>
  <c r="D260" i="3"/>
  <c r="C260" i="3"/>
  <c r="A260" i="3"/>
  <c r="M259" i="3"/>
  <c r="N259" i="3" s="1"/>
  <c r="D259" i="3"/>
  <c r="C259" i="3"/>
  <c r="A259" i="3"/>
  <c r="M258" i="3"/>
  <c r="N258" i="3" s="1"/>
  <c r="D258" i="3"/>
  <c r="C258" i="3"/>
  <c r="A258" i="3"/>
  <c r="N257" i="3"/>
  <c r="M257" i="3"/>
  <c r="D257" i="3"/>
  <c r="C257" i="3"/>
  <c r="A257" i="3"/>
  <c r="M256" i="3"/>
  <c r="N256" i="3" s="1"/>
  <c r="D256" i="3"/>
  <c r="C256" i="3"/>
  <c r="A256" i="3"/>
  <c r="M255" i="3"/>
  <c r="N255" i="3" s="1"/>
  <c r="D255" i="3"/>
  <c r="C255" i="3"/>
  <c r="A255" i="3"/>
  <c r="M254" i="3"/>
  <c r="N254" i="3" s="1"/>
  <c r="D254" i="3"/>
  <c r="C254" i="3"/>
  <c r="A254" i="3"/>
  <c r="N253" i="3"/>
  <c r="M253" i="3"/>
  <c r="D253" i="3"/>
  <c r="C253" i="3"/>
  <c r="A253" i="3"/>
  <c r="M252" i="3"/>
  <c r="N252" i="3" s="1"/>
  <c r="D252" i="3"/>
  <c r="C252" i="3"/>
  <c r="A252" i="3"/>
  <c r="M251" i="3"/>
  <c r="N251" i="3" s="1"/>
  <c r="D251" i="3"/>
  <c r="C251" i="3"/>
  <c r="A251" i="3"/>
  <c r="M250" i="3"/>
  <c r="N250" i="3" s="1"/>
  <c r="D250" i="3"/>
  <c r="C250" i="3"/>
  <c r="A250" i="3"/>
  <c r="N249" i="3"/>
  <c r="M249" i="3"/>
  <c r="D249" i="3"/>
  <c r="C249" i="3"/>
  <c r="A249" i="3"/>
  <c r="M248" i="3"/>
  <c r="N248" i="3" s="1"/>
  <c r="D248" i="3"/>
  <c r="C248" i="3"/>
  <c r="A248" i="3"/>
  <c r="M247" i="3"/>
  <c r="N247" i="3" s="1"/>
  <c r="D247" i="3"/>
  <c r="C247" i="3"/>
  <c r="A247" i="3"/>
  <c r="M246" i="3"/>
  <c r="N246" i="3" s="1"/>
  <c r="D246" i="3"/>
  <c r="C246" i="3"/>
  <c r="A246" i="3"/>
  <c r="N245" i="3"/>
  <c r="M245" i="3"/>
  <c r="D245" i="3"/>
  <c r="C245" i="3"/>
  <c r="A245" i="3"/>
  <c r="M244" i="3"/>
  <c r="N244" i="3" s="1"/>
  <c r="D244" i="3"/>
  <c r="C244" i="3"/>
  <c r="A244" i="3"/>
  <c r="M243" i="3"/>
  <c r="N243" i="3" s="1"/>
  <c r="D243" i="3"/>
  <c r="C243" i="3"/>
  <c r="A243" i="3"/>
  <c r="M242" i="3"/>
  <c r="N242" i="3" s="1"/>
  <c r="D242" i="3"/>
  <c r="C242" i="3"/>
  <c r="A242" i="3"/>
  <c r="N241" i="3"/>
  <c r="M241" i="3"/>
  <c r="D241" i="3"/>
  <c r="C241" i="3"/>
  <c r="A241" i="3"/>
  <c r="M240" i="3"/>
  <c r="N240" i="3" s="1"/>
  <c r="D240" i="3"/>
  <c r="C240" i="3"/>
  <c r="A240" i="3"/>
  <c r="M239" i="3"/>
  <c r="N239" i="3" s="1"/>
  <c r="D239" i="3"/>
  <c r="C239" i="3"/>
  <c r="A239" i="3"/>
  <c r="M238" i="3"/>
  <c r="N238" i="3" s="1"/>
  <c r="D238" i="3"/>
  <c r="C238" i="3"/>
  <c r="A238" i="3"/>
  <c r="N237" i="3"/>
  <c r="M237" i="3"/>
  <c r="D237" i="3"/>
  <c r="C237" i="3"/>
  <c r="A237" i="3"/>
  <c r="M236" i="3"/>
  <c r="N236" i="3" s="1"/>
  <c r="D236" i="3"/>
  <c r="C236" i="3"/>
  <c r="A236" i="3"/>
  <c r="M235" i="3"/>
  <c r="N235" i="3" s="1"/>
  <c r="D235" i="3"/>
  <c r="C235" i="3"/>
  <c r="A235" i="3"/>
  <c r="M234" i="3"/>
  <c r="N234" i="3" s="1"/>
  <c r="D234" i="3"/>
  <c r="C234" i="3"/>
  <c r="A234" i="3"/>
  <c r="N233" i="3"/>
  <c r="M233" i="3"/>
  <c r="D233" i="3"/>
  <c r="C233" i="3"/>
  <c r="A233" i="3"/>
  <c r="M232" i="3"/>
  <c r="N232" i="3" s="1"/>
  <c r="D232" i="3"/>
  <c r="C232" i="3"/>
  <c r="A232" i="3"/>
  <c r="M231" i="3"/>
  <c r="N231" i="3" s="1"/>
  <c r="D231" i="3"/>
  <c r="C231" i="3"/>
  <c r="A231" i="3"/>
  <c r="M230" i="3"/>
  <c r="N230" i="3" s="1"/>
  <c r="D230" i="3"/>
  <c r="C230" i="3"/>
  <c r="A230" i="3"/>
  <c r="N229" i="3"/>
  <c r="M229" i="3"/>
  <c r="D229" i="3"/>
  <c r="C229" i="3"/>
  <c r="A229" i="3"/>
  <c r="M228" i="3"/>
  <c r="N228" i="3" s="1"/>
  <c r="D228" i="3"/>
  <c r="C228" i="3"/>
  <c r="A228" i="3"/>
  <c r="M227" i="3"/>
  <c r="N227" i="3" s="1"/>
  <c r="D227" i="3"/>
  <c r="C227" i="3"/>
  <c r="A227" i="3"/>
  <c r="M226" i="3"/>
  <c r="N226" i="3" s="1"/>
  <c r="D226" i="3"/>
  <c r="C226" i="3"/>
  <c r="A226" i="3"/>
  <c r="N225" i="3"/>
  <c r="M225" i="3"/>
  <c r="D225" i="3"/>
  <c r="C225" i="3"/>
  <c r="A225" i="3"/>
  <c r="M224" i="3"/>
  <c r="N224" i="3" s="1"/>
  <c r="D224" i="3"/>
  <c r="C224" i="3"/>
  <c r="A224" i="3"/>
  <c r="M223" i="3"/>
  <c r="N223" i="3" s="1"/>
  <c r="D223" i="3"/>
  <c r="C223" i="3"/>
  <c r="A223" i="3"/>
  <c r="M222" i="3"/>
  <c r="N222" i="3" s="1"/>
  <c r="D222" i="3"/>
  <c r="C222" i="3"/>
  <c r="A222" i="3"/>
  <c r="N221" i="3"/>
  <c r="M221" i="3"/>
  <c r="D221" i="3"/>
  <c r="C221" i="3"/>
  <c r="A221" i="3"/>
  <c r="M220" i="3"/>
  <c r="N220" i="3" s="1"/>
  <c r="D220" i="3"/>
  <c r="C220" i="3"/>
  <c r="A220" i="3"/>
  <c r="M219" i="3"/>
  <c r="N219" i="3" s="1"/>
  <c r="D219" i="3"/>
  <c r="C219" i="3"/>
  <c r="A219" i="3"/>
  <c r="M218" i="3"/>
  <c r="N218" i="3" s="1"/>
  <c r="D218" i="3"/>
  <c r="C218" i="3"/>
  <c r="A218" i="3"/>
  <c r="N217" i="3"/>
  <c r="M217" i="3"/>
  <c r="D217" i="3"/>
  <c r="C217" i="3"/>
  <c r="A217" i="3"/>
  <c r="M216" i="3"/>
  <c r="N216" i="3" s="1"/>
  <c r="D216" i="3"/>
  <c r="C216" i="3"/>
  <c r="A216" i="3"/>
  <c r="M215" i="3"/>
  <c r="N215" i="3" s="1"/>
  <c r="D215" i="3"/>
  <c r="C215" i="3"/>
  <c r="A215" i="3"/>
  <c r="M214" i="3"/>
  <c r="N214" i="3" s="1"/>
  <c r="D214" i="3"/>
  <c r="C214" i="3"/>
  <c r="A214" i="3"/>
  <c r="N213" i="3"/>
  <c r="M213" i="3"/>
  <c r="D213" i="3"/>
  <c r="C213" i="3"/>
  <c r="A213" i="3"/>
  <c r="M212" i="3"/>
  <c r="N212" i="3" s="1"/>
  <c r="D212" i="3"/>
  <c r="C212" i="3"/>
  <c r="A212" i="3"/>
  <c r="M211" i="3"/>
  <c r="N211" i="3" s="1"/>
  <c r="D211" i="3"/>
  <c r="C211" i="3"/>
  <c r="A211" i="3"/>
  <c r="M210" i="3"/>
  <c r="N210" i="3" s="1"/>
  <c r="D210" i="3"/>
  <c r="C210" i="3"/>
  <c r="A210" i="3"/>
  <c r="N209" i="3"/>
  <c r="M209" i="3"/>
  <c r="D209" i="3"/>
  <c r="C209" i="3"/>
  <c r="A209" i="3"/>
  <c r="M208" i="3"/>
  <c r="N208" i="3" s="1"/>
  <c r="D208" i="3"/>
  <c r="C208" i="3"/>
  <c r="A208" i="3"/>
  <c r="M207" i="3"/>
  <c r="N207" i="3" s="1"/>
  <c r="D207" i="3"/>
  <c r="C207" i="3"/>
  <c r="A207" i="3"/>
  <c r="M206" i="3"/>
  <c r="N206" i="3" s="1"/>
  <c r="D206" i="3"/>
  <c r="C206" i="3"/>
  <c r="A206" i="3"/>
  <c r="N205" i="3"/>
  <c r="M205" i="3"/>
  <c r="D205" i="3"/>
  <c r="C205" i="3"/>
  <c r="A205" i="3"/>
  <c r="M204" i="3"/>
  <c r="N204" i="3" s="1"/>
  <c r="D204" i="3"/>
  <c r="C204" i="3"/>
  <c r="A204" i="3"/>
  <c r="M203" i="3"/>
  <c r="N203" i="3" s="1"/>
  <c r="D203" i="3"/>
  <c r="C203" i="3"/>
  <c r="A203" i="3"/>
  <c r="M202" i="3"/>
  <c r="N202" i="3" s="1"/>
  <c r="D202" i="3"/>
  <c r="C202" i="3"/>
  <c r="A202" i="3"/>
  <c r="N201" i="3"/>
  <c r="M201" i="3"/>
  <c r="D201" i="3"/>
  <c r="C201" i="3"/>
  <c r="A201" i="3"/>
  <c r="M200" i="3"/>
  <c r="N200" i="3" s="1"/>
  <c r="D200" i="3"/>
  <c r="C200" i="3"/>
  <c r="A200" i="3"/>
  <c r="M199" i="3"/>
  <c r="N199" i="3" s="1"/>
  <c r="D199" i="3"/>
  <c r="C199" i="3"/>
  <c r="A199" i="3"/>
  <c r="M198" i="3"/>
  <c r="N198" i="3" s="1"/>
  <c r="D198" i="3"/>
  <c r="C198" i="3"/>
  <c r="A198" i="3"/>
  <c r="N197" i="3"/>
  <c r="M197" i="3"/>
  <c r="D197" i="3"/>
  <c r="C197" i="3"/>
  <c r="A197" i="3"/>
  <c r="M196" i="3"/>
  <c r="N196" i="3" s="1"/>
  <c r="D196" i="3"/>
  <c r="C196" i="3"/>
  <c r="A196" i="3"/>
  <c r="M195" i="3"/>
  <c r="N195" i="3" s="1"/>
  <c r="D195" i="3"/>
  <c r="C195" i="3"/>
  <c r="A195" i="3"/>
  <c r="M194" i="3"/>
  <c r="N194" i="3" s="1"/>
  <c r="D194" i="3"/>
  <c r="C194" i="3"/>
  <c r="A194" i="3"/>
  <c r="N193" i="3"/>
  <c r="M193" i="3"/>
  <c r="D193" i="3"/>
  <c r="C193" i="3"/>
  <c r="A193" i="3"/>
  <c r="M192" i="3"/>
  <c r="N192" i="3" s="1"/>
  <c r="D192" i="3"/>
  <c r="C192" i="3"/>
  <c r="A192" i="3"/>
  <c r="M191" i="3"/>
  <c r="N191" i="3" s="1"/>
  <c r="D191" i="3"/>
  <c r="C191" i="3"/>
  <c r="A191" i="3"/>
  <c r="M190" i="3"/>
  <c r="N190" i="3" s="1"/>
  <c r="D190" i="3"/>
  <c r="C190" i="3"/>
  <c r="A190" i="3"/>
  <c r="N189" i="3"/>
  <c r="M189" i="3"/>
  <c r="D189" i="3"/>
  <c r="C189" i="3"/>
  <c r="A189" i="3"/>
  <c r="M188" i="3"/>
  <c r="N188" i="3" s="1"/>
  <c r="D188" i="3"/>
  <c r="C188" i="3"/>
  <c r="A188" i="3"/>
  <c r="M187" i="3"/>
  <c r="N187" i="3" s="1"/>
  <c r="D187" i="3"/>
  <c r="C187" i="3"/>
  <c r="A187" i="3"/>
  <c r="M186" i="3"/>
  <c r="N186" i="3" s="1"/>
  <c r="D186" i="3"/>
  <c r="C186" i="3"/>
  <c r="A186" i="3"/>
  <c r="N185" i="3"/>
  <c r="M185" i="3"/>
  <c r="D185" i="3"/>
  <c r="C185" i="3"/>
  <c r="A185" i="3"/>
  <c r="M184" i="3"/>
  <c r="N184" i="3" s="1"/>
  <c r="D184" i="3"/>
  <c r="C184" i="3"/>
  <c r="A184" i="3"/>
  <c r="M183" i="3"/>
  <c r="N183" i="3" s="1"/>
  <c r="D183" i="3"/>
  <c r="C183" i="3"/>
  <c r="A183" i="3"/>
  <c r="M182" i="3"/>
  <c r="N182" i="3" s="1"/>
  <c r="D182" i="3"/>
  <c r="C182" i="3"/>
  <c r="A182" i="3"/>
  <c r="N181" i="3"/>
  <c r="M181" i="3"/>
  <c r="D181" i="3"/>
  <c r="C181" i="3"/>
  <c r="A181" i="3"/>
  <c r="M180" i="3"/>
  <c r="N180" i="3" s="1"/>
  <c r="D180" i="3"/>
  <c r="C180" i="3"/>
  <c r="A180" i="3"/>
  <c r="M179" i="3"/>
  <c r="N179" i="3" s="1"/>
  <c r="D179" i="3"/>
  <c r="C179" i="3"/>
  <c r="A179" i="3"/>
  <c r="M178" i="3"/>
  <c r="N178" i="3" s="1"/>
  <c r="D178" i="3"/>
  <c r="C178" i="3"/>
  <c r="A178" i="3"/>
  <c r="N177" i="3"/>
  <c r="M177" i="3"/>
  <c r="D177" i="3"/>
  <c r="C177" i="3"/>
  <c r="A177" i="3"/>
  <c r="M176" i="3"/>
  <c r="N176" i="3" s="1"/>
  <c r="D176" i="3"/>
  <c r="C176" i="3"/>
  <c r="A176" i="3"/>
  <c r="M175" i="3"/>
  <c r="N175" i="3" s="1"/>
  <c r="D175" i="3"/>
  <c r="C175" i="3"/>
  <c r="A175" i="3"/>
  <c r="M174" i="3"/>
  <c r="N174" i="3" s="1"/>
  <c r="D174" i="3"/>
  <c r="C174" i="3"/>
  <c r="A174" i="3"/>
  <c r="N173" i="3"/>
  <c r="M173" i="3"/>
  <c r="D173" i="3"/>
  <c r="C173" i="3"/>
  <c r="A173" i="3"/>
  <c r="M172" i="3"/>
  <c r="N172" i="3" s="1"/>
  <c r="D172" i="3"/>
  <c r="C172" i="3"/>
  <c r="A172" i="3"/>
  <c r="M171" i="3"/>
  <c r="N171" i="3" s="1"/>
  <c r="D171" i="3"/>
  <c r="C171" i="3"/>
  <c r="A171" i="3"/>
  <c r="M170" i="3"/>
  <c r="N170" i="3" s="1"/>
  <c r="D170" i="3"/>
  <c r="C170" i="3"/>
  <c r="A170" i="3"/>
  <c r="N169" i="3"/>
  <c r="M169" i="3"/>
  <c r="D169" i="3"/>
  <c r="C169" i="3"/>
  <c r="A169" i="3"/>
  <c r="M168" i="3"/>
  <c r="N168" i="3" s="1"/>
  <c r="D168" i="3"/>
  <c r="C168" i="3"/>
  <c r="A168" i="3"/>
  <c r="M167" i="3"/>
  <c r="N167" i="3" s="1"/>
  <c r="D167" i="3"/>
  <c r="C167" i="3"/>
  <c r="A167" i="3"/>
  <c r="M166" i="3"/>
  <c r="N166" i="3" s="1"/>
  <c r="D166" i="3"/>
  <c r="C166" i="3"/>
  <c r="A166" i="3"/>
  <c r="N165" i="3"/>
  <c r="M165" i="3"/>
  <c r="D165" i="3"/>
  <c r="C165" i="3"/>
  <c r="A165" i="3"/>
  <c r="M164" i="3"/>
  <c r="N164" i="3" s="1"/>
  <c r="D164" i="3"/>
  <c r="C164" i="3"/>
  <c r="A164" i="3"/>
  <c r="M163" i="3"/>
  <c r="N163" i="3" s="1"/>
  <c r="D163" i="3"/>
  <c r="C163" i="3"/>
  <c r="A163" i="3"/>
  <c r="M162" i="3"/>
  <c r="N162" i="3" s="1"/>
  <c r="D162" i="3"/>
  <c r="C162" i="3"/>
  <c r="A162" i="3"/>
  <c r="N161" i="3"/>
  <c r="M161" i="3"/>
  <c r="D161" i="3"/>
  <c r="C161" i="3"/>
  <c r="A161" i="3"/>
  <c r="M160" i="3"/>
  <c r="N160" i="3" s="1"/>
  <c r="D160" i="3"/>
  <c r="C160" i="3"/>
  <c r="A160" i="3"/>
  <c r="M159" i="3"/>
  <c r="N159" i="3" s="1"/>
  <c r="D159" i="3"/>
  <c r="C159" i="3"/>
  <c r="A159" i="3"/>
  <c r="M158" i="3"/>
  <c r="N158" i="3" s="1"/>
  <c r="D158" i="3"/>
  <c r="C158" i="3"/>
  <c r="A158" i="3"/>
  <c r="N157" i="3"/>
  <c r="M157" i="3"/>
  <c r="D157" i="3"/>
  <c r="C157" i="3"/>
  <c r="A157" i="3"/>
  <c r="M156" i="3"/>
  <c r="N156" i="3" s="1"/>
  <c r="D156" i="3"/>
  <c r="C156" i="3"/>
  <c r="A156" i="3"/>
  <c r="M155" i="3"/>
  <c r="N155" i="3" s="1"/>
  <c r="D155" i="3"/>
  <c r="C155" i="3"/>
  <c r="A155" i="3"/>
  <c r="N154" i="3"/>
  <c r="M154" i="3"/>
  <c r="D154" i="3"/>
  <c r="C154" i="3"/>
  <c r="A154" i="3"/>
  <c r="M153" i="3"/>
  <c r="N153" i="3" s="1"/>
  <c r="D153" i="3"/>
  <c r="C153" i="3"/>
  <c r="A153" i="3"/>
  <c r="M152" i="3"/>
  <c r="N152" i="3" s="1"/>
  <c r="D152" i="3"/>
  <c r="C152" i="3"/>
  <c r="A152" i="3"/>
  <c r="N151" i="3"/>
  <c r="M151" i="3"/>
  <c r="D151" i="3"/>
  <c r="C151" i="3"/>
  <c r="A151" i="3"/>
  <c r="M150" i="3"/>
  <c r="N150" i="3" s="1"/>
  <c r="D150" i="3"/>
  <c r="C150" i="3"/>
  <c r="A150" i="3"/>
  <c r="N149" i="3"/>
  <c r="M149" i="3"/>
  <c r="D149" i="3"/>
  <c r="C149" i="3"/>
  <c r="A149" i="3"/>
  <c r="M148" i="3"/>
  <c r="N148" i="3" s="1"/>
  <c r="D148" i="3"/>
  <c r="C148" i="3"/>
  <c r="A148" i="3"/>
  <c r="M147" i="3"/>
  <c r="N147" i="3" s="1"/>
  <c r="D147" i="3"/>
  <c r="C147" i="3"/>
  <c r="A147" i="3"/>
  <c r="N146" i="3"/>
  <c r="M146" i="3"/>
  <c r="D146" i="3"/>
  <c r="C146" i="3"/>
  <c r="A146" i="3"/>
  <c r="M145" i="3"/>
  <c r="N145" i="3" s="1"/>
  <c r="D145" i="3"/>
  <c r="C145" i="3"/>
  <c r="A145" i="3"/>
  <c r="M144" i="3"/>
  <c r="N144" i="3" s="1"/>
  <c r="D144" i="3"/>
  <c r="C144" i="3"/>
  <c r="A144" i="3"/>
  <c r="N143" i="3"/>
  <c r="M143" i="3"/>
  <c r="D143" i="3"/>
  <c r="C143" i="3"/>
  <c r="A143" i="3"/>
  <c r="M142" i="3"/>
  <c r="N142" i="3" s="1"/>
  <c r="D142" i="3"/>
  <c r="C142" i="3"/>
  <c r="A142" i="3"/>
  <c r="N141" i="3"/>
  <c r="M141" i="3"/>
  <c r="D141" i="3"/>
  <c r="C141" i="3"/>
  <c r="A141" i="3"/>
  <c r="M140" i="3"/>
  <c r="N140" i="3" s="1"/>
  <c r="D140" i="3"/>
  <c r="C140" i="3"/>
  <c r="A140" i="3"/>
  <c r="M139" i="3"/>
  <c r="N139" i="3" s="1"/>
  <c r="D139" i="3"/>
  <c r="C139" i="3"/>
  <c r="A139" i="3"/>
  <c r="N138" i="3"/>
  <c r="M138" i="3"/>
  <c r="D138" i="3"/>
  <c r="C138" i="3"/>
  <c r="A138" i="3"/>
  <c r="M137" i="3"/>
  <c r="N137" i="3" s="1"/>
  <c r="D137" i="3"/>
  <c r="C137" i="3"/>
  <c r="A137" i="3"/>
  <c r="M136" i="3"/>
  <c r="N136" i="3" s="1"/>
  <c r="D136" i="3"/>
  <c r="C136" i="3"/>
  <c r="A136" i="3"/>
  <c r="N135" i="3"/>
  <c r="M135" i="3"/>
  <c r="D135" i="3"/>
  <c r="C135" i="3"/>
  <c r="A135" i="3"/>
  <c r="M134" i="3"/>
  <c r="N134" i="3" s="1"/>
  <c r="D134" i="3"/>
  <c r="C134" i="3"/>
  <c r="A134" i="3"/>
  <c r="M133" i="3"/>
  <c r="N133" i="3" s="1"/>
  <c r="D133" i="3"/>
  <c r="C133" i="3"/>
  <c r="A133" i="3"/>
  <c r="M132" i="3"/>
  <c r="N132" i="3" s="1"/>
  <c r="D132" i="3"/>
  <c r="C132" i="3"/>
  <c r="A132" i="3"/>
  <c r="N131" i="3"/>
  <c r="M131" i="3"/>
  <c r="D131" i="3"/>
  <c r="C131" i="3"/>
  <c r="A131" i="3"/>
  <c r="M130" i="3"/>
  <c r="N130" i="3" s="1"/>
  <c r="D130" i="3"/>
  <c r="C130" i="3"/>
  <c r="A130" i="3"/>
  <c r="M129" i="3"/>
  <c r="N129" i="3" s="1"/>
  <c r="D129" i="3"/>
  <c r="C129" i="3"/>
  <c r="A129" i="3"/>
  <c r="M128" i="3"/>
  <c r="N128" i="3" s="1"/>
  <c r="D128" i="3"/>
  <c r="C128" i="3"/>
  <c r="A128" i="3"/>
  <c r="N127" i="3"/>
  <c r="M127" i="3"/>
  <c r="D127" i="3"/>
  <c r="C127" i="3"/>
  <c r="A127" i="3"/>
  <c r="M126" i="3"/>
  <c r="N126" i="3" s="1"/>
  <c r="D126" i="3"/>
  <c r="C126" i="3"/>
  <c r="A126" i="3"/>
  <c r="N125" i="3"/>
  <c r="M125" i="3"/>
  <c r="D125" i="3"/>
  <c r="C125" i="3"/>
  <c r="A125" i="3"/>
  <c r="M124" i="3"/>
  <c r="N124" i="3" s="1"/>
  <c r="D124" i="3"/>
  <c r="C124" i="3"/>
  <c r="A124" i="3"/>
  <c r="N123" i="3"/>
  <c r="M123" i="3"/>
  <c r="D123" i="3"/>
  <c r="C123" i="3"/>
  <c r="A123" i="3"/>
  <c r="M122" i="3"/>
  <c r="N122" i="3" s="1"/>
  <c r="D122" i="3"/>
  <c r="C122" i="3"/>
  <c r="A122" i="3"/>
  <c r="M121" i="3"/>
  <c r="N121" i="3" s="1"/>
  <c r="D121" i="3"/>
  <c r="C121" i="3"/>
  <c r="A121" i="3"/>
  <c r="M120" i="3"/>
  <c r="N120" i="3" s="1"/>
  <c r="D120" i="3"/>
  <c r="C120" i="3"/>
  <c r="A120" i="3"/>
  <c r="M119" i="3"/>
  <c r="N119" i="3" s="1"/>
  <c r="D119" i="3"/>
  <c r="C119" i="3"/>
  <c r="A119" i="3"/>
  <c r="M118" i="3"/>
  <c r="N118" i="3" s="1"/>
  <c r="D118" i="3"/>
  <c r="C118" i="3"/>
  <c r="A118" i="3"/>
  <c r="N117" i="3"/>
  <c r="M117" i="3"/>
  <c r="D117" i="3"/>
  <c r="C117" i="3"/>
  <c r="A117" i="3"/>
  <c r="M116" i="3"/>
  <c r="N116" i="3" s="1"/>
  <c r="D116" i="3"/>
  <c r="C116" i="3"/>
  <c r="A116" i="3"/>
  <c r="N115" i="3"/>
  <c r="M115" i="3"/>
  <c r="D115" i="3"/>
  <c r="C115" i="3"/>
  <c r="A115" i="3"/>
  <c r="M114" i="3"/>
  <c r="N114" i="3" s="1"/>
  <c r="D114" i="3"/>
  <c r="C114" i="3"/>
  <c r="A114" i="3"/>
  <c r="M113" i="3"/>
  <c r="N113" i="3" s="1"/>
  <c r="D113" i="3"/>
  <c r="C113" i="3"/>
  <c r="A113" i="3"/>
  <c r="M112" i="3"/>
  <c r="N112" i="3" s="1"/>
  <c r="D112" i="3"/>
  <c r="C112" i="3"/>
  <c r="A112" i="3"/>
  <c r="M111" i="3"/>
  <c r="N111" i="3" s="1"/>
  <c r="D111" i="3"/>
  <c r="C111" i="3"/>
  <c r="A111" i="3"/>
  <c r="M110" i="3"/>
  <c r="N110" i="3" s="1"/>
  <c r="D110" i="3"/>
  <c r="C110" i="3"/>
  <c r="A110" i="3"/>
  <c r="N109" i="3"/>
  <c r="M109" i="3"/>
  <c r="D109" i="3"/>
  <c r="C109" i="3"/>
  <c r="A109" i="3"/>
  <c r="M108" i="3"/>
  <c r="N108" i="3" s="1"/>
  <c r="D108" i="3"/>
  <c r="C108" i="3"/>
  <c r="A108" i="3"/>
  <c r="N107" i="3"/>
  <c r="M107" i="3"/>
  <c r="D107" i="3"/>
  <c r="C107" i="3"/>
  <c r="A107" i="3"/>
  <c r="M106" i="3"/>
  <c r="N106" i="3" s="1"/>
  <c r="D106" i="3"/>
  <c r="C106" i="3"/>
  <c r="A106" i="3"/>
  <c r="M105" i="3"/>
  <c r="N105" i="3" s="1"/>
  <c r="D105" i="3"/>
  <c r="C105" i="3"/>
  <c r="A105" i="3"/>
  <c r="M104" i="3"/>
  <c r="N104" i="3" s="1"/>
  <c r="D104" i="3"/>
  <c r="C104" i="3"/>
  <c r="A104" i="3"/>
  <c r="M103" i="3"/>
  <c r="N103" i="3" s="1"/>
  <c r="D103" i="3"/>
  <c r="C103" i="3"/>
  <c r="A103" i="3"/>
  <c r="M102" i="3"/>
  <c r="N102" i="3" s="1"/>
  <c r="D102" i="3"/>
  <c r="C102" i="3"/>
  <c r="A102" i="3"/>
  <c r="N101" i="3"/>
  <c r="M101" i="3"/>
  <c r="D101" i="3"/>
  <c r="C101" i="3"/>
  <c r="A101" i="3"/>
  <c r="M100" i="3"/>
  <c r="N100" i="3" s="1"/>
  <c r="D100" i="3"/>
  <c r="C100" i="3"/>
  <c r="A100" i="3"/>
  <c r="N99" i="3"/>
  <c r="M99" i="3"/>
  <c r="D99" i="3"/>
  <c r="C99" i="3"/>
  <c r="A99" i="3"/>
  <c r="M98" i="3"/>
  <c r="N98" i="3" s="1"/>
  <c r="D98" i="3"/>
  <c r="C98" i="3"/>
  <c r="A98" i="3"/>
  <c r="M97" i="3"/>
  <c r="N97" i="3" s="1"/>
  <c r="D97" i="3"/>
  <c r="C97" i="3"/>
  <c r="A97" i="3"/>
  <c r="M96" i="3"/>
  <c r="N96" i="3" s="1"/>
  <c r="D96" i="3"/>
  <c r="C96" i="3"/>
  <c r="A96" i="3"/>
  <c r="M95" i="3"/>
  <c r="N95" i="3" s="1"/>
  <c r="D95" i="3"/>
  <c r="C95" i="3"/>
  <c r="A95" i="3"/>
  <c r="M94" i="3"/>
  <c r="N94" i="3" s="1"/>
  <c r="D94" i="3"/>
  <c r="C94" i="3"/>
  <c r="A94" i="3"/>
  <c r="N93" i="3"/>
  <c r="M93" i="3"/>
  <c r="D93" i="3"/>
  <c r="C93" i="3"/>
  <c r="A93" i="3"/>
  <c r="M92" i="3"/>
  <c r="N92" i="3" s="1"/>
  <c r="D92" i="3"/>
  <c r="C92" i="3"/>
  <c r="A92" i="3"/>
  <c r="N91" i="3"/>
  <c r="M91" i="3"/>
  <c r="D91" i="3"/>
  <c r="C91" i="3"/>
  <c r="A91" i="3"/>
  <c r="M90" i="3"/>
  <c r="N90" i="3" s="1"/>
  <c r="D90" i="3"/>
  <c r="C90" i="3"/>
  <c r="A90" i="3"/>
  <c r="M89" i="3"/>
  <c r="N89" i="3" s="1"/>
  <c r="D89" i="3"/>
  <c r="C89" i="3"/>
  <c r="A89" i="3"/>
  <c r="M88" i="3"/>
  <c r="N88" i="3" s="1"/>
  <c r="D88" i="3"/>
  <c r="C88" i="3"/>
  <c r="A88" i="3"/>
  <c r="M87" i="3"/>
  <c r="N87" i="3" s="1"/>
  <c r="D87" i="3"/>
  <c r="C87" i="3"/>
  <c r="A87" i="3"/>
  <c r="M86" i="3"/>
  <c r="N86" i="3" s="1"/>
  <c r="D86" i="3"/>
  <c r="C86" i="3"/>
  <c r="A86" i="3"/>
  <c r="N85" i="3"/>
  <c r="M85" i="3"/>
  <c r="D85" i="3"/>
  <c r="C85" i="3"/>
  <c r="A85" i="3"/>
  <c r="M84" i="3"/>
  <c r="N84" i="3" s="1"/>
  <c r="D84" i="3"/>
  <c r="C84" i="3"/>
  <c r="A84" i="3"/>
  <c r="N83" i="3"/>
  <c r="M83" i="3"/>
  <c r="D83" i="3"/>
  <c r="C83" i="3"/>
  <c r="A83" i="3"/>
  <c r="M82" i="3"/>
  <c r="N82" i="3" s="1"/>
  <c r="D82" i="3"/>
  <c r="C82" i="3"/>
  <c r="A82" i="3"/>
  <c r="M81" i="3"/>
  <c r="N81" i="3" s="1"/>
  <c r="D81" i="3"/>
  <c r="C81" i="3"/>
  <c r="A81" i="3"/>
  <c r="M80" i="3"/>
  <c r="N80" i="3" s="1"/>
  <c r="D80" i="3"/>
  <c r="C80" i="3"/>
  <c r="A80" i="3"/>
  <c r="M79" i="3"/>
  <c r="N79" i="3" s="1"/>
  <c r="D79" i="3"/>
  <c r="C79" i="3"/>
  <c r="A79" i="3"/>
  <c r="M78" i="3"/>
  <c r="N78" i="3" s="1"/>
  <c r="D78" i="3"/>
  <c r="C78" i="3"/>
  <c r="A78" i="3"/>
  <c r="N77" i="3"/>
  <c r="M77" i="3"/>
  <c r="D77" i="3"/>
  <c r="C77" i="3"/>
  <c r="A77" i="3"/>
  <c r="M76" i="3"/>
  <c r="N76" i="3" s="1"/>
  <c r="D76" i="3"/>
  <c r="C76" i="3"/>
  <c r="A76" i="3"/>
  <c r="N75" i="3"/>
  <c r="M75" i="3"/>
  <c r="D75" i="3"/>
  <c r="C75" i="3"/>
  <c r="A75" i="3"/>
  <c r="M74" i="3"/>
  <c r="N74" i="3" s="1"/>
  <c r="D74" i="3"/>
  <c r="C74" i="3"/>
  <c r="A74" i="3"/>
  <c r="M73" i="3"/>
  <c r="N73" i="3" s="1"/>
  <c r="D73" i="3"/>
  <c r="C73" i="3"/>
  <c r="A73" i="3"/>
  <c r="M72" i="3"/>
  <c r="N72" i="3" s="1"/>
  <c r="D72" i="3"/>
  <c r="C72" i="3"/>
  <c r="A72" i="3"/>
  <c r="M71" i="3"/>
  <c r="N71" i="3" s="1"/>
  <c r="D71" i="3"/>
  <c r="C71" i="3"/>
  <c r="A71" i="3"/>
  <c r="M70" i="3"/>
  <c r="N70" i="3" s="1"/>
  <c r="D70" i="3"/>
  <c r="C70" i="3"/>
  <c r="A70" i="3"/>
  <c r="N69" i="3"/>
  <c r="M69" i="3"/>
  <c r="D69" i="3"/>
  <c r="C69" i="3"/>
  <c r="A69" i="3"/>
  <c r="M68" i="3"/>
  <c r="N68" i="3" s="1"/>
  <c r="D68" i="3"/>
  <c r="C68" i="3"/>
  <c r="A68" i="3"/>
  <c r="N67" i="3"/>
  <c r="M67" i="3"/>
  <c r="D67" i="3"/>
  <c r="C67" i="3"/>
  <c r="A67" i="3"/>
  <c r="M66" i="3"/>
  <c r="N66" i="3" s="1"/>
  <c r="D66" i="3"/>
  <c r="C66" i="3"/>
  <c r="A66" i="3"/>
  <c r="M65" i="3"/>
  <c r="N65" i="3" s="1"/>
  <c r="D65" i="3"/>
  <c r="C65" i="3"/>
  <c r="A65" i="3"/>
  <c r="M64" i="3"/>
  <c r="N64" i="3" s="1"/>
  <c r="D64" i="3"/>
  <c r="C64" i="3"/>
  <c r="A64" i="3"/>
  <c r="M63" i="3"/>
  <c r="N63" i="3" s="1"/>
  <c r="D63" i="3"/>
  <c r="C63" i="3"/>
  <c r="A63" i="3"/>
  <c r="M62" i="3"/>
  <c r="N62" i="3" s="1"/>
  <c r="D62" i="3"/>
  <c r="C62" i="3"/>
  <c r="A62" i="3"/>
  <c r="N61" i="3"/>
  <c r="M61" i="3"/>
  <c r="D61" i="3"/>
  <c r="C61" i="3"/>
  <c r="A61" i="3"/>
  <c r="M60" i="3"/>
  <c r="N60" i="3" s="1"/>
  <c r="D60" i="3"/>
  <c r="C60" i="3"/>
  <c r="A60" i="3"/>
  <c r="N59" i="3"/>
  <c r="M59" i="3"/>
  <c r="D59" i="3"/>
  <c r="C59" i="3"/>
  <c r="A59" i="3"/>
  <c r="M58" i="3"/>
  <c r="N58" i="3" s="1"/>
  <c r="D58" i="3"/>
  <c r="C58" i="3"/>
  <c r="A58" i="3"/>
  <c r="M57" i="3"/>
  <c r="N57" i="3" s="1"/>
  <c r="D57" i="3"/>
  <c r="C57" i="3"/>
  <c r="A57" i="3"/>
  <c r="M56" i="3"/>
  <c r="N56" i="3" s="1"/>
  <c r="D56" i="3"/>
  <c r="C56" i="3"/>
  <c r="A56" i="3"/>
  <c r="M55" i="3"/>
  <c r="N55" i="3" s="1"/>
  <c r="D55" i="3"/>
  <c r="C55" i="3"/>
  <c r="A55" i="3"/>
  <c r="M54" i="3"/>
  <c r="N54" i="3" s="1"/>
  <c r="D54" i="3"/>
  <c r="C54" i="3"/>
  <c r="A54" i="3"/>
  <c r="N53" i="3"/>
  <c r="M53" i="3"/>
  <c r="D53" i="3"/>
  <c r="C53" i="3"/>
  <c r="A53" i="3"/>
  <c r="M52" i="3"/>
  <c r="N52" i="3" s="1"/>
  <c r="D52" i="3"/>
  <c r="C52" i="3"/>
  <c r="A52" i="3"/>
  <c r="N51" i="3"/>
  <c r="M51" i="3"/>
  <c r="D51" i="3"/>
  <c r="C51" i="3"/>
  <c r="A51" i="3"/>
  <c r="M50" i="3"/>
  <c r="N50" i="3" s="1"/>
  <c r="D50" i="3"/>
  <c r="C50" i="3"/>
  <c r="A50" i="3"/>
  <c r="M49" i="3"/>
  <c r="N49" i="3" s="1"/>
  <c r="D49" i="3"/>
  <c r="C49" i="3"/>
  <c r="A49" i="3"/>
  <c r="M48" i="3"/>
  <c r="N48" i="3" s="1"/>
  <c r="D48" i="3"/>
  <c r="C48" i="3"/>
  <c r="A48" i="3"/>
  <c r="M47" i="3"/>
  <c r="N47" i="3" s="1"/>
  <c r="D47" i="3"/>
  <c r="C47" i="3"/>
  <c r="A47" i="3"/>
  <c r="M46" i="3"/>
  <c r="N46" i="3" s="1"/>
  <c r="D46" i="3"/>
  <c r="C46" i="3"/>
  <c r="A46" i="3"/>
  <c r="N45" i="3"/>
  <c r="M45" i="3"/>
  <c r="D45" i="3"/>
  <c r="C45" i="3"/>
  <c r="A45" i="3"/>
  <c r="M44" i="3"/>
  <c r="N44" i="3" s="1"/>
  <c r="D44" i="3"/>
  <c r="C44" i="3"/>
  <c r="A44" i="3"/>
  <c r="N43" i="3"/>
  <c r="M43" i="3"/>
  <c r="D43" i="3"/>
  <c r="C43" i="3"/>
  <c r="A43" i="3"/>
  <c r="M42" i="3"/>
  <c r="N42" i="3" s="1"/>
  <c r="D42" i="3"/>
  <c r="C42" i="3"/>
  <c r="A42" i="3"/>
  <c r="M41" i="3"/>
  <c r="N41" i="3" s="1"/>
  <c r="D41" i="3"/>
  <c r="C41" i="3"/>
  <c r="A41" i="3"/>
  <c r="M40" i="3"/>
  <c r="N40" i="3" s="1"/>
  <c r="D40" i="3"/>
  <c r="C40" i="3"/>
  <c r="A40" i="3"/>
  <c r="M39" i="3"/>
  <c r="N39" i="3" s="1"/>
  <c r="D39" i="3"/>
  <c r="C39" i="3"/>
  <c r="A39" i="3"/>
  <c r="M38" i="3"/>
  <c r="N38" i="3" s="1"/>
  <c r="D38" i="3"/>
  <c r="C38" i="3"/>
  <c r="A38" i="3"/>
  <c r="N37" i="3"/>
  <c r="M37" i="3"/>
  <c r="D37" i="3"/>
  <c r="C37" i="3"/>
  <c r="A37" i="3"/>
  <c r="M36" i="3"/>
  <c r="N36" i="3" s="1"/>
  <c r="D36" i="3"/>
  <c r="C36" i="3"/>
  <c r="A36" i="3"/>
  <c r="N35" i="3"/>
  <c r="M35" i="3"/>
  <c r="D35" i="3"/>
  <c r="C35" i="3"/>
  <c r="A35" i="3"/>
  <c r="M34" i="3"/>
  <c r="N34" i="3" s="1"/>
  <c r="D34" i="3"/>
  <c r="C34" i="3"/>
  <c r="A34" i="3"/>
  <c r="M33" i="3"/>
  <c r="N33" i="3" s="1"/>
  <c r="D33" i="3"/>
  <c r="C33" i="3"/>
  <c r="A33" i="3"/>
  <c r="M32" i="3"/>
  <c r="N32" i="3" s="1"/>
  <c r="D32" i="3"/>
  <c r="C32" i="3"/>
  <c r="A32" i="3"/>
  <c r="M31" i="3"/>
  <c r="N31" i="3" s="1"/>
  <c r="D31" i="3"/>
  <c r="C31" i="3"/>
  <c r="A31" i="3"/>
  <c r="M30" i="3"/>
  <c r="N30" i="3" s="1"/>
  <c r="D30" i="3"/>
  <c r="C30" i="3"/>
  <c r="A30" i="3"/>
  <c r="N29" i="3"/>
  <c r="M29" i="3"/>
  <c r="D29" i="3"/>
  <c r="C29" i="3"/>
  <c r="A29" i="3"/>
  <c r="M28" i="3"/>
  <c r="N28" i="3" s="1"/>
  <c r="D28" i="3"/>
  <c r="C28" i="3"/>
  <c r="A28" i="3"/>
  <c r="N27" i="3"/>
  <c r="M27" i="3"/>
  <c r="D27" i="3"/>
  <c r="C27" i="3"/>
  <c r="A27" i="3"/>
  <c r="M26" i="3"/>
  <c r="N26" i="3" s="1"/>
  <c r="D26" i="3"/>
  <c r="C26" i="3"/>
  <c r="A26" i="3"/>
  <c r="M25" i="3"/>
  <c r="N25" i="3" s="1"/>
  <c r="D25" i="3"/>
  <c r="C25" i="3"/>
  <c r="A25" i="3"/>
  <c r="M24" i="3"/>
  <c r="N24" i="3" s="1"/>
  <c r="D24" i="3"/>
  <c r="C24" i="3"/>
  <c r="A24" i="3"/>
  <c r="M23" i="3"/>
  <c r="N23" i="3" s="1"/>
  <c r="D23" i="3"/>
  <c r="C23" i="3"/>
  <c r="A23" i="3"/>
  <c r="M22" i="3"/>
  <c r="N22" i="3" s="1"/>
  <c r="D22" i="3"/>
  <c r="C22" i="3"/>
  <c r="A22" i="3"/>
  <c r="N21" i="3"/>
  <c r="M21" i="3"/>
  <c r="D21" i="3"/>
  <c r="C21" i="3"/>
  <c r="C18" i="4" s="1"/>
  <c r="A21" i="3"/>
  <c r="M20" i="3"/>
  <c r="N20" i="3" s="1"/>
  <c r="D20" i="3"/>
  <c r="C20" i="3"/>
  <c r="A20" i="3"/>
  <c r="M19" i="3"/>
  <c r="N19" i="3" s="1"/>
  <c r="D19" i="3"/>
  <c r="C19" i="3"/>
  <c r="A19" i="3"/>
  <c r="M18" i="3"/>
  <c r="N18" i="3" s="1"/>
  <c r="D18" i="3"/>
  <c r="C18" i="3"/>
  <c r="A18" i="3"/>
  <c r="M17" i="3"/>
  <c r="N17" i="3" s="1"/>
  <c r="D17" i="3"/>
  <c r="C17" i="3"/>
  <c r="A17" i="3"/>
  <c r="M16" i="3"/>
  <c r="N16" i="3" s="1"/>
  <c r="D16" i="3"/>
  <c r="E15" i="4" s="1"/>
  <c r="C16" i="3"/>
  <c r="C15" i="4" s="1"/>
  <c r="A16" i="3"/>
  <c r="M15" i="3"/>
  <c r="N15" i="3" s="1"/>
  <c r="D15" i="3"/>
  <c r="C15" i="3"/>
  <c r="A15" i="3"/>
  <c r="M14" i="3"/>
  <c r="N14" i="3" s="1"/>
  <c r="D14" i="3"/>
  <c r="C14" i="3"/>
  <c r="A14" i="3"/>
  <c r="M13" i="3"/>
  <c r="N13" i="3" s="1"/>
  <c r="D13" i="3"/>
  <c r="C13" i="3"/>
  <c r="A13" i="3"/>
  <c r="M12" i="3"/>
  <c r="N12" i="3" s="1"/>
  <c r="D12" i="3"/>
  <c r="C12" i="3"/>
  <c r="A12" i="3"/>
  <c r="N11" i="3"/>
  <c r="M11" i="3"/>
  <c r="D11" i="3"/>
  <c r="C11" i="3"/>
  <c r="A11" i="3"/>
  <c r="M10" i="3"/>
  <c r="N10" i="3" s="1"/>
  <c r="D10" i="3"/>
  <c r="C10" i="3"/>
  <c r="A10" i="3"/>
  <c r="M9" i="3"/>
  <c r="N9" i="3" s="1"/>
  <c r="D9" i="3"/>
  <c r="C9" i="3"/>
  <c r="A9" i="3"/>
  <c r="M8" i="3"/>
  <c r="N8" i="3" s="1"/>
  <c r="D8" i="3"/>
  <c r="H17" i="4" s="1"/>
  <c r="C8" i="3"/>
  <c r="A8" i="3"/>
  <c r="M7" i="3"/>
  <c r="N7" i="3" s="1"/>
  <c r="D7" i="3"/>
  <c r="C7" i="3"/>
  <c r="C11" i="4" s="1"/>
  <c r="A7" i="3"/>
  <c r="M6" i="3"/>
  <c r="N6" i="3" s="1"/>
  <c r="D6" i="3"/>
  <c r="H20" i="4" s="1"/>
  <c r="C6" i="3"/>
  <c r="A6" i="3"/>
  <c r="M5" i="3"/>
  <c r="N5" i="3" s="1"/>
  <c r="D5" i="3"/>
  <c r="H19" i="4" s="1"/>
  <c r="C5" i="3"/>
  <c r="A5" i="3"/>
  <c r="C10" i="4" l="1"/>
  <c r="C19" i="4"/>
  <c r="C13" i="4"/>
  <c r="C16" i="4"/>
  <c r="E16" i="4"/>
  <c r="C17" i="4"/>
  <c r="E10" i="4"/>
  <c r="E13" i="4"/>
  <c r="E24" i="4" s="1"/>
  <c r="H32" i="4" s="1"/>
  <c r="Q6" i="6"/>
  <c r="O7" i="6"/>
  <c r="P7" i="6" s="1"/>
  <c r="Q9" i="6"/>
  <c r="Q14" i="6"/>
  <c r="O15" i="6"/>
  <c r="P15" i="6" s="1"/>
  <c r="Q17" i="6"/>
  <c r="Q22" i="6"/>
  <c r="O23" i="6"/>
  <c r="P23" i="6" s="1"/>
  <c r="Q25" i="6"/>
  <c r="Q30" i="6"/>
  <c r="O31" i="6"/>
  <c r="P31" i="6" s="1"/>
  <c r="Q33" i="6"/>
  <c r="Q38" i="6"/>
  <c r="O39" i="6"/>
  <c r="P39" i="6" s="1"/>
  <c r="Q41" i="6"/>
  <c r="Q46" i="6"/>
  <c r="O47" i="6"/>
  <c r="P47" i="6" s="1"/>
  <c r="O58" i="6"/>
  <c r="P58" i="6" s="1"/>
  <c r="O66" i="6"/>
  <c r="P66" i="6" s="1"/>
  <c r="O78" i="6"/>
  <c r="P78" i="6" s="1"/>
  <c r="O89" i="6"/>
  <c r="P89" i="6" s="1"/>
  <c r="O94" i="6"/>
  <c r="P94" i="6" s="1"/>
  <c r="O105" i="6"/>
  <c r="P105" i="6" s="1"/>
  <c r="O110" i="6"/>
  <c r="P110" i="6" s="1"/>
  <c r="O121" i="6"/>
  <c r="P121" i="6" s="1"/>
  <c r="O126" i="6"/>
  <c r="P126" i="6" s="1"/>
  <c r="O137" i="6"/>
  <c r="P137" i="6" s="1"/>
  <c r="O142" i="6"/>
  <c r="P142" i="6" s="1"/>
  <c r="O5" i="6"/>
  <c r="P5" i="6" s="1"/>
  <c r="Q12" i="6"/>
  <c r="O13" i="6"/>
  <c r="P13" i="6" s="1"/>
  <c r="Q20" i="6"/>
  <c r="O21" i="6"/>
  <c r="P21" i="6" s="1"/>
  <c r="Q28" i="6"/>
  <c r="O29" i="6"/>
  <c r="P29" i="6" s="1"/>
  <c r="Q36" i="6"/>
  <c r="O37" i="6"/>
  <c r="P37" i="6" s="1"/>
  <c r="Q44" i="6"/>
  <c r="O45" i="6"/>
  <c r="P45" i="6" s="1"/>
  <c r="O82" i="6"/>
  <c r="P82" i="6" s="1"/>
  <c r="O93" i="6"/>
  <c r="P93" i="6" s="1"/>
  <c r="O98" i="6"/>
  <c r="P98" i="6" s="1"/>
  <c r="O109" i="6"/>
  <c r="P109" i="6" s="1"/>
  <c r="O114" i="6"/>
  <c r="P114" i="6" s="1"/>
  <c r="O125" i="6"/>
  <c r="P125" i="6" s="1"/>
  <c r="O130" i="6"/>
  <c r="P130" i="6" s="1"/>
  <c r="O141" i="6"/>
  <c r="P141" i="6" s="1"/>
  <c r="O146" i="6"/>
  <c r="P146" i="6" s="1"/>
  <c r="Q150" i="6"/>
  <c r="O153" i="6"/>
  <c r="P153" i="6" s="1"/>
  <c r="Q10" i="6"/>
  <c r="Q18" i="6"/>
  <c r="Q26" i="6"/>
  <c r="Q34" i="6"/>
  <c r="Q42" i="6"/>
  <c r="Q8" i="6"/>
  <c r="Q16" i="6"/>
  <c r="Q24" i="6"/>
  <c r="Q32" i="6"/>
  <c r="Q40" i="6"/>
  <c r="Q48" i="6"/>
  <c r="O57" i="6"/>
  <c r="P57" i="6" s="1"/>
  <c r="O149" i="6"/>
  <c r="P149" i="6" s="1"/>
  <c r="I36" i="4"/>
  <c r="I31" i="4"/>
  <c r="I32" i="4"/>
  <c r="C24" i="4"/>
  <c r="I30" i="4"/>
  <c r="E11" i="4"/>
  <c r="D10" i="7"/>
  <c r="D11" i="7"/>
  <c r="E14" i="4"/>
  <c r="E20" i="4"/>
  <c r="H24" i="4"/>
  <c r="C21" i="4"/>
  <c r="D9" i="7"/>
  <c r="C9" i="4"/>
  <c r="C31" i="4"/>
  <c r="E21" i="4"/>
  <c r="H25" i="4"/>
  <c r="E12" i="4"/>
  <c r="E23" i="4" s="1"/>
  <c r="H31" i="4" s="1"/>
  <c r="H21" i="4"/>
  <c r="E18" i="4"/>
  <c r="H23" i="4"/>
  <c r="Q7" i="6"/>
  <c r="Q15" i="6"/>
  <c r="Q31" i="6"/>
  <c r="Q39" i="6"/>
  <c r="Q47" i="6"/>
  <c r="D12" i="7"/>
  <c r="H22" i="4"/>
  <c r="E19" i="4"/>
  <c r="C20" i="4"/>
  <c r="E9" i="4"/>
  <c r="E22" i="4" s="1"/>
  <c r="H18" i="4"/>
  <c r="Q5" i="6"/>
  <c r="Q13" i="6"/>
  <c r="Q21" i="6"/>
  <c r="Q29" i="6"/>
  <c r="Q37" i="6"/>
  <c r="Q45" i="6"/>
  <c r="C12" i="4"/>
  <c r="C23" i="4" s="1"/>
  <c r="C14" i="4"/>
  <c r="E17" i="4"/>
  <c r="Q11" i="6"/>
  <c r="Q19" i="6"/>
  <c r="Q27" i="6"/>
  <c r="Q35" i="6"/>
  <c r="Q43" i="6"/>
  <c r="Q50" i="6"/>
  <c r="Q54" i="6"/>
  <c r="Q58" i="6"/>
  <c r="Q62" i="6"/>
  <c r="Q66" i="6"/>
  <c r="Q70" i="6"/>
  <c r="O77" i="6"/>
  <c r="P77" i="6" s="1"/>
  <c r="Q78" i="6"/>
  <c r="O85" i="6"/>
  <c r="P85" i="6" s="1"/>
  <c r="Q86" i="6"/>
  <c r="Q51" i="6"/>
  <c r="Q55" i="6"/>
  <c r="Q59" i="6"/>
  <c r="Q63" i="6"/>
  <c r="Q67" i="6"/>
  <c r="Q71" i="6"/>
  <c r="Q79" i="6"/>
  <c r="Q87" i="6"/>
  <c r="Q94" i="6"/>
  <c r="Q102" i="6"/>
  <c r="Q110" i="6"/>
  <c r="Q118" i="6"/>
  <c r="Q126" i="6"/>
  <c r="Q134" i="6"/>
  <c r="Q142" i="6"/>
  <c r="O52" i="6"/>
  <c r="P52" i="6" s="1"/>
  <c r="O56" i="6"/>
  <c r="P56" i="6" s="1"/>
  <c r="O60" i="6"/>
  <c r="P60" i="6" s="1"/>
  <c r="O64" i="6"/>
  <c r="P64" i="6" s="1"/>
  <c r="Q64" i="6"/>
  <c r="O68" i="6"/>
  <c r="P68" i="6" s="1"/>
  <c r="O73" i="6"/>
  <c r="P73" i="6" s="1"/>
  <c r="Q74" i="6"/>
  <c r="O81" i="6"/>
  <c r="P81" i="6" s="1"/>
  <c r="Q82" i="6"/>
  <c r="Q49" i="6"/>
  <c r="Q53" i="6"/>
  <c r="Q57" i="6"/>
  <c r="Q61" i="6"/>
  <c r="Q65" i="6"/>
  <c r="Q69" i="6"/>
  <c r="Q75" i="6"/>
  <c r="Q83" i="6"/>
  <c r="Q90" i="6"/>
  <c r="Q98" i="6"/>
  <c r="Q106" i="6"/>
  <c r="Q114" i="6"/>
  <c r="Q122" i="6"/>
  <c r="Q130" i="6"/>
  <c r="Q138" i="6"/>
  <c r="Q146" i="6"/>
  <c r="Q91" i="6"/>
  <c r="Q95" i="6"/>
  <c r="Q99" i="6"/>
  <c r="Q103" i="6"/>
  <c r="Q107" i="6"/>
  <c r="Q111" i="6"/>
  <c r="Q115" i="6"/>
  <c r="Q119" i="6"/>
  <c r="Q123" i="6"/>
  <c r="Q127" i="6"/>
  <c r="Q131" i="6"/>
  <c r="Q135" i="6"/>
  <c r="Q139" i="6"/>
  <c r="Q143" i="6"/>
  <c r="Q147" i="6"/>
  <c r="Q151" i="6"/>
  <c r="O72" i="6"/>
  <c r="P72" i="6" s="1"/>
  <c r="O76" i="6"/>
  <c r="P76" i="6" s="1"/>
  <c r="Q76" i="6"/>
  <c r="O80" i="6"/>
  <c r="P80" i="6" s="1"/>
  <c r="O84" i="6"/>
  <c r="P84" i="6" s="1"/>
  <c r="O88" i="6"/>
  <c r="P88" i="6" s="1"/>
  <c r="O92" i="6"/>
  <c r="P92" i="6" s="1"/>
  <c r="Q92" i="6"/>
  <c r="O96" i="6"/>
  <c r="P96" i="6" s="1"/>
  <c r="O100" i="6"/>
  <c r="P100" i="6" s="1"/>
  <c r="O104" i="6"/>
  <c r="P104" i="6" s="1"/>
  <c r="O108" i="6"/>
  <c r="P108" i="6" s="1"/>
  <c r="Q108" i="6"/>
  <c r="O112" i="6"/>
  <c r="P112" i="6" s="1"/>
  <c r="O116" i="6"/>
  <c r="P116" i="6" s="1"/>
  <c r="O120" i="6"/>
  <c r="P120" i="6" s="1"/>
  <c r="O124" i="6"/>
  <c r="P124" i="6" s="1"/>
  <c r="Q124" i="6"/>
  <c r="O128" i="6"/>
  <c r="P128" i="6" s="1"/>
  <c r="O132" i="6"/>
  <c r="P132" i="6" s="1"/>
  <c r="O136" i="6"/>
  <c r="P136" i="6" s="1"/>
  <c r="O140" i="6"/>
  <c r="P140" i="6" s="1"/>
  <c r="Q140" i="6"/>
  <c r="O144" i="6"/>
  <c r="P144" i="6" s="1"/>
  <c r="O148" i="6"/>
  <c r="P148" i="6" s="1"/>
  <c r="O152" i="6"/>
  <c r="P152" i="6" s="1"/>
  <c r="Q89" i="6"/>
  <c r="Q93" i="6"/>
  <c r="Q97" i="6"/>
  <c r="Q101" i="6"/>
  <c r="Q105" i="6"/>
  <c r="Q109" i="6"/>
  <c r="Q113" i="6"/>
  <c r="Q117" i="6"/>
  <c r="Q121" i="6"/>
  <c r="Q125" i="6"/>
  <c r="Q129" i="6"/>
  <c r="Q133" i="6"/>
  <c r="Q137" i="6"/>
  <c r="Q141" i="6"/>
  <c r="Q145" i="6"/>
  <c r="Q149" i="6"/>
  <c r="Q153" i="6"/>
  <c r="Q132" i="6" l="1"/>
  <c r="Q100" i="6"/>
  <c r="Q56" i="6"/>
  <c r="Q85" i="6"/>
  <c r="Q23" i="6"/>
  <c r="K32" i="4"/>
  <c r="Q148" i="6"/>
  <c r="Q116" i="6"/>
  <c r="Q84" i="6"/>
  <c r="D34" i="7"/>
  <c r="Q77" i="6"/>
  <c r="E25" i="4"/>
  <c r="I34" i="4"/>
  <c r="C25" i="4"/>
  <c r="Q73" i="6"/>
  <c r="I33" i="4"/>
  <c r="H26" i="4"/>
  <c r="Q152" i="6"/>
  <c r="Q144" i="6"/>
  <c r="Q136" i="6"/>
  <c r="Q128" i="6"/>
  <c r="Q120" i="6"/>
  <c r="Q112" i="6"/>
  <c r="Q104" i="6"/>
  <c r="Q96" i="6"/>
  <c r="Q88" i="6"/>
  <c r="Q80" i="6"/>
  <c r="Q72" i="6"/>
  <c r="Q81" i="6"/>
  <c r="Q68" i="6"/>
  <c r="Q60" i="6"/>
  <c r="Q52" i="6"/>
  <c r="E28" i="4"/>
  <c r="E26" i="4"/>
  <c r="E27" i="4"/>
  <c r="H30" i="4"/>
  <c r="H34" i="4" s="1"/>
  <c r="K31" i="4"/>
  <c r="C22" i="4"/>
  <c r="K36" i="4"/>
  <c r="J7" i="5"/>
  <c r="K7" i="5" s="1"/>
  <c r="E8" i="5" l="1"/>
  <c r="I8" i="5" s="1"/>
  <c r="K8" i="5" s="1"/>
  <c r="H37" i="4"/>
  <c r="K37" i="4" s="1"/>
  <c r="K30" i="4"/>
  <c r="J6" i="5"/>
  <c r="I35" i="4"/>
  <c r="J5" i="5"/>
  <c r="K34" i="4"/>
  <c r="D13" i="7"/>
  <c r="C35" i="4"/>
  <c r="C34" i="4"/>
  <c r="C28" i="4"/>
  <c r="C26" i="4"/>
  <c r="C27" i="4"/>
  <c r="D22" i="4" s="1"/>
  <c r="E6" i="5"/>
  <c r="I6" i="5" s="1"/>
  <c r="H33" i="4"/>
  <c r="K33" i="4" s="1"/>
  <c r="C37" i="4"/>
  <c r="E5" i="5"/>
  <c r="I5" i="5" s="1"/>
  <c r="C36" i="4"/>
  <c r="E9" i="5" l="1"/>
  <c r="I9" i="5" s="1"/>
  <c r="H38" i="4"/>
  <c r="K6" i="5"/>
  <c r="K5" i="5"/>
  <c r="D25" i="4"/>
  <c r="I38" i="4"/>
  <c r="D18" i="4"/>
  <c r="D10" i="4"/>
  <c r="D13" i="4"/>
  <c r="D11" i="4"/>
  <c r="D19" i="4"/>
  <c r="D15" i="4"/>
  <c r="D17" i="4"/>
  <c r="D16" i="4"/>
  <c r="D20" i="4"/>
  <c r="D14" i="4"/>
  <c r="D9" i="4"/>
  <c r="D23" i="4"/>
  <c r="D21" i="4"/>
  <c r="D24" i="4"/>
  <c r="H35" i="4"/>
  <c r="K35" i="4" s="1"/>
  <c r="K38" i="4" l="1"/>
  <c r="J9" i="5"/>
  <c r="K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Fator.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Categoria.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Valor do fator (editável: altera todo o inventário).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Fonte e estado de confirmação.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Ano da fonte.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Qualidade do fator.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Chave (mês + fonte).
[calculado]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Ano civil.
[calculado]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Ano de reporte (set–ago) — ano-base 2025/26.
[calculado]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Âmbito 1, 2 ou 3 (GHG Protocol).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Categoria do GHG Protocol.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Fonte de emissão.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Descrição da fonte.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Location-based / Market-based (âmbito 2) ou Ambos.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Dado de atividade.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Unidade do dado de atividade.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Fator de emissão.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Valor do fator (automático).
[calculado]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Emissões = dado × fator ÷ 1000.
[calculado]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Medido, calculado ou estimado.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Origem do dado de atividade.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Pressupostos.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Meta.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Ano-base.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Valor no ano-base (da calculadora).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Ano da meta.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Redução % ou valor-alvo.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Redução (negativa) ou valor-alvo (fração).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Valor a atingir.
[calculado]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Valor projetado pelo simulador (Calculadora_GEE).</t>
        </r>
      </text>
    </comment>
    <comment ref="K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Se o cenário atinge a meta.
[calculado]</t>
        </r>
      </text>
    </comment>
    <comment ref="L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Referência / racional.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Produto (dataset).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Frasco ou tampa.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Material base.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Fator do material.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Sim se PCR/rPET.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Volume (frascos).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Massa por unidade (g).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Origem da massa.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Dosagem de masterbatch (fração da massa).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Rejeição do processo no ano de reporte (material extra consumido).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Eletricidade por 1.000 unidades (processo + utilidades rateadas).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Polímero por 1.000 un (kg = g/un) × fator.
[calculado]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Masterbatch.
[calculado]</t>
        </r>
      </text>
    </comment>
    <comment ref="N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Eletricidade (location-based).
[calculado]</t>
        </r>
      </text>
    </comment>
    <comment ref="O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Pegada berço-portão por 1.000 un (sem decoração nem transporte).
[calculado]</t>
        </r>
      </text>
    </comment>
    <comment ref="P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g CO2e por unidade (= kg por 1.000).
[calculado]</t>
        </r>
      </text>
    </comment>
    <comment ref="Q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Peso dos materiais na pegada.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Tema ambiental.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Valor do ano de reporte 2026 (fórmula quando calculado neste ficheiro; valor fixo quando vem de outro registo).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Norma voluntária para PME (EFRAG): B = módulo básico; C = abrangente.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Requisito ESRS equivalente.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GRI Standard.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SASB Containers &amp; Packaging.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Pergunta CDP / tema EcoVadis.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Origem do valor.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Disponível · Estimado · Parcial · Lacuna.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Referencial ou regulamento.</t>
        </r>
      </text>
    </comment>
    <comment ref="C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D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E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Onde está a evidência.</t>
        </r>
      </text>
    </comment>
    <comment ref="F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Conforme · Parcial · Lacuna.</t>
        </r>
      </text>
    </comment>
    <comment ref="G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Lacuna e próxima ação.</t>
        </r>
      </text>
    </comment>
    <comment ref="H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Para o índice de prontidão ESG-E.
[calculado]</t>
        </r>
      </text>
    </comment>
  </commentList>
</comments>
</file>

<file path=xl/sharedStrings.xml><?xml version="1.0" encoding="utf-8"?>
<sst xmlns="http://schemas.openxmlformats.org/spreadsheetml/2006/main" count="6479" uniqueCount="970">
  <si>
    <t>RG-SGA-19 — ESG Ambiental — Calculadora de GEE, Metas Climáticas e Indicadores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</si>
  <si>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</si>
  <si>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</si>
  <si>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</si>
  <si>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RG-SGA-19</t>
  </si>
  <si>
    <t>Título</t>
  </si>
  <si>
    <t>ESG Ambiental — Calculadora de GEE, Metas Climáticas e Indicadores</t>
  </si>
  <si>
    <t>Versão / Revisão</t>
  </si>
  <si>
    <t>00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</si>
  <si>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</si>
  <si>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</si>
  <si>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</si>
  <si>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</si>
  <si>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</si>
  <si>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</si>
  <si>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</si>
  <si>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</si>
  <si>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</si>
  <si>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</si>
  <si>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</si>
  <si>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</si>
  <si>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</si>
  <si>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Medir e comunicar o desempenho ambiental da Plasticom como os clientes, financiadores e referenciais ESG pedem: inventário de gases com efeito de estufa (GHG Protocol / ISO 14064-1; âmbitos 1, 2 location e market-based e 3), metas de descarbonização com simulador, pegada de carbono por produto (substâncias: RG-SGA-21) e o catálogo de indicadores E mapeado para a VSME, ESRS E1–E5, GRI, SASB (RT-CP) e CDP/EcoVadis. Todas as tabelas estão em formato de base de dados (uma linha por registo) para Power BI, pandas e modelos de previsão.</t>
  </si>
  <si>
    <t>Atividades do curso</t>
  </si>
  <si>
    <t>Complemento ESG (pilar Ambiental) do SGA — não é atividade do curso.</t>
  </si>
  <si>
    <t>Requisitos ISO 14001:2026</t>
  </si>
  <si>
    <t>4.1 (clima); 6.1.4; 6.2; 9.1.1 (desempenho ambiental); 7.4 (comunicação externa)</t>
  </si>
  <si>
    <t>ESTRUTURA DO FICHEIRO</t>
  </si>
  <si>
    <t>Fatores_Emissao</t>
  </si>
  <si>
    <t>Fatores de emissão com fonte, ano e qualidade (editar aqui recalcula o inventário, a calculadora e a pegada).</t>
  </si>
  <si>
    <t>Inventario_GEE</t>
  </si>
  <si>
    <t>Inventário mensal de GEE por âmbito, categoria e fonte (formato longo; 1 linha = 1 fonte × mês).</t>
  </si>
  <si>
    <t>Calculadora_GEE</t>
  </si>
  <si>
    <t>Calculadora interativa: período, resultados por âmbito e categoria, intensidades, gráfico e simulador de descarbonização 2030.</t>
  </si>
  <si>
    <t>Metas_Clima</t>
  </si>
  <si>
    <t>Metas climáticas e de circularidade 2030 face ao ano-base 2025/26, com a projeção do simulador.</t>
  </si>
  <si>
    <t>Pegada_Produto</t>
  </si>
  <si>
    <t>Pegada de carbono berço-portão por produto (frascos e tampas do dataset), para resposta a clientes e ecodesign.</t>
  </si>
  <si>
    <t>Indicadores_ESG_E</t>
  </si>
  <si>
    <t>Catálogo de indicadores ambientais do ano de reporte 2026 mapeados para VSME, ESRS, GRI, SASB e CDP/EcoVadis.</t>
  </si>
  <si>
    <t>Refs_Outros_Registos</t>
  </si>
  <si>
    <t>Cópia de colunas de outros registos usadas nos indicadores (evita ligações externas entre ficheiros).</t>
  </si>
  <si>
    <t>Matriz_ESG_E</t>
  </si>
  <si>
    <t>Requisitos do pilar Ambiental do ESG (VSME, ESRS E1–E5, GRI, SASB, CDP/EcoVadis, regulamentos UE) → evidência → estado.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</si>
  <si>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</si>
  <si>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</si>
  <si>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</si>
  <si>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</si>
  <si>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</si>
  <si>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</si>
  <si>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</si>
  <si>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</si>
  <si>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</si>
  <si>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</si>
  <si>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</si>
  <si>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</si>
  <si>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</si>
  <si>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</si>
  <si>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</si>
  <si>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</si>
  <si>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</si>
  <si>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</si>
  <si>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RG-SGA-13</t>
  </si>
  <si>
    <t>Dados de atividade (tbl_dados_ambientais, tbl_meses, tbl_residuos).</t>
  </si>
  <si>
    <t>RG-SGA-11</t>
  </si>
  <si>
    <t>Transporte a montante (tbl_fornecedores).</t>
  </si>
  <si>
    <t>RG-SGA-10</t>
  </si>
  <si>
    <t>Recargas de gases fluorados (tbl_manutencao_ambiental).</t>
  </si>
  <si>
    <t>RG-SGA-17</t>
  </si>
  <si>
    <t>Temas materiais E1–E5 da dupla materialidade.</t>
  </si>
  <si>
    <t>PR-SGA-13 / PL-SGA-01</t>
  </si>
  <si>
    <t>Metodologia de cálculo e plano de transição climática (Documentos_SGA_Plasticom).</t>
  </si>
  <si>
    <t>FATORES DE EMISSÃO</t>
  </si>
  <si>
    <t>Valores indicativos para a fábrica simulada — confirmar com as fontes oficiais do ano de reporte (APA, AIB, DEFRA, eco-perfis)</t>
  </si>
  <si>
    <t>ID_FE</t>
  </si>
  <si>
    <t>Categoria</t>
  </si>
  <si>
    <t>Descricao</t>
  </si>
  <si>
    <t>Valor</t>
  </si>
  <si>
    <t>Unidade</t>
  </si>
  <si>
    <t>Fonte</t>
  </si>
  <si>
    <t>Ano_Fonte</t>
  </si>
  <si>
    <t>Qualidade</t>
  </si>
  <si>
    <t>FE-01</t>
  </si>
  <si>
    <t>Eletricidade</t>
  </si>
  <si>
    <t>Eletricidade da rede — Portugal (location-based)</t>
  </si>
  <si>
    <t>kgCO2e/kWh</t>
  </si>
  <si>
    <t>Parâmetro FE_ELET do RG-SGA-13 (confirmar valor anual APA/ERSE)</t>
  </si>
  <si>
    <t>Média</t>
  </si>
  <si>
    <t>FE-02</t>
  </si>
  <si>
    <t>Mix residual — Portugal (market-based, eletricidade sem garantias de origem)</t>
  </si>
  <si>
    <t>AIB European Residual Mix — confirmar valor do ano de reporte</t>
  </si>
  <si>
    <t>Baixa</t>
  </si>
  <si>
    <t>FE-03</t>
  </si>
  <si>
    <t>Eletricidade com garantias de origem renovável (market-based)</t>
  </si>
  <si>
    <t>GHG Protocol Scope 2 Guidance (critérios de qualidade)</t>
  </si>
  <si>
    <t>Alta</t>
  </si>
  <si>
    <t>FE-04</t>
  </si>
  <si>
    <t>Combustíveis</t>
  </si>
  <si>
    <t>Gasóleo rodoviário e de gerador (combustão)</t>
  </si>
  <si>
    <t>kgCO2e/L</t>
  </si>
  <si>
    <t>Fatores nacionais / DEFRA — confirmar</t>
  </si>
  <si>
    <t>FE-05</t>
  </si>
  <si>
    <t>Gases fluorados</t>
  </si>
  <si>
    <t>R410A — potencial de aquecimento global (GWP100)</t>
  </si>
  <si>
    <t>kgCO2e/kg</t>
  </si>
  <si>
    <t>Reg. (UE) 2024/573, Anexo I (IPCC AR4)</t>
  </si>
  <si>
    <t>FE-06</t>
  </si>
  <si>
    <t>Materiais</t>
  </si>
  <si>
    <t>Polipropileno virgem (PP) — berço-portão</t>
  </si>
  <si>
    <t>Eco-perfis PlasticsEurope (ordem de grandeza) — confirmar</t>
  </si>
  <si>
    <t>FE-07</t>
  </si>
  <si>
    <t>Polietileno virgem (HDPE, MDPE, LDPE) — berço-portão</t>
  </si>
  <si>
    <t>FE-08</t>
  </si>
  <si>
    <t>PET / PETG virgem — berço-portão</t>
  </si>
  <si>
    <t>FE-09</t>
  </si>
  <si>
    <t>PVC virgem — berço-portão</t>
  </si>
  <si>
    <t>FE-10</t>
  </si>
  <si>
    <t>Polímero reciclado (PCR, rPET) — reciclagem mecânica</t>
  </si>
  <si>
    <t>Estimativa de literatura — pedir PCF ao fornecedor</t>
  </si>
  <si>
    <t>FE-11</t>
  </si>
  <si>
    <t>Polímero virgem — média ponderada do mix da Plasticom</t>
  </si>
  <si>
    <t>Média ponderada de FE-06 a FE-09 pelo consumo</t>
  </si>
  <si>
    <t>FE-12</t>
  </si>
  <si>
    <t>Tintas de serigrafia</t>
  </si>
  <si>
    <t>Estimativa genérica — pedir PCF ao fornecedor</t>
  </si>
  <si>
    <t>FE-13</t>
  </si>
  <si>
    <t>Solvente de limpeza</t>
  </si>
  <si>
    <t>Estimativa genérica</t>
  </si>
  <si>
    <t>FE-14</t>
  </si>
  <si>
    <t>Foil de hot stamping</t>
  </si>
  <si>
    <t>FE-15</t>
  </si>
  <si>
    <t>Masterbatch</t>
  </si>
  <si>
    <t>Estimativa genérica — pedir PCF ao SUP-008</t>
  </si>
  <si>
    <t>FE-16</t>
  </si>
  <si>
    <t>Energia a montante</t>
  </si>
  <si>
    <t>Produção de combustíveis e perdas de transporte e distribuição da eletricidade (WTT + T&amp;D)</t>
  </si>
  <si>
    <t>Estimativa (GHG Protocol categoria 3) — confirmar</t>
  </si>
  <si>
    <t>FE-17</t>
  </si>
  <si>
    <t>Transporte</t>
  </si>
  <si>
    <t>Transporte a montante do polímero (média ponderada dos fornecedores do RG-SGA-11)</t>
  </si>
  <si>
    <t>Calculado a partir de volume × distância × modo (tbl_fornecedores)</t>
  </si>
  <si>
    <t>FE-18</t>
  </si>
  <si>
    <t>Transporte rodoviário de mercadorias (camião articulado 40 t)</t>
  </si>
  <si>
    <t>kgCO2e/t.km</t>
  </si>
  <si>
    <t>JRC (camião articulado 40 t, cálculo próprio) — confirmar com DEFRA/GLEC</t>
  </si>
  <si>
    <t>FE-19</t>
  </si>
  <si>
    <t>Transporte marítimo de mercadorias</t>
  </si>
  <si>
    <t>IPCC — relatório especial (limite inferior) — confirmar com GLEC Framework</t>
  </si>
  <si>
    <t>FE-20</t>
  </si>
  <si>
    <t>Resíduos</t>
  </si>
  <si>
    <t>Resíduos encaminhados para reciclagem/valorização (R3, R4, R13)</t>
  </si>
  <si>
    <t>DEFRA (open-loop / transporte e triagem) — confirmar</t>
  </si>
  <si>
    <t>FE-21</t>
  </si>
  <si>
    <t>Resíduos depositados em aterro (D1)</t>
  </si>
  <si>
    <t>DEFRA (resíduos comerciais mistos) — confirmar</t>
  </si>
  <si>
    <t>FE-22</t>
  </si>
  <si>
    <t>Resíduos perigosos para tratamento/incineração (D15 → D10)</t>
  </si>
  <si>
    <t>Estimativa — confirmar com o operador</t>
  </si>
  <si>
    <t>FE-23</t>
  </si>
  <si>
    <t>Deslocações</t>
  </si>
  <si>
    <t>Automóvel ligeiro médio (por km)</t>
  </si>
  <si>
    <t>kgCO2e/km</t>
  </si>
  <si>
    <t>DEFRA (average car, unknown fuel) — confirmar</t>
  </si>
  <si>
    <t>FE-24</t>
  </si>
  <si>
    <t>Fim de vida</t>
  </si>
  <si>
    <t>Fim de vida da embalagem plástica (mix UE: reciclagem, incineração, aterro)</t>
  </si>
  <si>
    <t>Estimativa com mix UE — confirmar por mercado</t>
  </si>
  <si>
    <t>INVENTÁRIO DE GASES COM EFEITO DE ESTUFA — MENSAL (GHG Protocol / ISO 14064-1)</t>
  </si>
  <si>
    <t>tCO2e = dado de atividade × fator ÷ 1000 · Âmbito 2 com duas linhas de método: somar location OU market, nunca os dois · Linhas vazias no fim para novos meses</t>
  </si>
  <si>
    <t>ID_Registo</t>
  </si>
  <si>
    <t>Mes</t>
  </si>
  <si>
    <t>Ano</t>
  </si>
  <si>
    <t>Periodo_Reporte</t>
  </si>
  <si>
    <t>Ambito</t>
  </si>
  <si>
    <t>ID_Fonte</t>
  </si>
  <si>
    <t>Metodo_Ambito2</t>
  </si>
  <si>
    <t>Dado_Atividade</t>
  </si>
  <si>
    <t>Fator</t>
  </si>
  <si>
    <t>tCO2e</t>
  </si>
  <si>
    <t>Qualidade_Dado</t>
  </si>
  <si>
    <t>Registo_Fonte</t>
  </si>
  <si>
    <t>Observacao</t>
  </si>
  <si>
    <t>1</t>
  </si>
  <si>
    <t>Combustão móvel (viaturas)</t>
  </si>
  <si>
    <t>S1-01</t>
  </si>
  <si>
    <t>Gasóleo das viaturas de serviço</t>
  </si>
  <si>
    <t>Ambos</t>
  </si>
  <si>
    <t>L</t>
  </si>
  <si>
    <t>Medido</t>
  </si>
  <si>
    <t>Faturas do cartão de frota</t>
  </si>
  <si>
    <t>Consumo simulado</t>
  </si>
  <si>
    <t>Combustão estacionária (gerador)</t>
  </si>
  <si>
    <t>S1-02</t>
  </si>
  <si>
    <t>Gasóleo do gerador de emergência GE-01</t>
  </si>
  <si>
    <t>Estimado</t>
  </si>
  <si>
    <t>Registo de testes do gerador</t>
  </si>
  <si>
    <t>Emissões fugitivas (gases fluorados)</t>
  </si>
  <si>
    <t>S1-03</t>
  </si>
  <si>
    <t>Fugas de R410A do chiller CH-01</t>
  </si>
  <si>
    <t>kg</t>
  </si>
  <si>
    <t>RG-SGA-10 tbl_manutencao_ambiental (recargas)</t>
  </si>
  <si>
    <t>2</t>
  </si>
  <si>
    <t>Eletricidade adquirida</t>
  </si>
  <si>
    <t>S2-LB</t>
  </si>
  <si>
    <t>Eletricidade da rede (location-based)</t>
  </si>
  <si>
    <t>Location-based</t>
  </si>
  <si>
    <t>kWh</t>
  </si>
  <si>
    <t>RG-SGA-13 tbl_meses (fatura)</t>
  </si>
  <si>
    <t>S2-MB-GO</t>
  </si>
  <si>
    <t>Eletricidade com garantias de origem renováveis (55%)</t>
  </si>
  <si>
    <t>Market-based</t>
  </si>
  <si>
    <t>Rótulo de energia do comercializador</t>
  </si>
  <si>
    <t>S2-MB-RES</t>
  </si>
  <si>
    <t>Eletricidade sem garantias de origem (mix residual)</t>
  </si>
  <si>
    <t>3</t>
  </si>
  <si>
    <t>C1 Bens e serviços adquiridos</t>
  </si>
  <si>
    <t>S3-C1-VIR</t>
  </si>
  <si>
    <t>Polímero virgem</t>
  </si>
  <si>
    <t>Calculado</t>
  </si>
  <si>
    <t>RG-SGA-13 tbl_dados_ambientais (POLIMERO_KG − PCR_KG)</t>
  </si>
  <si>
    <t>S3-C1-PCR</t>
  </si>
  <si>
    <t>Polímero reciclado (PCR, rPET)</t>
  </si>
  <si>
    <t>RG-SGA-13 tbl_dados_ambientais (PCR_KG)</t>
  </si>
  <si>
    <t>S3-C1-TIN</t>
  </si>
  <si>
    <t>RG-SGA-13 tbl_dados_ambientais (TINTA_KG)</t>
  </si>
  <si>
    <t>S3-C1-SOL</t>
  </si>
  <si>
    <t>RG-SGA-13 tbl_pesagem_solvente</t>
  </si>
  <si>
    <t>S3-C1-FOI</t>
  </si>
  <si>
    <t>RG-SGA-13 tbl_dados_ambientais (FOIL_KG)</t>
  </si>
  <si>
    <t>C3 Atividades relacionadas com combustíveis e energia</t>
  </si>
  <si>
    <t>S3-C3</t>
  </si>
  <si>
    <t>WTT e perdas T&amp;D da eletricidade</t>
  </si>
  <si>
    <t>RG-SGA-13 tbl_meses</t>
  </si>
  <si>
    <t>C4 Transporte e distribuição a montante</t>
  </si>
  <si>
    <t>S3-C4</t>
  </si>
  <si>
    <t>Transporte do polímero desde os fornecedores</t>
  </si>
  <si>
    <t>RG-SGA-11 tbl_fornecedores (distância e modo)</t>
  </si>
  <si>
    <t>C5 Resíduos gerados nas operações</t>
  </si>
  <si>
    <t>S3-C5-REC</t>
  </si>
  <si>
    <t>Resíduos para reciclagem/valorização</t>
  </si>
  <si>
    <t>RG-SGA-13 tbl_residuos (R3, R4, R13)</t>
  </si>
  <si>
    <t>S3-C5-ATE</t>
  </si>
  <si>
    <t>Resíduos para aterro</t>
  </si>
  <si>
    <t>RG-SGA-13 tbl_residuos (D1)</t>
  </si>
  <si>
    <t>S3-C5-PER</t>
  </si>
  <si>
    <t>Resíduos perigosos para tratamento</t>
  </si>
  <si>
    <t>RG-SGA-13 tbl_residuos (D15)</t>
  </si>
  <si>
    <t>C6 Viagens de negócio</t>
  </si>
  <si>
    <t>S3-C6</t>
  </si>
  <si>
    <t>Viagens de negócio em automóvel</t>
  </si>
  <si>
    <t>km</t>
  </si>
  <si>
    <t>Registo de despesas de deslocação</t>
  </si>
  <si>
    <t>Simulado</t>
  </si>
  <si>
    <t>C7 Deslocações casa-trabalho</t>
  </si>
  <si>
    <t>S3-C7</t>
  </si>
  <si>
    <t>Deslocações dos trabalhadores em automóvel</t>
  </si>
  <si>
    <t>Inquérito de mobilidade (pressupostos)</t>
  </si>
  <si>
    <t>150 × 62% automóvel × 18 km × dias úteis</t>
  </si>
  <si>
    <t>C9 Transporte e distribuição a jusante</t>
  </si>
  <si>
    <t>S3-C9</t>
  </si>
  <si>
    <t>Transporte do produto a clientes</t>
  </si>
  <si>
    <t>t.km</t>
  </si>
  <si>
    <t>RG-SGA-11 TRP-01 (distância média ponderada 450 km)</t>
  </si>
  <si>
    <t>C12 Fim de vida dos produtos vendidos</t>
  </si>
  <si>
    <t>S3-C12</t>
  </si>
  <si>
    <t>Embalagens vendidas no fim de vida</t>
  </si>
  <si>
    <t>Massa de produto = polímero − scrap não reintegrado</t>
  </si>
  <si>
    <t>CALCULADORA DE GASES COM EFEITO DE ESTUFA — PLASTICOM</t>
  </si>
  <si>
    <t>Resultados do inventário (tbl_inventario_gee) por período · Células amarelas editáveis · Âmbito 2 reportado nos dois métodos (GHG Protocol) · Metas e total usam o market-based · Simulador à direita projeta 2030</t>
  </si>
  <si>
    <t>1. PERÍODO</t>
  </si>
  <si>
    <t>4. SIMULADOR DE DESCARBONIZAÇÃO — CENÁRIO 2030 (altere as células amarelas)</t>
  </si>
  <si>
    <t>Período</t>
  </si>
  <si>
    <t>Ano de reporte 2026 (jan–dez)</t>
  </si>
  <si>
    <t>Crescimento da produção até 2030</t>
  </si>
  <si>
    <t>Redução do consumo específico de energia (OBJ-01 e seguintes)</t>
  </si>
  <si>
    <t>2. RESULTADOS (tCO2e)</t>
  </si>
  <si>
    <t>Produção fotovoltaica em autoconsumo (MWh/ano)</t>
  </si>
  <si>
    <t>Âmbito</t>
  </si>
  <si>
    <t>Categoria / método</t>
  </si>
  <si>
    <t>Período selecionado</t>
  </si>
  <si>
    <t>% do total (MB)</t>
  </si>
  <si>
    <t>Ano-base 2025/26</t>
  </si>
  <si>
    <t>Eletricidade da rede com garantias de origem</t>
  </si>
  <si>
    <t>Conteúdo reciclado no polímero</t>
  </si>
  <si>
    <t>Redução de massa por embalagem (lightweighting)</t>
  </si>
  <si>
    <t>GWP do fluido do chiller após substituição (kgCO2e/kg)</t>
  </si>
  <si>
    <t>Eletricidade adquirida — Location-based</t>
  </si>
  <si>
    <t>—</t>
  </si>
  <si>
    <t>Fuga anual esperada de fluido (kg)</t>
  </si>
  <si>
    <t>Eletricidade adquirida — Market-based</t>
  </si>
  <si>
    <t>Viaturas elétricas</t>
  </si>
  <si>
    <t>Redução de t.km no transporte a jusante</t>
  </si>
  <si>
    <t>Valores de base (ano 2025/26, lidos do inventário)</t>
  </si>
  <si>
    <t>Eletricidade (kWh)</t>
  </si>
  <si>
    <t>Polímero total (kg)</t>
  </si>
  <si>
    <t>Gasóleo das viaturas (L)</t>
  </si>
  <si>
    <t>Gasóleo do gerador (L)</t>
  </si>
  <si>
    <t>Outros bens C1 — tintas, solvente, foil (tCO2e)</t>
  </si>
  <si>
    <t>Total âmbito 1</t>
  </si>
  <si>
    <t>C5 resíduos (tCO2e)</t>
  </si>
  <si>
    <t>Total âmbito 2 — location-based</t>
  </si>
  <si>
    <t>C6 + C7 deslocações (tCO2e)</t>
  </si>
  <si>
    <t>Total âmbito 2 — market-based</t>
  </si>
  <si>
    <t>C9 transporte a jusante (tCO2e)</t>
  </si>
  <si>
    <t>Total âmbito 3</t>
  </si>
  <si>
    <t>C12 fim de vida (tCO2e)</t>
  </si>
  <si>
    <t>TOTAL âmbitos 1+2+3 — location-based</t>
  </si>
  <si>
    <t>PCR no ano-base (fração)</t>
  </si>
  <si>
    <t>TOTAL âmbitos 1+2+3 — market-based</t>
  </si>
  <si>
    <t>Âmbitos 1 + 2 (market-based)</t>
  </si>
  <si>
    <t>Projeção 2030 (tCO2e)</t>
  </si>
  <si>
    <t>Indicador</t>
  </si>
  <si>
    <t>2030 (cenário)</t>
  </si>
  <si>
    <t>Variação</t>
  </si>
  <si>
    <t>3. INTENSIDADES (ano-base 2025/26)</t>
  </si>
  <si>
    <t>Âmbito 1</t>
  </si>
  <si>
    <t>Produção (t de embalagem)</t>
  </si>
  <si>
    <t>Âmbito 2 — location-based</t>
  </si>
  <si>
    <t>Unidades produzidas (injeção + sopro)</t>
  </si>
  <si>
    <t>Âmbito 2 — market-based</t>
  </si>
  <si>
    <t>Faturação (€)</t>
  </si>
  <si>
    <t>Âmbito 3</t>
  </si>
  <si>
    <t>Intensidade market-based (kgCO2e/t produto)</t>
  </si>
  <si>
    <t>Intensidade market-based (tCO2e/M€ de faturação)</t>
  </si>
  <si>
    <t>TOTAL market-based</t>
  </si>
  <si>
    <t>Intensidade âmbitos 1+2 MB (kgCO2e/1.000 unidades)</t>
  </si>
  <si>
    <t>Eletricidade renovável (fração)</t>
  </si>
  <si>
    <t>Peso do âmbito 3 no total (MB)</t>
  </si>
  <si>
    <t>Conteúdo reciclado no polímero (fração)</t>
  </si>
  <si>
    <t>Intensidade total MB (kgCO2e/t produto)</t>
  </si>
  <si>
    <t>Leitura: a projeção aplica as alavancas às quantidades do ano-base. Fatores na folha Fatores_Emissao. As metas e o seu estado estão em Metas_Clima (tbl_metas_clima).</t>
  </si>
  <si>
    <t>METAS CLIMÁTICAS 2030 — BASE, ALVO E PROJEÇÃO DO CENÁRIO</t>
  </si>
  <si>
    <t>A projeção muda com as alavancas da Calculadora_GEE · Metas propostas para aprovação na revisão pela gestão</t>
  </si>
  <si>
    <t>ID_Meta</t>
  </si>
  <si>
    <t>Ano_Base</t>
  </si>
  <si>
    <t>Valor_Base</t>
  </si>
  <si>
    <t>Ano_Meta</t>
  </si>
  <si>
    <t>Tipo_Meta</t>
  </si>
  <si>
    <t>Alvo</t>
  </si>
  <si>
    <t>Valor_Meta</t>
  </si>
  <si>
    <t>Projecao_Cenario</t>
  </si>
  <si>
    <t>Referencia</t>
  </si>
  <si>
    <t>MET-01</t>
  </si>
  <si>
    <t>Emissões dos âmbitos 1 + 2 (market-based)</t>
  </si>
  <si>
    <t>2025/26</t>
  </si>
  <si>
    <t>Redução %</t>
  </si>
  <si>
    <t>Trajetória 1,5 °C (≈ 4,2%/ano) — SBTi para PME</t>
  </si>
  <si>
    <t>MET-02</t>
  </si>
  <si>
    <t>Emissões do âmbito 3</t>
  </si>
  <si>
    <t>Compromisso SBTi para PME (medir e reduzir o âmbito 3)</t>
  </si>
  <si>
    <t>MET-03</t>
  </si>
  <si>
    <t>Eletricidade renovável (GO + autoconsumo)</t>
  </si>
  <si>
    <t>fração</t>
  </si>
  <si>
    <t>Valor-alvo</t>
  </si>
  <si>
    <t>Clientes e RE100 (eletricidade 100% renovável)</t>
  </si>
  <si>
    <t>MET-04</t>
  </si>
  <si>
    <t>Metas de conteúdo reciclado do PPWR para 2030</t>
  </si>
  <si>
    <t>MET-05</t>
  </si>
  <si>
    <t>Intensidade carbónica total (market-based)</t>
  </si>
  <si>
    <t>kgCO2e/t produto</t>
  </si>
  <si>
    <t>Descarbonização por unidade produzida</t>
  </si>
  <si>
    <t>PEGADA DE CARBONO POR PRODUTO — BERÇO-PORTÃO (estimativa ISO 14067 simplificada)</t>
  </si>
  <si>
    <t>Sem decoração, embalagem de transporte nem fim de vida · Massa dos frascos estimada · Fatores em Fatores_Emissao · Não é uma PCF verificada</t>
  </si>
  <si>
    <t>ProductId</t>
  </si>
  <si>
    <t>Tipo</t>
  </si>
  <si>
    <t>Material</t>
  </si>
  <si>
    <t>ID_FE_Material</t>
  </si>
  <si>
    <t>Conteudo_Reciclado</t>
  </si>
  <si>
    <t>Volume_ml</t>
  </si>
  <si>
    <t>Massa_g</t>
  </si>
  <si>
    <t>Origem_Massa</t>
  </si>
  <si>
    <t>Masterbatch_Frac</t>
  </si>
  <si>
    <t>Taxa_Rejeicao</t>
  </si>
  <si>
    <t>kWh_por_1000</t>
  </si>
  <si>
    <t>kgCO2e_Material_1000</t>
  </si>
  <si>
    <t>kgCO2e_Masterbatch_1000</t>
  </si>
  <si>
    <t>kgCO2e_Energia_LB_1000</t>
  </si>
  <si>
    <t>kgCO2e_Total_1000</t>
  </si>
  <si>
    <t>gCO2e_por_Unidade</t>
  </si>
  <si>
    <t>Peso_Material_Pct</t>
  </si>
  <si>
    <t>FR-001-HDPE-300</t>
  </si>
  <si>
    <t>Frasco (ISBM)</t>
  </si>
  <si>
    <t>HDPE</t>
  </si>
  <si>
    <t>Não</t>
  </si>
  <si>
    <t>Estimada (22 g a 300 ml, escala ^2/3)</t>
  </si>
  <si>
    <t>FR-002-HDPE-PCR-300</t>
  </si>
  <si>
    <t>HDPE-PCR</t>
  </si>
  <si>
    <t>Sim</t>
  </si>
  <si>
    <t>FR-001-HDPE-PCR-300</t>
  </si>
  <si>
    <t>FR-001-rPET-300</t>
  </si>
  <si>
    <t>rPET</t>
  </si>
  <si>
    <t>FR-003-rPET-300</t>
  </si>
  <si>
    <t>FR-004-rPET-330</t>
  </si>
  <si>
    <t>FR-008-HDPE-350</t>
  </si>
  <si>
    <t>FR-007-HDPE-350</t>
  </si>
  <si>
    <t>FR-009-HDPE-350</t>
  </si>
  <si>
    <t>FR-008-HDPE-PCR-350</t>
  </si>
  <si>
    <t>FR-007-HDPE-PCR-350</t>
  </si>
  <si>
    <t>FR-009-HDPE-PCR-350</t>
  </si>
  <si>
    <t>FR-008-LDPE-350</t>
  </si>
  <si>
    <t>LDPE</t>
  </si>
  <si>
    <t>FR-008-PET-350</t>
  </si>
  <si>
    <t>PET</t>
  </si>
  <si>
    <t>FR-009-PET-350</t>
  </si>
  <si>
    <t>FR-008-PETG-350</t>
  </si>
  <si>
    <t>PETG</t>
  </si>
  <si>
    <t>FR-007-PETG-350</t>
  </si>
  <si>
    <t>FR-009-PETG-350</t>
  </si>
  <si>
    <t>FR-008-PP-350</t>
  </si>
  <si>
    <t>PP</t>
  </si>
  <si>
    <t>FR-007-PP-350</t>
  </si>
  <si>
    <t>FR-008-PP-PCR-350</t>
  </si>
  <si>
    <t>PP-PCR</t>
  </si>
  <si>
    <t>FR-007-PP-PCR-350</t>
  </si>
  <si>
    <t>FR-007-PVC-350</t>
  </si>
  <si>
    <t>PVC</t>
  </si>
  <si>
    <t>FR-008-rPET-350</t>
  </si>
  <si>
    <t>FR-007-rPET-350</t>
  </si>
  <si>
    <t>FR-009-rPET-350</t>
  </si>
  <si>
    <t>FR-010-PET-400</t>
  </si>
  <si>
    <t>FR-014-HDPE-500</t>
  </si>
  <si>
    <t>FR-013-HDPE-500</t>
  </si>
  <si>
    <t>FR-015-HDPE-500</t>
  </si>
  <si>
    <t>FR-014-HDPE-PCR-500</t>
  </si>
  <si>
    <t>FR-013-HDPE-PCR-500</t>
  </si>
  <si>
    <t>FR-015-HDPE-PCR-500</t>
  </si>
  <si>
    <t>FR-013-LDPE-500</t>
  </si>
  <si>
    <t>FR-013-MDPE-500</t>
  </si>
  <si>
    <t>MDPE</t>
  </si>
  <si>
    <t>FR-013-PET-500</t>
  </si>
  <si>
    <t>FR-014-PETG-500</t>
  </si>
  <si>
    <t>FR-015-PETG-500</t>
  </si>
  <si>
    <t>FR-014-PP-500</t>
  </si>
  <si>
    <t>FR-013-PP-500</t>
  </si>
  <si>
    <t>FR-014-PP-PCR-500</t>
  </si>
  <si>
    <t>FR-013-PP-PCR-500</t>
  </si>
  <si>
    <t>FR-013-PVC-500</t>
  </si>
  <si>
    <t>FR-014-rPET-500</t>
  </si>
  <si>
    <t>FR-013-rPET-500</t>
  </si>
  <si>
    <t>FR-015-rPET-500</t>
  </si>
  <si>
    <t>FR-018-HDPE-600</t>
  </si>
  <si>
    <t>FR-017-HDPE-600</t>
  </si>
  <si>
    <t>FR-019-HDPE-600</t>
  </si>
  <si>
    <t>FR-018-HDPE-PCR-600</t>
  </si>
  <si>
    <t>FR-017-HDPE-PCR-600</t>
  </si>
  <si>
    <t>FR-018-LDPE-600</t>
  </si>
  <si>
    <t>FR-018-MDPE-600</t>
  </si>
  <si>
    <t>FR-018-PET-600</t>
  </si>
  <si>
    <t>FR-019-PET-600</t>
  </si>
  <si>
    <t>FR-018-PETG-600</t>
  </si>
  <si>
    <t>FR-018-PP-600</t>
  </si>
  <si>
    <t>FR-017-PP-600</t>
  </si>
  <si>
    <t>FR-018-PP-PCR-600</t>
  </si>
  <si>
    <t>FR-017-PP-PCR-600</t>
  </si>
  <si>
    <t>FR-018-rPET-600</t>
  </si>
  <si>
    <t>FR-017-rPET-600</t>
  </si>
  <si>
    <t>FR-019-rPET-600</t>
  </si>
  <si>
    <t>FR-020-HDPE-750</t>
  </si>
  <si>
    <t>FR-019-HDPE-750</t>
  </si>
  <si>
    <t>FR-021-HDPE-750</t>
  </si>
  <si>
    <t>FR-020-HDPE-PCR-750</t>
  </si>
  <si>
    <t>FR-019-HDPE-PCR-750</t>
  </si>
  <si>
    <t>FR-019-MDPE-750</t>
  </si>
  <si>
    <t>FR-020-PET-750</t>
  </si>
  <si>
    <t>FR-019-PET-750</t>
  </si>
  <si>
    <t>FR-019-PETG-750</t>
  </si>
  <si>
    <t>FR-020-PP-750</t>
  </si>
  <si>
    <t>FR-019-PP-750</t>
  </si>
  <si>
    <t>FR-020-PP-PCR-750</t>
  </si>
  <si>
    <t>FR-019-PVC-750</t>
  </si>
  <si>
    <t>FR-020-rPET-750</t>
  </si>
  <si>
    <t>FR-019-rPET-750</t>
  </si>
  <si>
    <t>FR-021-rPET-750</t>
  </si>
  <si>
    <t>FR-022-HDPE-1000</t>
  </si>
  <si>
    <t>FR-023-HDPE-1000</t>
  </si>
  <si>
    <t>FR-022-HDPE-PCR-1000</t>
  </si>
  <si>
    <t>FR-022-MDPE-1000</t>
  </si>
  <si>
    <t>FR-025-PET-1000</t>
  </si>
  <si>
    <t>FR-024-PET-1000</t>
  </si>
  <si>
    <t>FR-022-PET-1000</t>
  </si>
  <si>
    <t>FR-022-PETG-1000</t>
  </si>
  <si>
    <t>FR-022-PP-1000</t>
  </si>
  <si>
    <t>FR-022-PP-PCR-1000</t>
  </si>
  <si>
    <t>FR-022-PVC-1000</t>
  </si>
  <si>
    <t>FR-022-rPET-1000</t>
  </si>
  <si>
    <t>FR-023-rPET-1000</t>
  </si>
  <si>
    <t>FR-026-HDPE-4000</t>
  </si>
  <si>
    <t>FR-027-HDPE-5000</t>
  </si>
  <si>
    <t>FR-028-HDPE-5000</t>
  </si>
  <si>
    <t>FR-029-MDPE-5000</t>
  </si>
  <si>
    <t>FR-005-rPET-330</t>
  </si>
  <si>
    <t>FR-006-rPET-330</t>
  </si>
  <si>
    <t>FR-011-PET-400</t>
  </si>
  <si>
    <t>FR-012-PET-400</t>
  </si>
  <si>
    <t>FR-016-HDPE-600</t>
  </si>
  <si>
    <t>FA-030-HDPE-FG-1000</t>
  </si>
  <si>
    <t>HDPE-FG</t>
  </si>
  <si>
    <t>FA-030-PP-FG-1000</t>
  </si>
  <si>
    <t>PP-FG</t>
  </si>
  <si>
    <t>FA-031-HDPE-FG-500</t>
  </si>
  <si>
    <t>FA-031-PP-FG-500</t>
  </si>
  <si>
    <t>FP-032-PP-PG-100</t>
  </si>
  <si>
    <t>PP-PG</t>
  </si>
  <si>
    <t>FP-032-PET-PG-100</t>
  </si>
  <si>
    <t>PET-PG</t>
  </si>
  <si>
    <t>FP-033-PP-PG-250</t>
  </si>
  <si>
    <t>FP-033-PET-PG-250</t>
  </si>
  <si>
    <t>PT-010-PP-050</t>
  </si>
  <si>
    <t>PT-010-PP-PG-050</t>
  </si>
  <si>
    <t>PT-011-PP-100</t>
  </si>
  <si>
    <t>PT-011-PP-PG-100</t>
  </si>
  <si>
    <t>TR-001-HDPE-24410</t>
  </si>
  <si>
    <t>Tampa (injeção)</t>
  </si>
  <si>
    <t>Especificação (média mín./máx.)</t>
  </si>
  <si>
    <t>TR-001-PP-24410</t>
  </si>
  <si>
    <t>TR-001-PP-PCR-24410</t>
  </si>
  <si>
    <t>TR-001-PETG-24410</t>
  </si>
  <si>
    <t>TR-002-HDPE-24410</t>
  </si>
  <si>
    <t>TR-002-PP-24410</t>
  </si>
  <si>
    <t>TR-002-PP-PCR-24410</t>
  </si>
  <si>
    <t>TR-002-PETG-24410</t>
  </si>
  <si>
    <t>TR-003-HDPE-24415</t>
  </si>
  <si>
    <t>TR-003-PP-24415</t>
  </si>
  <si>
    <t>TR-003-PP-PCR-24415</t>
  </si>
  <si>
    <t>TR-003-PETG-24415</t>
  </si>
  <si>
    <t>TR-004-HDPE-28410</t>
  </si>
  <si>
    <t>TR-004-PP-28410</t>
  </si>
  <si>
    <t>TR-004-PP-PCR-28410</t>
  </si>
  <si>
    <t>TR-004-PETG-28410</t>
  </si>
  <si>
    <t>TF-005-PP-24410</t>
  </si>
  <si>
    <t>TF-005-PP-PCR-24410</t>
  </si>
  <si>
    <t>TF-005-HDPE-24410</t>
  </si>
  <si>
    <t>TF-006-PP-24415</t>
  </si>
  <si>
    <t>TF-006-PP-PCR-24415</t>
  </si>
  <si>
    <t>TF-006-HDPE-24415</t>
  </si>
  <si>
    <t>TF-007-PP-28410</t>
  </si>
  <si>
    <t>TF-007-PP-PCR-28410</t>
  </si>
  <si>
    <t>TF-007-HDPE-28410</t>
  </si>
  <si>
    <t>TF-008-PP-28410</t>
  </si>
  <si>
    <t>TF-008-PP-PCR-28410</t>
  </si>
  <si>
    <t>TF-008-HDPE-28410</t>
  </si>
  <si>
    <t>TF-009-PP-28415</t>
  </si>
  <si>
    <t>TF-009-PP-PCR-28415</t>
  </si>
  <si>
    <t>TF-009-HDPE-28415</t>
  </si>
  <si>
    <t>TE-012-PP-PG-24410</t>
  </si>
  <si>
    <t>TP-013-PP-070</t>
  </si>
  <si>
    <t>TP-013-PP-PG-070</t>
  </si>
  <si>
    <t>TA-014-HDPE-FG-28410</t>
  </si>
  <si>
    <t>TA-014-PP-FG-28410</t>
  </si>
  <si>
    <t>INDICADORES ESG — PILAR AMBIENTAL (ano de reporte 2026)</t>
  </si>
  <si>
    <t>Pronto para relatório VSME, questionários CDP/EcoVadis e Power BI · Estimado/Parcial/Lacuna indicam o que falta melhorar</t>
  </si>
  <si>
    <t>ID_Indicador</t>
  </si>
  <si>
    <t>Tema</t>
  </si>
  <si>
    <t>VSME</t>
  </si>
  <si>
    <t>ESRS</t>
  </si>
  <si>
    <t>GRI</t>
  </si>
  <si>
    <t>SASB_RT_CP</t>
  </si>
  <si>
    <t>CDP_EcoVadis</t>
  </si>
  <si>
    <t>ESG-E01</t>
  </si>
  <si>
    <t>Energia</t>
  </si>
  <si>
    <t>Consumo total de energia</t>
  </si>
  <si>
    <t>MWh</t>
  </si>
  <si>
    <t>B3</t>
  </si>
  <si>
    <t>E1-5</t>
  </si>
  <si>
    <t>302-1</t>
  </si>
  <si>
    <t>RT-CP-130a.1</t>
  </si>
  <si>
    <t>CDP C8 / EcoVadis ENV</t>
  </si>
  <si>
    <t>Disponível</t>
  </si>
  <si>
    <t>ESG-E02</t>
  </si>
  <si>
    <t>Eletricidade renovável (garantias de origem)</t>
  </si>
  <si>
    <t>CDP C8</t>
  </si>
  <si>
    <t>Rótulo de energia</t>
  </si>
  <si>
    <t>ESG-E03</t>
  </si>
  <si>
    <t>Quota de energia renovável</t>
  </si>
  <si>
    <t>ESG-E04</t>
  </si>
  <si>
    <t>Intensidade energética</t>
  </si>
  <si>
    <t>kWh/1.000 un</t>
  </si>
  <si>
    <t>302-3</t>
  </si>
  <si>
    <t>EcoVadis ENV</t>
  </si>
  <si>
    <t>RG-SGA-05 KPI-01</t>
  </si>
  <si>
    <t>ESG-E05</t>
  </si>
  <si>
    <t>Clima</t>
  </si>
  <si>
    <t>Emissões de GEE — âmbito 1</t>
  </si>
  <si>
    <t>E1-6</t>
  </si>
  <si>
    <t>305-1</t>
  </si>
  <si>
    <t>RT-CP-110a.1</t>
  </si>
  <si>
    <t>CDP C6</t>
  </si>
  <si>
    <t>tbl_inventario_gee</t>
  </si>
  <si>
    <t>ESG-E06</t>
  </si>
  <si>
    <t>Emissões de GEE — âmbito 2 location-based</t>
  </si>
  <si>
    <t>305-2</t>
  </si>
  <si>
    <t>ESG-E07</t>
  </si>
  <si>
    <t>Emissões de GEE — âmbito 2 market-based</t>
  </si>
  <si>
    <t>ESG-E08</t>
  </si>
  <si>
    <t>Emissões de GEE — âmbito 3 (8 categorias)</t>
  </si>
  <si>
    <t>C (abrangente)</t>
  </si>
  <si>
    <t>305-3</t>
  </si>
  <si>
    <t>CDP C6.5</t>
  </si>
  <si>
    <t>ESG-E09</t>
  </si>
  <si>
    <t>Intensidade de GEE por faturação (market-based)</t>
  </si>
  <si>
    <t>tCO2e/M€</t>
  </si>
  <si>
    <t>305-4</t>
  </si>
  <si>
    <t>CDP C6.10</t>
  </si>
  <si>
    <t>ESG-E10</t>
  </si>
  <si>
    <t>Metas de redução de GEE</t>
  </si>
  <si>
    <t>n.º de metas</t>
  </si>
  <si>
    <t>E1-4</t>
  </si>
  <si>
    <t>305-5</t>
  </si>
  <si>
    <t>CDP C4</t>
  </si>
  <si>
    <t>tbl_metas_clima</t>
  </si>
  <si>
    <t>Parcial</t>
  </si>
  <si>
    <t>ESG-E11</t>
  </si>
  <si>
    <t>Plano de transição climática</t>
  </si>
  <si>
    <t>PL-SGA-01</t>
  </si>
  <si>
    <t>documento</t>
  </si>
  <si>
    <t>E1-1</t>
  </si>
  <si>
    <t>CDP C3</t>
  </si>
  <si>
    <t>Documentos_SGA_Plasticom</t>
  </si>
  <si>
    <t>ESG-E12</t>
  </si>
  <si>
    <t>Poluição</t>
  </si>
  <si>
    <t>Emissões de COV (balanço do inventário de químicos: quantidade × teor de COV)</t>
  </si>
  <si>
    <t>t</t>
  </si>
  <si>
    <t>B4</t>
  </si>
  <si>
    <t>E2-4</t>
  </si>
  <si>
    <t>305-7</t>
  </si>
  <si>
    <t>RT-CP-120a.1</t>
  </si>
  <si>
    <t>RG-SGA-16 EMAS-06b (mesmo método)</t>
  </si>
  <si>
    <t>ESG-E13</t>
  </si>
  <si>
    <t>Perdas de granulado recolhidas (microplásticos)</t>
  </si>
  <si>
    <t>306</t>
  </si>
  <si>
    <t>RG-SGA-13 GRANULADO_KG</t>
  </si>
  <si>
    <t>ESG-E14</t>
  </si>
  <si>
    <t>Resultados de ensaios não conformes com o limite</t>
  </si>
  <si>
    <t>n.º</t>
  </si>
  <si>
    <t>303-4</t>
  </si>
  <si>
    <t>RG-SGA-13 tbl_analises</t>
  </si>
  <si>
    <t>ESG-E15</t>
  </si>
  <si>
    <t>Substâncias preocupantes (SVHC/PFAS) em uso</t>
  </si>
  <si>
    <t>E2-5</t>
  </si>
  <si>
    <t>RG-SGA-21 tbl_quimicos (resumo)</t>
  </si>
  <si>
    <t>ESG-E16</t>
  </si>
  <si>
    <t>Água</t>
  </si>
  <si>
    <t>Captação total de água (rede pública)</t>
  </si>
  <si>
    <t>m³</t>
  </si>
  <si>
    <t>B6</t>
  </si>
  <si>
    <t>E3-4</t>
  </si>
  <si>
    <t>303-3</t>
  </si>
  <si>
    <t>RT-CP-140a.1</t>
  </si>
  <si>
    <t>CDP W1</t>
  </si>
  <si>
    <t>ESG-E17</t>
  </si>
  <si>
    <t>Consumo de água (evaporação na torre)</t>
  </si>
  <si>
    <t>303-5</t>
  </si>
  <si>
    <t>tbl_meses (80% da água da torre)</t>
  </si>
  <si>
    <t>ESG-E18</t>
  </si>
  <si>
    <t>Captação em zona de stress hídrico</t>
  </si>
  <si>
    <t>Por avaliar (WRI Aqueduct, região Centro)</t>
  </si>
  <si>
    <t>texto</t>
  </si>
  <si>
    <t>Lacuna</t>
  </si>
  <si>
    <t>ESG-E19</t>
  </si>
  <si>
    <t>Biodiversidade</t>
  </si>
  <si>
    <t>Área total do terreno</t>
  </si>
  <si>
    <t>m²</t>
  </si>
  <si>
    <t>B5</t>
  </si>
  <si>
    <t>E4-5</t>
  </si>
  <si>
    <t>304-1</t>
  </si>
  <si>
    <t>RG-SGA-16 EMAS-05</t>
  </si>
  <si>
    <t>ESG-E20</t>
  </si>
  <si>
    <t>Área impermeabilizada</t>
  </si>
  <si>
    <t>RG-SGA-16 EMAS-05b</t>
  </si>
  <si>
    <t>ESG-E21</t>
  </si>
  <si>
    <t>Área orientada para a natureza no local</t>
  </si>
  <si>
    <t>RG-SGA-16 EMAS-05c</t>
  </si>
  <si>
    <t>ESG-E22</t>
  </si>
  <si>
    <t>Proximidade de áreas sensíveis para a biodiversidade</t>
  </si>
  <si>
    <t>Sim — Pinhal de Leiria (confirmar Rede Natura 2000 / ICNF)</t>
  </si>
  <si>
    <t>RG-SGA-01 PES-10</t>
  </si>
  <si>
    <t>ESG-E23</t>
  </si>
  <si>
    <t>Recursos</t>
  </si>
  <si>
    <t>Materiais consumidos — polímero</t>
  </si>
  <si>
    <t>B7</t>
  </si>
  <si>
    <t>E5-4</t>
  </si>
  <si>
    <t>301-1</t>
  </si>
  <si>
    <t>RT-CP-410a.1</t>
  </si>
  <si>
    <t>RG-SGA-13 POLIMERO_KG</t>
  </si>
  <si>
    <t>ESG-E24</t>
  </si>
  <si>
    <t>301-2</t>
  </si>
  <si>
    <t>RG-SGA-13 PCR_KG</t>
  </si>
  <si>
    <t>ESG-E25</t>
  </si>
  <si>
    <t>Resíduos produzidos (total)</t>
  </si>
  <si>
    <t>E5-5</t>
  </si>
  <si>
    <t>306-3</t>
  </si>
  <si>
    <t>RG-SGA-13 tbl_residuos</t>
  </si>
  <si>
    <t>ESG-E26</t>
  </si>
  <si>
    <t>Resíduos perigosos</t>
  </si>
  <si>
    <t>RT-CP-150a.1</t>
  </si>
  <si>
    <t>ESG-E27</t>
  </si>
  <si>
    <t>Resíduos desviados de eliminação (operações R)</t>
  </si>
  <si>
    <t>306-4</t>
  </si>
  <si>
    <t>ESG-E28</t>
  </si>
  <si>
    <t>Taxa de valorização de resíduos</t>
  </si>
  <si>
    <t>RG-SGA-05 KPI-05</t>
  </si>
  <si>
    <t>ESG-E29</t>
  </si>
  <si>
    <t>Produtos recicláveis por massa (grau PPWR indicativo A–C, não isentos)</t>
  </si>
  <si>
    <t>301-3</t>
  </si>
  <si>
    <t>RT-CP-410a.2</t>
  </si>
  <si>
    <t>RG-SGA-20 tbl_recyclass; RG-SGA-05 KPI-20</t>
  </si>
  <si>
    <t>ESG-E30</t>
  </si>
  <si>
    <t>Produto</t>
  </si>
  <si>
    <t>Pegada de carbono média por unidade (berço-portão)</t>
  </si>
  <si>
    <t>gCO2e/un</t>
  </si>
  <si>
    <t>E1 (voluntário)</t>
  </si>
  <si>
    <t>CDP (clientes)</t>
  </si>
  <si>
    <t>tbl_pegada_produto</t>
  </si>
  <si>
    <t>ESG-E31</t>
  </si>
  <si>
    <t>Gestão</t>
  </si>
  <si>
    <t>Incidentes ambientais no ano de reporte</t>
  </si>
  <si>
    <t>E2</t>
  </si>
  <si>
    <t>RG-SGA-07 tbl_incidentes</t>
  </si>
  <si>
    <t>ESG-E32</t>
  </si>
  <si>
    <t>Coimas e sanções ambientais</t>
  </si>
  <si>
    <t>€</t>
  </si>
  <si>
    <t>G1 / E2</t>
  </si>
  <si>
    <t>2-27</t>
  </si>
  <si>
    <t>RG-SGA-04</t>
  </si>
  <si>
    <t>ESG-E33</t>
  </si>
  <si>
    <t>Sistema de gestão ambiental</t>
  </si>
  <si>
    <t>ISO 14001:2026 em implementação (prontidão no RG-SGA-00)</t>
  </si>
  <si>
    <t>B2</t>
  </si>
  <si>
    <t>E1–E5 MDR-P</t>
  </si>
  <si>
    <t>RG-SGA-00 Resumo_Prontidao</t>
  </si>
  <si>
    <t>ESG-E34</t>
  </si>
  <si>
    <t>Cadeia de valor</t>
  </si>
  <si>
    <t>Fornecedores de resina avaliados ambientalmente</t>
  </si>
  <si>
    <t>G1-2</t>
  </si>
  <si>
    <t>308-1</t>
  </si>
  <si>
    <t>EcoVadis SUP</t>
  </si>
  <si>
    <t>RG-SGA-11 tbl_fornecedores</t>
  </si>
  <si>
    <t>Conformidade (tbl_analises, RG-SGA-13)</t>
  </si>
  <si>
    <t>Data (tbl_incidentes, RG-SGA-07)</t>
  </si>
  <si>
    <t>MATRIZ DE REQUISITOS ESG — PILAR AMBIENTAL</t>
  </si>
  <si>
    <t>Índice de prontidão ESG-E = média de Pontos (Conforme 1 · Parcial 0,5 · Lacuna 0)</t>
  </si>
  <si>
    <t>ID</t>
  </si>
  <si>
    <t>Referencial</t>
  </si>
  <si>
    <t>Requisito</t>
  </si>
  <si>
    <t>Evidencia</t>
  </si>
  <si>
    <t>Lacuna_Acao</t>
  </si>
  <si>
    <t>Pontos</t>
  </si>
  <si>
    <t>ESGM-01</t>
  </si>
  <si>
    <t>VSME B2 / ESRS MDR-P</t>
  </si>
  <si>
    <t>Transversal</t>
  </si>
  <si>
    <t>Políticas ambientais (clima, poluição, água, biodiversidade, recursos)</t>
  </si>
  <si>
    <t>POL-SGA rev. 02 (RG-SGA-05 tbl_politica)</t>
  </si>
  <si>
    <t>Conforme</t>
  </si>
  <si>
    <t>ESGM-02</t>
  </si>
  <si>
    <t>ESRS 1 / IRO-1</t>
  </si>
  <si>
    <t>Avaliação de materialidade (dupla) dos temas E1–E5</t>
  </si>
  <si>
    <t>ESGM-03</t>
  </si>
  <si>
    <t>ESRS E1-1</t>
  </si>
  <si>
    <t>Plano de transição para a mitigação das alterações climáticas</t>
  </si>
  <si>
    <t>PL-SGA-01; tbl_metas_clima; simulador</t>
  </si>
  <si>
    <t>Aprovar o plano e as metas na revisão pela gestão; orçamento plurianual</t>
  </si>
  <si>
    <t>ESGM-04</t>
  </si>
  <si>
    <t>ESRS E1 IRO-1 / TCFD</t>
  </si>
  <si>
    <t>Riscos climáticos físicos e de transição (cenários)</t>
  </si>
  <si>
    <t>RG-SGA-02 R34, R25; RG-SGA-17 DM-01 a DM-03</t>
  </si>
  <si>
    <t>Análise de cenários físicos (RCP 4.5/8.5) para calor e seca</t>
  </si>
  <si>
    <t>ESGM-05</t>
  </si>
  <si>
    <t>ESRS E1-4 / SBTi</t>
  </si>
  <si>
    <t>Metas de redução de GEE com ano-base</t>
  </si>
  <si>
    <t>Metas propostas; submeter compromisso SBTi para PME</t>
  </si>
  <si>
    <t>ESGM-06</t>
  </si>
  <si>
    <t>ESRS E1-5 / GRI 302</t>
  </si>
  <si>
    <t>Consumo e mix de energia</t>
  </si>
  <si>
    <t>tbl_indicadores_esg ESG-E01 a E04</t>
  </si>
  <si>
    <t>ESGM-07</t>
  </si>
  <si>
    <t>ESRS E1-6 / GRI 305 / ISO 14064-1</t>
  </si>
  <si>
    <t>Inventário de GEE âmbitos 1, 2 (dois métodos) e 3</t>
  </si>
  <si>
    <t>tbl_inventario_gee; PR-SGA-13</t>
  </si>
  <si>
    <t>Âmbito 3 estimado: substituir por PCF de fornecedores</t>
  </si>
  <si>
    <t>ESGM-08</t>
  </si>
  <si>
    <t>ISO 14064-3</t>
  </si>
  <si>
    <t>Verificação independente do inventário</t>
  </si>
  <si>
    <t>Verificação limitada por terceira parte antes de publicar</t>
  </si>
  <si>
    <t>ESGM-09</t>
  </si>
  <si>
    <t>CDP / clientes</t>
  </si>
  <si>
    <t>Pegada de carbono por produto</t>
  </si>
  <si>
    <t>Estimativa; PCF ISO 14067 verificada para as 5 famílias principais</t>
  </si>
  <si>
    <t>ESGM-10</t>
  </si>
  <si>
    <t>ESRS E2-4 / VSME B4</t>
  </si>
  <si>
    <t>Emissões para o ar, água e solo</t>
  </si>
  <si>
    <t>RG-SGA-13 tbl_analises; ESG-E12, E13</t>
  </si>
  <si>
    <t>ESGM-11</t>
  </si>
  <si>
    <t>ESRS E2-5</t>
  </si>
  <si>
    <t>Substâncias que suscitam preocupação (SVHC) e PFAS</t>
  </si>
  <si>
    <t>RG-SGA-21 tbl_quimicos e tbl_declaracoes</t>
  </si>
  <si>
    <t>Obter as declarações 'Por confirmar' (PAM-26-34) e substituir SVHC (PAM-26-29, PAM-26-30)</t>
  </si>
  <si>
    <t>ESGM-12</t>
  </si>
  <si>
    <t>Reg. (UE) 2025/2365 / OCS</t>
  </si>
  <si>
    <t>Prevenção de perdas de granulado de plástico</t>
  </si>
  <si>
    <t>RG-SGA-03 AA-003; OBJ-06; RG-SGA-18 ALT-2026-06</t>
  </si>
  <si>
    <t>Medir perdas totais (não só as recolhidas)</t>
  </si>
  <si>
    <t>ESGM-13</t>
  </si>
  <si>
    <t>ESRS E3-4 / VSME B6</t>
  </si>
  <si>
    <t>Captação, consumo e descarga de água</t>
  </si>
  <si>
    <t>tbl_meses (água); ESG-E16, E17</t>
  </si>
  <si>
    <t>Avaliar stress hídrico (WRI Aqueduct) e medir a purga</t>
  </si>
  <si>
    <t>ESGM-14</t>
  </si>
  <si>
    <t>ESRS E4-5 / VSME B5</t>
  </si>
  <si>
    <t>Uso do solo e proximidade a áreas sensíveis</t>
  </si>
  <si>
    <t>ESG-E19 a E22; POL-06</t>
  </si>
  <si>
    <t>Confirmar com o ICNF a relação com a Rede Natura 2000</t>
  </si>
  <si>
    <t>ESGM-15</t>
  </si>
  <si>
    <t>ESRS E5-4 / VSME B7</t>
  </si>
  <si>
    <t>Fluxos de entrada de materiais e conteúdo reciclado</t>
  </si>
  <si>
    <t>ESG-E23, E24; tbl_dados_ambientais</t>
  </si>
  <si>
    <t>ESGM-16</t>
  </si>
  <si>
    <t>ESRS E5-5 / VSME B7</t>
  </si>
  <si>
    <t>Resíduos por tipo, perigosidade e destino</t>
  </si>
  <si>
    <t>RG-SGA-13 tbl_residuos; ESG-E25 a E28</t>
  </si>
  <si>
    <t>ESGM-17</t>
  </si>
  <si>
    <t>ESRS E5-5 / PPWR</t>
  </si>
  <si>
    <t>Reciclabilidade dos produtos</t>
  </si>
  <si>
    <t>RG-SGA-20 tbl_recyclass; RG-SGA-05 KPI-18/KPI-20</t>
  </si>
  <si>
    <t>Autoavaliação RecyClass feita (113 SKUs); falta certificação e os atos delegados de DfR do PPWR</t>
  </si>
  <si>
    <t>ESGM-18</t>
  </si>
  <si>
    <t>Diretiva (UE) 2024/825</t>
  </si>
  <si>
    <t>Alegações ambientais fundamentadas</t>
  </si>
  <si>
    <t>PR-SGA-14; RG-SGA-20 tbl_alegacoes</t>
  </si>
  <si>
    <t>Retirar 4 alegações até 27/09/2026 (PAM-26-27)</t>
  </si>
  <si>
    <t>ESGM-19</t>
  </si>
  <si>
    <t>GRI 308 / EcoVadis SUP</t>
  </si>
  <si>
    <t>Avaliação ambiental de fornecedores</t>
  </si>
  <si>
    <t>ESGM-20</t>
  </si>
  <si>
    <t>EU Taxonomy</t>
  </si>
  <si>
    <t>Finanças sustentáveis</t>
  </si>
  <si>
    <t>Elegibilidade/alinhamento de atividades (ex.: UPAC, eficiência)</t>
  </si>
  <si>
    <t>Não obrigatório para a Plasticom; útil para financiamento verde</t>
  </si>
  <si>
    <t>ESGM-21</t>
  </si>
  <si>
    <t>VSME / CSRD</t>
  </si>
  <si>
    <t>Reporte</t>
  </si>
  <si>
    <t>Relatório de sustentabilidade (módulo básico VSME)</t>
  </si>
  <si>
    <t>tbl_indicadores_esg</t>
  </si>
  <si>
    <t>Compilar o relatório VSME anual a partir deste registo</t>
  </si>
  <si>
    <t>LISTAS CONTROLADAS (domínios de validação de dados) — editar aqui para alterar opções</t>
  </si>
  <si>
    <t>DataReferencia</t>
  </si>
  <si>
    <t>Metodo</t>
  </si>
  <si>
    <t>QualidadeDado</t>
  </si>
  <si>
    <t>Periodo</t>
  </si>
  <si>
    <t>EstadoESG</t>
  </si>
  <si>
    <t>Funcao</t>
  </si>
  <si>
    <t>EstadoReqE</t>
  </si>
  <si>
    <t>Diretor Geral (Gestão de Topo)</t>
  </si>
  <si>
    <t>Ano-base 2025/26 (set/2025–ago/2026)</t>
  </si>
  <si>
    <t>Diretor Industrial</t>
  </si>
  <si>
    <t>Ano civil 2025 (mar–dez)</t>
  </si>
  <si>
    <t>Gestor do SGA / EHS (Responsável Ambiental)</t>
  </si>
  <si>
    <t>Todo o histórico (22 meses)</t>
  </si>
  <si>
    <t>Gerente de Produção</t>
  </si>
  <si>
    <t>Gerente de Manutenção</t>
  </si>
  <si>
    <t>Gerente da Qualidade</t>
  </si>
  <si>
    <t>Responsável de Armazém e Logística</t>
  </si>
  <si>
    <t>Responsável de Compras</t>
  </si>
  <si>
    <t>Responsável de R&amp;D</t>
  </si>
  <si>
    <t>Responsável de Recursos Humanos</t>
  </si>
  <si>
    <t>Diretor Financeiro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</si>
  <si>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</si>
  <si>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</si>
  <si>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</si>
  <si>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</si>
  <si>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</si>
  <si>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</si>
  <si>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</si>
  <si>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</si>
  <si>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</si>
  <si>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</si>
  <si>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</si>
  <si>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</si>
  <si>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</si>
  <si>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</si>
  <si>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Origem</t>
  </si>
  <si>
    <t>Dominio_Unidade</t>
  </si>
  <si>
    <t>Obrigatorio</t>
  </si>
  <si>
    <t>Chave</t>
  </si>
  <si>
    <t>tbl_fatores_emissao</t>
  </si>
  <si>
    <t>Texto</t>
  </si>
  <si>
    <t>Entrada</t>
  </si>
  <si>
    <t>Fator.</t>
  </si>
  <si>
    <t>PK</t>
  </si>
  <si>
    <t>Categoria.</t>
  </si>
  <si>
    <t>Descrição.</t>
  </si>
  <si>
    <t>Decimal</t>
  </si>
  <si>
    <t>Valor do fator (editável: altera todo o inventário).</t>
  </si>
  <si>
    <t>Unidade.</t>
  </si>
  <si>
    <t>Fonte e estado de confirmação.</t>
  </si>
  <si>
    <t>Inteiro</t>
  </si>
  <si>
    <t>Ano da fonte.</t>
  </si>
  <si>
    <t>Qualidade do fator.</t>
  </si>
  <si>
    <t>Lista lst_Qualidade</t>
  </si>
  <si>
    <t>Calculado (fórmula)</t>
  </si>
  <si>
    <t>Chave (mês + fonte).</t>
  </si>
  <si>
    <t>Data (aaaa-mm-dd)</t>
  </si>
  <si>
    <t>Mês.</t>
  </si>
  <si>
    <t>Ano civil.</t>
  </si>
  <si>
    <t>Ano de reporte (set–ago) — ano-base 2025/26.</t>
  </si>
  <si>
    <t>Âmbito 1, 2 ou 3 (GHG Protocol).</t>
  </si>
  <si>
    <t>Lista lst_Ambito</t>
  </si>
  <si>
    <t>Categoria do GHG Protocol.</t>
  </si>
  <si>
    <t>Fonte de emissão.</t>
  </si>
  <si>
    <t>Descrição da fonte.</t>
  </si>
  <si>
    <t>Location-based / Market-based (âmbito 2) ou Ambos.</t>
  </si>
  <si>
    <t>Lista lst_Metodo</t>
  </si>
  <si>
    <t>Dado de atividade.</t>
  </si>
  <si>
    <t>Unidade do dado de atividade.</t>
  </si>
  <si>
    <t>Fator de emissão.</t>
  </si>
  <si>
    <t>FK → tbl_fatores_emissao</t>
  </si>
  <si>
    <t>Valor do fator (automático).</t>
  </si>
  <si>
    <t>Emissões = dado × fator ÷ 1000.</t>
  </si>
  <si>
    <t>Medido, calculado ou estimado.</t>
  </si>
  <si>
    <t>Lista lst_QualidadeDado</t>
  </si>
  <si>
    <t>Origem do dado de atividade.</t>
  </si>
  <si>
    <t>Pressupostos.</t>
  </si>
  <si>
    <t>Meta.</t>
  </si>
  <si>
    <t>Indicador.</t>
  </si>
  <si>
    <t>Ano-base.</t>
  </si>
  <si>
    <t>Valor no ano-base (da calculadora).</t>
  </si>
  <si>
    <t>Ano da meta.</t>
  </si>
  <si>
    <t>Redução % ou valor-alvo.</t>
  </si>
  <si>
    <t>Percentagem (fração 0-1)</t>
  </si>
  <si>
    <t>Redução (negativa) ou valor-alvo (fração).</t>
  </si>
  <si>
    <t>Valor a atingir.</t>
  </si>
  <si>
    <t>Valor projetado pelo simulador (Calculadora_GEE).</t>
  </si>
  <si>
    <t>Se o cenário atinge a meta.</t>
  </si>
  <si>
    <t>Referência / racional.</t>
  </si>
  <si>
    <t>Produto (dataset).</t>
  </si>
  <si>
    <t>Frasco ou tampa.</t>
  </si>
  <si>
    <t>Material base.</t>
  </si>
  <si>
    <t>Fator do material.</t>
  </si>
  <si>
    <t>Sim se PCR/rPET.</t>
  </si>
  <si>
    <t>Volume (frascos).</t>
  </si>
  <si>
    <t>Massa por unidade (g).</t>
  </si>
  <si>
    <t>Origem da massa.</t>
  </si>
  <si>
    <t>Dosagem de masterbatch (fração da massa).</t>
  </si>
  <si>
    <t>Rejeição do processo no ano de reporte (material extra consumido).</t>
  </si>
  <si>
    <t>Eletricidade por 1.000 unidades (processo + utilidades rateadas).</t>
  </si>
  <si>
    <t>Polímero por 1.000 un (kg = g/un) × fator.</t>
  </si>
  <si>
    <t>Masterbatch.</t>
  </si>
  <si>
    <t>Eletricidade (location-based).</t>
  </si>
  <si>
    <t>Pegada berço-portão por 1.000 un (sem decoração nem transporte).</t>
  </si>
  <si>
    <t>g CO2e por unidade (= kg por 1.000).</t>
  </si>
  <si>
    <t>Peso dos materiais na pegada.</t>
  </si>
  <si>
    <t>Identificador.</t>
  </si>
  <si>
    <t>Tema ambiental.</t>
  </si>
  <si>
    <t>Valor do ano de reporte 2026 (fórmula quando calculado neste ficheiro; valor fixo quando vem de outro registo).</t>
  </si>
  <si>
    <t>Norma voluntária para PME (EFRAG): B = módulo básico; C = abrangente.</t>
  </si>
  <si>
    <t>Requisito ESRS equivalente.</t>
  </si>
  <si>
    <t>GRI Standard.</t>
  </si>
  <si>
    <t>SASB Containers &amp; Packaging.</t>
  </si>
  <si>
    <t>Pergunta CDP / tema EcoVadis.</t>
  </si>
  <si>
    <t>Origem do valor.</t>
  </si>
  <si>
    <t>Disponível · Estimado · Parcial · Lacuna.</t>
  </si>
  <si>
    <t>Lista lst_EstadoESG</t>
  </si>
  <si>
    <t>tbl_matriz_esg</t>
  </si>
  <si>
    <t>Referencial ou regulamento.</t>
  </si>
  <si>
    <t>Tema.</t>
  </si>
  <si>
    <t>Requisito.</t>
  </si>
  <si>
    <t>Onde está a evidência.</t>
  </si>
  <si>
    <t>Conforme · Parcial · Lacuna.</t>
  </si>
  <si>
    <t>Lista lst_EstadoReqE</t>
  </si>
  <si>
    <t>Lacuna e próxima ação.</t>
  </si>
  <si>
    <t>Para o índice de prontidão ESG-E.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</si>
</sst>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yyyy\-mm\-dd"/>
    <numFmt numFmtId="166" formatCode="#,##0.0"/>
    <numFmt numFmtId="167" formatCode="0.0%"/>
    <numFmt numFmtId="168" formatCode="#,##0\ \€"/>
    <numFmt numFmtId="169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9" fontId="5" fillId="6" borderId="1" xfId="0" applyNumberFormat="1" applyFont="1" applyFill="1" applyBorder="1" applyAlignment="1">
      <alignment vertical="top" wrapText="1"/>
    </xf>
    <xf numFmtId="3" fontId="5" fillId="6" borderId="1" xfId="0" applyNumberFormat="1" applyFont="1" applyFill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169" fontId="5" fillId="6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8" fontId="4" fillId="6" borderId="1" xfId="0" applyNumberFormat="1" applyFont="1" applyFill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165" fontId="0" fillId="0" borderId="0" xfId="0" applyNumberFormat="1"/>
    <xf numFmtId="4" fontId="4" fillId="4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5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7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0"/>
  <c:chart>
    <c:title>
      <c:tx>
        <c:rich>
          <a:bodyPr/>
          <a:lstStyle/>
          <a:p>
            <a:pPr>
              <a:defRPr/>
            </a:pPr>
            <a:r>
              <a:t>Emissões por categoria — período selecionado (tCO2e; âmbito 2 market-based)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Calculadora_GEE!$C$8</c:f>
              <c:strCache>
                <c:ptCount val="1"/>
                <c:pt idx="0">
                  <c:v>Período selecionado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Calculadora_GEE!$B$9:$B$21</c:f>
              <c:strCache>
                <c:ptCount val="13"/>
                <c:pt idx="0">
                  <c:v>Combustão móvel (viaturas)</c:v>
                </c:pt>
                <c:pt idx="1">
                  <c:v>Combustão estacionária (gerador)</c:v>
                </c:pt>
                <c:pt idx="2">
                  <c:v>Emissões fugitivas (gases fluorados)</c:v>
                </c:pt>
                <c:pt idx="3">
                  <c:v>Eletricidade adquirida — Location-based</c:v>
                </c:pt>
                <c:pt idx="4">
                  <c:v>Eletricidade adquirida — Market-based</c:v>
                </c:pt>
                <c:pt idx="5">
                  <c:v>C1 Bens e serviços adquiridos</c:v>
                </c:pt>
                <c:pt idx="6">
                  <c:v>C3 Atividades relacionadas com combustíveis e energia</c:v>
                </c:pt>
                <c:pt idx="7">
                  <c:v>C4 Transporte e distribuição a montante</c:v>
                </c:pt>
                <c:pt idx="8">
                  <c:v>C5 Resíduos gerados nas operações</c:v>
                </c:pt>
                <c:pt idx="9">
                  <c:v>C6 Viagens de negócio</c:v>
                </c:pt>
                <c:pt idx="10">
                  <c:v>C7 Deslocações casa-trabalho</c:v>
                </c:pt>
                <c:pt idx="11">
                  <c:v>C9 Transporte e distribuição a jusante</c:v>
                </c:pt>
                <c:pt idx="12">
                  <c:v>C12 Fim de vida dos produtos vendidos</c:v>
                </c:pt>
              </c:strCache>
            </c:strRef>
          </c:cat>
          <c:val>
            <c:numRef>
              <c:f>Calculadora_GEE!$C$9:$C$21</c:f>
              <c:numCache>
                <c:formatCode>#\ ##0.0</c:formatCode>
                <c:ptCount val="13"/>
                <c:pt idx="0">
                  <c:v>8.536999999999999</c:v>
                </c:pt>
                <c:pt idx="1">
                  <c:v>0.58099999999999996</c:v>
                </c:pt>
                <c:pt idx="2">
                  <c:v>0</c:v>
                </c:pt>
                <c:pt idx="3">
                  <c:v>855.95099999999979</c:v>
                </c:pt>
                <c:pt idx="4">
                  <c:v>875.40499999999997</c:v>
                </c:pt>
                <c:pt idx="5">
                  <c:v>1586.6190000000001</c:v>
                </c:pt>
                <c:pt idx="6">
                  <c:v>155.62700000000001</c:v>
                </c:pt>
                <c:pt idx="7">
                  <c:v>104.61999999999998</c:v>
                </c:pt>
                <c:pt idx="8">
                  <c:v>13.853000000000003</c:v>
                </c:pt>
                <c:pt idx="9">
                  <c:v>5.319</c:v>
                </c:pt>
                <c:pt idx="10">
                  <c:v>71.431000000000012</c:v>
                </c:pt>
                <c:pt idx="11">
                  <c:v>42.154999999999994</c:v>
                </c:pt>
                <c:pt idx="12">
                  <c:v>867.38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4-4EFC-BC22-013AA7EED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0"/>
  <c:chart>
    <c:title>
      <c:tx>
        <c:rich>
          <a:bodyPr/>
          <a:lstStyle/>
          <a:p>
            <a:pPr>
              <a:defRPr/>
            </a:pPr>
            <a:r>
              <a:t>Ano-base vs 2030 (tCO2e)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Calculadora_GEE!$H$29</c:f>
              <c:strCache>
                <c:ptCount val="1"/>
                <c:pt idx="0">
                  <c:v>Ano-base 2025/26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Calculadora_GEE!$G$30:$G$33</c:f>
              <c:strCache>
                <c:ptCount val="4"/>
                <c:pt idx="0">
                  <c:v>Âmbito 1</c:v>
                </c:pt>
                <c:pt idx="1">
                  <c:v>Âmbito 2 — location-based</c:v>
                </c:pt>
                <c:pt idx="2">
                  <c:v>Âmbito 2 — market-based</c:v>
                </c:pt>
                <c:pt idx="3">
                  <c:v>Âmbito 3</c:v>
                </c:pt>
              </c:strCache>
            </c:strRef>
          </c:cat>
          <c:val>
            <c:numRef>
              <c:f>Calculadora_GEE!$H$30:$H$33</c:f>
              <c:numCache>
                <c:formatCode>#\ ##0.0</c:formatCode>
                <c:ptCount val="4"/>
                <c:pt idx="0">
                  <c:v>15.628</c:v>
                </c:pt>
                <c:pt idx="1">
                  <c:v>793.30400000000009</c:v>
                </c:pt>
                <c:pt idx="2">
                  <c:v>811.33400000000006</c:v>
                </c:pt>
                <c:pt idx="3">
                  <c:v>2610.8609999999994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E-410B-93B0-9AA6DA882BAB}"/>
            </c:ext>
          </c:extLst>
        </c:ser>
        <c:ser>
          <c:idx val="1"/>
          <c:order val="1"/>
          <c:tx>
            <c:strRef>
              <c:f>Calculadora_GEE!$I$29</c:f>
              <c:strCache>
                <c:ptCount val="1"/>
                <c:pt idx="0">
                  <c:v>2030 (cenário)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Calculadora_GEE!$G$30:$G$33</c:f>
              <c:strCache>
                <c:ptCount val="4"/>
                <c:pt idx="0">
                  <c:v>Âmbito 1</c:v>
                </c:pt>
                <c:pt idx="1">
                  <c:v>Âmbito 2 — location-based</c:v>
                </c:pt>
                <c:pt idx="2">
                  <c:v>Âmbito 2 — market-based</c:v>
                </c:pt>
                <c:pt idx="3">
                  <c:v>Âmbito 3</c:v>
                </c:pt>
              </c:strCache>
            </c:strRef>
          </c:cat>
          <c:val>
            <c:numRef>
              <c:f>Calculadora_GEE!$I$30:$I$33</c:f>
              <c:numCache>
                <c:formatCode>#\ ##0.0</c:formatCode>
                <c:ptCount val="4"/>
                <c:pt idx="0">
                  <c:v>5.7714262000000014</c:v>
                </c:pt>
                <c:pt idx="1">
                  <c:v>587.73859456949992</c:v>
                </c:pt>
                <c:pt idx="2">
                  <c:v>0</c:v>
                </c:pt>
                <c:pt idx="3">
                  <c:v>2469.2141273938196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E-410B-93B0-9AA6DA882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41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atores_emissao" displayName="tbl_fatores_emissao" ref="A4:H43">
  <autoFilter ref="A4:H43" xr:uid="{00000000-0009-0000-0100-000001000000}"/>
  <tableColumns count="8">
    <tableColumn id="1" xr3:uid="{00000000-0010-0000-0000-000001000000}" name="ID_FE"/>
    <tableColumn id="2" xr3:uid="{00000000-0010-0000-0000-000002000000}" name="Categoria"/>
    <tableColumn id="3" xr3:uid="{00000000-0010-0000-0000-000003000000}" name="Descricao"/>
    <tableColumn id="4" xr3:uid="{00000000-0010-0000-0000-000004000000}" name="Valor"/>
    <tableColumn id="5" xr3:uid="{00000000-0010-0000-0000-000005000000}" name="Unidade"/>
    <tableColumn id="6" xr3:uid="{00000000-0010-0000-0000-000006000000}" name="Fonte"/>
    <tableColumn id="7" xr3:uid="{00000000-0010-0000-0000-000007000000}" name="Ano_Fonte"/>
    <tableColumn id="8" xr3:uid="{00000000-0010-0000-0000-000008000000}" name="Qualid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nventario_gee" displayName="tbl_inventario_gee" ref="A4:Q644">
  <autoFilter ref="A4:Q644" xr:uid="{00000000-0009-0000-0100-000002000000}"/>
  <tableColumns count="17">
    <tableColumn id="1" xr3:uid="{00000000-0010-0000-0100-000001000000}" name="ID_Registo"/>
    <tableColumn id="2" xr3:uid="{00000000-0010-0000-0100-000002000000}" name="Mes"/>
    <tableColumn id="3" xr3:uid="{00000000-0010-0000-0100-000003000000}" name="Ano"/>
    <tableColumn id="4" xr3:uid="{00000000-0010-0000-0100-000004000000}" name="Periodo_Reporte"/>
    <tableColumn id="5" xr3:uid="{00000000-0010-0000-0100-000005000000}" name="Ambito"/>
    <tableColumn id="6" xr3:uid="{00000000-0010-0000-0100-000006000000}" name="Categoria"/>
    <tableColumn id="7" xr3:uid="{00000000-0010-0000-0100-000007000000}" name="ID_Fonte"/>
    <tableColumn id="8" xr3:uid="{00000000-0010-0000-0100-000008000000}" name="Fonte"/>
    <tableColumn id="9" xr3:uid="{00000000-0010-0000-0100-000009000000}" name="Metodo_Ambito2"/>
    <tableColumn id="10" xr3:uid="{00000000-0010-0000-0100-00000A000000}" name="Dado_Atividade"/>
    <tableColumn id="11" xr3:uid="{00000000-0010-0000-0100-00000B000000}" name="Unidade"/>
    <tableColumn id="12" xr3:uid="{00000000-0010-0000-0100-00000C000000}" name="ID_FE"/>
    <tableColumn id="13" xr3:uid="{00000000-0010-0000-0100-00000D000000}" name="Fator"/>
    <tableColumn id="14" xr3:uid="{00000000-0010-0000-0100-00000E000000}" name="tCO2e"/>
    <tableColumn id="15" xr3:uid="{00000000-0010-0000-0100-00000F000000}" name="Qualidade_Dado"/>
    <tableColumn id="16" xr3:uid="{00000000-0010-0000-0100-000010000000}" name="Registo_Fonte"/>
    <tableColumn id="17" xr3:uid="{00000000-0010-0000-0100-000011000000}" name="Observa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etas_clima" displayName="tbl_metas_clima" ref="A4:L9">
  <autoFilter ref="A4:L9" xr:uid="{00000000-0009-0000-0100-000003000000}"/>
  <tableColumns count="12">
    <tableColumn id="1" xr3:uid="{00000000-0010-0000-0200-000001000000}" name="ID_Meta"/>
    <tableColumn id="2" xr3:uid="{00000000-0010-0000-0200-000002000000}" name="Indicador"/>
    <tableColumn id="3" xr3:uid="{00000000-0010-0000-0200-000003000000}" name="Unidade"/>
    <tableColumn id="4" xr3:uid="{00000000-0010-0000-0200-000004000000}" name="Ano_Base"/>
    <tableColumn id="5" xr3:uid="{00000000-0010-0000-0200-000005000000}" name="Valor_Base"/>
    <tableColumn id="6" xr3:uid="{00000000-0010-0000-0200-000006000000}" name="Ano_Meta"/>
    <tableColumn id="7" xr3:uid="{00000000-0010-0000-0200-000007000000}" name="Tipo_Meta"/>
    <tableColumn id="8" xr3:uid="{00000000-0010-0000-0200-000008000000}" name="Alvo"/>
    <tableColumn id="9" xr3:uid="{00000000-0010-0000-0200-000009000000}" name="Valor_Meta"/>
    <tableColumn id="10" xr3:uid="{00000000-0010-0000-0200-00000A000000}" name="Projecao_Cenario"/>
    <tableColumn id="11" xr3:uid="{00000000-0010-0000-0200-00000B000000}" name="Estado"/>
    <tableColumn id="12" xr3:uid="{00000000-0010-0000-0200-00000C000000}" name="Referenci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egada_produto" displayName="tbl_pegada_produto" ref="A4:Q153">
  <autoFilter ref="A4:Q153" xr:uid="{00000000-0009-0000-0100-000004000000}"/>
  <tableColumns count="17">
    <tableColumn id="1" xr3:uid="{00000000-0010-0000-0300-000001000000}" name="ProductId"/>
    <tableColumn id="2" xr3:uid="{00000000-0010-0000-0300-000002000000}" name="Tipo"/>
    <tableColumn id="3" xr3:uid="{00000000-0010-0000-0300-000003000000}" name="Material"/>
    <tableColumn id="4" xr3:uid="{00000000-0010-0000-0300-000004000000}" name="ID_FE_Material"/>
    <tableColumn id="5" xr3:uid="{00000000-0010-0000-0300-000005000000}" name="Conteudo_Reciclado"/>
    <tableColumn id="6" xr3:uid="{00000000-0010-0000-0300-000006000000}" name="Volume_ml"/>
    <tableColumn id="7" xr3:uid="{00000000-0010-0000-0300-000007000000}" name="Massa_g"/>
    <tableColumn id="8" xr3:uid="{00000000-0010-0000-0300-000008000000}" name="Origem_Massa"/>
    <tableColumn id="9" xr3:uid="{00000000-0010-0000-0300-000009000000}" name="Masterbatch_Frac"/>
    <tableColumn id="10" xr3:uid="{00000000-0010-0000-0300-00000A000000}" name="Taxa_Rejeicao"/>
    <tableColumn id="11" xr3:uid="{00000000-0010-0000-0300-00000B000000}" name="kWh_por_1000"/>
    <tableColumn id="12" xr3:uid="{00000000-0010-0000-0300-00000C000000}" name="kgCO2e_Material_1000"/>
    <tableColumn id="13" xr3:uid="{00000000-0010-0000-0300-00000D000000}" name="kgCO2e_Masterbatch_1000"/>
    <tableColumn id="14" xr3:uid="{00000000-0010-0000-0300-00000E000000}" name="kgCO2e_Energia_LB_1000"/>
    <tableColumn id="15" xr3:uid="{00000000-0010-0000-0300-00000F000000}" name="kgCO2e_Total_1000"/>
    <tableColumn id="16" xr3:uid="{00000000-0010-0000-0300-000010000000}" name="gCO2e_por_Unidade"/>
    <tableColumn id="17" xr3:uid="{00000000-0010-0000-0300-000011000000}" name="Peso_Material_Pc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indicadores_esg" displayName="tbl_indicadores_esg" ref="A4:L58">
  <autoFilter ref="A4:L58" xr:uid="{00000000-0009-0000-0100-000005000000}"/>
  <tableColumns count="12">
    <tableColumn id="1" xr3:uid="{00000000-0010-0000-0400-000001000000}" name="ID_Indicador"/>
    <tableColumn id="2" xr3:uid="{00000000-0010-0000-0400-000002000000}" name="Tema"/>
    <tableColumn id="3" xr3:uid="{00000000-0010-0000-0400-000003000000}" name="Indicador"/>
    <tableColumn id="4" xr3:uid="{00000000-0010-0000-0400-000004000000}" name="Valor"/>
    <tableColumn id="5" xr3:uid="{00000000-0010-0000-0400-000005000000}" name="Unidade"/>
    <tableColumn id="6" xr3:uid="{00000000-0010-0000-0400-000006000000}" name="VSME"/>
    <tableColumn id="7" xr3:uid="{00000000-0010-0000-0400-000007000000}" name="ESRS"/>
    <tableColumn id="8" xr3:uid="{00000000-0010-0000-0400-000008000000}" name="GRI"/>
    <tableColumn id="9" xr3:uid="{00000000-0010-0000-0400-000009000000}" name="SASB_RT_CP"/>
    <tableColumn id="10" xr3:uid="{00000000-0010-0000-0400-00000A000000}" name="CDP_EcoVadis"/>
    <tableColumn id="11" xr3:uid="{00000000-0010-0000-0400-00000B000000}" name="Registo_Fonte"/>
    <tableColumn id="12" xr3:uid="{00000000-0010-0000-0400-00000C000000}" name="Est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matriz_esg" displayName="tbl_matriz_esg" ref="A4:H25">
  <autoFilter ref="A4:H25" xr:uid="{00000000-0009-0000-0100-000006000000}"/>
  <tableColumns count="8">
    <tableColumn id="1" xr3:uid="{00000000-0010-0000-0500-000001000000}" name="ID"/>
    <tableColumn id="2" xr3:uid="{00000000-0010-0000-0500-000002000000}" name="Referencial"/>
    <tableColumn id="3" xr3:uid="{00000000-0010-0000-0500-000003000000}" name="Tema"/>
    <tableColumn id="4" xr3:uid="{00000000-0010-0000-0500-000004000000}" name="Requisito"/>
    <tableColumn id="5" xr3:uid="{00000000-0010-0000-0500-000005000000}" name="Evidencia"/>
    <tableColumn id="6" xr3:uid="{00000000-0010-0000-0500-000006000000}" name="Estado"/>
    <tableColumn id="7" xr3:uid="{00000000-0010-0000-0500-000007000000}" name="Lacuna_Acao"/>
    <tableColumn id="8" xr3:uid="{00000000-0010-0000-0500-000008000000}" name="Ponto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cionario" displayName="tbl_dicionario" ref="A1:I75">
  <autoFilter ref="A1:I75" xr:uid="{00000000-0009-0000-0100-000007000000}"/>
  <tableColumns count="9">
    <tableColumn id="1" xr3:uid="{00000000-0010-0000-0600-000001000000}" name="Folha"/>
    <tableColumn id="2" xr3:uid="{00000000-0010-0000-0600-000002000000}" name="Tabela"/>
    <tableColumn id="3" xr3:uid="{00000000-0010-0000-0600-000003000000}" name="Coluna"/>
    <tableColumn id="4" xr3:uid="{00000000-0010-0000-0600-000004000000}" name="Tipo"/>
    <tableColumn id="5" xr3:uid="{00000000-0010-0000-0600-000005000000}" name="Origem"/>
    <tableColumn id="6" xr3:uid="{00000000-0010-0000-0600-000006000000}" name="Descricao"/>
    <tableColumn id="7" xr3:uid="{00000000-0010-0000-0600-000007000000}" name="Dominio_Unidade"/>
    <tableColumn id="8" xr3:uid="{00000000-0010-0000-0600-000008000000}" name="Obrigatorio"/>
    <tableColumn id="9" xr3:uid="{00000000-0010-0000-06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5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46289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66" x14ac:dyDescent="0.3">
      <c r="A16" s="5" t="s">
        <v>21</v>
      </c>
      <c r="B16" s="6" t="s">
        <v>22</v>
      </c>
    </row>
    <row r="17" spans="1:2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ht="26.4" x14ac:dyDescent="0.3">
      <c r="A28" s="5" t="s">
        <v>42</v>
      </c>
      <c r="B28" s="6" t="s">
        <v>43</v>
      </c>
    </row>
    <row r="29" spans="1:2" x14ac:dyDescent="0.3">
      <c r="A29" s="5" t="s">
        <v>44</v>
      </c>
      <c r="B29" s="6" t="s">
        <v>45</v>
      </c>
    </row>
    <row r="30" spans="1:2" x14ac:dyDescent="0.3">
      <c r="A30" s="5" t="s">
        <v>46</v>
      </c>
      <c r="B30" s="6" t="s">
        <v>47</v>
      </c>
    </row>
    <row r="32" spans="1:2" x14ac:dyDescent="0.3">
      <c r="A32" s="3" t="s">
        <v>48</v>
      </c>
      <c r="B32" s="4"/>
    </row>
    <row r="33" spans="1:2" ht="26.4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x14ac:dyDescent="0.3">
      <c r="A35" s="5" t="s">
        <v>53</v>
      </c>
      <c r="B35" s="6" t="s">
        <v>54</v>
      </c>
    </row>
    <row r="36" spans="1:2" ht="26.4" x14ac:dyDescent="0.3">
      <c r="A36" s="5" t="s">
        <v>55</v>
      </c>
      <c r="B36" s="6" t="s">
        <v>56</v>
      </c>
    </row>
    <row r="37" spans="1:2" ht="26.4" x14ac:dyDescent="0.3">
      <c r="A37" s="5" t="s">
        <v>57</v>
      </c>
      <c r="B37" s="6" t="s">
        <v>58</v>
      </c>
    </row>
    <row r="38" spans="1:2" ht="26.4" x14ac:dyDescent="0.3">
      <c r="A38" s="5" t="s">
        <v>59</v>
      </c>
      <c r="B38" s="6" t="s">
        <v>60</v>
      </c>
    </row>
    <row r="40" spans="1:2" x14ac:dyDescent="0.3">
      <c r="A40" s="3" t="s">
        <v>61</v>
      </c>
      <c r="B40" s="4"/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x14ac:dyDescent="0.3">
      <c r="A43" s="5" t="s">
        <v>66</v>
      </c>
      <c r="B43" s="6" t="s">
        <v>67</v>
      </c>
    </row>
    <row r="44" spans="1:2" x14ac:dyDescent="0.3">
      <c r="A44" s="5" t="s">
        <v>68</v>
      </c>
      <c r="B44" s="6" t="s">
        <v>69</v>
      </c>
    </row>
    <row r="45" spans="1:2" x14ac:dyDescent="0.3">
      <c r="A45" s="5" t="s">
        <v>70</v>
      </c>
      <c r="B45" s="6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6" customWidth="1"/>
    <col min="3" max="3" width="52" customWidth="1"/>
    <col min="4" max="4" width="10" customWidth="1"/>
    <col min="5" max="5" width="13" customWidth="1"/>
    <col min="6" max="6" width="52" customWidth="1"/>
    <col min="7" max="7" width="8" customWidth="1"/>
    <col min="8" max="8" width="9" customWidth="1"/>
  </cols>
  <sheetData>
    <row r="1" spans="1:8" ht="17.399999999999999" x14ac:dyDescent="0.3">
      <c r="A1" s="1" t="s">
        <v>72</v>
      </c>
    </row>
    <row r="2" spans="1:8" x14ac:dyDescent="0.3">
      <c r="A2" s="2" t="s">
        <v>73</v>
      </c>
    </row>
    <row r="4" spans="1:8" ht="26.4" x14ac:dyDescent="0.3">
      <c r="A4" s="8" t="s">
        <v>74</v>
      </c>
      <c r="B4" s="8" t="s">
        <v>75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80</v>
      </c>
      <c r="H4" s="8" t="s">
        <v>81</v>
      </c>
    </row>
    <row r="5" spans="1:8" ht="30" customHeight="1" x14ac:dyDescent="0.3">
      <c r="A5" s="9" t="s">
        <v>82</v>
      </c>
      <c r="B5" s="9" t="s">
        <v>83</v>
      </c>
      <c r="C5" s="9" t="s">
        <v>84</v>
      </c>
      <c r="D5" s="10">
        <v>0.11</v>
      </c>
      <c r="E5" s="9" t="s">
        <v>85</v>
      </c>
      <c r="F5" s="9" t="s">
        <v>86</v>
      </c>
      <c r="G5" s="11">
        <v>2025</v>
      </c>
      <c r="H5" s="9" t="s">
        <v>87</v>
      </c>
    </row>
    <row r="6" spans="1:8" ht="30" customHeight="1" x14ac:dyDescent="0.3">
      <c r="A6" s="9" t="s">
        <v>88</v>
      </c>
      <c r="B6" s="9" t="s">
        <v>83</v>
      </c>
      <c r="C6" s="9" t="s">
        <v>89</v>
      </c>
      <c r="D6" s="10">
        <v>0.25</v>
      </c>
      <c r="E6" s="9" t="s">
        <v>85</v>
      </c>
      <c r="F6" s="9" t="s">
        <v>90</v>
      </c>
      <c r="G6" s="11">
        <v>2025</v>
      </c>
      <c r="H6" s="9" t="s">
        <v>91</v>
      </c>
    </row>
    <row r="7" spans="1:8" ht="30" customHeight="1" x14ac:dyDescent="0.3">
      <c r="A7" s="9" t="s">
        <v>92</v>
      </c>
      <c r="B7" s="9" t="s">
        <v>83</v>
      </c>
      <c r="C7" s="9" t="s">
        <v>93</v>
      </c>
      <c r="D7" s="10">
        <v>0</v>
      </c>
      <c r="E7" s="9" t="s">
        <v>85</v>
      </c>
      <c r="F7" s="9" t="s">
        <v>94</v>
      </c>
      <c r="G7" s="11">
        <v>2015</v>
      </c>
      <c r="H7" s="9" t="s">
        <v>95</v>
      </c>
    </row>
    <row r="8" spans="1:8" ht="30" customHeight="1" x14ac:dyDescent="0.3">
      <c r="A8" s="9" t="s">
        <v>96</v>
      </c>
      <c r="B8" s="9" t="s">
        <v>97</v>
      </c>
      <c r="C8" s="9" t="s">
        <v>98</v>
      </c>
      <c r="D8" s="10">
        <v>2.66</v>
      </c>
      <c r="E8" s="9" t="s">
        <v>99</v>
      </c>
      <c r="F8" s="9" t="s">
        <v>100</v>
      </c>
      <c r="G8" s="11">
        <v>2025</v>
      </c>
      <c r="H8" s="9" t="s">
        <v>87</v>
      </c>
    </row>
    <row r="9" spans="1:8" ht="30" customHeight="1" x14ac:dyDescent="0.3">
      <c r="A9" s="9" t="s">
        <v>101</v>
      </c>
      <c r="B9" s="9" t="s">
        <v>102</v>
      </c>
      <c r="C9" s="9" t="s">
        <v>103</v>
      </c>
      <c r="D9" s="10">
        <v>2088</v>
      </c>
      <c r="E9" s="9" t="s">
        <v>104</v>
      </c>
      <c r="F9" s="9" t="s">
        <v>105</v>
      </c>
      <c r="G9" s="11">
        <v>2024</v>
      </c>
      <c r="H9" s="9" t="s">
        <v>95</v>
      </c>
    </row>
    <row r="10" spans="1:8" ht="30" customHeight="1" x14ac:dyDescent="0.3">
      <c r="A10" s="9" t="s">
        <v>106</v>
      </c>
      <c r="B10" s="9" t="s">
        <v>107</v>
      </c>
      <c r="C10" s="9" t="s">
        <v>108</v>
      </c>
      <c r="D10" s="10">
        <v>1.6</v>
      </c>
      <c r="E10" s="9" t="s">
        <v>104</v>
      </c>
      <c r="F10" s="9" t="s">
        <v>109</v>
      </c>
      <c r="G10" s="11">
        <v>2023</v>
      </c>
      <c r="H10" s="9" t="s">
        <v>87</v>
      </c>
    </row>
    <row r="11" spans="1:8" ht="30" customHeight="1" x14ac:dyDescent="0.3">
      <c r="A11" s="9" t="s">
        <v>110</v>
      </c>
      <c r="B11" s="9" t="s">
        <v>107</v>
      </c>
      <c r="C11" s="9" t="s">
        <v>111</v>
      </c>
      <c r="D11" s="10">
        <v>1.8</v>
      </c>
      <c r="E11" s="9" t="s">
        <v>104</v>
      </c>
      <c r="F11" s="9" t="s">
        <v>109</v>
      </c>
      <c r="G11" s="11">
        <v>2023</v>
      </c>
      <c r="H11" s="9" t="s">
        <v>87</v>
      </c>
    </row>
    <row r="12" spans="1:8" ht="30" customHeight="1" x14ac:dyDescent="0.3">
      <c r="A12" s="9" t="s">
        <v>112</v>
      </c>
      <c r="B12" s="9" t="s">
        <v>107</v>
      </c>
      <c r="C12" s="9" t="s">
        <v>113</v>
      </c>
      <c r="D12" s="10">
        <v>2.2000000000000002</v>
      </c>
      <c r="E12" s="9" t="s">
        <v>104</v>
      </c>
      <c r="F12" s="9" t="s">
        <v>109</v>
      </c>
      <c r="G12" s="11">
        <v>2023</v>
      </c>
      <c r="H12" s="9" t="s">
        <v>87</v>
      </c>
    </row>
    <row r="13" spans="1:8" ht="30" customHeight="1" x14ac:dyDescent="0.3">
      <c r="A13" s="9" t="s">
        <v>114</v>
      </c>
      <c r="B13" s="9" t="s">
        <v>107</v>
      </c>
      <c r="C13" s="9" t="s">
        <v>115</v>
      </c>
      <c r="D13" s="10">
        <v>2</v>
      </c>
      <c r="E13" s="9" t="s">
        <v>104</v>
      </c>
      <c r="F13" s="9" t="s">
        <v>109</v>
      </c>
      <c r="G13" s="11">
        <v>2023</v>
      </c>
      <c r="H13" s="9" t="s">
        <v>87</v>
      </c>
    </row>
    <row r="14" spans="1:8" ht="30" customHeight="1" x14ac:dyDescent="0.3">
      <c r="A14" s="9" t="s">
        <v>116</v>
      </c>
      <c r="B14" s="9" t="s">
        <v>107</v>
      </c>
      <c r="C14" s="9" t="s">
        <v>117</v>
      </c>
      <c r="D14" s="10">
        <v>0.5</v>
      </c>
      <c r="E14" s="9" t="s">
        <v>104</v>
      </c>
      <c r="F14" s="9" t="s">
        <v>118</v>
      </c>
      <c r="G14" s="11">
        <v>2023</v>
      </c>
      <c r="H14" s="9" t="s">
        <v>91</v>
      </c>
    </row>
    <row r="15" spans="1:8" ht="30" customHeight="1" x14ac:dyDescent="0.3">
      <c r="A15" s="9" t="s">
        <v>119</v>
      </c>
      <c r="B15" s="9" t="s">
        <v>107</v>
      </c>
      <c r="C15" s="9" t="s">
        <v>120</v>
      </c>
      <c r="D15" s="10">
        <v>1.9</v>
      </c>
      <c r="E15" s="9" t="s">
        <v>104</v>
      </c>
      <c r="F15" s="9" t="s">
        <v>121</v>
      </c>
      <c r="G15" s="11">
        <v>2025</v>
      </c>
      <c r="H15" s="9" t="s">
        <v>87</v>
      </c>
    </row>
    <row r="16" spans="1:8" ht="30" customHeight="1" x14ac:dyDescent="0.3">
      <c r="A16" s="9" t="s">
        <v>122</v>
      </c>
      <c r="B16" s="9" t="s">
        <v>107</v>
      </c>
      <c r="C16" s="9" t="s">
        <v>123</v>
      </c>
      <c r="D16" s="10">
        <v>3</v>
      </c>
      <c r="E16" s="9" t="s">
        <v>104</v>
      </c>
      <c r="F16" s="9" t="s">
        <v>124</v>
      </c>
      <c r="G16" s="11">
        <v>2023</v>
      </c>
      <c r="H16" s="9" t="s">
        <v>91</v>
      </c>
    </row>
    <row r="17" spans="1:8" ht="30" customHeight="1" x14ac:dyDescent="0.3">
      <c r="A17" s="9" t="s">
        <v>125</v>
      </c>
      <c r="B17" s="9" t="s">
        <v>107</v>
      </c>
      <c r="C17" s="9" t="s">
        <v>126</v>
      </c>
      <c r="D17" s="10">
        <v>1.8</v>
      </c>
      <c r="E17" s="9" t="s">
        <v>104</v>
      </c>
      <c r="F17" s="9" t="s">
        <v>127</v>
      </c>
      <c r="G17" s="11">
        <v>2023</v>
      </c>
      <c r="H17" s="9" t="s">
        <v>91</v>
      </c>
    </row>
    <row r="18" spans="1:8" ht="30" customHeight="1" x14ac:dyDescent="0.3">
      <c r="A18" s="9" t="s">
        <v>128</v>
      </c>
      <c r="B18" s="9" t="s">
        <v>107</v>
      </c>
      <c r="C18" s="9" t="s">
        <v>129</v>
      </c>
      <c r="D18" s="10">
        <v>3.5</v>
      </c>
      <c r="E18" s="9" t="s">
        <v>104</v>
      </c>
      <c r="F18" s="9" t="s">
        <v>127</v>
      </c>
      <c r="G18" s="11">
        <v>2023</v>
      </c>
      <c r="H18" s="9" t="s">
        <v>91</v>
      </c>
    </row>
    <row r="19" spans="1:8" ht="30" customHeight="1" x14ac:dyDescent="0.3">
      <c r="A19" s="9" t="s">
        <v>130</v>
      </c>
      <c r="B19" s="9" t="s">
        <v>107</v>
      </c>
      <c r="C19" s="9" t="s">
        <v>131</v>
      </c>
      <c r="D19" s="10">
        <v>3</v>
      </c>
      <c r="E19" s="9" t="s">
        <v>104</v>
      </c>
      <c r="F19" s="9" t="s">
        <v>132</v>
      </c>
      <c r="G19" s="11">
        <v>2023</v>
      </c>
      <c r="H19" s="9" t="s">
        <v>91</v>
      </c>
    </row>
    <row r="20" spans="1:8" ht="30" customHeight="1" x14ac:dyDescent="0.3">
      <c r="A20" s="9" t="s">
        <v>133</v>
      </c>
      <c r="B20" s="9" t="s">
        <v>134</v>
      </c>
      <c r="C20" s="9" t="s">
        <v>135</v>
      </c>
      <c r="D20" s="10">
        <v>0.02</v>
      </c>
      <c r="E20" s="9" t="s">
        <v>85</v>
      </c>
      <c r="F20" s="9" t="s">
        <v>136</v>
      </c>
      <c r="G20" s="11">
        <v>2025</v>
      </c>
      <c r="H20" s="9" t="s">
        <v>91</v>
      </c>
    </row>
    <row r="21" spans="1:8" ht="30" customHeight="1" x14ac:dyDescent="0.3">
      <c r="A21" s="9" t="s">
        <v>137</v>
      </c>
      <c r="B21" s="9" t="s">
        <v>138</v>
      </c>
      <c r="C21" s="9" t="s">
        <v>139</v>
      </c>
      <c r="D21" s="10">
        <v>0.1178</v>
      </c>
      <c r="E21" s="9" t="s">
        <v>104</v>
      </c>
      <c r="F21" s="9" t="s">
        <v>140</v>
      </c>
      <c r="G21" s="11">
        <v>2026</v>
      </c>
      <c r="H21" s="9" t="s">
        <v>87</v>
      </c>
    </row>
    <row r="22" spans="1:8" ht="30" customHeight="1" x14ac:dyDescent="0.3">
      <c r="A22" s="9" t="s">
        <v>141</v>
      </c>
      <c r="B22" s="9" t="s">
        <v>138</v>
      </c>
      <c r="C22" s="9" t="s">
        <v>142</v>
      </c>
      <c r="D22" s="10">
        <v>0.108</v>
      </c>
      <c r="E22" s="9" t="s">
        <v>143</v>
      </c>
      <c r="F22" s="9" t="s">
        <v>144</v>
      </c>
      <c r="G22" s="11">
        <v>2023</v>
      </c>
      <c r="H22" s="9" t="s">
        <v>87</v>
      </c>
    </row>
    <row r="23" spans="1:8" ht="30" customHeight="1" x14ac:dyDescent="0.3">
      <c r="A23" s="9" t="s">
        <v>145</v>
      </c>
      <c r="B23" s="9" t="s">
        <v>138</v>
      </c>
      <c r="C23" s="9" t="s">
        <v>146</v>
      </c>
      <c r="D23" s="10">
        <v>0.03</v>
      </c>
      <c r="E23" s="9" t="s">
        <v>143</v>
      </c>
      <c r="F23" s="9" t="s">
        <v>147</v>
      </c>
      <c r="G23" s="11">
        <v>2005</v>
      </c>
      <c r="H23" s="9" t="s">
        <v>87</v>
      </c>
    </row>
    <row r="24" spans="1:8" ht="30" customHeight="1" x14ac:dyDescent="0.3">
      <c r="A24" s="9" t="s">
        <v>148</v>
      </c>
      <c r="B24" s="9" t="s">
        <v>149</v>
      </c>
      <c r="C24" s="9" t="s">
        <v>150</v>
      </c>
      <c r="D24" s="10">
        <v>2.1000000000000001E-2</v>
      </c>
      <c r="E24" s="9" t="s">
        <v>104</v>
      </c>
      <c r="F24" s="9" t="s">
        <v>151</v>
      </c>
      <c r="G24" s="11">
        <v>2025</v>
      </c>
      <c r="H24" s="9" t="s">
        <v>87</v>
      </c>
    </row>
    <row r="25" spans="1:8" ht="30" customHeight="1" x14ac:dyDescent="0.3">
      <c r="A25" s="9" t="s">
        <v>152</v>
      </c>
      <c r="B25" s="9" t="s">
        <v>149</v>
      </c>
      <c r="C25" s="9" t="s">
        <v>153</v>
      </c>
      <c r="D25" s="10">
        <v>0.45</v>
      </c>
      <c r="E25" s="9" t="s">
        <v>104</v>
      </c>
      <c r="F25" s="9" t="s">
        <v>154</v>
      </c>
      <c r="G25" s="11">
        <v>2025</v>
      </c>
      <c r="H25" s="9" t="s">
        <v>87</v>
      </c>
    </row>
    <row r="26" spans="1:8" ht="30" customHeight="1" x14ac:dyDescent="0.3">
      <c r="A26" s="9" t="s">
        <v>155</v>
      </c>
      <c r="B26" s="9" t="s">
        <v>149</v>
      </c>
      <c r="C26" s="9" t="s">
        <v>156</v>
      </c>
      <c r="D26" s="10">
        <v>0.9</v>
      </c>
      <c r="E26" s="9" t="s">
        <v>104</v>
      </c>
      <c r="F26" s="9" t="s">
        <v>157</v>
      </c>
      <c r="G26" s="11">
        <v>2025</v>
      </c>
      <c r="H26" s="9" t="s">
        <v>91</v>
      </c>
    </row>
    <row r="27" spans="1:8" ht="30" customHeight="1" x14ac:dyDescent="0.3">
      <c r="A27" s="9" t="s">
        <v>158</v>
      </c>
      <c r="B27" s="9" t="s">
        <v>159</v>
      </c>
      <c r="C27" s="9" t="s">
        <v>160</v>
      </c>
      <c r="D27" s="10">
        <v>0.17</v>
      </c>
      <c r="E27" s="9" t="s">
        <v>161</v>
      </c>
      <c r="F27" s="9" t="s">
        <v>162</v>
      </c>
      <c r="G27" s="11">
        <v>2025</v>
      </c>
      <c r="H27" s="9" t="s">
        <v>87</v>
      </c>
    </row>
    <row r="28" spans="1:8" ht="30" customHeight="1" x14ac:dyDescent="0.3">
      <c r="A28" s="9" t="s">
        <v>163</v>
      </c>
      <c r="B28" s="9" t="s">
        <v>164</v>
      </c>
      <c r="C28" s="9" t="s">
        <v>165</v>
      </c>
      <c r="D28" s="10">
        <v>1</v>
      </c>
      <c r="E28" s="9" t="s">
        <v>104</v>
      </c>
      <c r="F28" s="9" t="s">
        <v>166</v>
      </c>
      <c r="G28" s="11">
        <v>2023</v>
      </c>
      <c r="H28" s="9" t="s">
        <v>91</v>
      </c>
    </row>
    <row r="29" spans="1:8" ht="30" customHeight="1" x14ac:dyDescent="0.3">
      <c r="A29" s="9"/>
      <c r="B29" s="9"/>
      <c r="C29" s="9"/>
      <c r="D29" s="10"/>
      <c r="E29" s="9"/>
      <c r="F29" s="9"/>
      <c r="G29" s="11"/>
      <c r="H29" s="9"/>
    </row>
    <row r="30" spans="1:8" ht="30" customHeight="1" x14ac:dyDescent="0.3">
      <c r="A30" s="9"/>
      <c r="B30" s="9"/>
      <c r="C30" s="9"/>
      <c r="D30" s="10"/>
      <c r="E30" s="9"/>
      <c r="F30" s="9"/>
      <c r="G30" s="11"/>
      <c r="H30" s="9"/>
    </row>
    <row r="31" spans="1:8" ht="30" customHeight="1" x14ac:dyDescent="0.3">
      <c r="A31" s="9"/>
      <c r="B31" s="9"/>
      <c r="C31" s="9"/>
      <c r="D31" s="10"/>
      <c r="E31" s="9"/>
      <c r="F31" s="9"/>
      <c r="G31" s="11"/>
      <c r="H31" s="9"/>
    </row>
    <row r="32" spans="1:8" ht="30" customHeight="1" x14ac:dyDescent="0.3">
      <c r="A32" s="9"/>
      <c r="B32" s="9"/>
      <c r="C32" s="9"/>
      <c r="D32" s="10"/>
      <c r="E32" s="9"/>
      <c r="F32" s="9"/>
      <c r="G32" s="11"/>
      <c r="H32" s="9"/>
    </row>
    <row r="33" spans="1:8" ht="30" customHeight="1" x14ac:dyDescent="0.3">
      <c r="A33" s="9"/>
      <c r="B33" s="9"/>
      <c r="C33" s="9"/>
      <c r="D33" s="10"/>
      <c r="E33" s="9"/>
      <c r="F33" s="9"/>
      <c r="G33" s="11"/>
      <c r="H33" s="9"/>
    </row>
    <row r="34" spans="1:8" ht="30" customHeight="1" x14ac:dyDescent="0.3">
      <c r="A34" s="9"/>
      <c r="B34" s="9"/>
      <c r="C34" s="9"/>
      <c r="D34" s="10"/>
      <c r="E34" s="9"/>
      <c r="F34" s="9"/>
      <c r="G34" s="11"/>
      <c r="H34" s="9"/>
    </row>
    <row r="35" spans="1:8" ht="30" customHeight="1" x14ac:dyDescent="0.3">
      <c r="A35" s="9"/>
      <c r="B35" s="9"/>
      <c r="C35" s="9"/>
      <c r="D35" s="10"/>
      <c r="E35" s="9"/>
      <c r="F35" s="9"/>
      <c r="G35" s="11"/>
      <c r="H35" s="9"/>
    </row>
    <row r="36" spans="1:8" ht="30" customHeight="1" x14ac:dyDescent="0.3">
      <c r="A36" s="9"/>
      <c r="B36" s="9"/>
      <c r="C36" s="9"/>
      <c r="D36" s="10"/>
      <c r="E36" s="9"/>
      <c r="F36" s="9"/>
      <c r="G36" s="11"/>
      <c r="H36" s="9"/>
    </row>
    <row r="37" spans="1:8" ht="30" customHeight="1" x14ac:dyDescent="0.3">
      <c r="A37" s="9"/>
      <c r="B37" s="9"/>
      <c r="C37" s="9"/>
      <c r="D37" s="10"/>
      <c r="E37" s="9"/>
      <c r="F37" s="9"/>
      <c r="G37" s="11"/>
      <c r="H37" s="9"/>
    </row>
    <row r="38" spans="1:8" ht="30" customHeight="1" x14ac:dyDescent="0.3">
      <c r="A38" s="9"/>
      <c r="B38" s="9"/>
      <c r="C38" s="9"/>
      <c r="D38" s="10"/>
      <c r="E38" s="9"/>
      <c r="F38" s="9"/>
      <c r="G38" s="11"/>
      <c r="H38" s="9"/>
    </row>
    <row r="39" spans="1:8" ht="30" customHeight="1" x14ac:dyDescent="0.3">
      <c r="A39" s="9"/>
      <c r="B39" s="9"/>
      <c r="C39" s="9"/>
      <c r="D39" s="10"/>
      <c r="E39" s="9"/>
      <c r="F39" s="9"/>
      <c r="G39" s="11"/>
      <c r="H39" s="9"/>
    </row>
    <row r="40" spans="1:8" ht="30" customHeight="1" x14ac:dyDescent="0.3">
      <c r="A40" s="9"/>
      <c r="B40" s="9"/>
      <c r="C40" s="9"/>
      <c r="D40" s="10"/>
      <c r="E40" s="9"/>
      <c r="F40" s="9"/>
      <c r="G40" s="11"/>
      <c r="H40" s="9"/>
    </row>
    <row r="41" spans="1:8" ht="30" customHeight="1" x14ac:dyDescent="0.3">
      <c r="A41" s="9"/>
      <c r="B41" s="9"/>
      <c r="C41" s="9"/>
      <c r="D41" s="10"/>
      <c r="E41" s="9"/>
      <c r="F41" s="9"/>
      <c r="G41" s="11"/>
      <c r="H41" s="9"/>
    </row>
    <row r="42" spans="1:8" ht="30" customHeight="1" x14ac:dyDescent="0.3">
      <c r="A42" s="9"/>
      <c r="B42" s="9"/>
      <c r="C42" s="9"/>
      <c r="D42" s="10"/>
      <c r="E42" s="9"/>
      <c r="F42" s="9"/>
      <c r="G42" s="11"/>
      <c r="H42" s="9"/>
    </row>
    <row r="43" spans="1:8" ht="30" customHeight="1" x14ac:dyDescent="0.3">
      <c r="A43" s="9"/>
      <c r="B43" s="9"/>
      <c r="C43" s="9"/>
      <c r="D43" s="10"/>
      <c r="E43" s="9"/>
      <c r="F43" s="9"/>
      <c r="G43" s="11"/>
      <c r="H43" s="9"/>
    </row>
  </sheetData>
  <conditionalFormatting sqref="H5:H243">
    <cfRule type="expression" dxfId="16" priority="1">
      <formula>ISNUMBER(SEARCH("Baixa",H5))</formula>
    </cfRule>
    <cfRule type="expression" dxfId="15" priority="2">
      <formula>ISNUMBER(SEARCH("Alta",H5))</formula>
    </cfRule>
  </conditionalFormatting>
  <dataValidations count="1">
    <dataValidation type="list" allowBlank="1" showErrorMessage="1" errorTitle="Valor inválido" error="Valor fora da lista controlada (ver folha Listas)." sqref="H5:H243" xr:uid="{00000000-0002-0000-0100-000000000000}">
      <formula1>lst_Qualidade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4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11" customWidth="1"/>
    <col min="3" max="3" width="6" customWidth="1"/>
    <col min="4" max="4" width="12" customWidth="1"/>
    <col min="5" max="5" width="7" customWidth="1"/>
    <col min="6" max="6" width="34" customWidth="1"/>
    <col min="7" max="7" width="11" customWidth="1"/>
    <col min="8" max="8" width="38" customWidth="1"/>
    <col min="9" max="9" width="13" customWidth="1"/>
    <col min="10" max="10" width="12" customWidth="1"/>
    <col min="11" max="12" width="7" customWidth="1"/>
    <col min="13" max="13" width="9" customWidth="1"/>
    <col min="14" max="15" width="10" customWidth="1"/>
    <col min="16" max="16" width="36" customWidth="1"/>
    <col min="17" max="17" width="28" customWidth="1"/>
  </cols>
  <sheetData>
    <row r="1" spans="1:17" ht="17.399999999999999" x14ac:dyDescent="0.3">
      <c r="A1" s="1" t="s">
        <v>167</v>
      </c>
    </row>
    <row r="2" spans="1:17" x14ac:dyDescent="0.3">
      <c r="A2" s="2" t="s">
        <v>168</v>
      </c>
    </row>
    <row r="4" spans="1:17" ht="26.4" x14ac:dyDescent="0.3">
      <c r="A4" s="12" t="s">
        <v>169</v>
      </c>
      <c r="B4" s="8" t="s">
        <v>170</v>
      </c>
      <c r="C4" s="12" t="s">
        <v>171</v>
      </c>
      <c r="D4" s="12" t="s">
        <v>172</v>
      </c>
      <c r="E4" s="8" t="s">
        <v>173</v>
      </c>
      <c r="F4" s="8" t="s">
        <v>75</v>
      </c>
      <c r="G4" s="8" t="s">
        <v>174</v>
      </c>
      <c r="H4" s="8" t="s">
        <v>79</v>
      </c>
      <c r="I4" s="8" t="s">
        <v>175</v>
      </c>
      <c r="J4" s="8" t="s">
        <v>176</v>
      </c>
      <c r="K4" s="8" t="s">
        <v>78</v>
      </c>
      <c r="L4" s="8" t="s">
        <v>74</v>
      </c>
      <c r="M4" s="12" t="s">
        <v>177</v>
      </c>
      <c r="N4" s="12" t="s">
        <v>178</v>
      </c>
      <c r="O4" s="8" t="s">
        <v>179</v>
      </c>
      <c r="P4" s="8" t="s">
        <v>180</v>
      </c>
      <c r="Q4" s="8" t="s">
        <v>181</v>
      </c>
    </row>
    <row r="5" spans="1:17" ht="18" customHeight="1" x14ac:dyDescent="0.3">
      <c r="A5" s="13" t="str">
        <f t="shared" ref="A5:A68" si="0">IF(B5="","",(YEAR(B5)*100+MONTH(B5))&amp;"-"&amp;G5)</f>
        <v>202503-S1-01</v>
      </c>
      <c r="B5" s="14">
        <v>45717</v>
      </c>
      <c r="C5" s="15">
        <f t="shared" ref="C5:C68" si="1">IF(B5="","",YEAR(B5))</f>
        <v>2025</v>
      </c>
      <c r="D5" s="13" t="str">
        <f t="shared" ref="D5:D68" si="2">IF(B5="","",IF(AND(B5&gt;=DATE(2025,9,1),B5&lt;=DATE(2026,8,1)),"2025/26","Fora"))</f>
        <v>Fora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16">
        <v>255.2</v>
      </c>
      <c r="K5" s="9" t="s">
        <v>187</v>
      </c>
      <c r="L5" s="9" t="s">
        <v>96</v>
      </c>
      <c r="M5" s="17">
        <f>IF(L5="","",IFERROR(INDEX(tbl_fatores_emissao[Valor],MATCH(L5,tbl_fatores_emissao[ID_FE],0)),""))</f>
        <v>2.66</v>
      </c>
      <c r="N5" s="17">
        <f t="shared" ref="N5:N68" si="3">IF(OR(J5="",M5=""),"",ROUND(J5*M5/1000,3))</f>
        <v>0.67900000000000005</v>
      </c>
      <c r="O5" s="9" t="s">
        <v>188</v>
      </c>
      <c r="P5" s="9" t="s">
        <v>189</v>
      </c>
      <c r="Q5" s="9" t="s">
        <v>190</v>
      </c>
    </row>
    <row r="6" spans="1:17" ht="18" customHeight="1" x14ac:dyDescent="0.3">
      <c r="A6" s="13" t="str">
        <f t="shared" si="0"/>
        <v>202503-S1-02</v>
      </c>
      <c r="B6" s="14">
        <v>45717</v>
      </c>
      <c r="C6" s="15">
        <f t="shared" si="1"/>
        <v>2025</v>
      </c>
      <c r="D6" s="13" t="str">
        <f t="shared" si="2"/>
        <v>Fora</v>
      </c>
      <c r="E6" s="9" t="s">
        <v>182</v>
      </c>
      <c r="F6" s="9" t="s">
        <v>191</v>
      </c>
      <c r="G6" s="9" t="s">
        <v>192</v>
      </c>
      <c r="H6" s="9" t="s">
        <v>193</v>
      </c>
      <c r="I6" s="9" t="s">
        <v>186</v>
      </c>
      <c r="J6" s="16">
        <v>20.86</v>
      </c>
      <c r="K6" s="9" t="s">
        <v>187</v>
      </c>
      <c r="L6" s="9" t="s">
        <v>96</v>
      </c>
      <c r="M6" s="17">
        <f>IF(L6="","",IFERROR(INDEX(tbl_fatores_emissao[Valor],MATCH(L6,tbl_fatores_emissao[ID_FE],0)),""))</f>
        <v>2.66</v>
      </c>
      <c r="N6" s="17">
        <f t="shared" si="3"/>
        <v>5.5E-2</v>
      </c>
      <c r="O6" s="9" t="s">
        <v>194</v>
      </c>
      <c r="P6" s="9" t="s">
        <v>195</v>
      </c>
      <c r="Q6" s="9" t="s">
        <v>190</v>
      </c>
    </row>
    <row r="7" spans="1:17" ht="18" customHeight="1" x14ac:dyDescent="0.3">
      <c r="A7" s="13" t="str">
        <f t="shared" si="0"/>
        <v>202503-S1-03</v>
      </c>
      <c r="B7" s="14">
        <v>45717</v>
      </c>
      <c r="C7" s="15">
        <f t="shared" si="1"/>
        <v>2025</v>
      </c>
      <c r="D7" s="13" t="str">
        <f t="shared" si="2"/>
        <v>Fora</v>
      </c>
      <c r="E7" s="9" t="s">
        <v>182</v>
      </c>
      <c r="F7" s="9" t="s">
        <v>196</v>
      </c>
      <c r="G7" s="9" t="s">
        <v>197</v>
      </c>
      <c r="H7" s="9" t="s">
        <v>198</v>
      </c>
      <c r="I7" s="9" t="s">
        <v>186</v>
      </c>
      <c r="J7" s="16"/>
      <c r="K7" s="9" t="s">
        <v>199</v>
      </c>
      <c r="L7" s="9" t="s">
        <v>101</v>
      </c>
      <c r="M7" s="17">
        <f>IF(L7="","",IFERROR(INDEX(tbl_fatores_emissao[Valor],MATCH(L7,tbl_fatores_emissao[ID_FE],0)),""))</f>
        <v>2088</v>
      </c>
      <c r="N7" s="17" t="str">
        <f t="shared" si="3"/>
        <v/>
      </c>
      <c r="O7" s="9" t="s">
        <v>188</v>
      </c>
      <c r="P7" s="9" t="s">
        <v>200</v>
      </c>
      <c r="Q7" s="9"/>
    </row>
    <row r="8" spans="1:17" ht="18" customHeight="1" x14ac:dyDescent="0.3">
      <c r="A8" s="13" t="str">
        <f t="shared" si="0"/>
        <v>202503-S2-LB</v>
      </c>
      <c r="B8" s="14">
        <v>45717</v>
      </c>
      <c r="C8" s="15">
        <f t="shared" si="1"/>
        <v>2025</v>
      </c>
      <c r="D8" s="13" t="str">
        <f t="shared" si="2"/>
        <v>Fora</v>
      </c>
      <c r="E8" s="9" t="s">
        <v>201</v>
      </c>
      <c r="F8" s="9" t="s">
        <v>202</v>
      </c>
      <c r="G8" s="9" t="s">
        <v>203</v>
      </c>
      <c r="H8" s="9" t="s">
        <v>204</v>
      </c>
      <c r="I8" s="9" t="s">
        <v>205</v>
      </c>
      <c r="J8" s="16">
        <v>568941.28</v>
      </c>
      <c r="K8" s="9" t="s">
        <v>206</v>
      </c>
      <c r="L8" s="9" t="s">
        <v>82</v>
      </c>
      <c r="M8" s="17">
        <f>IF(L8="","",IFERROR(INDEX(tbl_fatores_emissao[Valor],MATCH(L8,tbl_fatores_emissao[ID_FE],0)),""))</f>
        <v>0.11</v>
      </c>
      <c r="N8" s="17">
        <f t="shared" si="3"/>
        <v>62.584000000000003</v>
      </c>
      <c r="O8" s="9" t="s">
        <v>188</v>
      </c>
      <c r="P8" s="9" t="s">
        <v>207</v>
      </c>
      <c r="Q8" s="9"/>
    </row>
    <row r="9" spans="1:17" ht="18" customHeight="1" x14ac:dyDescent="0.3">
      <c r="A9" s="13" t="str">
        <f t="shared" si="0"/>
        <v>202503-S2-MB-GO</v>
      </c>
      <c r="B9" s="14">
        <v>45717</v>
      </c>
      <c r="C9" s="15">
        <f t="shared" si="1"/>
        <v>2025</v>
      </c>
      <c r="D9" s="13" t="str">
        <f t="shared" si="2"/>
        <v>Fora</v>
      </c>
      <c r="E9" s="9" t="s">
        <v>201</v>
      </c>
      <c r="F9" s="9" t="s">
        <v>202</v>
      </c>
      <c r="G9" s="9" t="s">
        <v>208</v>
      </c>
      <c r="H9" s="9" t="s">
        <v>209</v>
      </c>
      <c r="I9" s="9" t="s">
        <v>210</v>
      </c>
      <c r="J9" s="16">
        <v>312917.7</v>
      </c>
      <c r="K9" s="9" t="s">
        <v>206</v>
      </c>
      <c r="L9" s="9" t="s">
        <v>92</v>
      </c>
      <c r="M9" s="17">
        <f>IF(L9="","",IFERROR(INDEX(tbl_fatores_emissao[Valor],MATCH(L9,tbl_fatores_emissao[ID_FE],0)),""))</f>
        <v>0</v>
      </c>
      <c r="N9" s="17">
        <f t="shared" si="3"/>
        <v>0</v>
      </c>
      <c r="O9" s="9" t="s">
        <v>188</v>
      </c>
      <c r="P9" s="9" t="s">
        <v>211</v>
      </c>
      <c r="Q9" s="9"/>
    </row>
    <row r="10" spans="1:17" ht="18" customHeight="1" x14ac:dyDescent="0.3">
      <c r="A10" s="13" t="str">
        <f t="shared" si="0"/>
        <v>202503-S2-MB-RES</v>
      </c>
      <c r="B10" s="14">
        <v>45717</v>
      </c>
      <c r="C10" s="15">
        <f t="shared" si="1"/>
        <v>2025</v>
      </c>
      <c r="D10" s="13" t="str">
        <f t="shared" si="2"/>
        <v>Fora</v>
      </c>
      <c r="E10" s="9" t="s">
        <v>201</v>
      </c>
      <c r="F10" s="9" t="s">
        <v>202</v>
      </c>
      <c r="G10" s="9" t="s">
        <v>212</v>
      </c>
      <c r="H10" s="9" t="s">
        <v>213</v>
      </c>
      <c r="I10" s="9" t="s">
        <v>210</v>
      </c>
      <c r="J10" s="16">
        <v>256023.58</v>
      </c>
      <c r="K10" s="9" t="s">
        <v>206</v>
      </c>
      <c r="L10" s="9" t="s">
        <v>88</v>
      </c>
      <c r="M10" s="17">
        <f>IF(L10="","",IFERROR(INDEX(tbl_fatores_emissao[Valor],MATCH(L10,tbl_fatores_emissao[ID_FE],0)),""))</f>
        <v>0.25</v>
      </c>
      <c r="N10" s="17">
        <f t="shared" si="3"/>
        <v>64.006</v>
      </c>
      <c r="O10" s="9" t="s">
        <v>188</v>
      </c>
      <c r="P10" s="9" t="s">
        <v>211</v>
      </c>
      <c r="Q10" s="9"/>
    </row>
    <row r="11" spans="1:17" ht="18" customHeight="1" x14ac:dyDescent="0.3">
      <c r="A11" s="13" t="str">
        <f t="shared" si="0"/>
        <v>202503-S3-C1-VIR</v>
      </c>
      <c r="B11" s="14">
        <v>45717</v>
      </c>
      <c r="C11" s="15">
        <f t="shared" si="1"/>
        <v>2025</v>
      </c>
      <c r="D11" s="13" t="str">
        <f t="shared" si="2"/>
        <v>Fora</v>
      </c>
      <c r="E11" s="9" t="s">
        <v>214</v>
      </c>
      <c r="F11" s="9" t="s">
        <v>215</v>
      </c>
      <c r="G11" s="9" t="s">
        <v>216</v>
      </c>
      <c r="H11" s="9" t="s">
        <v>217</v>
      </c>
      <c r="I11" s="9" t="s">
        <v>186</v>
      </c>
      <c r="J11" s="16">
        <v>57980.02</v>
      </c>
      <c r="K11" s="9" t="s">
        <v>199</v>
      </c>
      <c r="L11" s="9" t="s">
        <v>119</v>
      </c>
      <c r="M11" s="17">
        <f>IF(L11="","",IFERROR(INDEX(tbl_fatores_emissao[Valor],MATCH(L11,tbl_fatores_emissao[ID_FE],0)),""))</f>
        <v>1.9</v>
      </c>
      <c r="N11" s="17">
        <f t="shared" si="3"/>
        <v>110.16200000000001</v>
      </c>
      <c r="O11" s="9" t="s">
        <v>218</v>
      </c>
      <c r="P11" s="9" t="s">
        <v>219</v>
      </c>
      <c r="Q11" s="9"/>
    </row>
    <row r="12" spans="1:17" ht="18" customHeight="1" x14ac:dyDescent="0.3">
      <c r="A12" s="13" t="str">
        <f t="shared" si="0"/>
        <v>202503-S3-C1-PCR</v>
      </c>
      <c r="B12" s="14">
        <v>45717</v>
      </c>
      <c r="C12" s="15">
        <f t="shared" si="1"/>
        <v>2025</v>
      </c>
      <c r="D12" s="13" t="str">
        <f t="shared" si="2"/>
        <v>Fora</v>
      </c>
      <c r="E12" s="9" t="s">
        <v>214</v>
      </c>
      <c r="F12" s="9" t="s">
        <v>215</v>
      </c>
      <c r="G12" s="9" t="s">
        <v>220</v>
      </c>
      <c r="H12" s="9" t="s">
        <v>221</v>
      </c>
      <c r="I12" s="9" t="s">
        <v>186</v>
      </c>
      <c r="J12" s="16">
        <v>7563.26</v>
      </c>
      <c r="K12" s="9" t="s">
        <v>199</v>
      </c>
      <c r="L12" s="9" t="s">
        <v>116</v>
      </c>
      <c r="M12" s="17">
        <f>IF(L12="","",IFERROR(INDEX(tbl_fatores_emissao[Valor],MATCH(L12,tbl_fatores_emissao[ID_FE],0)),""))</f>
        <v>0.5</v>
      </c>
      <c r="N12" s="17">
        <f t="shared" si="3"/>
        <v>3.782</v>
      </c>
      <c r="O12" s="9" t="s">
        <v>218</v>
      </c>
      <c r="P12" s="9" t="s">
        <v>222</v>
      </c>
      <c r="Q12" s="9"/>
    </row>
    <row r="13" spans="1:17" ht="18" customHeight="1" x14ac:dyDescent="0.3">
      <c r="A13" s="13" t="str">
        <f t="shared" si="0"/>
        <v>202503-S3-C1-TIN</v>
      </c>
      <c r="B13" s="14">
        <v>45717</v>
      </c>
      <c r="C13" s="15">
        <f t="shared" si="1"/>
        <v>2025</v>
      </c>
      <c r="D13" s="13" t="str">
        <f t="shared" si="2"/>
        <v>Fora</v>
      </c>
      <c r="E13" s="9" t="s">
        <v>214</v>
      </c>
      <c r="F13" s="9" t="s">
        <v>215</v>
      </c>
      <c r="G13" s="9" t="s">
        <v>223</v>
      </c>
      <c r="H13" s="9" t="s">
        <v>123</v>
      </c>
      <c r="I13" s="9" t="s">
        <v>186</v>
      </c>
      <c r="J13" s="16">
        <v>88.24</v>
      </c>
      <c r="K13" s="9" t="s">
        <v>199</v>
      </c>
      <c r="L13" s="9" t="s">
        <v>122</v>
      </c>
      <c r="M13" s="17">
        <f>IF(L13="","",IFERROR(INDEX(tbl_fatores_emissao[Valor],MATCH(L13,tbl_fatores_emissao[ID_FE],0)),""))</f>
        <v>3</v>
      </c>
      <c r="N13" s="17">
        <f t="shared" si="3"/>
        <v>0.26500000000000001</v>
      </c>
      <c r="O13" s="9" t="s">
        <v>218</v>
      </c>
      <c r="P13" s="9" t="s">
        <v>224</v>
      </c>
      <c r="Q13" s="9"/>
    </row>
    <row r="14" spans="1:17" ht="18" customHeight="1" x14ac:dyDescent="0.3">
      <c r="A14" s="13" t="str">
        <f t="shared" si="0"/>
        <v>202503-S3-C1-SOL</v>
      </c>
      <c r="B14" s="14">
        <v>45717</v>
      </c>
      <c r="C14" s="15">
        <f t="shared" si="1"/>
        <v>2025</v>
      </c>
      <c r="D14" s="13" t="str">
        <f t="shared" si="2"/>
        <v>Fora</v>
      </c>
      <c r="E14" s="9" t="s">
        <v>214</v>
      </c>
      <c r="F14" s="9" t="s">
        <v>215</v>
      </c>
      <c r="G14" s="9" t="s">
        <v>225</v>
      </c>
      <c r="H14" s="9" t="s">
        <v>126</v>
      </c>
      <c r="I14" s="9" t="s">
        <v>186</v>
      </c>
      <c r="J14" s="16">
        <v>60.61</v>
      </c>
      <c r="K14" s="9" t="s">
        <v>199</v>
      </c>
      <c r="L14" s="9" t="s">
        <v>125</v>
      </c>
      <c r="M14" s="17">
        <f>IF(L14="","",IFERROR(INDEX(tbl_fatores_emissao[Valor],MATCH(L14,tbl_fatores_emissao[ID_FE],0)),""))</f>
        <v>1.8</v>
      </c>
      <c r="N14" s="17">
        <f t="shared" si="3"/>
        <v>0.109</v>
      </c>
      <c r="O14" s="9" t="s">
        <v>188</v>
      </c>
      <c r="P14" s="9" t="s">
        <v>226</v>
      </c>
      <c r="Q14" s="9"/>
    </row>
    <row r="15" spans="1:17" ht="18" customHeight="1" x14ac:dyDescent="0.3">
      <c r="A15" s="13" t="str">
        <f t="shared" si="0"/>
        <v>202503-S3-C1-FOI</v>
      </c>
      <c r="B15" s="14">
        <v>45717</v>
      </c>
      <c r="C15" s="15">
        <f t="shared" si="1"/>
        <v>2025</v>
      </c>
      <c r="D15" s="13" t="str">
        <f t="shared" si="2"/>
        <v>Fora</v>
      </c>
      <c r="E15" s="9" t="s">
        <v>214</v>
      </c>
      <c r="F15" s="9" t="s">
        <v>215</v>
      </c>
      <c r="G15" s="9" t="s">
        <v>227</v>
      </c>
      <c r="H15" s="9" t="s">
        <v>129</v>
      </c>
      <c r="I15" s="9" t="s">
        <v>186</v>
      </c>
      <c r="J15" s="16">
        <v>1178.9000000000001</v>
      </c>
      <c r="K15" s="9" t="s">
        <v>199</v>
      </c>
      <c r="L15" s="9" t="s">
        <v>128</v>
      </c>
      <c r="M15" s="17">
        <f>IF(L15="","",IFERROR(INDEX(tbl_fatores_emissao[Valor],MATCH(L15,tbl_fatores_emissao[ID_FE],0)),""))</f>
        <v>3.5</v>
      </c>
      <c r="N15" s="17">
        <f t="shared" si="3"/>
        <v>4.1260000000000003</v>
      </c>
      <c r="O15" s="9" t="s">
        <v>218</v>
      </c>
      <c r="P15" s="9" t="s">
        <v>228</v>
      </c>
      <c r="Q15" s="9"/>
    </row>
    <row r="16" spans="1:17" ht="18" customHeight="1" x14ac:dyDescent="0.3">
      <c r="A16" s="13" t="str">
        <f t="shared" si="0"/>
        <v>202503-S3-C3</v>
      </c>
      <c r="B16" s="14">
        <v>45717</v>
      </c>
      <c r="C16" s="15">
        <f t="shared" si="1"/>
        <v>2025</v>
      </c>
      <c r="D16" s="13" t="str">
        <f t="shared" si="2"/>
        <v>Fora</v>
      </c>
      <c r="E16" s="9" t="s">
        <v>214</v>
      </c>
      <c r="F16" s="9" t="s">
        <v>229</v>
      </c>
      <c r="G16" s="9" t="s">
        <v>230</v>
      </c>
      <c r="H16" s="9" t="s">
        <v>231</v>
      </c>
      <c r="I16" s="9" t="s">
        <v>186</v>
      </c>
      <c r="J16" s="16">
        <v>568941.28</v>
      </c>
      <c r="K16" s="9" t="s">
        <v>206</v>
      </c>
      <c r="L16" s="9" t="s">
        <v>133</v>
      </c>
      <c r="M16" s="17">
        <f>IF(L16="","",IFERROR(INDEX(tbl_fatores_emissao[Valor],MATCH(L16,tbl_fatores_emissao[ID_FE],0)),""))</f>
        <v>0.02</v>
      </c>
      <c r="N16" s="17">
        <f t="shared" si="3"/>
        <v>11.379</v>
      </c>
      <c r="O16" s="9" t="s">
        <v>194</v>
      </c>
      <c r="P16" s="9" t="s">
        <v>232</v>
      </c>
      <c r="Q16" s="9"/>
    </row>
    <row r="17" spans="1:17" ht="18" customHeight="1" x14ac:dyDescent="0.3">
      <c r="A17" s="13" t="str">
        <f t="shared" si="0"/>
        <v>202503-S3-C4</v>
      </c>
      <c r="B17" s="14">
        <v>45717</v>
      </c>
      <c r="C17" s="15">
        <f t="shared" si="1"/>
        <v>2025</v>
      </c>
      <c r="D17" s="13" t="str">
        <f t="shared" si="2"/>
        <v>Fora</v>
      </c>
      <c r="E17" s="9" t="s">
        <v>214</v>
      </c>
      <c r="F17" s="9" t="s">
        <v>233</v>
      </c>
      <c r="G17" s="9" t="s">
        <v>234</v>
      </c>
      <c r="H17" s="9" t="s">
        <v>235</v>
      </c>
      <c r="I17" s="9" t="s">
        <v>186</v>
      </c>
      <c r="J17" s="16">
        <v>65543.28</v>
      </c>
      <c r="K17" s="9" t="s">
        <v>199</v>
      </c>
      <c r="L17" s="9" t="s">
        <v>137</v>
      </c>
      <c r="M17" s="17">
        <f>IF(L17="","",IFERROR(INDEX(tbl_fatores_emissao[Valor],MATCH(L17,tbl_fatores_emissao[ID_FE],0)),""))</f>
        <v>0.1178</v>
      </c>
      <c r="N17" s="17">
        <f t="shared" si="3"/>
        <v>7.7210000000000001</v>
      </c>
      <c r="O17" s="9" t="s">
        <v>194</v>
      </c>
      <c r="P17" s="9" t="s">
        <v>236</v>
      </c>
      <c r="Q17" s="9"/>
    </row>
    <row r="18" spans="1:17" ht="18" customHeight="1" x14ac:dyDescent="0.3">
      <c r="A18" s="13" t="str">
        <f t="shared" si="0"/>
        <v>202503-S3-C5-REC</v>
      </c>
      <c r="B18" s="14">
        <v>45717</v>
      </c>
      <c r="C18" s="15">
        <f t="shared" si="1"/>
        <v>2025</v>
      </c>
      <c r="D18" s="13" t="str">
        <f t="shared" si="2"/>
        <v>Fora</v>
      </c>
      <c r="E18" s="9" t="s">
        <v>214</v>
      </c>
      <c r="F18" s="9" t="s">
        <v>237</v>
      </c>
      <c r="G18" s="9" t="s">
        <v>238</v>
      </c>
      <c r="H18" s="9" t="s">
        <v>239</v>
      </c>
      <c r="I18" s="9" t="s">
        <v>186</v>
      </c>
      <c r="J18" s="16">
        <v>9047.7999999999993</v>
      </c>
      <c r="K18" s="9" t="s">
        <v>199</v>
      </c>
      <c r="L18" s="9" t="s">
        <v>148</v>
      </c>
      <c r="M18" s="17">
        <f>IF(L18="","",IFERROR(INDEX(tbl_fatores_emissao[Valor],MATCH(L18,tbl_fatores_emissao[ID_FE],0)),""))</f>
        <v>2.1000000000000001E-2</v>
      </c>
      <c r="N18" s="17">
        <f t="shared" si="3"/>
        <v>0.19</v>
      </c>
      <c r="O18" s="9" t="s">
        <v>188</v>
      </c>
      <c r="P18" s="9" t="s">
        <v>240</v>
      </c>
      <c r="Q18" s="9"/>
    </row>
    <row r="19" spans="1:17" ht="18" customHeight="1" x14ac:dyDescent="0.3">
      <c r="A19" s="13" t="str">
        <f t="shared" si="0"/>
        <v>202503-S3-C5-ATE</v>
      </c>
      <c r="B19" s="14">
        <v>45717</v>
      </c>
      <c r="C19" s="15">
        <f t="shared" si="1"/>
        <v>2025</v>
      </c>
      <c r="D19" s="13" t="str">
        <f t="shared" si="2"/>
        <v>Fora</v>
      </c>
      <c r="E19" s="9" t="s">
        <v>214</v>
      </c>
      <c r="F19" s="9" t="s">
        <v>237</v>
      </c>
      <c r="G19" s="9" t="s">
        <v>241</v>
      </c>
      <c r="H19" s="9" t="s">
        <v>242</v>
      </c>
      <c r="I19" s="9" t="s">
        <v>186</v>
      </c>
      <c r="J19" s="16">
        <v>2246.6</v>
      </c>
      <c r="K19" s="9" t="s">
        <v>199</v>
      </c>
      <c r="L19" s="9" t="s">
        <v>152</v>
      </c>
      <c r="M19" s="17">
        <f>IF(L19="","",IFERROR(INDEX(tbl_fatores_emissao[Valor],MATCH(L19,tbl_fatores_emissao[ID_FE],0)),""))</f>
        <v>0.45</v>
      </c>
      <c r="N19" s="17">
        <f t="shared" si="3"/>
        <v>1.0109999999999999</v>
      </c>
      <c r="O19" s="9" t="s">
        <v>188</v>
      </c>
      <c r="P19" s="9" t="s">
        <v>243</v>
      </c>
      <c r="Q19" s="9"/>
    </row>
    <row r="20" spans="1:17" ht="18" customHeight="1" x14ac:dyDescent="0.3">
      <c r="A20" s="13" t="str">
        <f t="shared" si="0"/>
        <v>202503-S3-C5-PER</v>
      </c>
      <c r="B20" s="14">
        <v>45717</v>
      </c>
      <c r="C20" s="15">
        <f t="shared" si="1"/>
        <v>2025</v>
      </c>
      <c r="D20" s="13" t="str">
        <f t="shared" si="2"/>
        <v>Fora</v>
      </c>
      <c r="E20" s="9" t="s">
        <v>214</v>
      </c>
      <c r="F20" s="9" t="s">
        <v>237</v>
      </c>
      <c r="G20" s="9" t="s">
        <v>244</v>
      </c>
      <c r="H20" s="9" t="s">
        <v>245</v>
      </c>
      <c r="I20" s="9" t="s">
        <v>186</v>
      </c>
      <c r="J20" s="16">
        <v>41.2</v>
      </c>
      <c r="K20" s="9" t="s">
        <v>199</v>
      </c>
      <c r="L20" s="9" t="s">
        <v>155</v>
      </c>
      <c r="M20" s="17">
        <f>IF(L20="","",IFERROR(INDEX(tbl_fatores_emissao[Valor],MATCH(L20,tbl_fatores_emissao[ID_FE],0)),""))</f>
        <v>0.9</v>
      </c>
      <c r="N20" s="17">
        <f t="shared" si="3"/>
        <v>3.6999999999999998E-2</v>
      </c>
      <c r="O20" s="9" t="s">
        <v>188</v>
      </c>
      <c r="P20" s="9" t="s">
        <v>246</v>
      </c>
      <c r="Q20" s="9"/>
    </row>
    <row r="21" spans="1:17" ht="18" customHeight="1" x14ac:dyDescent="0.3">
      <c r="A21" s="13" t="str">
        <f t="shared" si="0"/>
        <v>202503-S3-C6</v>
      </c>
      <c r="B21" s="14">
        <v>45717</v>
      </c>
      <c r="C21" s="15">
        <f t="shared" si="1"/>
        <v>2025</v>
      </c>
      <c r="D21" s="13" t="str">
        <f t="shared" si="2"/>
        <v>Fora</v>
      </c>
      <c r="E21" s="9" t="s">
        <v>214</v>
      </c>
      <c r="F21" s="9" t="s">
        <v>247</v>
      </c>
      <c r="G21" s="9" t="s">
        <v>248</v>
      </c>
      <c r="H21" s="9" t="s">
        <v>249</v>
      </c>
      <c r="I21" s="9" t="s">
        <v>186</v>
      </c>
      <c r="J21" s="16">
        <v>2795.81</v>
      </c>
      <c r="K21" s="9" t="s">
        <v>250</v>
      </c>
      <c r="L21" s="9" t="s">
        <v>158</v>
      </c>
      <c r="M21" s="17">
        <f>IF(L21="","",IFERROR(INDEX(tbl_fatores_emissao[Valor],MATCH(L21,tbl_fatores_emissao[ID_FE],0)),""))</f>
        <v>0.17</v>
      </c>
      <c r="N21" s="17">
        <f t="shared" si="3"/>
        <v>0.47499999999999998</v>
      </c>
      <c r="O21" s="9" t="s">
        <v>194</v>
      </c>
      <c r="P21" s="9" t="s">
        <v>251</v>
      </c>
      <c r="Q21" s="9" t="s">
        <v>252</v>
      </c>
    </row>
    <row r="22" spans="1:17" ht="18" customHeight="1" x14ac:dyDescent="0.3">
      <c r="A22" s="13" t="str">
        <f t="shared" si="0"/>
        <v>202503-S3-C7</v>
      </c>
      <c r="B22" s="14">
        <v>45717</v>
      </c>
      <c r="C22" s="15">
        <f t="shared" si="1"/>
        <v>2025</v>
      </c>
      <c r="D22" s="13" t="str">
        <f t="shared" si="2"/>
        <v>Fora</v>
      </c>
      <c r="E22" s="9" t="s">
        <v>214</v>
      </c>
      <c r="F22" s="9" t="s">
        <v>253</v>
      </c>
      <c r="G22" s="9" t="s">
        <v>254</v>
      </c>
      <c r="H22" s="9" t="s">
        <v>255</v>
      </c>
      <c r="I22" s="9" t="s">
        <v>186</v>
      </c>
      <c r="J22" s="16">
        <v>35154</v>
      </c>
      <c r="K22" s="9" t="s">
        <v>250</v>
      </c>
      <c r="L22" s="9" t="s">
        <v>158</v>
      </c>
      <c r="M22" s="17">
        <f>IF(L22="","",IFERROR(INDEX(tbl_fatores_emissao[Valor],MATCH(L22,tbl_fatores_emissao[ID_FE],0)),""))</f>
        <v>0.17</v>
      </c>
      <c r="N22" s="17">
        <f t="shared" si="3"/>
        <v>5.976</v>
      </c>
      <c r="O22" s="9" t="s">
        <v>194</v>
      </c>
      <c r="P22" s="9" t="s">
        <v>256</v>
      </c>
      <c r="Q22" s="9" t="s">
        <v>257</v>
      </c>
    </row>
    <row r="23" spans="1:17" ht="18" customHeight="1" x14ac:dyDescent="0.3">
      <c r="A23" s="13" t="str">
        <f t="shared" si="0"/>
        <v>202503-S3-C9</v>
      </c>
      <c r="B23" s="14">
        <v>45717</v>
      </c>
      <c r="C23" s="15">
        <f t="shared" si="1"/>
        <v>2025</v>
      </c>
      <c r="D23" s="13" t="str">
        <f t="shared" si="2"/>
        <v>Fora</v>
      </c>
      <c r="E23" s="9" t="s">
        <v>214</v>
      </c>
      <c r="F23" s="9" t="s">
        <v>258</v>
      </c>
      <c r="G23" s="9" t="s">
        <v>259</v>
      </c>
      <c r="H23" s="9" t="s">
        <v>260</v>
      </c>
      <c r="I23" s="9" t="s">
        <v>186</v>
      </c>
      <c r="J23" s="16">
        <v>28751.01</v>
      </c>
      <c r="K23" s="9" t="s">
        <v>261</v>
      </c>
      <c r="L23" s="9" t="s">
        <v>141</v>
      </c>
      <c r="M23" s="17">
        <f>IF(L23="","",IFERROR(INDEX(tbl_fatores_emissao[Valor],MATCH(L23,tbl_fatores_emissao[ID_FE],0)),""))</f>
        <v>0.108</v>
      </c>
      <c r="N23" s="17">
        <f t="shared" si="3"/>
        <v>3.105</v>
      </c>
      <c r="O23" s="9" t="s">
        <v>194</v>
      </c>
      <c r="P23" s="9" t="s">
        <v>262</v>
      </c>
      <c r="Q23" s="9"/>
    </row>
    <row r="24" spans="1:17" ht="18" customHeight="1" x14ac:dyDescent="0.3">
      <c r="A24" s="13" t="str">
        <f t="shared" si="0"/>
        <v>202503-S3-C12</v>
      </c>
      <c r="B24" s="14">
        <v>45717</v>
      </c>
      <c r="C24" s="15">
        <f t="shared" si="1"/>
        <v>2025</v>
      </c>
      <c r="D24" s="13" t="str">
        <f t="shared" si="2"/>
        <v>Fora</v>
      </c>
      <c r="E24" s="9" t="s">
        <v>214</v>
      </c>
      <c r="F24" s="9" t="s">
        <v>263</v>
      </c>
      <c r="G24" s="9" t="s">
        <v>264</v>
      </c>
      <c r="H24" s="9" t="s">
        <v>265</v>
      </c>
      <c r="I24" s="9" t="s">
        <v>186</v>
      </c>
      <c r="J24" s="16">
        <v>63891.14</v>
      </c>
      <c r="K24" s="9" t="s">
        <v>199</v>
      </c>
      <c r="L24" s="9" t="s">
        <v>163</v>
      </c>
      <c r="M24" s="17">
        <f>IF(L24="","",IFERROR(INDEX(tbl_fatores_emissao[Valor],MATCH(L24,tbl_fatores_emissao[ID_FE],0)),""))</f>
        <v>1</v>
      </c>
      <c r="N24" s="17">
        <f t="shared" si="3"/>
        <v>63.890999999999998</v>
      </c>
      <c r="O24" s="9" t="s">
        <v>194</v>
      </c>
      <c r="P24" s="9" t="s">
        <v>266</v>
      </c>
      <c r="Q24" s="9"/>
    </row>
    <row r="25" spans="1:17" ht="18" customHeight="1" x14ac:dyDescent="0.3">
      <c r="A25" s="13" t="str">
        <f t="shared" si="0"/>
        <v>202504-S1-01</v>
      </c>
      <c r="B25" s="14">
        <v>45748</v>
      </c>
      <c r="C25" s="15">
        <f t="shared" si="1"/>
        <v>2025</v>
      </c>
      <c r="D25" s="13" t="str">
        <f t="shared" si="2"/>
        <v>Fora</v>
      </c>
      <c r="E25" s="9" t="s">
        <v>182</v>
      </c>
      <c r="F25" s="9" t="s">
        <v>183</v>
      </c>
      <c r="G25" s="9" t="s">
        <v>184</v>
      </c>
      <c r="H25" s="9" t="s">
        <v>185</v>
      </c>
      <c r="I25" s="9" t="s">
        <v>186</v>
      </c>
      <c r="J25" s="16">
        <v>270.51</v>
      </c>
      <c r="K25" s="9" t="s">
        <v>187</v>
      </c>
      <c r="L25" s="9" t="s">
        <v>96</v>
      </c>
      <c r="M25" s="17">
        <f>IF(L25="","",IFERROR(INDEX(tbl_fatores_emissao[Valor],MATCH(L25,tbl_fatores_emissao[ID_FE],0)),""))</f>
        <v>2.66</v>
      </c>
      <c r="N25" s="17">
        <f t="shared" si="3"/>
        <v>0.72</v>
      </c>
      <c r="O25" s="9" t="s">
        <v>188</v>
      </c>
      <c r="P25" s="9" t="s">
        <v>189</v>
      </c>
      <c r="Q25" s="9" t="s">
        <v>190</v>
      </c>
    </row>
    <row r="26" spans="1:17" ht="18" customHeight="1" x14ac:dyDescent="0.3">
      <c r="A26" s="13" t="str">
        <f t="shared" si="0"/>
        <v>202504-S1-02</v>
      </c>
      <c r="B26" s="14">
        <v>45748</v>
      </c>
      <c r="C26" s="15">
        <f t="shared" si="1"/>
        <v>2025</v>
      </c>
      <c r="D26" s="13" t="str">
        <f t="shared" si="2"/>
        <v>Fora</v>
      </c>
      <c r="E26" s="9" t="s">
        <v>182</v>
      </c>
      <c r="F26" s="9" t="s">
        <v>191</v>
      </c>
      <c r="G26" s="9" t="s">
        <v>192</v>
      </c>
      <c r="H26" s="9" t="s">
        <v>193</v>
      </c>
      <c r="I26" s="9" t="s">
        <v>186</v>
      </c>
      <c r="J26" s="16">
        <v>20.420000000000002</v>
      </c>
      <c r="K26" s="9" t="s">
        <v>187</v>
      </c>
      <c r="L26" s="9" t="s">
        <v>96</v>
      </c>
      <c r="M26" s="17">
        <f>IF(L26="","",IFERROR(INDEX(tbl_fatores_emissao[Valor],MATCH(L26,tbl_fatores_emissao[ID_FE],0)),""))</f>
        <v>2.66</v>
      </c>
      <c r="N26" s="17">
        <f t="shared" si="3"/>
        <v>5.3999999999999999E-2</v>
      </c>
      <c r="O26" s="9" t="s">
        <v>194</v>
      </c>
      <c r="P26" s="9" t="s">
        <v>195</v>
      </c>
      <c r="Q26" s="9" t="s">
        <v>190</v>
      </c>
    </row>
    <row r="27" spans="1:17" ht="18" customHeight="1" x14ac:dyDescent="0.3">
      <c r="A27" s="13" t="str">
        <f t="shared" si="0"/>
        <v>202504-S1-03</v>
      </c>
      <c r="B27" s="14">
        <v>45748</v>
      </c>
      <c r="C27" s="15">
        <f t="shared" si="1"/>
        <v>2025</v>
      </c>
      <c r="D27" s="13" t="str">
        <f t="shared" si="2"/>
        <v>Fora</v>
      </c>
      <c r="E27" s="9" t="s">
        <v>182</v>
      </c>
      <c r="F27" s="9" t="s">
        <v>196</v>
      </c>
      <c r="G27" s="9" t="s">
        <v>197</v>
      </c>
      <c r="H27" s="9" t="s">
        <v>198</v>
      </c>
      <c r="I27" s="9" t="s">
        <v>186</v>
      </c>
      <c r="J27" s="16"/>
      <c r="K27" s="9" t="s">
        <v>199</v>
      </c>
      <c r="L27" s="9" t="s">
        <v>101</v>
      </c>
      <c r="M27" s="17">
        <f>IF(L27="","",IFERROR(INDEX(tbl_fatores_emissao[Valor],MATCH(L27,tbl_fatores_emissao[ID_FE],0)),""))</f>
        <v>2088</v>
      </c>
      <c r="N27" s="17" t="str">
        <f t="shared" si="3"/>
        <v/>
      </c>
      <c r="O27" s="9" t="s">
        <v>188</v>
      </c>
      <c r="P27" s="9" t="s">
        <v>200</v>
      </c>
      <c r="Q27" s="9"/>
    </row>
    <row r="28" spans="1:17" ht="18" customHeight="1" x14ac:dyDescent="0.3">
      <c r="A28" s="13" t="str">
        <f t="shared" si="0"/>
        <v>202504-S2-LB</v>
      </c>
      <c r="B28" s="14">
        <v>45748</v>
      </c>
      <c r="C28" s="15">
        <f t="shared" si="1"/>
        <v>2025</v>
      </c>
      <c r="D28" s="13" t="str">
        <f t="shared" si="2"/>
        <v>Fora</v>
      </c>
      <c r="E28" s="9" t="s">
        <v>201</v>
      </c>
      <c r="F28" s="9" t="s">
        <v>202</v>
      </c>
      <c r="G28" s="9" t="s">
        <v>203</v>
      </c>
      <c r="H28" s="9" t="s">
        <v>204</v>
      </c>
      <c r="I28" s="9" t="s">
        <v>205</v>
      </c>
      <c r="J28" s="16">
        <v>545353.91</v>
      </c>
      <c r="K28" s="9" t="s">
        <v>206</v>
      </c>
      <c r="L28" s="9" t="s">
        <v>82</v>
      </c>
      <c r="M28" s="17">
        <f>IF(L28="","",IFERROR(INDEX(tbl_fatores_emissao[Valor],MATCH(L28,tbl_fatores_emissao[ID_FE],0)),""))</f>
        <v>0.11</v>
      </c>
      <c r="N28" s="17">
        <f t="shared" si="3"/>
        <v>59.988999999999997</v>
      </c>
      <c r="O28" s="9" t="s">
        <v>188</v>
      </c>
      <c r="P28" s="9" t="s">
        <v>207</v>
      </c>
      <c r="Q28" s="9"/>
    </row>
    <row r="29" spans="1:17" ht="18" customHeight="1" x14ac:dyDescent="0.3">
      <c r="A29" s="13" t="str">
        <f t="shared" si="0"/>
        <v>202504-S2-MB-GO</v>
      </c>
      <c r="B29" s="14">
        <v>45748</v>
      </c>
      <c r="C29" s="15">
        <f t="shared" si="1"/>
        <v>2025</v>
      </c>
      <c r="D29" s="13" t="str">
        <f t="shared" si="2"/>
        <v>Fora</v>
      </c>
      <c r="E29" s="9" t="s">
        <v>201</v>
      </c>
      <c r="F29" s="9" t="s">
        <v>202</v>
      </c>
      <c r="G29" s="9" t="s">
        <v>208</v>
      </c>
      <c r="H29" s="9" t="s">
        <v>209</v>
      </c>
      <c r="I29" s="9" t="s">
        <v>210</v>
      </c>
      <c r="J29" s="16">
        <v>299944.65000000002</v>
      </c>
      <c r="K29" s="9" t="s">
        <v>206</v>
      </c>
      <c r="L29" s="9" t="s">
        <v>92</v>
      </c>
      <c r="M29" s="17">
        <f>IF(L29="","",IFERROR(INDEX(tbl_fatores_emissao[Valor],MATCH(L29,tbl_fatores_emissao[ID_FE],0)),""))</f>
        <v>0</v>
      </c>
      <c r="N29" s="17">
        <f t="shared" si="3"/>
        <v>0</v>
      </c>
      <c r="O29" s="9" t="s">
        <v>188</v>
      </c>
      <c r="P29" s="9" t="s">
        <v>211</v>
      </c>
      <c r="Q29" s="9"/>
    </row>
    <row r="30" spans="1:17" ht="18" customHeight="1" x14ac:dyDescent="0.3">
      <c r="A30" s="13" t="str">
        <f t="shared" si="0"/>
        <v>202504-S2-MB-RES</v>
      </c>
      <c r="B30" s="14">
        <v>45748</v>
      </c>
      <c r="C30" s="15">
        <f t="shared" si="1"/>
        <v>2025</v>
      </c>
      <c r="D30" s="13" t="str">
        <f t="shared" si="2"/>
        <v>Fora</v>
      </c>
      <c r="E30" s="9" t="s">
        <v>201</v>
      </c>
      <c r="F30" s="9" t="s">
        <v>202</v>
      </c>
      <c r="G30" s="9" t="s">
        <v>212</v>
      </c>
      <c r="H30" s="9" t="s">
        <v>213</v>
      </c>
      <c r="I30" s="9" t="s">
        <v>210</v>
      </c>
      <c r="J30" s="16">
        <v>245409.26</v>
      </c>
      <c r="K30" s="9" t="s">
        <v>206</v>
      </c>
      <c r="L30" s="9" t="s">
        <v>88</v>
      </c>
      <c r="M30" s="17">
        <f>IF(L30="","",IFERROR(INDEX(tbl_fatores_emissao[Valor],MATCH(L30,tbl_fatores_emissao[ID_FE],0)),""))</f>
        <v>0.25</v>
      </c>
      <c r="N30" s="17">
        <f t="shared" si="3"/>
        <v>61.351999999999997</v>
      </c>
      <c r="O30" s="9" t="s">
        <v>188</v>
      </c>
      <c r="P30" s="9" t="s">
        <v>211</v>
      </c>
      <c r="Q30" s="9"/>
    </row>
    <row r="31" spans="1:17" ht="18" customHeight="1" x14ac:dyDescent="0.3">
      <c r="A31" s="13" t="str">
        <f t="shared" si="0"/>
        <v>202504-S3-C1-VIR</v>
      </c>
      <c r="B31" s="14">
        <v>45748</v>
      </c>
      <c r="C31" s="15">
        <f t="shared" si="1"/>
        <v>2025</v>
      </c>
      <c r="D31" s="13" t="str">
        <f t="shared" si="2"/>
        <v>Fora</v>
      </c>
      <c r="E31" s="9" t="s">
        <v>214</v>
      </c>
      <c r="F31" s="9" t="s">
        <v>215</v>
      </c>
      <c r="G31" s="9" t="s">
        <v>216</v>
      </c>
      <c r="H31" s="9" t="s">
        <v>217</v>
      </c>
      <c r="I31" s="9" t="s">
        <v>186</v>
      </c>
      <c r="J31" s="16">
        <v>52964.639999999999</v>
      </c>
      <c r="K31" s="9" t="s">
        <v>199</v>
      </c>
      <c r="L31" s="9" t="s">
        <v>119</v>
      </c>
      <c r="M31" s="17">
        <f>IF(L31="","",IFERROR(INDEX(tbl_fatores_emissao[Valor],MATCH(L31,tbl_fatores_emissao[ID_FE],0)),""))</f>
        <v>1.9</v>
      </c>
      <c r="N31" s="17">
        <f t="shared" si="3"/>
        <v>100.633</v>
      </c>
      <c r="O31" s="9" t="s">
        <v>218</v>
      </c>
      <c r="P31" s="9" t="s">
        <v>219</v>
      </c>
      <c r="Q31" s="9"/>
    </row>
    <row r="32" spans="1:17" ht="18" customHeight="1" x14ac:dyDescent="0.3">
      <c r="A32" s="13" t="str">
        <f t="shared" si="0"/>
        <v>202504-S3-C1-PCR</v>
      </c>
      <c r="B32" s="14">
        <v>45748</v>
      </c>
      <c r="C32" s="15">
        <f t="shared" si="1"/>
        <v>2025</v>
      </c>
      <c r="D32" s="13" t="str">
        <f t="shared" si="2"/>
        <v>Fora</v>
      </c>
      <c r="E32" s="9" t="s">
        <v>214</v>
      </c>
      <c r="F32" s="9" t="s">
        <v>215</v>
      </c>
      <c r="G32" s="9" t="s">
        <v>220</v>
      </c>
      <c r="H32" s="9" t="s">
        <v>221</v>
      </c>
      <c r="I32" s="9" t="s">
        <v>186</v>
      </c>
      <c r="J32" s="16">
        <v>8248.5499999999993</v>
      </c>
      <c r="K32" s="9" t="s">
        <v>199</v>
      </c>
      <c r="L32" s="9" t="s">
        <v>116</v>
      </c>
      <c r="M32" s="17">
        <f>IF(L32="","",IFERROR(INDEX(tbl_fatores_emissao[Valor],MATCH(L32,tbl_fatores_emissao[ID_FE],0)),""))</f>
        <v>0.5</v>
      </c>
      <c r="N32" s="17">
        <f t="shared" si="3"/>
        <v>4.1239999999999997</v>
      </c>
      <c r="O32" s="9" t="s">
        <v>218</v>
      </c>
      <c r="P32" s="9" t="s">
        <v>222</v>
      </c>
      <c r="Q32" s="9"/>
    </row>
    <row r="33" spans="1:17" ht="18" customHeight="1" x14ac:dyDescent="0.3">
      <c r="A33" s="13" t="str">
        <f t="shared" si="0"/>
        <v>202504-S3-C1-TIN</v>
      </c>
      <c r="B33" s="14">
        <v>45748</v>
      </c>
      <c r="C33" s="15">
        <f t="shared" si="1"/>
        <v>2025</v>
      </c>
      <c r="D33" s="13" t="str">
        <f t="shared" si="2"/>
        <v>Fora</v>
      </c>
      <c r="E33" s="9" t="s">
        <v>214</v>
      </c>
      <c r="F33" s="9" t="s">
        <v>215</v>
      </c>
      <c r="G33" s="9" t="s">
        <v>223</v>
      </c>
      <c r="H33" s="9" t="s">
        <v>123</v>
      </c>
      <c r="I33" s="9" t="s">
        <v>186</v>
      </c>
      <c r="J33" s="16">
        <v>81.849999999999994</v>
      </c>
      <c r="K33" s="9" t="s">
        <v>199</v>
      </c>
      <c r="L33" s="9" t="s">
        <v>122</v>
      </c>
      <c r="M33" s="17">
        <f>IF(L33="","",IFERROR(INDEX(tbl_fatores_emissao[Valor],MATCH(L33,tbl_fatores_emissao[ID_FE],0)),""))</f>
        <v>3</v>
      </c>
      <c r="N33" s="17">
        <f t="shared" si="3"/>
        <v>0.246</v>
      </c>
      <c r="O33" s="9" t="s">
        <v>218</v>
      </c>
      <c r="P33" s="9" t="s">
        <v>224</v>
      </c>
      <c r="Q33" s="9"/>
    </row>
    <row r="34" spans="1:17" ht="18" customHeight="1" x14ac:dyDescent="0.3">
      <c r="A34" s="13" t="str">
        <f t="shared" si="0"/>
        <v>202504-S3-C1-SOL</v>
      </c>
      <c r="B34" s="14">
        <v>45748</v>
      </c>
      <c r="C34" s="15">
        <f t="shared" si="1"/>
        <v>2025</v>
      </c>
      <c r="D34" s="13" t="str">
        <f t="shared" si="2"/>
        <v>Fora</v>
      </c>
      <c r="E34" s="9" t="s">
        <v>214</v>
      </c>
      <c r="F34" s="9" t="s">
        <v>215</v>
      </c>
      <c r="G34" s="9" t="s">
        <v>225</v>
      </c>
      <c r="H34" s="9" t="s">
        <v>126</v>
      </c>
      <c r="I34" s="9" t="s">
        <v>186</v>
      </c>
      <c r="J34" s="16">
        <v>60.01</v>
      </c>
      <c r="K34" s="9" t="s">
        <v>199</v>
      </c>
      <c r="L34" s="9" t="s">
        <v>125</v>
      </c>
      <c r="M34" s="17">
        <f>IF(L34="","",IFERROR(INDEX(tbl_fatores_emissao[Valor],MATCH(L34,tbl_fatores_emissao[ID_FE],0)),""))</f>
        <v>1.8</v>
      </c>
      <c r="N34" s="17">
        <f t="shared" si="3"/>
        <v>0.108</v>
      </c>
      <c r="O34" s="9" t="s">
        <v>188</v>
      </c>
      <c r="P34" s="9" t="s">
        <v>226</v>
      </c>
      <c r="Q34" s="9"/>
    </row>
    <row r="35" spans="1:17" ht="18" customHeight="1" x14ac:dyDescent="0.3">
      <c r="A35" s="13" t="str">
        <f t="shared" si="0"/>
        <v>202504-S3-C1-FOI</v>
      </c>
      <c r="B35" s="14">
        <v>45748</v>
      </c>
      <c r="C35" s="15">
        <f t="shared" si="1"/>
        <v>2025</v>
      </c>
      <c r="D35" s="13" t="str">
        <f t="shared" si="2"/>
        <v>Fora</v>
      </c>
      <c r="E35" s="9" t="s">
        <v>214</v>
      </c>
      <c r="F35" s="9" t="s">
        <v>215</v>
      </c>
      <c r="G35" s="9" t="s">
        <v>227</v>
      </c>
      <c r="H35" s="9" t="s">
        <v>129</v>
      </c>
      <c r="I35" s="9" t="s">
        <v>186</v>
      </c>
      <c r="J35" s="16">
        <v>1108.32</v>
      </c>
      <c r="K35" s="9" t="s">
        <v>199</v>
      </c>
      <c r="L35" s="9" t="s">
        <v>128</v>
      </c>
      <c r="M35" s="17">
        <f>IF(L35="","",IFERROR(INDEX(tbl_fatores_emissao[Valor],MATCH(L35,tbl_fatores_emissao[ID_FE],0)),""))</f>
        <v>3.5</v>
      </c>
      <c r="N35" s="17">
        <f t="shared" si="3"/>
        <v>3.879</v>
      </c>
      <c r="O35" s="9" t="s">
        <v>218</v>
      </c>
      <c r="P35" s="9" t="s">
        <v>228</v>
      </c>
      <c r="Q35" s="9"/>
    </row>
    <row r="36" spans="1:17" ht="18" customHeight="1" x14ac:dyDescent="0.3">
      <c r="A36" s="13" t="str">
        <f t="shared" si="0"/>
        <v>202504-S3-C3</v>
      </c>
      <c r="B36" s="14">
        <v>45748</v>
      </c>
      <c r="C36" s="15">
        <f t="shared" si="1"/>
        <v>2025</v>
      </c>
      <c r="D36" s="13" t="str">
        <f t="shared" si="2"/>
        <v>Fora</v>
      </c>
      <c r="E36" s="9" t="s">
        <v>214</v>
      </c>
      <c r="F36" s="9" t="s">
        <v>229</v>
      </c>
      <c r="G36" s="9" t="s">
        <v>230</v>
      </c>
      <c r="H36" s="9" t="s">
        <v>231</v>
      </c>
      <c r="I36" s="9" t="s">
        <v>186</v>
      </c>
      <c r="J36" s="16">
        <v>545353.91</v>
      </c>
      <c r="K36" s="9" t="s">
        <v>206</v>
      </c>
      <c r="L36" s="9" t="s">
        <v>133</v>
      </c>
      <c r="M36" s="17">
        <f>IF(L36="","",IFERROR(INDEX(tbl_fatores_emissao[Valor],MATCH(L36,tbl_fatores_emissao[ID_FE],0)),""))</f>
        <v>0.02</v>
      </c>
      <c r="N36" s="17">
        <f t="shared" si="3"/>
        <v>10.907</v>
      </c>
      <c r="O36" s="9" t="s">
        <v>194</v>
      </c>
      <c r="P36" s="9" t="s">
        <v>232</v>
      </c>
      <c r="Q36" s="9"/>
    </row>
    <row r="37" spans="1:17" ht="18" customHeight="1" x14ac:dyDescent="0.3">
      <c r="A37" s="13" t="str">
        <f t="shared" si="0"/>
        <v>202504-S3-C4</v>
      </c>
      <c r="B37" s="14">
        <v>45748</v>
      </c>
      <c r="C37" s="15">
        <f t="shared" si="1"/>
        <v>2025</v>
      </c>
      <c r="D37" s="13" t="str">
        <f t="shared" si="2"/>
        <v>Fora</v>
      </c>
      <c r="E37" s="9" t="s">
        <v>214</v>
      </c>
      <c r="F37" s="9" t="s">
        <v>233</v>
      </c>
      <c r="G37" s="9" t="s">
        <v>234</v>
      </c>
      <c r="H37" s="9" t="s">
        <v>235</v>
      </c>
      <c r="I37" s="9" t="s">
        <v>186</v>
      </c>
      <c r="J37" s="16">
        <v>61213.19</v>
      </c>
      <c r="K37" s="9" t="s">
        <v>199</v>
      </c>
      <c r="L37" s="9" t="s">
        <v>137</v>
      </c>
      <c r="M37" s="17">
        <f>IF(L37="","",IFERROR(INDEX(tbl_fatores_emissao[Valor],MATCH(L37,tbl_fatores_emissao[ID_FE],0)),""))</f>
        <v>0.1178</v>
      </c>
      <c r="N37" s="17">
        <f t="shared" si="3"/>
        <v>7.2110000000000003</v>
      </c>
      <c r="O37" s="9" t="s">
        <v>194</v>
      </c>
      <c r="P37" s="9" t="s">
        <v>236</v>
      </c>
      <c r="Q37" s="9"/>
    </row>
    <row r="38" spans="1:17" ht="18" customHeight="1" x14ac:dyDescent="0.3">
      <c r="A38" s="13" t="str">
        <f t="shared" si="0"/>
        <v>202504-S3-C5-REC</v>
      </c>
      <c r="B38" s="14">
        <v>45748</v>
      </c>
      <c r="C38" s="15">
        <f t="shared" si="1"/>
        <v>2025</v>
      </c>
      <c r="D38" s="13" t="str">
        <f t="shared" si="2"/>
        <v>Fora</v>
      </c>
      <c r="E38" s="9" t="s">
        <v>214</v>
      </c>
      <c r="F38" s="9" t="s">
        <v>237</v>
      </c>
      <c r="G38" s="9" t="s">
        <v>238</v>
      </c>
      <c r="H38" s="9" t="s">
        <v>239</v>
      </c>
      <c r="I38" s="9" t="s">
        <v>186</v>
      </c>
      <c r="J38" s="16">
        <v>8765.5</v>
      </c>
      <c r="K38" s="9" t="s">
        <v>199</v>
      </c>
      <c r="L38" s="9" t="s">
        <v>148</v>
      </c>
      <c r="M38" s="17">
        <f>IF(L38="","",IFERROR(INDEX(tbl_fatores_emissao[Valor],MATCH(L38,tbl_fatores_emissao[ID_FE],0)),""))</f>
        <v>2.1000000000000001E-2</v>
      </c>
      <c r="N38" s="17">
        <f t="shared" si="3"/>
        <v>0.184</v>
      </c>
      <c r="O38" s="9" t="s">
        <v>188</v>
      </c>
      <c r="P38" s="9" t="s">
        <v>240</v>
      </c>
      <c r="Q38" s="9"/>
    </row>
    <row r="39" spans="1:17" ht="18" customHeight="1" x14ac:dyDescent="0.3">
      <c r="A39" s="13" t="str">
        <f t="shared" si="0"/>
        <v>202504-S3-C5-ATE</v>
      </c>
      <c r="B39" s="14">
        <v>45748</v>
      </c>
      <c r="C39" s="15">
        <f t="shared" si="1"/>
        <v>2025</v>
      </c>
      <c r="D39" s="13" t="str">
        <f t="shared" si="2"/>
        <v>Fora</v>
      </c>
      <c r="E39" s="9" t="s">
        <v>214</v>
      </c>
      <c r="F39" s="9" t="s">
        <v>237</v>
      </c>
      <c r="G39" s="9" t="s">
        <v>241</v>
      </c>
      <c r="H39" s="9" t="s">
        <v>242</v>
      </c>
      <c r="I39" s="9" t="s">
        <v>186</v>
      </c>
      <c r="J39" s="16">
        <v>2146.6999999999998</v>
      </c>
      <c r="K39" s="9" t="s">
        <v>199</v>
      </c>
      <c r="L39" s="9" t="s">
        <v>152</v>
      </c>
      <c r="M39" s="17">
        <f>IF(L39="","",IFERROR(INDEX(tbl_fatores_emissao[Valor],MATCH(L39,tbl_fatores_emissao[ID_FE],0)),""))</f>
        <v>0.45</v>
      </c>
      <c r="N39" s="17">
        <f t="shared" si="3"/>
        <v>0.96599999999999997</v>
      </c>
      <c r="O39" s="9" t="s">
        <v>188</v>
      </c>
      <c r="P39" s="9" t="s">
        <v>243</v>
      </c>
      <c r="Q39" s="9"/>
    </row>
    <row r="40" spans="1:17" ht="18" customHeight="1" x14ac:dyDescent="0.3">
      <c r="A40" s="13" t="str">
        <f t="shared" si="0"/>
        <v>202504-S3-C5-PER</v>
      </c>
      <c r="B40" s="14">
        <v>45748</v>
      </c>
      <c r="C40" s="15">
        <f t="shared" si="1"/>
        <v>2025</v>
      </c>
      <c r="D40" s="13" t="str">
        <f t="shared" si="2"/>
        <v>Fora</v>
      </c>
      <c r="E40" s="9" t="s">
        <v>214</v>
      </c>
      <c r="F40" s="9" t="s">
        <v>237</v>
      </c>
      <c r="G40" s="9" t="s">
        <v>244</v>
      </c>
      <c r="H40" s="9" t="s">
        <v>245</v>
      </c>
      <c r="I40" s="9" t="s">
        <v>186</v>
      </c>
      <c r="J40" s="16">
        <v>43.2</v>
      </c>
      <c r="K40" s="9" t="s">
        <v>199</v>
      </c>
      <c r="L40" s="9" t="s">
        <v>155</v>
      </c>
      <c r="M40" s="17">
        <f>IF(L40="","",IFERROR(INDEX(tbl_fatores_emissao[Valor],MATCH(L40,tbl_fatores_emissao[ID_FE],0)),""))</f>
        <v>0.9</v>
      </c>
      <c r="N40" s="17">
        <f t="shared" si="3"/>
        <v>3.9E-2</v>
      </c>
      <c r="O40" s="9" t="s">
        <v>188</v>
      </c>
      <c r="P40" s="9" t="s">
        <v>246</v>
      </c>
      <c r="Q40" s="9"/>
    </row>
    <row r="41" spans="1:17" ht="18" customHeight="1" x14ac:dyDescent="0.3">
      <c r="A41" s="13" t="str">
        <f t="shared" si="0"/>
        <v>202504-S3-C6</v>
      </c>
      <c r="B41" s="14">
        <v>45748</v>
      </c>
      <c r="C41" s="15">
        <f t="shared" si="1"/>
        <v>2025</v>
      </c>
      <c r="D41" s="13" t="str">
        <f t="shared" si="2"/>
        <v>Fora</v>
      </c>
      <c r="E41" s="9" t="s">
        <v>214</v>
      </c>
      <c r="F41" s="9" t="s">
        <v>247</v>
      </c>
      <c r="G41" s="9" t="s">
        <v>248</v>
      </c>
      <c r="H41" s="9" t="s">
        <v>249</v>
      </c>
      <c r="I41" s="9" t="s">
        <v>186</v>
      </c>
      <c r="J41" s="16">
        <v>2120.73</v>
      </c>
      <c r="K41" s="9" t="s">
        <v>250</v>
      </c>
      <c r="L41" s="9" t="s">
        <v>158</v>
      </c>
      <c r="M41" s="17">
        <f>IF(L41="","",IFERROR(INDEX(tbl_fatores_emissao[Valor],MATCH(L41,tbl_fatores_emissao[ID_FE],0)),""))</f>
        <v>0.17</v>
      </c>
      <c r="N41" s="17">
        <f t="shared" si="3"/>
        <v>0.36099999999999999</v>
      </c>
      <c r="O41" s="9" t="s">
        <v>194</v>
      </c>
      <c r="P41" s="9" t="s">
        <v>251</v>
      </c>
      <c r="Q41" s="9" t="s">
        <v>252</v>
      </c>
    </row>
    <row r="42" spans="1:17" ht="18" customHeight="1" x14ac:dyDescent="0.3">
      <c r="A42" s="13" t="str">
        <f t="shared" si="0"/>
        <v>202504-S3-C7</v>
      </c>
      <c r="B42" s="14">
        <v>45748</v>
      </c>
      <c r="C42" s="15">
        <f t="shared" si="1"/>
        <v>2025</v>
      </c>
      <c r="D42" s="13" t="str">
        <f t="shared" si="2"/>
        <v>Fora</v>
      </c>
      <c r="E42" s="9" t="s">
        <v>214</v>
      </c>
      <c r="F42" s="9" t="s">
        <v>253</v>
      </c>
      <c r="G42" s="9" t="s">
        <v>254</v>
      </c>
      <c r="H42" s="9" t="s">
        <v>255</v>
      </c>
      <c r="I42" s="9" t="s">
        <v>186</v>
      </c>
      <c r="J42" s="16">
        <v>33480</v>
      </c>
      <c r="K42" s="9" t="s">
        <v>250</v>
      </c>
      <c r="L42" s="9" t="s">
        <v>158</v>
      </c>
      <c r="M42" s="17">
        <f>IF(L42="","",IFERROR(INDEX(tbl_fatores_emissao[Valor],MATCH(L42,tbl_fatores_emissao[ID_FE],0)),""))</f>
        <v>0.17</v>
      </c>
      <c r="N42" s="17">
        <f t="shared" si="3"/>
        <v>5.6920000000000002</v>
      </c>
      <c r="O42" s="9" t="s">
        <v>194</v>
      </c>
      <c r="P42" s="9" t="s">
        <v>256</v>
      </c>
      <c r="Q42" s="9" t="s">
        <v>257</v>
      </c>
    </row>
    <row r="43" spans="1:17" ht="18" customHeight="1" x14ac:dyDescent="0.3">
      <c r="A43" s="13" t="str">
        <f t="shared" si="0"/>
        <v>202504-S3-C9</v>
      </c>
      <c r="B43" s="14">
        <v>45748</v>
      </c>
      <c r="C43" s="15">
        <f t="shared" si="1"/>
        <v>2025</v>
      </c>
      <c r="D43" s="13" t="str">
        <f t="shared" si="2"/>
        <v>Fora</v>
      </c>
      <c r="E43" s="9" t="s">
        <v>214</v>
      </c>
      <c r="F43" s="9" t="s">
        <v>258</v>
      </c>
      <c r="G43" s="9" t="s">
        <v>259</v>
      </c>
      <c r="H43" s="9" t="s">
        <v>260</v>
      </c>
      <c r="I43" s="9" t="s">
        <v>186</v>
      </c>
      <c r="J43" s="16">
        <v>26878.13</v>
      </c>
      <c r="K43" s="9" t="s">
        <v>261</v>
      </c>
      <c r="L43" s="9" t="s">
        <v>141</v>
      </c>
      <c r="M43" s="17">
        <f>IF(L43="","",IFERROR(INDEX(tbl_fatores_emissao[Valor],MATCH(L43,tbl_fatores_emissao[ID_FE],0)),""))</f>
        <v>0.108</v>
      </c>
      <c r="N43" s="17">
        <f t="shared" si="3"/>
        <v>2.903</v>
      </c>
      <c r="O43" s="9" t="s">
        <v>194</v>
      </c>
      <c r="P43" s="9" t="s">
        <v>262</v>
      </c>
      <c r="Q43" s="9"/>
    </row>
    <row r="44" spans="1:17" ht="18" customHeight="1" x14ac:dyDescent="0.3">
      <c r="A44" s="13" t="str">
        <f t="shared" si="0"/>
        <v>202504-S3-C12</v>
      </c>
      <c r="B44" s="14">
        <v>45748</v>
      </c>
      <c r="C44" s="15">
        <f t="shared" si="1"/>
        <v>2025</v>
      </c>
      <c r="D44" s="13" t="str">
        <f t="shared" si="2"/>
        <v>Fora</v>
      </c>
      <c r="E44" s="9" t="s">
        <v>214</v>
      </c>
      <c r="F44" s="9" t="s">
        <v>263</v>
      </c>
      <c r="G44" s="9" t="s">
        <v>264</v>
      </c>
      <c r="H44" s="9" t="s">
        <v>265</v>
      </c>
      <c r="I44" s="9" t="s">
        <v>186</v>
      </c>
      <c r="J44" s="16">
        <v>59729.18</v>
      </c>
      <c r="K44" s="9" t="s">
        <v>199</v>
      </c>
      <c r="L44" s="9" t="s">
        <v>163</v>
      </c>
      <c r="M44" s="17">
        <f>IF(L44="","",IFERROR(INDEX(tbl_fatores_emissao[Valor],MATCH(L44,tbl_fatores_emissao[ID_FE],0)),""))</f>
        <v>1</v>
      </c>
      <c r="N44" s="17">
        <f t="shared" si="3"/>
        <v>59.728999999999999</v>
      </c>
      <c r="O44" s="9" t="s">
        <v>194</v>
      </c>
      <c r="P44" s="9" t="s">
        <v>266</v>
      </c>
      <c r="Q44" s="9"/>
    </row>
    <row r="45" spans="1:17" ht="18" customHeight="1" x14ac:dyDescent="0.3">
      <c r="A45" s="13" t="str">
        <f t="shared" si="0"/>
        <v>202505-S1-01</v>
      </c>
      <c r="B45" s="14">
        <v>45778</v>
      </c>
      <c r="C45" s="15">
        <f t="shared" si="1"/>
        <v>2025</v>
      </c>
      <c r="D45" s="13" t="str">
        <f t="shared" si="2"/>
        <v>Fora</v>
      </c>
      <c r="E45" s="9" t="s">
        <v>182</v>
      </c>
      <c r="F45" s="9" t="s">
        <v>183</v>
      </c>
      <c r="G45" s="9" t="s">
        <v>184</v>
      </c>
      <c r="H45" s="9" t="s">
        <v>185</v>
      </c>
      <c r="I45" s="9" t="s">
        <v>186</v>
      </c>
      <c r="J45" s="16">
        <v>254.09</v>
      </c>
      <c r="K45" s="9" t="s">
        <v>187</v>
      </c>
      <c r="L45" s="9" t="s">
        <v>96</v>
      </c>
      <c r="M45" s="17">
        <f>IF(L45="","",IFERROR(INDEX(tbl_fatores_emissao[Valor],MATCH(L45,tbl_fatores_emissao[ID_FE],0)),""))</f>
        <v>2.66</v>
      </c>
      <c r="N45" s="17">
        <f t="shared" si="3"/>
        <v>0.67600000000000005</v>
      </c>
      <c r="O45" s="9" t="s">
        <v>188</v>
      </c>
      <c r="P45" s="9" t="s">
        <v>189</v>
      </c>
      <c r="Q45" s="9" t="s">
        <v>190</v>
      </c>
    </row>
    <row r="46" spans="1:17" ht="18" customHeight="1" x14ac:dyDescent="0.3">
      <c r="A46" s="13" t="str">
        <f t="shared" si="0"/>
        <v>202505-S1-02</v>
      </c>
      <c r="B46" s="14">
        <v>45778</v>
      </c>
      <c r="C46" s="15">
        <f t="shared" si="1"/>
        <v>2025</v>
      </c>
      <c r="D46" s="13" t="str">
        <f t="shared" si="2"/>
        <v>Fora</v>
      </c>
      <c r="E46" s="9" t="s">
        <v>182</v>
      </c>
      <c r="F46" s="9" t="s">
        <v>191</v>
      </c>
      <c r="G46" s="9" t="s">
        <v>192</v>
      </c>
      <c r="H46" s="9" t="s">
        <v>193</v>
      </c>
      <c r="I46" s="9" t="s">
        <v>186</v>
      </c>
      <c r="J46" s="16">
        <v>19.61</v>
      </c>
      <c r="K46" s="9" t="s">
        <v>187</v>
      </c>
      <c r="L46" s="9" t="s">
        <v>96</v>
      </c>
      <c r="M46" s="17">
        <f>IF(L46="","",IFERROR(INDEX(tbl_fatores_emissao[Valor],MATCH(L46,tbl_fatores_emissao[ID_FE],0)),""))</f>
        <v>2.66</v>
      </c>
      <c r="N46" s="17">
        <f t="shared" si="3"/>
        <v>5.1999999999999998E-2</v>
      </c>
      <c r="O46" s="9" t="s">
        <v>194</v>
      </c>
      <c r="P46" s="9" t="s">
        <v>195</v>
      </c>
      <c r="Q46" s="9" t="s">
        <v>190</v>
      </c>
    </row>
    <row r="47" spans="1:17" ht="18" customHeight="1" x14ac:dyDescent="0.3">
      <c r="A47" s="13" t="str">
        <f t="shared" si="0"/>
        <v>202505-S1-03</v>
      </c>
      <c r="B47" s="14">
        <v>45778</v>
      </c>
      <c r="C47" s="15">
        <f t="shared" si="1"/>
        <v>2025</v>
      </c>
      <c r="D47" s="13" t="str">
        <f t="shared" si="2"/>
        <v>Fora</v>
      </c>
      <c r="E47" s="9" t="s">
        <v>182</v>
      </c>
      <c r="F47" s="9" t="s">
        <v>196</v>
      </c>
      <c r="G47" s="9" t="s">
        <v>197</v>
      </c>
      <c r="H47" s="9" t="s">
        <v>198</v>
      </c>
      <c r="I47" s="9" t="s">
        <v>186</v>
      </c>
      <c r="J47" s="16"/>
      <c r="K47" s="9" t="s">
        <v>199</v>
      </c>
      <c r="L47" s="9" t="s">
        <v>101</v>
      </c>
      <c r="M47" s="17">
        <f>IF(L47="","",IFERROR(INDEX(tbl_fatores_emissao[Valor],MATCH(L47,tbl_fatores_emissao[ID_FE],0)),""))</f>
        <v>2088</v>
      </c>
      <c r="N47" s="17" t="str">
        <f t="shared" si="3"/>
        <v/>
      </c>
      <c r="O47" s="9" t="s">
        <v>188</v>
      </c>
      <c r="P47" s="9" t="s">
        <v>200</v>
      </c>
      <c r="Q47" s="9"/>
    </row>
    <row r="48" spans="1:17" ht="18" customHeight="1" x14ac:dyDescent="0.3">
      <c r="A48" s="13" t="str">
        <f t="shared" si="0"/>
        <v>202505-S2-LB</v>
      </c>
      <c r="B48" s="14">
        <v>45778</v>
      </c>
      <c r="C48" s="15">
        <f t="shared" si="1"/>
        <v>2025</v>
      </c>
      <c r="D48" s="13" t="str">
        <f t="shared" si="2"/>
        <v>Fora</v>
      </c>
      <c r="E48" s="9" t="s">
        <v>201</v>
      </c>
      <c r="F48" s="9" t="s">
        <v>202</v>
      </c>
      <c r="G48" s="9" t="s">
        <v>203</v>
      </c>
      <c r="H48" s="9" t="s">
        <v>204</v>
      </c>
      <c r="I48" s="9" t="s">
        <v>205</v>
      </c>
      <c r="J48" s="16">
        <v>538026.29</v>
      </c>
      <c r="K48" s="9" t="s">
        <v>206</v>
      </c>
      <c r="L48" s="9" t="s">
        <v>82</v>
      </c>
      <c r="M48" s="17">
        <f>IF(L48="","",IFERROR(INDEX(tbl_fatores_emissao[Valor],MATCH(L48,tbl_fatores_emissao[ID_FE],0)),""))</f>
        <v>0.11</v>
      </c>
      <c r="N48" s="17">
        <f t="shared" si="3"/>
        <v>59.183</v>
      </c>
      <c r="O48" s="9" t="s">
        <v>188</v>
      </c>
      <c r="P48" s="9" t="s">
        <v>207</v>
      </c>
      <c r="Q48" s="9"/>
    </row>
    <row r="49" spans="1:17" ht="18" customHeight="1" x14ac:dyDescent="0.3">
      <c r="A49" s="13" t="str">
        <f t="shared" si="0"/>
        <v>202505-S2-MB-GO</v>
      </c>
      <c r="B49" s="14">
        <v>45778</v>
      </c>
      <c r="C49" s="15">
        <f t="shared" si="1"/>
        <v>2025</v>
      </c>
      <c r="D49" s="13" t="str">
        <f t="shared" si="2"/>
        <v>Fora</v>
      </c>
      <c r="E49" s="9" t="s">
        <v>201</v>
      </c>
      <c r="F49" s="9" t="s">
        <v>202</v>
      </c>
      <c r="G49" s="9" t="s">
        <v>208</v>
      </c>
      <c r="H49" s="9" t="s">
        <v>209</v>
      </c>
      <c r="I49" s="9" t="s">
        <v>210</v>
      </c>
      <c r="J49" s="16">
        <v>295914.46000000002</v>
      </c>
      <c r="K49" s="9" t="s">
        <v>206</v>
      </c>
      <c r="L49" s="9" t="s">
        <v>92</v>
      </c>
      <c r="M49" s="17">
        <f>IF(L49="","",IFERROR(INDEX(tbl_fatores_emissao[Valor],MATCH(L49,tbl_fatores_emissao[ID_FE],0)),""))</f>
        <v>0</v>
      </c>
      <c r="N49" s="17">
        <f t="shared" si="3"/>
        <v>0</v>
      </c>
      <c r="O49" s="9" t="s">
        <v>188</v>
      </c>
      <c r="P49" s="9" t="s">
        <v>211</v>
      </c>
      <c r="Q49" s="9"/>
    </row>
    <row r="50" spans="1:17" ht="18" customHeight="1" x14ac:dyDescent="0.3">
      <c r="A50" s="13" t="str">
        <f t="shared" si="0"/>
        <v>202505-S2-MB-RES</v>
      </c>
      <c r="B50" s="14">
        <v>45778</v>
      </c>
      <c r="C50" s="15">
        <f t="shared" si="1"/>
        <v>2025</v>
      </c>
      <c r="D50" s="13" t="str">
        <f t="shared" si="2"/>
        <v>Fora</v>
      </c>
      <c r="E50" s="9" t="s">
        <v>201</v>
      </c>
      <c r="F50" s="9" t="s">
        <v>202</v>
      </c>
      <c r="G50" s="9" t="s">
        <v>212</v>
      </c>
      <c r="H50" s="9" t="s">
        <v>213</v>
      </c>
      <c r="I50" s="9" t="s">
        <v>210</v>
      </c>
      <c r="J50" s="16">
        <v>242111.83</v>
      </c>
      <c r="K50" s="9" t="s">
        <v>206</v>
      </c>
      <c r="L50" s="9" t="s">
        <v>88</v>
      </c>
      <c r="M50" s="17">
        <f>IF(L50="","",IFERROR(INDEX(tbl_fatores_emissao[Valor],MATCH(L50,tbl_fatores_emissao[ID_FE],0)),""))</f>
        <v>0.25</v>
      </c>
      <c r="N50" s="17">
        <f t="shared" si="3"/>
        <v>60.527999999999999</v>
      </c>
      <c r="O50" s="9" t="s">
        <v>188</v>
      </c>
      <c r="P50" s="9" t="s">
        <v>211</v>
      </c>
      <c r="Q50" s="9"/>
    </row>
    <row r="51" spans="1:17" ht="18" customHeight="1" x14ac:dyDescent="0.3">
      <c r="A51" s="13" t="str">
        <f t="shared" si="0"/>
        <v>202505-S3-C1-VIR</v>
      </c>
      <c r="B51" s="14">
        <v>45778</v>
      </c>
      <c r="C51" s="15">
        <f t="shared" si="1"/>
        <v>2025</v>
      </c>
      <c r="D51" s="13" t="str">
        <f t="shared" si="2"/>
        <v>Fora</v>
      </c>
      <c r="E51" s="9" t="s">
        <v>214</v>
      </c>
      <c r="F51" s="9" t="s">
        <v>215</v>
      </c>
      <c r="G51" s="9" t="s">
        <v>216</v>
      </c>
      <c r="H51" s="9" t="s">
        <v>217</v>
      </c>
      <c r="I51" s="9" t="s">
        <v>186</v>
      </c>
      <c r="J51" s="16">
        <v>55009.77</v>
      </c>
      <c r="K51" s="9" t="s">
        <v>199</v>
      </c>
      <c r="L51" s="9" t="s">
        <v>119</v>
      </c>
      <c r="M51" s="17">
        <f>IF(L51="","",IFERROR(INDEX(tbl_fatores_emissao[Valor],MATCH(L51,tbl_fatores_emissao[ID_FE],0)),""))</f>
        <v>1.9</v>
      </c>
      <c r="N51" s="17">
        <f t="shared" si="3"/>
        <v>104.51900000000001</v>
      </c>
      <c r="O51" s="9" t="s">
        <v>218</v>
      </c>
      <c r="P51" s="9" t="s">
        <v>219</v>
      </c>
      <c r="Q51" s="9"/>
    </row>
    <row r="52" spans="1:17" ht="18" customHeight="1" x14ac:dyDescent="0.3">
      <c r="A52" s="13" t="str">
        <f t="shared" si="0"/>
        <v>202505-S3-C1-PCR</v>
      </c>
      <c r="B52" s="14">
        <v>45778</v>
      </c>
      <c r="C52" s="15">
        <f t="shared" si="1"/>
        <v>2025</v>
      </c>
      <c r="D52" s="13" t="str">
        <f t="shared" si="2"/>
        <v>Fora</v>
      </c>
      <c r="E52" s="9" t="s">
        <v>214</v>
      </c>
      <c r="F52" s="9" t="s">
        <v>215</v>
      </c>
      <c r="G52" s="9" t="s">
        <v>220</v>
      </c>
      <c r="H52" s="9" t="s">
        <v>221</v>
      </c>
      <c r="I52" s="9" t="s">
        <v>186</v>
      </c>
      <c r="J52" s="16">
        <v>7182</v>
      </c>
      <c r="K52" s="9" t="s">
        <v>199</v>
      </c>
      <c r="L52" s="9" t="s">
        <v>116</v>
      </c>
      <c r="M52" s="17">
        <f>IF(L52="","",IFERROR(INDEX(tbl_fatores_emissao[Valor],MATCH(L52,tbl_fatores_emissao[ID_FE],0)),""))</f>
        <v>0.5</v>
      </c>
      <c r="N52" s="17">
        <f t="shared" si="3"/>
        <v>3.5910000000000002</v>
      </c>
      <c r="O52" s="9" t="s">
        <v>218</v>
      </c>
      <c r="P52" s="9" t="s">
        <v>222</v>
      </c>
      <c r="Q52" s="9"/>
    </row>
    <row r="53" spans="1:17" ht="18" customHeight="1" x14ac:dyDescent="0.3">
      <c r="A53" s="13" t="str">
        <f t="shared" si="0"/>
        <v>202505-S3-C1-TIN</v>
      </c>
      <c r="B53" s="14">
        <v>45778</v>
      </c>
      <c r="C53" s="15">
        <f t="shared" si="1"/>
        <v>2025</v>
      </c>
      <c r="D53" s="13" t="str">
        <f t="shared" si="2"/>
        <v>Fora</v>
      </c>
      <c r="E53" s="9" t="s">
        <v>214</v>
      </c>
      <c r="F53" s="9" t="s">
        <v>215</v>
      </c>
      <c r="G53" s="9" t="s">
        <v>223</v>
      </c>
      <c r="H53" s="9" t="s">
        <v>123</v>
      </c>
      <c r="I53" s="9" t="s">
        <v>186</v>
      </c>
      <c r="J53" s="16">
        <v>94.95</v>
      </c>
      <c r="K53" s="9" t="s">
        <v>199</v>
      </c>
      <c r="L53" s="9" t="s">
        <v>122</v>
      </c>
      <c r="M53" s="17">
        <f>IF(L53="","",IFERROR(INDEX(tbl_fatores_emissao[Valor],MATCH(L53,tbl_fatores_emissao[ID_FE],0)),""))</f>
        <v>3</v>
      </c>
      <c r="N53" s="17">
        <f t="shared" si="3"/>
        <v>0.28499999999999998</v>
      </c>
      <c r="O53" s="9" t="s">
        <v>218</v>
      </c>
      <c r="P53" s="9" t="s">
        <v>224</v>
      </c>
      <c r="Q53" s="9"/>
    </row>
    <row r="54" spans="1:17" ht="18" customHeight="1" x14ac:dyDescent="0.3">
      <c r="A54" s="13" t="str">
        <f t="shared" si="0"/>
        <v>202505-S3-C1-SOL</v>
      </c>
      <c r="B54" s="14">
        <v>45778</v>
      </c>
      <c r="C54" s="15">
        <f t="shared" si="1"/>
        <v>2025</v>
      </c>
      <c r="D54" s="13" t="str">
        <f t="shared" si="2"/>
        <v>Fora</v>
      </c>
      <c r="E54" s="9" t="s">
        <v>214</v>
      </c>
      <c r="F54" s="9" t="s">
        <v>215</v>
      </c>
      <c r="G54" s="9" t="s">
        <v>225</v>
      </c>
      <c r="H54" s="9" t="s">
        <v>126</v>
      </c>
      <c r="I54" s="9" t="s">
        <v>186</v>
      </c>
      <c r="J54" s="16">
        <v>59.93</v>
      </c>
      <c r="K54" s="9" t="s">
        <v>199</v>
      </c>
      <c r="L54" s="9" t="s">
        <v>125</v>
      </c>
      <c r="M54" s="17">
        <f>IF(L54="","",IFERROR(INDEX(tbl_fatores_emissao[Valor],MATCH(L54,tbl_fatores_emissao[ID_FE],0)),""))</f>
        <v>1.8</v>
      </c>
      <c r="N54" s="17">
        <f t="shared" si="3"/>
        <v>0.108</v>
      </c>
      <c r="O54" s="9" t="s">
        <v>188</v>
      </c>
      <c r="P54" s="9" t="s">
        <v>226</v>
      </c>
      <c r="Q54" s="9"/>
    </row>
    <row r="55" spans="1:17" ht="18" customHeight="1" x14ac:dyDescent="0.3">
      <c r="A55" s="13" t="str">
        <f t="shared" si="0"/>
        <v>202505-S3-C1-FOI</v>
      </c>
      <c r="B55" s="14">
        <v>45778</v>
      </c>
      <c r="C55" s="15">
        <f t="shared" si="1"/>
        <v>2025</v>
      </c>
      <c r="D55" s="13" t="str">
        <f t="shared" si="2"/>
        <v>Fora</v>
      </c>
      <c r="E55" s="9" t="s">
        <v>214</v>
      </c>
      <c r="F55" s="9" t="s">
        <v>215</v>
      </c>
      <c r="G55" s="9" t="s">
        <v>227</v>
      </c>
      <c r="H55" s="9" t="s">
        <v>129</v>
      </c>
      <c r="I55" s="9" t="s">
        <v>186</v>
      </c>
      <c r="J55" s="16">
        <v>1158.47</v>
      </c>
      <c r="K55" s="9" t="s">
        <v>199</v>
      </c>
      <c r="L55" s="9" t="s">
        <v>128</v>
      </c>
      <c r="M55" s="17">
        <f>IF(L55="","",IFERROR(INDEX(tbl_fatores_emissao[Valor],MATCH(L55,tbl_fatores_emissao[ID_FE],0)),""))</f>
        <v>3.5</v>
      </c>
      <c r="N55" s="17">
        <f t="shared" si="3"/>
        <v>4.0549999999999997</v>
      </c>
      <c r="O55" s="9" t="s">
        <v>218</v>
      </c>
      <c r="P55" s="9" t="s">
        <v>228</v>
      </c>
      <c r="Q55" s="9"/>
    </row>
    <row r="56" spans="1:17" ht="18" customHeight="1" x14ac:dyDescent="0.3">
      <c r="A56" s="13" t="str">
        <f t="shared" si="0"/>
        <v>202505-S3-C3</v>
      </c>
      <c r="B56" s="14">
        <v>45778</v>
      </c>
      <c r="C56" s="15">
        <f t="shared" si="1"/>
        <v>2025</v>
      </c>
      <c r="D56" s="13" t="str">
        <f t="shared" si="2"/>
        <v>Fora</v>
      </c>
      <c r="E56" s="9" t="s">
        <v>214</v>
      </c>
      <c r="F56" s="9" t="s">
        <v>229</v>
      </c>
      <c r="G56" s="9" t="s">
        <v>230</v>
      </c>
      <c r="H56" s="9" t="s">
        <v>231</v>
      </c>
      <c r="I56" s="9" t="s">
        <v>186</v>
      </c>
      <c r="J56" s="16">
        <v>538026.29</v>
      </c>
      <c r="K56" s="9" t="s">
        <v>206</v>
      </c>
      <c r="L56" s="9" t="s">
        <v>133</v>
      </c>
      <c r="M56" s="17">
        <f>IF(L56="","",IFERROR(INDEX(tbl_fatores_emissao[Valor],MATCH(L56,tbl_fatores_emissao[ID_FE],0)),""))</f>
        <v>0.02</v>
      </c>
      <c r="N56" s="17">
        <f t="shared" si="3"/>
        <v>10.760999999999999</v>
      </c>
      <c r="O56" s="9" t="s">
        <v>194</v>
      </c>
      <c r="P56" s="9" t="s">
        <v>232</v>
      </c>
      <c r="Q56" s="9"/>
    </row>
    <row r="57" spans="1:17" ht="18" customHeight="1" x14ac:dyDescent="0.3">
      <c r="A57" s="13" t="str">
        <f t="shared" si="0"/>
        <v>202505-S3-C4</v>
      </c>
      <c r="B57" s="14">
        <v>45778</v>
      </c>
      <c r="C57" s="15">
        <f t="shared" si="1"/>
        <v>2025</v>
      </c>
      <c r="D57" s="13" t="str">
        <f t="shared" si="2"/>
        <v>Fora</v>
      </c>
      <c r="E57" s="9" t="s">
        <v>214</v>
      </c>
      <c r="F57" s="9" t="s">
        <v>233</v>
      </c>
      <c r="G57" s="9" t="s">
        <v>234</v>
      </c>
      <c r="H57" s="9" t="s">
        <v>235</v>
      </c>
      <c r="I57" s="9" t="s">
        <v>186</v>
      </c>
      <c r="J57" s="16">
        <v>62191.77</v>
      </c>
      <c r="K57" s="9" t="s">
        <v>199</v>
      </c>
      <c r="L57" s="9" t="s">
        <v>137</v>
      </c>
      <c r="M57" s="17">
        <f>IF(L57="","",IFERROR(INDEX(tbl_fatores_emissao[Valor],MATCH(L57,tbl_fatores_emissao[ID_FE],0)),""))</f>
        <v>0.1178</v>
      </c>
      <c r="N57" s="17">
        <f t="shared" si="3"/>
        <v>7.3259999999999996</v>
      </c>
      <c r="O57" s="9" t="s">
        <v>194</v>
      </c>
      <c r="P57" s="9" t="s">
        <v>236</v>
      </c>
      <c r="Q57" s="9"/>
    </row>
    <row r="58" spans="1:17" ht="18" customHeight="1" x14ac:dyDescent="0.3">
      <c r="A58" s="13" t="str">
        <f t="shared" si="0"/>
        <v>202505-S3-C5-REC</v>
      </c>
      <c r="B58" s="14">
        <v>45778</v>
      </c>
      <c r="C58" s="15">
        <f t="shared" si="1"/>
        <v>2025</v>
      </c>
      <c r="D58" s="13" t="str">
        <f t="shared" si="2"/>
        <v>Fora</v>
      </c>
      <c r="E58" s="9" t="s">
        <v>214</v>
      </c>
      <c r="F58" s="9" t="s">
        <v>237</v>
      </c>
      <c r="G58" s="9" t="s">
        <v>238</v>
      </c>
      <c r="H58" s="9" t="s">
        <v>239</v>
      </c>
      <c r="I58" s="9" t="s">
        <v>186</v>
      </c>
      <c r="J58" s="16">
        <v>8744.6</v>
      </c>
      <c r="K58" s="9" t="s">
        <v>199</v>
      </c>
      <c r="L58" s="9" t="s">
        <v>148</v>
      </c>
      <c r="M58" s="17">
        <f>IF(L58="","",IFERROR(INDEX(tbl_fatores_emissao[Valor],MATCH(L58,tbl_fatores_emissao[ID_FE],0)),""))</f>
        <v>2.1000000000000001E-2</v>
      </c>
      <c r="N58" s="17">
        <f t="shared" si="3"/>
        <v>0.184</v>
      </c>
      <c r="O58" s="9" t="s">
        <v>188</v>
      </c>
      <c r="P58" s="9" t="s">
        <v>240</v>
      </c>
      <c r="Q58" s="9"/>
    </row>
    <row r="59" spans="1:17" ht="18" customHeight="1" x14ac:dyDescent="0.3">
      <c r="A59" s="13" t="str">
        <f t="shared" si="0"/>
        <v>202505-S3-C5-ATE</v>
      </c>
      <c r="B59" s="14">
        <v>45778</v>
      </c>
      <c r="C59" s="15">
        <f t="shared" si="1"/>
        <v>2025</v>
      </c>
      <c r="D59" s="13" t="str">
        <f t="shared" si="2"/>
        <v>Fora</v>
      </c>
      <c r="E59" s="9" t="s">
        <v>214</v>
      </c>
      <c r="F59" s="9" t="s">
        <v>237</v>
      </c>
      <c r="G59" s="9" t="s">
        <v>241</v>
      </c>
      <c r="H59" s="9" t="s">
        <v>242</v>
      </c>
      <c r="I59" s="9" t="s">
        <v>186</v>
      </c>
      <c r="J59" s="16">
        <v>2050.1</v>
      </c>
      <c r="K59" s="9" t="s">
        <v>199</v>
      </c>
      <c r="L59" s="9" t="s">
        <v>152</v>
      </c>
      <c r="M59" s="17">
        <f>IF(L59="","",IFERROR(INDEX(tbl_fatores_emissao[Valor],MATCH(L59,tbl_fatores_emissao[ID_FE],0)),""))</f>
        <v>0.45</v>
      </c>
      <c r="N59" s="17">
        <f t="shared" si="3"/>
        <v>0.92300000000000004</v>
      </c>
      <c r="O59" s="9" t="s">
        <v>188</v>
      </c>
      <c r="P59" s="9" t="s">
        <v>243</v>
      </c>
      <c r="Q59" s="9"/>
    </row>
    <row r="60" spans="1:17" ht="18" customHeight="1" x14ac:dyDescent="0.3">
      <c r="A60" s="13" t="str">
        <f t="shared" si="0"/>
        <v>202505-S3-C5-PER</v>
      </c>
      <c r="B60" s="14">
        <v>45778</v>
      </c>
      <c r="C60" s="15">
        <f t="shared" si="1"/>
        <v>2025</v>
      </c>
      <c r="D60" s="13" t="str">
        <f t="shared" si="2"/>
        <v>Fora</v>
      </c>
      <c r="E60" s="9" t="s">
        <v>214</v>
      </c>
      <c r="F60" s="9" t="s">
        <v>237</v>
      </c>
      <c r="G60" s="9" t="s">
        <v>244</v>
      </c>
      <c r="H60" s="9" t="s">
        <v>245</v>
      </c>
      <c r="I60" s="9" t="s">
        <v>186</v>
      </c>
      <c r="J60" s="16">
        <v>46.9</v>
      </c>
      <c r="K60" s="9" t="s">
        <v>199</v>
      </c>
      <c r="L60" s="9" t="s">
        <v>155</v>
      </c>
      <c r="M60" s="17">
        <f>IF(L60="","",IFERROR(INDEX(tbl_fatores_emissao[Valor],MATCH(L60,tbl_fatores_emissao[ID_FE],0)),""))</f>
        <v>0.9</v>
      </c>
      <c r="N60" s="17">
        <f t="shared" si="3"/>
        <v>4.2000000000000003E-2</v>
      </c>
      <c r="O60" s="9" t="s">
        <v>188</v>
      </c>
      <c r="P60" s="9" t="s">
        <v>246</v>
      </c>
      <c r="Q60" s="9"/>
    </row>
    <row r="61" spans="1:17" ht="18" customHeight="1" x14ac:dyDescent="0.3">
      <c r="A61" s="13" t="str">
        <f t="shared" si="0"/>
        <v>202505-S3-C6</v>
      </c>
      <c r="B61" s="14">
        <v>45778</v>
      </c>
      <c r="C61" s="15">
        <f t="shared" si="1"/>
        <v>2025</v>
      </c>
      <c r="D61" s="13" t="str">
        <f t="shared" si="2"/>
        <v>Fora</v>
      </c>
      <c r="E61" s="9" t="s">
        <v>214</v>
      </c>
      <c r="F61" s="9" t="s">
        <v>247</v>
      </c>
      <c r="G61" s="9" t="s">
        <v>248</v>
      </c>
      <c r="H61" s="9" t="s">
        <v>249</v>
      </c>
      <c r="I61" s="9" t="s">
        <v>186</v>
      </c>
      <c r="J61" s="16">
        <v>3058.26</v>
      </c>
      <c r="K61" s="9" t="s">
        <v>250</v>
      </c>
      <c r="L61" s="9" t="s">
        <v>158</v>
      </c>
      <c r="M61" s="17">
        <f>IF(L61="","",IFERROR(INDEX(tbl_fatores_emissao[Valor],MATCH(L61,tbl_fatores_emissao[ID_FE],0)),""))</f>
        <v>0.17</v>
      </c>
      <c r="N61" s="17">
        <f t="shared" si="3"/>
        <v>0.52</v>
      </c>
      <c r="O61" s="9" t="s">
        <v>194</v>
      </c>
      <c r="P61" s="9" t="s">
        <v>251</v>
      </c>
      <c r="Q61" s="9" t="s">
        <v>252</v>
      </c>
    </row>
    <row r="62" spans="1:17" ht="18" customHeight="1" x14ac:dyDescent="0.3">
      <c r="A62" s="13" t="str">
        <f t="shared" si="0"/>
        <v>202505-S3-C7</v>
      </c>
      <c r="B62" s="14">
        <v>45778</v>
      </c>
      <c r="C62" s="15">
        <f t="shared" si="1"/>
        <v>2025</v>
      </c>
      <c r="D62" s="13" t="str">
        <f t="shared" si="2"/>
        <v>Fora</v>
      </c>
      <c r="E62" s="9" t="s">
        <v>214</v>
      </c>
      <c r="F62" s="9" t="s">
        <v>253</v>
      </c>
      <c r="G62" s="9" t="s">
        <v>254</v>
      </c>
      <c r="H62" s="9" t="s">
        <v>255</v>
      </c>
      <c r="I62" s="9" t="s">
        <v>186</v>
      </c>
      <c r="J62" s="16">
        <v>35154</v>
      </c>
      <c r="K62" s="9" t="s">
        <v>250</v>
      </c>
      <c r="L62" s="9" t="s">
        <v>158</v>
      </c>
      <c r="M62" s="17">
        <f>IF(L62="","",IFERROR(INDEX(tbl_fatores_emissao[Valor],MATCH(L62,tbl_fatores_emissao[ID_FE],0)),""))</f>
        <v>0.17</v>
      </c>
      <c r="N62" s="17">
        <f t="shared" si="3"/>
        <v>5.976</v>
      </c>
      <c r="O62" s="9" t="s">
        <v>194</v>
      </c>
      <c r="P62" s="9" t="s">
        <v>256</v>
      </c>
      <c r="Q62" s="9" t="s">
        <v>257</v>
      </c>
    </row>
    <row r="63" spans="1:17" ht="18" customHeight="1" x14ac:dyDescent="0.3">
      <c r="A63" s="13" t="str">
        <f t="shared" si="0"/>
        <v>202505-S3-C9</v>
      </c>
      <c r="B63" s="14">
        <v>45778</v>
      </c>
      <c r="C63" s="15">
        <f t="shared" si="1"/>
        <v>2025</v>
      </c>
      <c r="D63" s="13" t="str">
        <f t="shared" si="2"/>
        <v>Fora</v>
      </c>
      <c r="E63" s="9" t="s">
        <v>214</v>
      </c>
      <c r="F63" s="9" t="s">
        <v>258</v>
      </c>
      <c r="G63" s="9" t="s">
        <v>259</v>
      </c>
      <c r="H63" s="9" t="s">
        <v>260</v>
      </c>
      <c r="I63" s="9" t="s">
        <v>186</v>
      </c>
      <c r="J63" s="16">
        <v>27274.1</v>
      </c>
      <c r="K63" s="9" t="s">
        <v>261</v>
      </c>
      <c r="L63" s="9" t="s">
        <v>141</v>
      </c>
      <c r="M63" s="17">
        <f>IF(L63="","",IFERROR(INDEX(tbl_fatores_emissao[Valor],MATCH(L63,tbl_fatores_emissao[ID_FE],0)),""))</f>
        <v>0.108</v>
      </c>
      <c r="N63" s="17">
        <f t="shared" si="3"/>
        <v>2.9460000000000002</v>
      </c>
      <c r="O63" s="9" t="s">
        <v>194</v>
      </c>
      <c r="P63" s="9" t="s">
        <v>262</v>
      </c>
      <c r="Q63" s="9"/>
    </row>
    <row r="64" spans="1:17" ht="18" customHeight="1" x14ac:dyDescent="0.3">
      <c r="A64" s="13" t="str">
        <f t="shared" si="0"/>
        <v>202505-S3-C12</v>
      </c>
      <c r="B64" s="14">
        <v>45778</v>
      </c>
      <c r="C64" s="15">
        <f t="shared" si="1"/>
        <v>2025</v>
      </c>
      <c r="D64" s="13" t="str">
        <f t="shared" si="2"/>
        <v>Fora</v>
      </c>
      <c r="E64" s="9" t="s">
        <v>214</v>
      </c>
      <c r="F64" s="9" t="s">
        <v>263</v>
      </c>
      <c r="G64" s="9" t="s">
        <v>264</v>
      </c>
      <c r="H64" s="9" t="s">
        <v>265</v>
      </c>
      <c r="I64" s="9" t="s">
        <v>186</v>
      </c>
      <c r="J64" s="16">
        <v>60609.120000000003</v>
      </c>
      <c r="K64" s="9" t="s">
        <v>199</v>
      </c>
      <c r="L64" s="9" t="s">
        <v>163</v>
      </c>
      <c r="M64" s="17">
        <f>IF(L64="","",IFERROR(INDEX(tbl_fatores_emissao[Valor],MATCH(L64,tbl_fatores_emissao[ID_FE],0)),""))</f>
        <v>1</v>
      </c>
      <c r="N64" s="17">
        <f t="shared" si="3"/>
        <v>60.609000000000002</v>
      </c>
      <c r="O64" s="9" t="s">
        <v>194</v>
      </c>
      <c r="P64" s="9" t="s">
        <v>266</v>
      </c>
      <c r="Q64" s="9"/>
    </row>
    <row r="65" spans="1:17" ht="18" customHeight="1" x14ac:dyDescent="0.3">
      <c r="A65" s="13" t="str">
        <f t="shared" si="0"/>
        <v>202506-S1-01</v>
      </c>
      <c r="B65" s="14">
        <v>45809</v>
      </c>
      <c r="C65" s="15">
        <f t="shared" si="1"/>
        <v>2025</v>
      </c>
      <c r="D65" s="13" t="str">
        <f t="shared" si="2"/>
        <v>Fora</v>
      </c>
      <c r="E65" s="9" t="s">
        <v>182</v>
      </c>
      <c r="F65" s="9" t="s">
        <v>183</v>
      </c>
      <c r="G65" s="9" t="s">
        <v>184</v>
      </c>
      <c r="H65" s="9" t="s">
        <v>185</v>
      </c>
      <c r="I65" s="9" t="s">
        <v>186</v>
      </c>
      <c r="J65" s="16">
        <v>227.39</v>
      </c>
      <c r="K65" s="9" t="s">
        <v>187</v>
      </c>
      <c r="L65" s="9" t="s">
        <v>96</v>
      </c>
      <c r="M65" s="17">
        <f>IF(L65="","",IFERROR(INDEX(tbl_fatores_emissao[Valor],MATCH(L65,tbl_fatores_emissao[ID_FE],0)),""))</f>
        <v>2.66</v>
      </c>
      <c r="N65" s="17">
        <f t="shared" si="3"/>
        <v>0.60499999999999998</v>
      </c>
      <c r="O65" s="9" t="s">
        <v>188</v>
      </c>
      <c r="P65" s="9" t="s">
        <v>189</v>
      </c>
      <c r="Q65" s="9" t="s">
        <v>190</v>
      </c>
    </row>
    <row r="66" spans="1:17" ht="18" customHeight="1" x14ac:dyDescent="0.3">
      <c r="A66" s="13" t="str">
        <f t="shared" si="0"/>
        <v>202506-S1-02</v>
      </c>
      <c r="B66" s="14">
        <v>45809</v>
      </c>
      <c r="C66" s="15">
        <f t="shared" si="1"/>
        <v>2025</v>
      </c>
      <c r="D66" s="13" t="str">
        <f t="shared" si="2"/>
        <v>Fora</v>
      </c>
      <c r="E66" s="9" t="s">
        <v>182</v>
      </c>
      <c r="F66" s="9" t="s">
        <v>191</v>
      </c>
      <c r="G66" s="9" t="s">
        <v>192</v>
      </c>
      <c r="H66" s="9" t="s">
        <v>193</v>
      </c>
      <c r="I66" s="9" t="s">
        <v>186</v>
      </c>
      <c r="J66" s="16">
        <v>19.16</v>
      </c>
      <c r="K66" s="9" t="s">
        <v>187</v>
      </c>
      <c r="L66" s="9" t="s">
        <v>96</v>
      </c>
      <c r="M66" s="17">
        <f>IF(L66="","",IFERROR(INDEX(tbl_fatores_emissao[Valor],MATCH(L66,tbl_fatores_emissao[ID_FE],0)),""))</f>
        <v>2.66</v>
      </c>
      <c r="N66" s="17">
        <f t="shared" si="3"/>
        <v>5.0999999999999997E-2</v>
      </c>
      <c r="O66" s="9" t="s">
        <v>194</v>
      </c>
      <c r="P66" s="9" t="s">
        <v>195</v>
      </c>
      <c r="Q66" s="9" t="s">
        <v>190</v>
      </c>
    </row>
    <row r="67" spans="1:17" ht="18" customHeight="1" x14ac:dyDescent="0.3">
      <c r="A67" s="13" t="str">
        <f t="shared" si="0"/>
        <v>202506-S1-03</v>
      </c>
      <c r="B67" s="14">
        <v>45809</v>
      </c>
      <c r="C67" s="15">
        <f t="shared" si="1"/>
        <v>2025</v>
      </c>
      <c r="D67" s="13" t="str">
        <f t="shared" si="2"/>
        <v>Fora</v>
      </c>
      <c r="E67" s="9" t="s">
        <v>182</v>
      </c>
      <c r="F67" s="9" t="s">
        <v>196</v>
      </c>
      <c r="G67" s="9" t="s">
        <v>197</v>
      </c>
      <c r="H67" s="9" t="s">
        <v>198</v>
      </c>
      <c r="I67" s="9" t="s">
        <v>186</v>
      </c>
      <c r="J67" s="16"/>
      <c r="K67" s="9" t="s">
        <v>199</v>
      </c>
      <c r="L67" s="9" t="s">
        <v>101</v>
      </c>
      <c r="M67" s="17">
        <f>IF(L67="","",IFERROR(INDEX(tbl_fatores_emissao[Valor],MATCH(L67,tbl_fatores_emissao[ID_FE],0)),""))</f>
        <v>2088</v>
      </c>
      <c r="N67" s="17" t="str">
        <f t="shared" si="3"/>
        <v/>
      </c>
      <c r="O67" s="9" t="s">
        <v>188</v>
      </c>
      <c r="P67" s="9" t="s">
        <v>200</v>
      </c>
      <c r="Q67" s="9"/>
    </row>
    <row r="68" spans="1:17" ht="18" customHeight="1" x14ac:dyDescent="0.3">
      <c r="A68" s="13" t="str">
        <f t="shared" si="0"/>
        <v>202506-S2-LB</v>
      </c>
      <c r="B68" s="14">
        <v>45809</v>
      </c>
      <c r="C68" s="15">
        <f t="shared" si="1"/>
        <v>2025</v>
      </c>
      <c r="D68" s="13" t="str">
        <f t="shared" si="2"/>
        <v>Fora</v>
      </c>
      <c r="E68" s="9" t="s">
        <v>201</v>
      </c>
      <c r="F68" s="9" t="s">
        <v>202</v>
      </c>
      <c r="G68" s="9" t="s">
        <v>203</v>
      </c>
      <c r="H68" s="9" t="s">
        <v>204</v>
      </c>
      <c r="I68" s="9" t="s">
        <v>205</v>
      </c>
      <c r="J68" s="16">
        <v>515423.14</v>
      </c>
      <c r="K68" s="9" t="s">
        <v>206</v>
      </c>
      <c r="L68" s="9" t="s">
        <v>82</v>
      </c>
      <c r="M68" s="17">
        <f>IF(L68="","",IFERROR(INDEX(tbl_fatores_emissao[Valor],MATCH(L68,tbl_fatores_emissao[ID_FE],0)),""))</f>
        <v>0.11</v>
      </c>
      <c r="N68" s="17">
        <f t="shared" si="3"/>
        <v>56.697000000000003</v>
      </c>
      <c r="O68" s="9" t="s">
        <v>188</v>
      </c>
      <c r="P68" s="9" t="s">
        <v>207</v>
      </c>
      <c r="Q68" s="9"/>
    </row>
    <row r="69" spans="1:17" ht="18" customHeight="1" x14ac:dyDescent="0.3">
      <c r="A69" s="13" t="str">
        <f t="shared" ref="A69:A132" si="4">IF(B69="","",(YEAR(B69)*100+MONTH(B69))&amp;"-"&amp;G69)</f>
        <v>202506-S2-MB-GO</v>
      </c>
      <c r="B69" s="14">
        <v>45809</v>
      </c>
      <c r="C69" s="15">
        <f t="shared" ref="C69:C132" si="5">IF(B69="","",YEAR(B69))</f>
        <v>2025</v>
      </c>
      <c r="D69" s="13" t="str">
        <f t="shared" ref="D69:D132" si="6">IF(B69="","",IF(AND(B69&gt;=DATE(2025,9,1),B69&lt;=DATE(2026,8,1)),"2025/26","Fora"))</f>
        <v>Fora</v>
      </c>
      <c r="E69" s="9" t="s">
        <v>201</v>
      </c>
      <c r="F69" s="9" t="s">
        <v>202</v>
      </c>
      <c r="G69" s="9" t="s">
        <v>208</v>
      </c>
      <c r="H69" s="9" t="s">
        <v>209</v>
      </c>
      <c r="I69" s="9" t="s">
        <v>210</v>
      </c>
      <c r="J69" s="16">
        <v>283482.73</v>
      </c>
      <c r="K69" s="9" t="s">
        <v>206</v>
      </c>
      <c r="L69" s="9" t="s">
        <v>92</v>
      </c>
      <c r="M69" s="17">
        <f>IF(L69="","",IFERROR(INDEX(tbl_fatores_emissao[Valor],MATCH(L69,tbl_fatores_emissao[ID_FE],0)),""))</f>
        <v>0</v>
      </c>
      <c r="N69" s="17">
        <f t="shared" ref="N69:N132" si="7">IF(OR(J69="",M69=""),"",ROUND(J69*M69/1000,3))</f>
        <v>0</v>
      </c>
      <c r="O69" s="9" t="s">
        <v>188</v>
      </c>
      <c r="P69" s="9" t="s">
        <v>211</v>
      </c>
      <c r="Q69" s="9"/>
    </row>
    <row r="70" spans="1:17" ht="18" customHeight="1" x14ac:dyDescent="0.3">
      <c r="A70" s="13" t="str">
        <f t="shared" si="4"/>
        <v>202506-S2-MB-RES</v>
      </c>
      <c r="B70" s="14">
        <v>45809</v>
      </c>
      <c r="C70" s="15">
        <f t="shared" si="5"/>
        <v>2025</v>
      </c>
      <c r="D70" s="13" t="str">
        <f t="shared" si="6"/>
        <v>Fora</v>
      </c>
      <c r="E70" s="9" t="s">
        <v>201</v>
      </c>
      <c r="F70" s="9" t="s">
        <v>202</v>
      </c>
      <c r="G70" s="9" t="s">
        <v>212</v>
      </c>
      <c r="H70" s="9" t="s">
        <v>213</v>
      </c>
      <c r="I70" s="9" t="s">
        <v>210</v>
      </c>
      <c r="J70" s="16">
        <v>231940.41</v>
      </c>
      <c r="K70" s="9" t="s">
        <v>206</v>
      </c>
      <c r="L70" s="9" t="s">
        <v>88</v>
      </c>
      <c r="M70" s="17">
        <f>IF(L70="","",IFERROR(INDEX(tbl_fatores_emissao[Valor],MATCH(L70,tbl_fatores_emissao[ID_FE],0)),""))</f>
        <v>0.25</v>
      </c>
      <c r="N70" s="17">
        <f t="shared" si="7"/>
        <v>57.984999999999999</v>
      </c>
      <c r="O70" s="9" t="s">
        <v>188</v>
      </c>
      <c r="P70" s="9" t="s">
        <v>211</v>
      </c>
      <c r="Q70" s="9"/>
    </row>
    <row r="71" spans="1:17" ht="18" customHeight="1" x14ac:dyDescent="0.3">
      <c r="A71" s="13" t="str">
        <f t="shared" si="4"/>
        <v>202506-S3-C1-VIR</v>
      </c>
      <c r="B71" s="14">
        <v>45809</v>
      </c>
      <c r="C71" s="15">
        <f t="shared" si="5"/>
        <v>2025</v>
      </c>
      <c r="D71" s="13" t="str">
        <f t="shared" si="6"/>
        <v>Fora</v>
      </c>
      <c r="E71" s="9" t="s">
        <v>214</v>
      </c>
      <c r="F71" s="9" t="s">
        <v>215</v>
      </c>
      <c r="G71" s="9" t="s">
        <v>216</v>
      </c>
      <c r="H71" s="9" t="s">
        <v>217</v>
      </c>
      <c r="I71" s="9" t="s">
        <v>186</v>
      </c>
      <c r="J71" s="16">
        <v>51201.06</v>
      </c>
      <c r="K71" s="9" t="s">
        <v>199</v>
      </c>
      <c r="L71" s="9" t="s">
        <v>119</v>
      </c>
      <c r="M71" s="17">
        <f>IF(L71="","",IFERROR(INDEX(tbl_fatores_emissao[Valor],MATCH(L71,tbl_fatores_emissao[ID_FE],0)),""))</f>
        <v>1.9</v>
      </c>
      <c r="N71" s="17">
        <f t="shared" si="7"/>
        <v>97.281999999999996</v>
      </c>
      <c r="O71" s="9" t="s">
        <v>218</v>
      </c>
      <c r="P71" s="9" t="s">
        <v>219</v>
      </c>
      <c r="Q71" s="9"/>
    </row>
    <row r="72" spans="1:17" ht="18" customHeight="1" x14ac:dyDescent="0.3">
      <c r="A72" s="13" t="str">
        <f t="shared" si="4"/>
        <v>202506-S3-C1-PCR</v>
      </c>
      <c r="B72" s="14">
        <v>45809</v>
      </c>
      <c r="C72" s="15">
        <f t="shared" si="5"/>
        <v>2025</v>
      </c>
      <c r="D72" s="13" t="str">
        <f t="shared" si="6"/>
        <v>Fora</v>
      </c>
      <c r="E72" s="9" t="s">
        <v>214</v>
      </c>
      <c r="F72" s="9" t="s">
        <v>215</v>
      </c>
      <c r="G72" s="9" t="s">
        <v>220</v>
      </c>
      <c r="H72" s="9" t="s">
        <v>221</v>
      </c>
      <c r="I72" s="9" t="s">
        <v>186</v>
      </c>
      <c r="J72" s="16">
        <v>7172.57</v>
      </c>
      <c r="K72" s="9" t="s">
        <v>199</v>
      </c>
      <c r="L72" s="9" t="s">
        <v>116</v>
      </c>
      <c r="M72" s="17">
        <f>IF(L72="","",IFERROR(INDEX(tbl_fatores_emissao[Valor],MATCH(L72,tbl_fatores_emissao[ID_FE],0)),""))</f>
        <v>0.5</v>
      </c>
      <c r="N72" s="17">
        <f t="shared" si="7"/>
        <v>3.5859999999999999</v>
      </c>
      <c r="O72" s="9" t="s">
        <v>218</v>
      </c>
      <c r="P72" s="9" t="s">
        <v>222</v>
      </c>
      <c r="Q72" s="9"/>
    </row>
    <row r="73" spans="1:17" ht="18" customHeight="1" x14ac:dyDescent="0.3">
      <c r="A73" s="13" t="str">
        <f t="shared" si="4"/>
        <v>202506-S3-C1-TIN</v>
      </c>
      <c r="B73" s="14">
        <v>45809</v>
      </c>
      <c r="C73" s="15">
        <f t="shared" si="5"/>
        <v>2025</v>
      </c>
      <c r="D73" s="13" t="str">
        <f t="shared" si="6"/>
        <v>Fora</v>
      </c>
      <c r="E73" s="9" t="s">
        <v>214</v>
      </c>
      <c r="F73" s="9" t="s">
        <v>215</v>
      </c>
      <c r="G73" s="9" t="s">
        <v>223</v>
      </c>
      <c r="H73" s="9" t="s">
        <v>123</v>
      </c>
      <c r="I73" s="9" t="s">
        <v>186</v>
      </c>
      <c r="J73" s="16">
        <v>84.53</v>
      </c>
      <c r="K73" s="9" t="s">
        <v>199</v>
      </c>
      <c r="L73" s="9" t="s">
        <v>122</v>
      </c>
      <c r="M73" s="17">
        <f>IF(L73="","",IFERROR(INDEX(tbl_fatores_emissao[Valor],MATCH(L73,tbl_fatores_emissao[ID_FE],0)),""))</f>
        <v>3</v>
      </c>
      <c r="N73" s="17">
        <f t="shared" si="7"/>
        <v>0.254</v>
      </c>
      <c r="O73" s="9" t="s">
        <v>218</v>
      </c>
      <c r="P73" s="9" t="s">
        <v>224</v>
      </c>
      <c r="Q73" s="9"/>
    </row>
    <row r="74" spans="1:17" ht="18" customHeight="1" x14ac:dyDescent="0.3">
      <c r="A74" s="13" t="str">
        <f t="shared" si="4"/>
        <v>202506-S3-C1-SOL</v>
      </c>
      <c r="B74" s="14">
        <v>45809</v>
      </c>
      <c r="C74" s="15">
        <f t="shared" si="5"/>
        <v>2025</v>
      </c>
      <c r="D74" s="13" t="str">
        <f t="shared" si="6"/>
        <v>Fora</v>
      </c>
      <c r="E74" s="9" t="s">
        <v>214</v>
      </c>
      <c r="F74" s="9" t="s">
        <v>215</v>
      </c>
      <c r="G74" s="9" t="s">
        <v>225</v>
      </c>
      <c r="H74" s="9" t="s">
        <v>126</v>
      </c>
      <c r="I74" s="9" t="s">
        <v>186</v>
      </c>
      <c r="J74" s="16">
        <v>52.8</v>
      </c>
      <c r="K74" s="9" t="s">
        <v>199</v>
      </c>
      <c r="L74" s="9" t="s">
        <v>125</v>
      </c>
      <c r="M74" s="17">
        <f>IF(L74="","",IFERROR(INDEX(tbl_fatores_emissao[Valor],MATCH(L74,tbl_fatores_emissao[ID_FE],0)),""))</f>
        <v>1.8</v>
      </c>
      <c r="N74" s="17">
        <f t="shared" si="7"/>
        <v>9.5000000000000001E-2</v>
      </c>
      <c r="O74" s="9" t="s">
        <v>188</v>
      </c>
      <c r="P74" s="9" t="s">
        <v>226</v>
      </c>
      <c r="Q74" s="9"/>
    </row>
    <row r="75" spans="1:17" ht="18" customHeight="1" x14ac:dyDescent="0.3">
      <c r="A75" s="13" t="str">
        <f t="shared" si="4"/>
        <v>202506-S3-C1-FOI</v>
      </c>
      <c r="B75" s="14">
        <v>45809</v>
      </c>
      <c r="C75" s="15">
        <f t="shared" si="5"/>
        <v>2025</v>
      </c>
      <c r="D75" s="13" t="str">
        <f t="shared" si="6"/>
        <v>Fora</v>
      </c>
      <c r="E75" s="9" t="s">
        <v>214</v>
      </c>
      <c r="F75" s="9" t="s">
        <v>215</v>
      </c>
      <c r="G75" s="9" t="s">
        <v>227</v>
      </c>
      <c r="H75" s="9" t="s">
        <v>129</v>
      </c>
      <c r="I75" s="9" t="s">
        <v>186</v>
      </c>
      <c r="J75" s="16">
        <v>922.94</v>
      </c>
      <c r="K75" s="9" t="s">
        <v>199</v>
      </c>
      <c r="L75" s="9" t="s">
        <v>128</v>
      </c>
      <c r="M75" s="17">
        <f>IF(L75="","",IFERROR(INDEX(tbl_fatores_emissao[Valor],MATCH(L75,tbl_fatores_emissao[ID_FE],0)),""))</f>
        <v>3.5</v>
      </c>
      <c r="N75" s="17">
        <f t="shared" si="7"/>
        <v>3.23</v>
      </c>
      <c r="O75" s="9" t="s">
        <v>218</v>
      </c>
      <c r="P75" s="9" t="s">
        <v>228</v>
      </c>
      <c r="Q75" s="9"/>
    </row>
    <row r="76" spans="1:17" ht="18" customHeight="1" x14ac:dyDescent="0.3">
      <c r="A76" s="13" t="str">
        <f t="shared" si="4"/>
        <v>202506-S3-C3</v>
      </c>
      <c r="B76" s="14">
        <v>45809</v>
      </c>
      <c r="C76" s="15">
        <f t="shared" si="5"/>
        <v>2025</v>
      </c>
      <c r="D76" s="13" t="str">
        <f t="shared" si="6"/>
        <v>Fora</v>
      </c>
      <c r="E76" s="9" t="s">
        <v>214</v>
      </c>
      <c r="F76" s="9" t="s">
        <v>229</v>
      </c>
      <c r="G76" s="9" t="s">
        <v>230</v>
      </c>
      <c r="H76" s="9" t="s">
        <v>231</v>
      </c>
      <c r="I76" s="9" t="s">
        <v>186</v>
      </c>
      <c r="J76" s="16">
        <v>515423.14</v>
      </c>
      <c r="K76" s="9" t="s">
        <v>206</v>
      </c>
      <c r="L76" s="9" t="s">
        <v>133</v>
      </c>
      <c r="M76" s="17">
        <f>IF(L76="","",IFERROR(INDEX(tbl_fatores_emissao[Valor],MATCH(L76,tbl_fatores_emissao[ID_FE],0)),""))</f>
        <v>0.02</v>
      </c>
      <c r="N76" s="17">
        <f t="shared" si="7"/>
        <v>10.308</v>
      </c>
      <c r="O76" s="9" t="s">
        <v>194</v>
      </c>
      <c r="P76" s="9" t="s">
        <v>232</v>
      </c>
      <c r="Q76" s="9"/>
    </row>
    <row r="77" spans="1:17" ht="18" customHeight="1" x14ac:dyDescent="0.3">
      <c r="A77" s="13" t="str">
        <f t="shared" si="4"/>
        <v>202506-S3-C4</v>
      </c>
      <c r="B77" s="14">
        <v>45809</v>
      </c>
      <c r="C77" s="15">
        <f t="shared" si="5"/>
        <v>2025</v>
      </c>
      <c r="D77" s="13" t="str">
        <f t="shared" si="6"/>
        <v>Fora</v>
      </c>
      <c r="E77" s="9" t="s">
        <v>214</v>
      </c>
      <c r="F77" s="9" t="s">
        <v>233</v>
      </c>
      <c r="G77" s="9" t="s">
        <v>234</v>
      </c>
      <c r="H77" s="9" t="s">
        <v>235</v>
      </c>
      <c r="I77" s="9" t="s">
        <v>186</v>
      </c>
      <c r="J77" s="16">
        <v>58373.63</v>
      </c>
      <c r="K77" s="9" t="s">
        <v>199</v>
      </c>
      <c r="L77" s="9" t="s">
        <v>137</v>
      </c>
      <c r="M77" s="17">
        <f>IF(L77="","",IFERROR(INDEX(tbl_fatores_emissao[Valor],MATCH(L77,tbl_fatores_emissao[ID_FE],0)),""))</f>
        <v>0.1178</v>
      </c>
      <c r="N77" s="17">
        <f t="shared" si="7"/>
        <v>6.8760000000000003</v>
      </c>
      <c r="O77" s="9" t="s">
        <v>194</v>
      </c>
      <c r="P77" s="9" t="s">
        <v>236</v>
      </c>
      <c r="Q77" s="9"/>
    </row>
    <row r="78" spans="1:17" ht="18" customHeight="1" x14ac:dyDescent="0.3">
      <c r="A78" s="13" t="str">
        <f t="shared" si="4"/>
        <v>202506-S3-C5-REC</v>
      </c>
      <c r="B78" s="14">
        <v>45809</v>
      </c>
      <c r="C78" s="15">
        <f t="shared" si="5"/>
        <v>2025</v>
      </c>
      <c r="D78" s="13" t="str">
        <f t="shared" si="6"/>
        <v>Fora</v>
      </c>
      <c r="E78" s="9" t="s">
        <v>214</v>
      </c>
      <c r="F78" s="9" t="s">
        <v>237</v>
      </c>
      <c r="G78" s="9" t="s">
        <v>238</v>
      </c>
      <c r="H78" s="9" t="s">
        <v>239</v>
      </c>
      <c r="I78" s="9" t="s">
        <v>186</v>
      </c>
      <c r="J78" s="16">
        <v>8839</v>
      </c>
      <c r="K78" s="9" t="s">
        <v>199</v>
      </c>
      <c r="L78" s="9" t="s">
        <v>148</v>
      </c>
      <c r="M78" s="17">
        <f>IF(L78="","",IFERROR(INDEX(tbl_fatores_emissao[Valor],MATCH(L78,tbl_fatores_emissao[ID_FE],0)),""))</f>
        <v>2.1000000000000001E-2</v>
      </c>
      <c r="N78" s="17">
        <f t="shared" si="7"/>
        <v>0.186</v>
      </c>
      <c r="O78" s="9" t="s">
        <v>188</v>
      </c>
      <c r="P78" s="9" t="s">
        <v>240</v>
      </c>
      <c r="Q78" s="9"/>
    </row>
    <row r="79" spans="1:17" ht="18" customHeight="1" x14ac:dyDescent="0.3">
      <c r="A79" s="13" t="str">
        <f t="shared" si="4"/>
        <v>202506-S3-C5-ATE</v>
      </c>
      <c r="B79" s="14">
        <v>45809</v>
      </c>
      <c r="C79" s="15">
        <f t="shared" si="5"/>
        <v>2025</v>
      </c>
      <c r="D79" s="13" t="str">
        <f t="shared" si="6"/>
        <v>Fora</v>
      </c>
      <c r="E79" s="9" t="s">
        <v>214</v>
      </c>
      <c r="F79" s="9" t="s">
        <v>237</v>
      </c>
      <c r="G79" s="9" t="s">
        <v>241</v>
      </c>
      <c r="H79" s="9" t="s">
        <v>242</v>
      </c>
      <c r="I79" s="9" t="s">
        <v>186</v>
      </c>
      <c r="J79" s="16">
        <v>2265.1</v>
      </c>
      <c r="K79" s="9" t="s">
        <v>199</v>
      </c>
      <c r="L79" s="9" t="s">
        <v>152</v>
      </c>
      <c r="M79" s="17">
        <f>IF(L79="","",IFERROR(INDEX(tbl_fatores_emissao[Valor],MATCH(L79,tbl_fatores_emissao[ID_FE],0)),""))</f>
        <v>0.45</v>
      </c>
      <c r="N79" s="17">
        <f t="shared" si="7"/>
        <v>1.0189999999999999</v>
      </c>
      <c r="O79" s="9" t="s">
        <v>188</v>
      </c>
      <c r="P79" s="9" t="s">
        <v>243</v>
      </c>
      <c r="Q79" s="9"/>
    </row>
    <row r="80" spans="1:17" ht="18" customHeight="1" x14ac:dyDescent="0.3">
      <c r="A80" s="13" t="str">
        <f t="shared" si="4"/>
        <v>202506-S3-C5-PER</v>
      </c>
      <c r="B80" s="14">
        <v>45809</v>
      </c>
      <c r="C80" s="15">
        <f t="shared" si="5"/>
        <v>2025</v>
      </c>
      <c r="D80" s="13" t="str">
        <f t="shared" si="6"/>
        <v>Fora</v>
      </c>
      <c r="E80" s="9" t="s">
        <v>214</v>
      </c>
      <c r="F80" s="9" t="s">
        <v>237</v>
      </c>
      <c r="G80" s="9" t="s">
        <v>244</v>
      </c>
      <c r="H80" s="9" t="s">
        <v>245</v>
      </c>
      <c r="I80" s="9" t="s">
        <v>186</v>
      </c>
      <c r="J80" s="16">
        <v>39.700000000000003</v>
      </c>
      <c r="K80" s="9" t="s">
        <v>199</v>
      </c>
      <c r="L80" s="9" t="s">
        <v>155</v>
      </c>
      <c r="M80" s="17">
        <f>IF(L80="","",IFERROR(INDEX(tbl_fatores_emissao[Valor],MATCH(L80,tbl_fatores_emissao[ID_FE],0)),""))</f>
        <v>0.9</v>
      </c>
      <c r="N80" s="17">
        <f t="shared" si="7"/>
        <v>3.5999999999999997E-2</v>
      </c>
      <c r="O80" s="9" t="s">
        <v>188</v>
      </c>
      <c r="P80" s="9" t="s">
        <v>246</v>
      </c>
      <c r="Q80" s="9"/>
    </row>
    <row r="81" spans="1:17" ht="18" customHeight="1" x14ac:dyDescent="0.3">
      <c r="A81" s="13" t="str">
        <f t="shared" si="4"/>
        <v>202506-S3-C6</v>
      </c>
      <c r="B81" s="14">
        <v>45809</v>
      </c>
      <c r="C81" s="15">
        <f t="shared" si="5"/>
        <v>2025</v>
      </c>
      <c r="D81" s="13" t="str">
        <f t="shared" si="6"/>
        <v>Fora</v>
      </c>
      <c r="E81" s="9" t="s">
        <v>214</v>
      </c>
      <c r="F81" s="9" t="s">
        <v>247</v>
      </c>
      <c r="G81" s="9" t="s">
        <v>248</v>
      </c>
      <c r="H81" s="9" t="s">
        <v>249</v>
      </c>
      <c r="I81" s="9" t="s">
        <v>186</v>
      </c>
      <c r="J81" s="16">
        <v>1934.09</v>
      </c>
      <c r="K81" s="9" t="s">
        <v>250</v>
      </c>
      <c r="L81" s="9" t="s">
        <v>158</v>
      </c>
      <c r="M81" s="17">
        <f>IF(L81="","",IFERROR(INDEX(tbl_fatores_emissao[Valor],MATCH(L81,tbl_fatores_emissao[ID_FE],0)),""))</f>
        <v>0.17</v>
      </c>
      <c r="N81" s="17">
        <f t="shared" si="7"/>
        <v>0.32900000000000001</v>
      </c>
      <c r="O81" s="9" t="s">
        <v>194</v>
      </c>
      <c r="P81" s="9" t="s">
        <v>251</v>
      </c>
      <c r="Q81" s="9" t="s">
        <v>252</v>
      </c>
    </row>
    <row r="82" spans="1:17" ht="18" customHeight="1" x14ac:dyDescent="0.3">
      <c r="A82" s="13" t="str">
        <f t="shared" si="4"/>
        <v>202506-S3-C7</v>
      </c>
      <c r="B82" s="14">
        <v>45809</v>
      </c>
      <c r="C82" s="15">
        <f t="shared" si="5"/>
        <v>2025</v>
      </c>
      <c r="D82" s="13" t="str">
        <f t="shared" si="6"/>
        <v>Fora</v>
      </c>
      <c r="E82" s="9" t="s">
        <v>214</v>
      </c>
      <c r="F82" s="9" t="s">
        <v>253</v>
      </c>
      <c r="G82" s="9" t="s">
        <v>254</v>
      </c>
      <c r="H82" s="9" t="s">
        <v>255</v>
      </c>
      <c r="I82" s="9" t="s">
        <v>186</v>
      </c>
      <c r="J82" s="16">
        <v>31806</v>
      </c>
      <c r="K82" s="9" t="s">
        <v>250</v>
      </c>
      <c r="L82" s="9" t="s">
        <v>158</v>
      </c>
      <c r="M82" s="17">
        <f>IF(L82="","",IFERROR(INDEX(tbl_fatores_emissao[Valor],MATCH(L82,tbl_fatores_emissao[ID_FE],0)),""))</f>
        <v>0.17</v>
      </c>
      <c r="N82" s="17">
        <f t="shared" si="7"/>
        <v>5.407</v>
      </c>
      <c r="O82" s="9" t="s">
        <v>194</v>
      </c>
      <c r="P82" s="9" t="s">
        <v>256</v>
      </c>
      <c r="Q82" s="9" t="s">
        <v>257</v>
      </c>
    </row>
    <row r="83" spans="1:17" ht="18" customHeight="1" x14ac:dyDescent="0.3">
      <c r="A83" s="13" t="str">
        <f t="shared" si="4"/>
        <v>202506-S3-C9</v>
      </c>
      <c r="B83" s="14">
        <v>45809</v>
      </c>
      <c r="C83" s="15">
        <f t="shared" si="5"/>
        <v>2025</v>
      </c>
      <c r="D83" s="13" t="str">
        <f t="shared" si="6"/>
        <v>Fora</v>
      </c>
      <c r="E83" s="9" t="s">
        <v>214</v>
      </c>
      <c r="F83" s="9" t="s">
        <v>258</v>
      </c>
      <c r="G83" s="9" t="s">
        <v>259</v>
      </c>
      <c r="H83" s="9" t="s">
        <v>260</v>
      </c>
      <c r="I83" s="9" t="s">
        <v>186</v>
      </c>
      <c r="J83" s="16">
        <v>25589.919999999998</v>
      </c>
      <c r="K83" s="9" t="s">
        <v>261</v>
      </c>
      <c r="L83" s="9" t="s">
        <v>141</v>
      </c>
      <c r="M83" s="17">
        <f>IF(L83="","",IFERROR(INDEX(tbl_fatores_emissao[Valor],MATCH(L83,tbl_fatores_emissao[ID_FE],0)),""))</f>
        <v>0.108</v>
      </c>
      <c r="N83" s="17">
        <f t="shared" si="7"/>
        <v>2.7639999999999998</v>
      </c>
      <c r="O83" s="9" t="s">
        <v>194</v>
      </c>
      <c r="P83" s="9" t="s">
        <v>262</v>
      </c>
      <c r="Q83" s="9"/>
    </row>
    <row r="84" spans="1:17" ht="18" customHeight="1" x14ac:dyDescent="0.3">
      <c r="A84" s="13" t="str">
        <f t="shared" si="4"/>
        <v>202506-S3-C12</v>
      </c>
      <c r="B84" s="14">
        <v>45809</v>
      </c>
      <c r="C84" s="15">
        <f t="shared" si="5"/>
        <v>2025</v>
      </c>
      <c r="D84" s="13" t="str">
        <f t="shared" si="6"/>
        <v>Fora</v>
      </c>
      <c r="E84" s="9" t="s">
        <v>214</v>
      </c>
      <c r="F84" s="9" t="s">
        <v>263</v>
      </c>
      <c r="G84" s="9" t="s">
        <v>264</v>
      </c>
      <c r="H84" s="9" t="s">
        <v>265</v>
      </c>
      <c r="I84" s="9" t="s">
        <v>186</v>
      </c>
      <c r="J84" s="16">
        <v>56866.5</v>
      </c>
      <c r="K84" s="9" t="s">
        <v>199</v>
      </c>
      <c r="L84" s="9" t="s">
        <v>163</v>
      </c>
      <c r="M84" s="17">
        <f>IF(L84="","",IFERROR(INDEX(tbl_fatores_emissao[Valor],MATCH(L84,tbl_fatores_emissao[ID_FE],0)),""))</f>
        <v>1</v>
      </c>
      <c r="N84" s="17">
        <f t="shared" si="7"/>
        <v>56.866999999999997</v>
      </c>
      <c r="O84" s="9" t="s">
        <v>194</v>
      </c>
      <c r="P84" s="9" t="s">
        <v>266</v>
      </c>
      <c r="Q84" s="9"/>
    </row>
    <row r="85" spans="1:17" ht="18" customHeight="1" x14ac:dyDescent="0.3">
      <c r="A85" s="13" t="str">
        <f t="shared" si="4"/>
        <v>202507-S1-01</v>
      </c>
      <c r="B85" s="14">
        <v>45839</v>
      </c>
      <c r="C85" s="15">
        <f t="shared" si="5"/>
        <v>2025</v>
      </c>
      <c r="D85" s="13" t="str">
        <f t="shared" si="6"/>
        <v>Fora</v>
      </c>
      <c r="E85" s="9" t="s">
        <v>182</v>
      </c>
      <c r="F85" s="9" t="s">
        <v>183</v>
      </c>
      <c r="G85" s="9" t="s">
        <v>184</v>
      </c>
      <c r="H85" s="9" t="s">
        <v>185</v>
      </c>
      <c r="I85" s="9" t="s">
        <v>186</v>
      </c>
      <c r="J85" s="16">
        <v>244.85</v>
      </c>
      <c r="K85" s="9" t="s">
        <v>187</v>
      </c>
      <c r="L85" s="9" t="s">
        <v>96</v>
      </c>
      <c r="M85" s="17">
        <f>IF(L85="","",IFERROR(INDEX(tbl_fatores_emissao[Valor],MATCH(L85,tbl_fatores_emissao[ID_FE],0)),""))</f>
        <v>2.66</v>
      </c>
      <c r="N85" s="17">
        <f t="shared" si="7"/>
        <v>0.65100000000000002</v>
      </c>
      <c r="O85" s="9" t="s">
        <v>188</v>
      </c>
      <c r="P85" s="9" t="s">
        <v>189</v>
      </c>
      <c r="Q85" s="9" t="s">
        <v>190</v>
      </c>
    </row>
    <row r="86" spans="1:17" ht="18" customHeight="1" x14ac:dyDescent="0.3">
      <c r="A86" s="13" t="str">
        <f t="shared" si="4"/>
        <v>202507-S1-02</v>
      </c>
      <c r="B86" s="14">
        <v>45839</v>
      </c>
      <c r="C86" s="15">
        <f t="shared" si="5"/>
        <v>2025</v>
      </c>
      <c r="D86" s="13" t="str">
        <f t="shared" si="6"/>
        <v>Fora</v>
      </c>
      <c r="E86" s="9" t="s">
        <v>182</v>
      </c>
      <c r="F86" s="9" t="s">
        <v>191</v>
      </c>
      <c r="G86" s="9" t="s">
        <v>192</v>
      </c>
      <c r="H86" s="9" t="s">
        <v>193</v>
      </c>
      <c r="I86" s="9" t="s">
        <v>186</v>
      </c>
      <c r="J86" s="16">
        <v>16.88</v>
      </c>
      <c r="K86" s="9" t="s">
        <v>187</v>
      </c>
      <c r="L86" s="9" t="s">
        <v>96</v>
      </c>
      <c r="M86" s="17">
        <f>IF(L86="","",IFERROR(INDEX(tbl_fatores_emissao[Valor],MATCH(L86,tbl_fatores_emissao[ID_FE],0)),""))</f>
        <v>2.66</v>
      </c>
      <c r="N86" s="17">
        <f t="shared" si="7"/>
        <v>4.4999999999999998E-2</v>
      </c>
      <c r="O86" s="9" t="s">
        <v>194</v>
      </c>
      <c r="P86" s="9" t="s">
        <v>195</v>
      </c>
      <c r="Q86" s="9" t="s">
        <v>190</v>
      </c>
    </row>
    <row r="87" spans="1:17" ht="18" customHeight="1" x14ac:dyDescent="0.3">
      <c r="A87" s="13" t="str">
        <f t="shared" si="4"/>
        <v>202507-S1-03</v>
      </c>
      <c r="B87" s="14">
        <v>45839</v>
      </c>
      <c r="C87" s="15">
        <f t="shared" si="5"/>
        <v>2025</v>
      </c>
      <c r="D87" s="13" t="str">
        <f t="shared" si="6"/>
        <v>Fora</v>
      </c>
      <c r="E87" s="9" t="s">
        <v>182</v>
      </c>
      <c r="F87" s="9" t="s">
        <v>196</v>
      </c>
      <c r="G87" s="9" t="s">
        <v>197</v>
      </c>
      <c r="H87" s="9" t="s">
        <v>198</v>
      </c>
      <c r="I87" s="9" t="s">
        <v>186</v>
      </c>
      <c r="J87" s="16"/>
      <c r="K87" s="9" t="s">
        <v>199</v>
      </c>
      <c r="L87" s="9" t="s">
        <v>101</v>
      </c>
      <c r="M87" s="17">
        <f>IF(L87="","",IFERROR(INDEX(tbl_fatores_emissao[Valor],MATCH(L87,tbl_fatores_emissao[ID_FE],0)),""))</f>
        <v>2088</v>
      </c>
      <c r="N87" s="17" t="str">
        <f t="shared" si="7"/>
        <v/>
      </c>
      <c r="O87" s="9" t="s">
        <v>188</v>
      </c>
      <c r="P87" s="9" t="s">
        <v>200</v>
      </c>
      <c r="Q87" s="9"/>
    </row>
    <row r="88" spans="1:17" ht="18" customHeight="1" x14ac:dyDescent="0.3">
      <c r="A88" s="13" t="str">
        <f t="shared" si="4"/>
        <v>202507-S2-LB</v>
      </c>
      <c r="B88" s="14">
        <v>45839</v>
      </c>
      <c r="C88" s="15">
        <f t="shared" si="5"/>
        <v>2025</v>
      </c>
      <c r="D88" s="13" t="str">
        <f t="shared" si="6"/>
        <v>Fora</v>
      </c>
      <c r="E88" s="9" t="s">
        <v>201</v>
      </c>
      <c r="F88" s="9" t="s">
        <v>202</v>
      </c>
      <c r="G88" s="9" t="s">
        <v>203</v>
      </c>
      <c r="H88" s="9" t="s">
        <v>204</v>
      </c>
      <c r="I88" s="9" t="s">
        <v>205</v>
      </c>
      <c r="J88" s="16">
        <v>620886.12</v>
      </c>
      <c r="K88" s="9" t="s">
        <v>206</v>
      </c>
      <c r="L88" s="9" t="s">
        <v>82</v>
      </c>
      <c r="M88" s="17">
        <f>IF(L88="","",IFERROR(INDEX(tbl_fatores_emissao[Valor],MATCH(L88,tbl_fatores_emissao[ID_FE],0)),""))</f>
        <v>0.11</v>
      </c>
      <c r="N88" s="17">
        <f t="shared" si="7"/>
        <v>68.296999999999997</v>
      </c>
      <c r="O88" s="9" t="s">
        <v>188</v>
      </c>
      <c r="P88" s="9" t="s">
        <v>207</v>
      </c>
      <c r="Q88" s="9"/>
    </row>
    <row r="89" spans="1:17" ht="18" customHeight="1" x14ac:dyDescent="0.3">
      <c r="A89" s="13" t="str">
        <f t="shared" si="4"/>
        <v>202507-S2-MB-GO</v>
      </c>
      <c r="B89" s="14">
        <v>45839</v>
      </c>
      <c r="C89" s="15">
        <f t="shared" si="5"/>
        <v>2025</v>
      </c>
      <c r="D89" s="13" t="str">
        <f t="shared" si="6"/>
        <v>Fora</v>
      </c>
      <c r="E89" s="9" t="s">
        <v>201</v>
      </c>
      <c r="F89" s="9" t="s">
        <v>202</v>
      </c>
      <c r="G89" s="9" t="s">
        <v>208</v>
      </c>
      <c r="H89" s="9" t="s">
        <v>209</v>
      </c>
      <c r="I89" s="9" t="s">
        <v>210</v>
      </c>
      <c r="J89" s="16">
        <v>341487.37</v>
      </c>
      <c r="K89" s="9" t="s">
        <v>206</v>
      </c>
      <c r="L89" s="9" t="s">
        <v>92</v>
      </c>
      <c r="M89" s="17">
        <f>IF(L89="","",IFERROR(INDEX(tbl_fatores_emissao[Valor],MATCH(L89,tbl_fatores_emissao[ID_FE],0)),""))</f>
        <v>0</v>
      </c>
      <c r="N89" s="17">
        <f t="shared" si="7"/>
        <v>0</v>
      </c>
      <c r="O89" s="9" t="s">
        <v>188</v>
      </c>
      <c r="P89" s="9" t="s">
        <v>211</v>
      </c>
      <c r="Q89" s="9"/>
    </row>
    <row r="90" spans="1:17" ht="18" customHeight="1" x14ac:dyDescent="0.3">
      <c r="A90" s="13" t="str">
        <f t="shared" si="4"/>
        <v>202507-S2-MB-RES</v>
      </c>
      <c r="B90" s="14">
        <v>45839</v>
      </c>
      <c r="C90" s="15">
        <f t="shared" si="5"/>
        <v>2025</v>
      </c>
      <c r="D90" s="13" t="str">
        <f t="shared" si="6"/>
        <v>Fora</v>
      </c>
      <c r="E90" s="9" t="s">
        <v>201</v>
      </c>
      <c r="F90" s="9" t="s">
        <v>202</v>
      </c>
      <c r="G90" s="9" t="s">
        <v>212</v>
      </c>
      <c r="H90" s="9" t="s">
        <v>213</v>
      </c>
      <c r="I90" s="9" t="s">
        <v>210</v>
      </c>
      <c r="J90" s="16">
        <v>279398.75</v>
      </c>
      <c r="K90" s="9" t="s">
        <v>206</v>
      </c>
      <c r="L90" s="9" t="s">
        <v>88</v>
      </c>
      <c r="M90" s="17">
        <f>IF(L90="","",IFERROR(INDEX(tbl_fatores_emissao[Valor],MATCH(L90,tbl_fatores_emissao[ID_FE],0)),""))</f>
        <v>0.25</v>
      </c>
      <c r="N90" s="17">
        <f t="shared" si="7"/>
        <v>69.849999999999994</v>
      </c>
      <c r="O90" s="9" t="s">
        <v>188</v>
      </c>
      <c r="P90" s="9" t="s">
        <v>211</v>
      </c>
      <c r="Q90" s="9"/>
    </row>
    <row r="91" spans="1:17" ht="18" customHeight="1" x14ac:dyDescent="0.3">
      <c r="A91" s="13" t="str">
        <f t="shared" si="4"/>
        <v>202507-S3-C1-VIR</v>
      </c>
      <c r="B91" s="14">
        <v>45839</v>
      </c>
      <c r="C91" s="15">
        <f t="shared" si="5"/>
        <v>2025</v>
      </c>
      <c r="D91" s="13" t="str">
        <f t="shared" si="6"/>
        <v>Fora</v>
      </c>
      <c r="E91" s="9" t="s">
        <v>214</v>
      </c>
      <c r="F91" s="9" t="s">
        <v>215</v>
      </c>
      <c r="G91" s="9" t="s">
        <v>216</v>
      </c>
      <c r="H91" s="9" t="s">
        <v>217</v>
      </c>
      <c r="I91" s="9" t="s">
        <v>186</v>
      </c>
      <c r="J91" s="16">
        <v>60673.67</v>
      </c>
      <c r="K91" s="9" t="s">
        <v>199</v>
      </c>
      <c r="L91" s="9" t="s">
        <v>119</v>
      </c>
      <c r="M91" s="17">
        <f>IF(L91="","",IFERROR(INDEX(tbl_fatores_emissao[Valor],MATCH(L91,tbl_fatores_emissao[ID_FE],0)),""))</f>
        <v>1.9</v>
      </c>
      <c r="N91" s="17">
        <f t="shared" si="7"/>
        <v>115.28</v>
      </c>
      <c r="O91" s="9" t="s">
        <v>218</v>
      </c>
      <c r="P91" s="9" t="s">
        <v>219</v>
      </c>
      <c r="Q91" s="9"/>
    </row>
    <row r="92" spans="1:17" ht="18" customHeight="1" x14ac:dyDescent="0.3">
      <c r="A92" s="13" t="str">
        <f t="shared" si="4"/>
        <v>202507-S3-C1-PCR</v>
      </c>
      <c r="B92" s="14">
        <v>45839</v>
      </c>
      <c r="C92" s="15">
        <f t="shared" si="5"/>
        <v>2025</v>
      </c>
      <c r="D92" s="13" t="str">
        <f t="shared" si="6"/>
        <v>Fora</v>
      </c>
      <c r="E92" s="9" t="s">
        <v>214</v>
      </c>
      <c r="F92" s="9" t="s">
        <v>215</v>
      </c>
      <c r="G92" s="9" t="s">
        <v>220</v>
      </c>
      <c r="H92" s="9" t="s">
        <v>221</v>
      </c>
      <c r="I92" s="9" t="s">
        <v>186</v>
      </c>
      <c r="J92" s="16">
        <v>6990.57</v>
      </c>
      <c r="K92" s="9" t="s">
        <v>199</v>
      </c>
      <c r="L92" s="9" t="s">
        <v>116</v>
      </c>
      <c r="M92" s="17">
        <f>IF(L92="","",IFERROR(INDEX(tbl_fatores_emissao[Valor],MATCH(L92,tbl_fatores_emissao[ID_FE],0)),""))</f>
        <v>0.5</v>
      </c>
      <c r="N92" s="17">
        <f t="shared" si="7"/>
        <v>3.4950000000000001</v>
      </c>
      <c r="O92" s="9" t="s">
        <v>218</v>
      </c>
      <c r="P92" s="9" t="s">
        <v>222</v>
      </c>
      <c r="Q92" s="9"/>
    </row>
    <row r="93" spans="1:17" ht="18" customHeight="1" x14ac:dyDescent="0.3">
      <c r="A93" s="13" t="str">
        <f t="shared" si="4"/>
        <v>202507-S3-C1-TIN</v>
      </c>
      <c r="B93" s="14">
        <v>45839</v>
      </c>
      <c r="C93" s="15">
        <f t="shared" si="5"/>
        <v>2025</v>
      </c>
      <c r="D93" s="13" t="str">
        <f t="shared" si="6"/>
        <v>Fora</v>
      </c>
      <c r="E93" s="9" t="s">
        <v>214</v>
      </c>
      <c r="F93" s="9" t="s">
        <v>215</v>
      </c>
      <c r="G93" s="9" t="s">
        <v>223</v>
      </c>
      <c r="H93" s="9" t="s">
        <v>123</v>
      </c>
      <c r="I93" s="9" t="s">
        <v>186</v>
      </c>
      <c r="J93" s="16">
        <v>112.89</v>
      </c>
      <c r="K93" s="9" t="s">
        <v>199</v>
      </c>
      <c r="L93" s="9" t="s">
        <v>122</v>
      </c>
      <c r="M93" s="17">
        <f>IF(L93="","",IFERROR(INDEX(tbl_fatores_emissao[Valor],MATCH(L93,tbl_fatores_emissao[ID_FE],0)),""))</f>
        <v>3</v>
      </c>
      <c r="N93" s="17">
        <f t="shared" si="7"/>
        <v>0.33900000000000002</v>
      </c>
      <c r="O93" s="9" t="s">
        <v>218</v>
      </c>
      <c r="P93" s="9" t="s">
        <v>224</v>
      </c>
      <c r="Q93" s="9"/>
    </row>
    <row r="94" spans="1:17" ht="18" customHeight="1" x14ac:dyDescent="0.3">
      <c r="A94" s="13" t="str">
        <f t="shared" si="4"/>
        <v>202507-S3-C1-SOL</v>
      </c>
      <c r="B94" s="14">
        <v>45839</v>
      </c>
      <c r="C94" s="15">
        <f t="shared" si="5"/>
        <v>2025</v>
      </c>
      <c r="D94" s="13" t="str">
        <f t="shared" si="6"/>
        <v>Fora</v>
      </c>
      <c r="E94" s="9" t="s">
        <v>214</v>
      </c>
      <c r="F94" s="9" t="s">
        <v>215</v>
      </c>
      <c r="G94" s="9" t="s">
        <v>225</v>
      </c>
      <c r="H94" s="9" t="s">
        <v>126</v>
      </c>
      <c r="I94" s="9" t="s">
        <v>186</v>
      </c>
      <c r="J94" s="16">
        <v>68.44</v>
      </c>
      <c r="K94" s="9" t="s">
        <v>199</v>
      </c>
      <c r="L94" s="9" t="s">
        <v>125</v>
      </c>
      <c r="M94" s="17">
        <f>IF(L94="","",IFERROR(INDEX(tbl_fatores_emissao[Valor],MATCH(L94,tbl_fatores_emissao[ID_FE],0)),""))</f>
        <v>1.8</v>
      </c>
      <c r="N94" s="17">
        <f t="shared" si="7"/>
        <v>0.123</v>
      </c>
      <c r="O94" s="9" t="s">
        <v>188</v>
      </c>
      <c r="P94" s="9" t="s">
        <v>226</v>
      </c>
      <c r="Q94" s="9"/>
    </row>
    <row r="95" spans="1:17" ht="18" customHeight="1" x14ac:dyDescent="0.3">
      <c r="A95" s="13" t="str">
        <f t="shared" si="4"/>
        <v>202507-S3-C1-FOI</v>
      </c>
      <c r="B95" s="14">
        <v>45839</v>
      </c>
      <c r="C95" s="15">
        <f t="shared" si="5"/>
        <v>2025</v>
      </c>
      <c r="D95" s="13" t="str">
        <f t="shared" si="6"/>
        <v>Fora</v>
      </c>
      <c r="E95" s="9" t="s">
        <v>214</v>
      </c>
      <c r="F95" s="9" t="s">
        <v>215</v>
      </c>
      <c r="G95" s="9" t="s">
        <v>227</v>
      </c>
      <c r="H95" s="9" t="s">
        <v>129</v>
      </c>
      <c r="I95" s="9" t="s">
        <v>186</v>
      </c>
      <c r="J95" s="16">
        <v>1208.0999999999999</v>
      </c>
      <c r="K95" s="9" t="s">
        <v>199</v>
      </c>
      <c r="L95" s="9" t="s">
        <v>128</v>
      </c>
      <c r="M95" s="17">
        <f>IF(L95="","",IFERROR(INDEX(tbl_fatores_emissao[Valor],MATCH(L95,tbl_fatores_emissao[ID_FE],0)),""))</f>
        <v>3.5</v>
      </c>
      <c r="N95" s="17">
        <f t="shared" si="7"/>
        <v>4.2279999999999998</v>
      </c>
      <c r="O95" s="9" t="s">
        <v>218</v>
      </c>
      <c r="P95" s="9" t="s">
        <v>228</v>
      </c>
      <c r="Q95" s="9"/>
    </row>
    <row r="96" spans="1:17" ht="18" customHeight="1" x14ac:dyDescent="0.3">
      <c r="A96" s="13" t="str">
        <f t="shared" si="4"/>
        <v>202507-S3-C3</v>
      </c>
      <c r="B96" s="14">
        <v>45839</v>
      </c>
      <c r="C96" s="15">
        <f t="shared" si="5"/>
        <v>2025</v>
      </c>
      <c r="D96" s="13" t="str">
        <f t="shared" si="6"/>
        <v>Fora</v>
      </c>
      <c r="E96" s="9" t="s">
        <v>214</v>
      </c>
      <c r="F96" s="9" t="s">
        <v>229</v>
      </c>
      <c r="G96" s="9" t="s">
        <v>230</v>
      </c>
      <c r="H96" s="9" t="s">
        <v>231</v>
      </c>
      <c r="I96" s="9" t="s">
        <v>186</v>
      </c>
      <c r="J96" s="16">
        <v>620886.12</v>
      </c>
      <c r="K96" s="9" t="s">
        <v>206</v>
      </c>
      <c r="L96" s="9" t="s">
        <v>133</v>
      </c>
      <c r="M96" s="17">
        <f>IF(L96="","",IFERROR(INDEX(tbl_fatores_emissao[Valor],MATCH(L96,tbl_fatores_emissao[ID_FE],0)),""))</f>
        <v>0.02</v>
      </c>
      <c r="N96" s="17">
        <f t="shared" si="7"/>
        <v>12.417999999999999</v>
      </c>
      <c r="O96" s="9" t="s">
        <v>194</v>
      </c>
      <c r="P96" s="9" t="s">
        <v>232</v>
      </c>
      <c r="Q96" s="9"/>
    </row>
    <row r="97" spans="1:17" ht="18" customHeight="1" x14ac:dyDescent="0.3">
      <c r="A97" s="13" t="str">
        <f t="shared" si="4"/>
        <v>202507-S3-C4</v>
      </c>
      <c r="B97" s="14">
        <v>45839</v>
      </c>
      <c r="C97" s="15">
        <f t="shared" si="5"/>
        <v>2025</v>
      </c>
      <c r="D97" s="13" t="str">
        <f t="shared" si="6"/>
        <v>Fora</v>
      </c>
      <c r="E97" s="9" t="s">
        <v>214</v>
      </c>
      <c r="F97" s="9" t="s">
        <v>233</v>
      </c>
      <c r="G97" s="9" t="s">
        <v>234</v>
      </c>
      <c r="H97" s="9" t="s">
        <v>235</v>
      </c>
      <c r="I97" s="9" t="s">
        <v>186</v>
      </c>
      <c r="J97" s="16">
        <v>67664.240000000005</v>
      </c>
      <c r="K97" s="9" t="s">
        <v>199</v>
      </c>
      <c r="L97" s="9" t="s">
        <v>137</v>
      </c>
      <c r="M97" s="17">
        <f>IF(L97="","",IFERROR(INDEX(tbl_fatores_emissao[Valor],MATCH(L97,tbl_fatores_emissao[ID_FE],0)),""))</f>
        <v>0.1178</v>
      </c>
      <c r="N97" s="17">
        <f t="shared" si="7"/>
        <v>7.9710000000000001</v>
      </c>
      <c r="O97" s="9" t="s">
        <v>194</v>
      </c>
      <c r="P97" s="9" t="s">
        <v>236</v>
      </c>
      <c r="Q97" s="9"/>
    </row>
    <row r="98" spans="1:17" ht="18" customHeight="1" x14ac:dyDescent="0.3">
      <c r="A98" s="13" t="str">
        <f t="shared" si="4"/>
        <v>202507-S3-C5-REC</v>
      </c>
      <c r="B98" s="14">
        <v>45839</v>
      </c>
      <c r="C98" s="15">
        <f t="shared" si="5"/>
        <v>2025</v>
      </c>
      <c r="D98" s="13" t="str">
        <f t="shared" si="6"/>
        <v>Fora</v>
      </c>
      <c r="E98" s="9" t="s">
        <v>214</v>
      </c>
      <c r="F98" s="9" t="s">
        <v>237</v>
      </c>
      <c r="G98" s="9" t="s">
        <v>238</v>
      </c>
      <c r="H98" s="9" t="s">
        <v>239</v>
      </c>
      <c r="I98" s="9" t="s">
        <v>186</v>
      </c>
      <c r="J98" s="16">
        <v>8949.2999999999993</v>
      </c>
      <c r="K98" s="9" t="s">
        <v>199</v>
      </c>
      <c r="L98" s="9" t="s">
        <v>148</v>
      </c>
      <c r="M98" s="17">
        <f>IF(L98="","",IFERROR(INDEX(tbl_fatores_emissao[Valor],MATCH(L98,tbl_fatores_emissao[ID_FE],0)),""))</f>
        <v>2.1000000000000001E-2</v>
      </c>
      <c r="N98" s="17">
        <f t="shared" si="7"/>
        <v>0.188</v>
      </c>
      <c r="O98" s="9" t="s">
        <v>188</v>
      </c>
      <c r="P98" s="9" t="s">
        <v>240</v>
      </c>
      <c r="Q98" s="9"/>
    </row>
    <row r="99" spans="1:17" ht="18" customHeight="1" x14ac:dyDescent="0.3">
      <c r="A99" s="13" t="str">
        <f t="shared" si="4"/>
        <v>202507-S3-C5-ATE</v>
      </c>
      <c r="B99" s="14">
        <v>45839</v>
      </c>
      <c r="C99" s="15">
        <f t="shared" si="5"/>
        <v>2025</v>
      </c>
      <c r="D99" s="13" t="str">
        <f t="shared" si="6"/>
        <v>Fora</v>
      </c>
      <c r="E99" s="9" t="s">
        <v>214</v>
      </c>
      <c r="F99" s="9" t="s">
        <v>237</v>
      </c>
      <c r="G99" s="9" t="s">
        <v>241</v>
      </c>
      <c r="H99" s="9" t="s">
        <v>242</v>
      </c>
      <c r="I99" s="9" t="s">
        <v>186</v>
      </c>
      <c r="J99" s="16">
        <v>2145.6</v>
      </c>
      <c r="K99" s="9" t="s">
        <v>199</v>
      </c>
      <c r="L99" s="9" t="s">
        <v>152</v>
      </c>
      <c r="M99" s="17">
        <f>IF(L99="","",IFERROR(INDEX(tbl_fatores_emissao[Valor],MATCH(L99,tbl_fatores_emissao[ID_FE],0)),""))</f>
        <v>0.45</v>
      </c>
      <c r="N99" s="17">
        <f t="shared" si="7"/>
        <v>0.96599999999999997</v>
      </c>
      <c r="O99" s="9" t="s">
        <v>188</v>
      </c>
      <c r="P99" s="9" t="s">
        <v>243</v>
      </c>
      <c r="Q99" s="9"/>
    </row>
    <row r="100" spans="1:17" ht="18" customHeight="1" x14ac:dyDescent="0.3">
      <c r="A100" s="13" t="str">
        <f t="shared" si="4"/>
        <v>202507-S3-C5-PER</v>
      </c>
      <c r="B100" s="14">
        <v>45839</v>
      </c>
      <c r="C100" s="15">
        <f t="shared" si="5"/>
        <v>2025</v>
      </c>
      <c r="D100" s="13" t="str">
        <f t="shared" si="6"/>
        <v>Fora</v>
      </c>
      <c r="E100" s="9" t="s">
        <v>214</v>
      </c>
      <c r="F100" s="9" t="s">
        <v>237</v>
      </c>
      <c r="G100" s="9" t="s">
        <v>244</v>
      </c>
      <c r="H100" s="9" t="s">
        <v>245</v>
      </c>
      <c r="I100" s="9" t="s">
        <v>186</v>
      </c>
      <c r="J100" s="16">
        <v>49.2</v>
      </c>
      <c r="K100" s="9" t="s">
        <v>199</v>
      </c>
      <c r="L100" s="9" t="s">
        <v>155</v>
      </c>
      <c r="M100" s="17">
        <f>IF(L100="","",IFERROR(INDEX(tbl_fatores_emissao[Valor],MATCH(L100,tbl_fatores_emissao[ID_FE],0)),""))</f>
        <v>0.9</v>
      </c>
      <c r="N100" s="17">
        <f t="shared" si="7"/>
        <v>4.3999999999999997E-2</v>
      </c>
      <c r="O100" s="9" t="s">
        <v>188</v>
      </c>
      <c r="P100" s="9" t="s">
        <v>246</v>
      </c>
      <c r="Q100" s="9"/>
    </row>
    <row r="101" spans="1:17" ht="18" customHeight="1" x14ac:dyDescent="0.3">
      <c r="A101" s="13" t="str">
        <f t="shared" si="4"/>
        <v>202507-S3-C6</v>
      </c>
      <c r="B101" s="14">
        <v>45839</v>
      </c>
      <c r="C101" s="15">
        <f t="shared" si="5"/>
        <v>2025</v>
      </c>
      <c r="D101" s="13" t="str">
        <f t="shared" si="6"/>
        <v>Fora</v>
      </c>
      <c r="E101" s="9" t="s">
        <v>214</v>
      </c>
      <c r="F101" s="9" t="s">
        <v>247</v>
      </c>
      <c r="G101" s="9" t="s">
        <v>248</v>
      </c>
      <c r="H101" s="9" t="s">
        <v>249</v>
      </c>
      <c r="I101" s="9" t="s">
        <v>186</v>
      </c>
      <c r="J101" s="16">
        <v>2241.71</v>
      </c>
      <c r="K101" s="9" t="s">
        <v>250</v>
      </c>
      <c r="L101" s="9" t="s">
        <v>158</v>
      </c>
      <c r="M101" s="17">
        <f>IF(L101="","",IFERROR(INDEX(tbl_fatores_emissao[Valor],MATCH(L101,tbl_fatores_emissao[ID_FE],0)),""))</f>
        <v>0.17</v>
      </c>
      <c r="N101" s="17">
        <f t="shared" si="7"/>
        <v>0.38100000000000001</v>
      </c>
      <c r="O101" s="9" t="s">
        <v>194</v>
      </c>
      <c r="P101" s="9" t="s">
        <v>251</v>
      </c>
      <c r="Q101" s="9" t="s">
        <v>252</v>
      </c>
    </row>
    <row r="102" spans="1:17" ht="18" customHeight="1" x14ac:dyDescent="0.3">
      <c r="A102" s="13" t="str">
        <f t="shared" si="4"/>
        <v>202507-S3-C7</v>
      </c>
      <c r="B102" s="14">
        <v>45839</v>
      </c>
      <c r="C102" s="15">
        <f t="shared" si="5"/>
        <v>2025</v>
      </c>
      <c r="D102" s="13" t="str">
        <f t="shared" si="6"/>
        <v>Fora</v>
      </c>
      <c r="E102" s="9" t="s">
        <v>214</v>
      </c>
      <c r="F102" s="9" t="s">
        <v>253</v>
      </c>
      <c r="G102" s="9" t="s">
        <v>254</v>
      </c>
      <c r="H102" s="9" t="s">
        <v>255</v>
      </c>
      <c r="I102" s="9" t="s">
        <v>186</v>
      </c>
      <c r="J102" s="16">
        <v>38502</v>
      </c>
      <c r="K102" s="9" t="s">
        <v>250</v>
      </c>
      <c r="L102" s="9" t="s">
        <v>158</v>
      </c>
      <c r="M102" s="17">
        <f>IF(L102="","",IFERROR(INDEX(tbl_fatores_emissao[Valor],MATCH(L102,tbl_fatores_emissao[ID_FE],0)),""))</f>
        <v>0.17</v>
      </c>
      <c r="N102" s="17">
        <f t="shared" si="7"/>
        <v>6.5449999999999999</v>
      </c>
      <c r="O102" s="9" t="s">
        <v>194</v>
      </c>
      <c r="P102" s="9" t="s">
        <v>256</v>
      </c>
      <c r="Q102" s="9" t="s">
        <v>257</v>
      </c>
    </row>
    <row r="103" spans="1:17" ht="18" customHeight="1" x14ac:dyDescent="0.3">
      <c r="A103" s="13" t="str">
        <f t="shared" si="4"/>
        <v>202507-S3-C9</v>
      </c>
      <c r="B103" s="14">
        <v>45839</v>
      </c>
      <c r="C103" s="15">
        <f t="shared" si="5"/>
        <v>2025</v>
      </c>
      <c r="D103" s="13" t="str">
        <f t="shared" si="6"/>
        <v>Fora</v>
      </c>
      <c r="E103" s="9" t="s">
        <v>214</v>
      </c>
      <c r="F103" s="9" t="s">
        <v>258</v>
      </c>
      <c r="G103" s="9" t="s">
        <v>259</v>
      </c>
      <c r="H103" s="9" t="s">
        <v>260</v>
      </c>
      <c r="I103" s="9" t="s">
        <v>186</v>
      </c>
      <c r="J103" s="16">
        <v>29714.2</v>
      </c>
      <c r="K103" s="9" t="s">
        <v>261</v>
      </c>
      <c r="L103" s="9" t="s">
        <v>141</v>
      </c>
      <c r="M103" s="17">
        <f>IF(L103="","",IFERROR(INDEX(tbl_fatores_emissao[Valor],MATCH(L103,tbl_fatores_emissao[ID_FE],0)),""))</f>
        <v>0.108</v>
      </c>
      <c r="N103" s="17">
        <f t="shared" si="7"/>
        <v>3.2090000000000001</v>
      </c>
      <c r="O103" s="9" t="s">
        <v>194</v>
      </c>
      <c r="P103" s="9" t="s">
        <v>262</v>
      </c>
      <c r="Q103" s="9"/>
    </row>
    <row r="104" spans="1:17" ht="18" customHeight="1" x14ac:dyDescent="0.3">
      <c r="A104" s="13" t="str">
        <f t="shared" si="4"/>
        <v>202507-S3-C12</v>
      </c>
      <c r="B104" s="14">
        <v>45839</v>
      </c>
      <c r="C104" s="15">
        <f t="shared" si="5"/>
        <v>2025</v>
      </c>
      <c r="D104" s="13" t="str">
        <f t="shared" si="6"/>
        <v>Fora</v>
      </c>
      <c r="E104" s="9" t="s">
        <v>214</v>
      </c>
      <c r="F104" s="9" t="s">
        <v>263</v>
      </c>
      <c r="G104" s="9" t="s">
        <v>264</v>
      </c>
      <c r="H104" s="9" t="s">
        <v>265</v>
      </c>
      <c r="I104" s="9" t="s">
        <v>186</v>
      </c>
      <c r="J104" s="16">
        <v>66031.56</v>
      </c>
      <c r="K104" s="9" t="s">
        <v>199</v>
      </c>
      <c r="L104" s="9" t="s">
        <v>163</v>
      </c>
      <c r="M104" s="17">
        <f>IF(L104="","",IFERROR(INDEX(tbl_fatores_emissao[Valor],MATCH(L104,tbl_fatores_emissao[ID_FE],0)),""))</f>
        <v>1</v>
      </c>
      <c r="N104" s="17">
        <f t="shared" si="7"/>
        <v>66.031999999999996</v>
      </c>
      <c r="O104" s="9" t="s">
        <v>194</v>
      </c>
      <c r="P104" s="9" t="s">
        <v>266</v>
      </c>
      <c r="Q104" s="9"/>
    </row>
    <row r="105" spans="1:17" ht="18" customHeight="1" x14ac:dyDescent="0.3">
      <c r="A105" s="13" t="str">
        <f t="shared" si="4"/>
        <v>202508-S1-01</v>
      </c>
      <c r="B105" s="14">
        <v>45870</v>
      </c>
      <c r="C105" s="15">
        <f t="shared" si="5"/>
        <v>2025</v>
      </c>
      <c r="D105" s="13" t="str">
        <f t="shared" si="6"/>
        <v>Fora</v>
      </c>
      <c r="E105" s="9" t="s">
        <v>182</v>
      </c>
      <c r="F105" s="9" t="s">
        <v>183</v>
      </c>
      <c r="G105" s="9" t="s">
        <v>184</v>
      </c>
      <c r="H105" s="9" t="s">
        <v>185</v>
      </c>
      <c r="I105" s="9" t="s">
        <v>186</v>
      </c>
      <c r="J105" s="16">
        <v>263.39999999999998</v>
      </c>
      <c r="K105" s="9" t="s">
        <v>187</v>
      </c>
      <c r="L105" s="9" t="s">
        <v>96</v>
      </c>
      <c r="M105" s="17">
        <f>IF(L105="","",IFERROR(INDEX(tbl_fatores_emissao[Valor],MATCH(L105,tbl_fatores_emissao[ID_FE],0)),""))</f>
        <v>2.66</v>
      </c>
      <c r="N105" s="17">
        <f t="shared" si="7"/>
        <v>0.70099999999999996</v>
      </c>
      <c r="O105" s="9" t="s">
        <v>188</v>
      </c>
      <c r="P105" s="9" t="s">
        <v>189</v>
      </c>
      <c r="Q105" s="9" t="s">
        <v>190</v>
      </c>
    </row>
    <row r="106" spans="1:17" ht="18" customHeight="1" x14ac:dyDescent="0.3">
      <c r="A106" s="13" t="str">
        <f t="shared" si="4"/>
        <v>202508-S1-02</v>
      </c>
      <c r="B106" s="14">
        <v>45870</v>
      </c>
      <c r="C106" s="15">
        <f t="shared" si="5"/>
        <v>2025</v>
      </c>
      <c r="D106" s="13" t="str">
        <f t="shared" si="6"/>
        <v>Fora</v>
      </c>
      <c r="E106" s="9" t="s">
        <v>182</v>
      </c>
      <c r="F106" s="9" t="s">
        <v>191</v>
      </c>
      <c r="G106" s="9" t="s">
        <v>192</v>
      </c>
      <c r="H106" s="9" t="s">
        <v>193</v>
      </c>
      <c r="I106" s="9" t="s">
        <v>186</v>
      </c>
      <c r="J106" s="16">
        <v>17.34</v>
      </c>
      <c r="K106" s="9" t="s">
        <v>187</v>
      </c>
      <c r="L106" s="9" t="s">
        <v>96</v>
      </c>
      <c r="M106" s="17">
        <f>IF(L106="","",IFERROR(INDEX(tbl_fatores_emissao[Valor],MATCH(L106,tbl_fatores_emissao[ID_FE],0)),""))</f>
        <v>2.66</v>
      </c>
      <c r="N106" s="17">
        <f t="shared" si="7"/>
        <v>4.5999999999999999E-2</v>
      </c>
      <c r="O106" s="9" t="s">
        <v>194</v>
      </c>
      <c r="P106" s="9" t="s">
        <v>195</v>
      </c>
      <c r="Q106" s="9" t="s">
        <v>190</v>
      </c>
    </row>
    <row r="107" spans="1:17" ht="18" customHeight="1" x14ac:dyDescent="0.3">
      <c r="A107" s="13" t="str">
        <f t="shared" si="4"/>
        <v>202508-S1-03</v>
      </c>
      <c r="B107" s="14">
        <v>45870</v>
      </c>
      <c r="C107" s="15">
        <f t="shared" si="5"/>
        <v>2025</v>
      </c>
      <c r="D107" s="13" t="str">
        <f t="shared" si="6"/>
        <v>Fora</v>
      </c>
      <c r="E107" s="9" t="s">
        <v>182</v>
      </c>
      <c r="F107" s="9" t="s">
        <v>196</v>
      </c>
      <c r="G107" s="9" t="s">
        <v>197</v>
      </c>
      <c r="H107" s="9" t="s">
        <v>198</v>
      </c>
      <c r="I107" s="9" t="s">
        <v>186</v>
      </c>
      <c r="J107" s="16"/>
      <c r="K107" s="9" t="s">
        <v>199</v>
      </c>
      <c r="L107" s="9" t="s">
        <v>101</v>
      </c>
      <c r="M107" s="17">
        <f>IF(L107="","",IFERROR(INDEX(tbl_fatores_emissao[Valor],MATCH(L107,tbl_fatores_emissao[ID_FE],0)),""))</f>
        <v>2088</v>
      </c>
      <c r="N107" s="17" t="str">
        <f t="shared" si="7"/>
        <v/>
      </c>
      <c r="O107" s="9" t="s">
        <v>188</v>
      </c>
      <c r="P107" s="9" t="s">
        <v>200</v>
      </c>
      <c r="Q107" s="9"/>
    </row>
    <row r="108" spans="1:17" ht="18" customHeight="1" x14ac:dyDescent="0.3">
      <c r="A108" s="13" t="str">
        <f t="shared" si="4"/>
        <v>202508-S2-LB</v>
      </c>
      <c r="B108" s="14">
        <v>45870</v>
      </c>
      <c r="C108" s="15">
        <f t="shared" si="5"/>
        <v>2025</v>
      </c>
      <c r="D108" s="13" t="str">
        <f t="shared" si="6"/>
        <v>Fora</v>
      </c>
      <c r="E108" s="9" t="s">
        <v>201</v>
      </c>
      <c r="F108" s="9" t="s">
        <v>202</v>
      </c>
      <c r="G108" s="9" t="s">
        <v>203</v>
      </c>
      <c r="H108" s="9" t="s">
        <v>204</v>
      </c>
      <c r="I108" s="9" t="s">
        <v>205</v>
      </c>
      <c r="J108" s="16">
        <v>586900.91</v>
      </c>
      <c r="K108" s="9" t="s">
        <v>206</v>
      </c>
      <c r="L108" s="9" t="s">
        <v>82</v>
      </c>
      <c r="M108" s="17">
        <f>IF(L108="","",IFERROR(INDEX(tbl_fatores_emissao[Valor],MATCH(L108,tbl_fatores_emissao[ID_FE],0)),""))</f>
        <v>0.11</v>
      </c>
      <c r="N108" s="17">
        <f t="shared" si="7"/>
        <v>64.558999999999997</v>
      </c>
      <c r="O108" s="9" t="s">
        <v>188</v>
      </c>
      <c r="P108" s="9" t="s">
        <v>207</v>
      </c>
      <c r="Q108" s="9"/>
    </row>
    <row r="109" spans="1:17" ht="18" customHeight="1" x14ac:dyDescent="0.3">
      <c r="A109" s="13" t="str">
        <f t="shared" si="4"/>
        <v>202508-S2-MB-GO</v>
      </c>
      <c r="B109" s="14">
        <v>45870</v>
      </c>
      <c r="C109" s="15">
        <f t="shared" si="5"/>
        <v>2025</v>
      </c>
      <c r="D109" s="13" t="str">
        <f t="shared" si="6"/>
        <v>Fora</v>
      </c>
      <c r="E109" s="9" t="s">
        <v>201</v>
      </c>
      <c r="F109" s="9" t="s">
        <v>202</v>
      </c>
      <c r="G109" s="9" t="s">
        <v>208</v>
      </c>
      <c r="H109" s="9" t="s">
        <v>209</v>
      </c>
      <c r="I109" s="9" t="s">
        <v>210</v>
      </c>
      <c r="J109" s="16">
        <v>322795.5</v>
      </c>
      <c r="K109" s="9" t="s">
        <v>206</v>
      </c>
      <c r="L109" s="9" t="s">
        <v>92</v>
      </c>
      <c r="M109" s="17">
        <f>IF(L109="","",IFERROR(INDEX(tbl_fatores_emissao[Valor],MATCH(L109,tbl_fatores_emissao[ID_FE],0)),""))</f>
        <v>0</v>
      </c>
      <c r="N109" s="17">
        <f t="shared" si="7"/>
        <v>0</v>
      </c>
      <c r="O109" s="9" t="s">
        <v>188</v>
      </c>
      <c r="P109" s="9" t="s">
        <v>211</v>
      </c>
      <c r="Q109" s="9"/>
    </row>
    <row r="110" spans="1:17" ht="18" customHeight="1" x14ac:dyDescent="0.3">
      <c r="A110" s="13" t="str">
        <f t="shared" si="4"/>
        <v>202508-S2-MB-RES</v>
      </c>
      <c r="B110" s="14">
        <v>45870</v>
      </c>
      <c r="C110" s="15">
        <f t="shared" si="5"/>
        <v>2025</v>
      </c>
      <c r="D110" s="13" t="str">
        <f t="shared" si="6"/>
        <v>Fora</v>
      </c>
      <c r="E110" s="9" t="s">
        <v>201</v>
      </c>
      <c r="F110" s="9" t="s">
        <v>202</v>
      </c>
      <c r="G110" s="9" t="s">
        <v>212</v>
      </c>
      <c r="H110" s="9" t="s">
        <v>213</v>
      </c>
      <c r="I110" s="9" t="s">
        <v>210</v>
      </c>
      <c r="J110" s="16">
        <v>264105.40999999997</v>
      </c>
      <c r="K110" s="9" t="s">
        <v>206</v>
      </c>
      <c r="L110" s="9" t="s">
        <v>88</v>
      </c>
      <c r="M110" s="17">
        <f>IF(L110="","",IFERROR(INDEX(tbl_fatores_emissao[Valor],MATCH(L110,tbl_fatores_emissao[ID_FE],0)),""))</f>
        <v>0.25</v>
      </c>
      <c r="N110" s="17">
        <f t="shared" si="7"/>
        <v>66.025999999999996</v>
      </c>
      <c r="O110" s="9" t="s">
        <v>188</v>
      </c>
      <c r="P110" s="9" t="s">
        <v>211</v>
      </c>
      <c r="Q110" s="9"/>
    </row>
    <row r="111" spans="1:17" ht="18" customHeight="1" x14ac:dyDescent="0.3">
      <c r="A111" s="13" t="str">
        <f t="shared" si="4"/>
        <v>202508-S3-C1-VIR</v>
      </c>
      <c r="B111" s="14">
        <v>45870</v>
      </c>
      <c r="C111" s="15">
        <f t="shared" si="5"/>
        <v>2025</v>
      </c>
      <c r="D111" s="13" t="str">
        <f t="shared" si="6"/>
        <v>Fora</v>
      </c>
      <c r="E111" s="9" t="s">
        <v>214</v>
      </c>
      <c r="F111" s="9" t="s">
        <v>215</v>
      </c>
      <c r="G111" s="9" t="s">
        <v>216</v>
      </c>
      <c r="H111" s="9" t="s">
        <v>217</v>
      </c>
      <c r="I111" s="9" t="s">
        <v>186</v>
      </c>
      <c r="J111" s="16">
        <v>60642.98</v>
      </c>
      <c r="K111" s="9" t="s">
        <v>199</v>
      </c>
      <c r="L111" s="9" t="s">
        <v>119</v>
      </c>
      <c r="M111" s="17">
        <f>IF(L111="","",IFERROR(INDEX(tbl_fatores_emissao[Valor],MATCH(L111,tbl_fatores_emissao[ID_FE],0)),""))</f>
        <v>1.9</v>
      </c>
      <c r="N111" s="17">
        <f t="shared" si="7"/>
        <v>115.22199999999999</v>
      </c>
      <c r="O111" s="9" t="s">
        <v>218</v>
      </c>
      <c r="P111" s="9" t="s">
        <v>219</v>
      </c>
      <c r="Q111" s="9"/>
    </row>
    <row r="112" spans="1:17" ht="18" customHeight="1" x14ac:dyDescent="0.3">
      <c r="A112" s="13" t="str">
        <f t="shared" si="4"/>
        <v>202508-S3-C1-PCR</v>
      </c>
      <c r="B112" s="14">
        <v>45870</v>
      </c>
      <c r="C112" s="15">
        <f t="shared" si="5"/>
        <v>2025</v>
      </c>
      <c r="D112" s="13" t="str">
        <f t="shared" si="6"/>
        <v>Fora</v>
      </c>
      <c r="E112" s="9" t="s">
        <v>214</v>
      </c>
      <c r="F112" s="9" t="s">
        <v>215</v>
      </c>
      <c r="G112" s="9" t="s">
        <v>220</v>
      </c>
      <c r="H112" s="9" t="s">
        <v>221</v>
      </c>
      <c r="I112" s="9" t="s">
        <v>186</v>
      </c>
      <c r="J112" s="16">
        <v>8337.42</v>
      </c>
      <c r="K112" s="9" t="s">
        <v>199</v>
      </c>
      <c r="L112" s="9" t="s">
        <v>116</v>
      </c>
      <c r="M112" s="17">
        <f>IF(L112="","",IFERROR(INDEX(tbl_fatores_emissao[Valor],MATCH(L112,tbl_fatores_emissao[ID_FE],0)),""))</f>
        <v>0.5</v>
      </c>
      <c r="N112" s="17">
        <f t="shared" si="7"/>
        <v>4.1689999999999996</v>
      </c>
      <c r="O112" s="9" t="s">
        <v>218</v>
      </c>
      <c r="P112" s="9" t="s">
        <v>222</v>
      </c>
      <c r="Q112" s="9"/>
    </row>
    <row r="113" spans="1:17" ht="18" customHeight="1" x14ac:dyDescent="0.3">
      <c r="A113" s="13" t="str">
        <f t="shared" si="4"/>
        <v>202508-S3-C1-TIN</v>
      </c>
      <c r="B113" s="14">
        <v>45870</v>
      </c>
      <c r="C113" s="15">
        <f t="shared" si="5"/>
        <v>2025</v>
      </c>
      <c r="D113" s="13" t="str">
        <f t="shared" si="6"/>
        <v>Fora</v>
      </c>
      <c r="E113" s="9" t="s">
        <v>214</v>
      </c>
      <c r="F113" s="9" t="s">
        <v>215</v>
      </c>
      <c r="G113" s="9" t="s">
        <v>223</v>
      </c>
      <c r="H113" s="9" t="s">
        <v>123</v>
      </c>
      <c r="I113" s="9" t="s">
        <v>186</v>
      </c>
      <c r="J113" s="16">
        <v>58.37</v>
      </c>
      <c r="K113" s="9" t="s">
        <v>199</v>
      </c>
      <c r="L113" s="9" t="s">
        <v>122</v>
      </c>
      <c r="M113" s="17">
        <f>IF(L113="","",IFERROR(INDEX(tbl_fatores_emissao[Valor],MATCH(L113,tbl_fatores_emissao[ID_FE],0)),""))</f>
        <v>3</v>
      </c>
      <c r="N113" s="17">
        <f t="shared" si="7"/>
        <v>0.17499999999999999</v>
      </c>
      <c r="O113" s="9" t="s">
        <v>218</v>
      </c>
      <c r="P113" s="9" t="s">
        <v>224</v>
      </c>
      <c r="Q113" s="9"/>
    </row>
    <row r="114" spans="1:17" ht="18" customHeight="1" x14ac:dyDescent="0.3">
      <c r="A114" s="13" t="str">
        <f t="shared" si="4"/>
        <v>202508-S3-C1-SOL</v>
      </c>
      <c r="B114" s="14">
        <v>45870</v>
      </c>
      <c r="C114" s="15">
        <f t="shared" si="5"/>
        <v>2025</v>
      </c>
      <c r="D114" s="13" t="str">
        <f t="shared" si="6"/>
        <v>Fora</v>
      </c>
      <c r="E114" s="9" t="s">
        <v>214</v>
      </c>
      <c r="F114" s="9" t="s">
        <v>215</v>
      </c>
      <c r="G114" s="9" t="s">
        <v>225</v>
      </c>
      <c r="H114" s="9" t="s">
        <v>126</v>
      </c>
      <c r="I114" s="9" t="s">
        <v>186</v>
      </c>
      <c r="J114" s="16">
        <v>37.4</v>
      </c>
      <c r="K114" s="9" t="s">
        <v>199</v>
      </c>
      <c r="L114" s="9" t="s">
        <v>125</v>
      </c>
      <c r="M114" s="17">
        <f>IF(L114="","",IFERROR(INDEX(tbl_fatores_emissao[Valor],MATCH(L114,tbl_fatores_emissao[ID_FE],0)),""))</f>
        <v>1.8</v>
      </c>
      <c r="N114" s="17">
        <f t="shared" si="7"/>
        <v>6.7000000000000004E-2</v>
      </c>
      <c r="O114" s="9" t="s">
        <v>188</v>
      </c>
      <c r="P114" s="9" t="s">
        <v>226</v>
      </c>
      <c r="Q114" s="9"/>
    </row>
    <row r="115" spans="1:17" ht="18" customHeight="1" x14ac:dyDescent="0.3">
      <c r="A115" s="13" t="str">
        <f t="shared" si="4"/>
        <v>202508-S3-C1-FOI</v>
      </c>
      <c r="B115" s="14">
        <v>45870</v>
      </c>
      <c r="C115" s="15">
        <f t="shared" si="5"/>
        <v>2025</v>
      </c>
      <c r="D115" s="13" t="str">
        <f t="shared" si="6"/>
        <v>Fora</v>
      </c>
      <c r="E115" s="9" t="s">
        <v>214</v>
      </c>
      <c r="F115" s="9" t="s">
        <v>215</v>
      </c>
      <c r="G115" s="9" t="s">
        <v>227</v>
      </c>
      <c r="H115" s="9" t="s">
        <v>129</v>
      </c>
      <c r="I115" s="9" t="s">
        <v>186</v>
      </c>
      <c r="J115" s="16">
        <v>1346.04</v>
      </c>
      <c r="K115" s="9" t="s">
        <v>199</v>
      </c>
      <c r="L115" s="9" t="s">
        <v>128</v>
      </c>
      <c r="M115" s="17">
        <f>IF(L115="","",IFERROR(INDEX(tbl_fatores_emissao[Valor],MATCH(L115,tbl_fatores_emissao[ID_FE],0)),""))</f>
        <v>3.5</v>
      </c>
      <c r="N115" s="17">
        <f t="shared" si="7"/>
        <v>4.7110000000000003</v>
      </c>
      <c r="O115" s="9" t="s">
        <v>218</v>
      </c>
      <c r="P115" s="9" t="s">
        <v>228</v>
      </c>
      <c r="Q115" s="9"/>
    </row>
    <row r="116" spans="1:17" ht="18" customHeight="1" x14ac:dyDescent="0.3">
      <c r="A116" s="13" t="str">
        <f t="shared" si="4"/>
        <v>202508-S3-C3</v>
      </c>
      <c r="B116" s="14">
        <v>45870</v>
      </c>
      <c r="C116" s="15">
        <f t="shared" si="5"/>
        <v>2025</v>
      </c>
      <c r="D116" s="13" t="str">
        <f t="shared" si="6"/>
        <v>Fora</v>
      </c>
      <c r="E116" s="9" t="s">
        <v>214</v>
      </c>
      <c r="F116" s="9" t="s">
        <v>229</v>
      </c>
      <c r="G116" s="9" t="s">
        <v>230</v>
      </c>
      <c r="H116" s="9" t="s">
        <v>231</v>
      </c>
      <c r="I116" s="9" t="s">
        <v>186</v>
      </c>
      <c r="J116" s="16">
        <v>586900.91</v>
      </c>
      <c r="K116" s="9" t="s">
        <v>206</v>
      </c>
      <c r="L116" s="9" t="s">
        <v>133</v>
      </c>
      <c r="M116" s="17">
        <f>IF(L116="","",IFERROR(INDEX(tbl_fatores_emissao[Valor],MATCH(L116,tbl_fatores_emissao[ID_FE],0)),""))</f>
        <v>0.02</v>
      </c>
      <c r="N116" s="17">
        <f t="shared" si="7"/>
        <v>11.738</v>
      </c>
      <c r="O116" s="9" t="s">
        <v>194</v>
      </c>
      <c r="P116" s="9" t="s">
        <v>232</v>
      </c>
      <c r="Q116" s="9"/>
    </row>
    <row r="117" spans="1:17" ht="18" customHeight="1" x14ac:dyDescent="0.3">
      <c r="A117" s="13" t="str">
        <f t="shared" si="4"/>
        <v>202508-S3-C4</v>
      </c>
      <c r="B117" s="14">
        <v>45870</v>
      </c>
      <c r="C117" s="15">
        <f t="shared" si="5"/>
        <v>2025</v>
      </c>
      <c r="D117" s="13" t="str">
        <f t="shared" si="6"/>
        <v>Fora</v>
      </c>
      <c r="E117" s="9" t="s">
        <v>214</v>
      </c>
      <c r="F117" s="9" t="s">
        <v>233</v>
      </c>
      <c r="G117" s="9" t="s">
        <v>234</v>
      </c>
      <c r="H117" s="9" t="s">
        <v>235</v>
      </c>
      <c r="I117" s="9" t="s">
        <v>186</v>
      </c>
      <c r="J117" s="16">
        <v>68980.399999999994</v>
      </c>
      <c r="K117" s="9" t="s">
        <v>199</v>
      </c>
      <c r="L117" s="9" t="s">
        <v>137</v>
      </c>
      <c r="M117" s="17">
        <f>IF(L117="","",IFERROR(INDEX(tbl_fatores_emissao[Valor],MATCH(L117,tbl_fatores_emissao[ID_FE],0)),""))</f>
        <v>0.1178</v>
      </c>
      <c r="N117" s="17">
        <f t="shared" si="7"/>
        <v>8.1259999999999994</v>
      </c>
      <c r="O117" s="9" t="s">
        <v>194</v>
      </c>
      <c r="P117" s="9" t="s">
        <v>236</v>
      </c>
      <c r="Q117" s="9"/>
    </row>
    <row r="118" spans="1:17" ht="18" customHeight="1" x14ac:dyDescent="0.3">
      <c r="A118" s="13" t="str">
        <f t="shared" si="4"/>
        <v>202508-S3-C5-REC</v>
      </c>
      <c r="B118" s="14">
        <v>45870</v>
      </c>
      <c r="C118" s="15">
        <f t="shared" si="5"/>
        <v>2025</v>
      </c>
      <c r="D118" s="13" t="str">
        <f t="shared" si="6"/>
        <v>Fora</v>
      </c>
      <c r="E118" s="9" t="s">
        <v>214</v>
      </c>
      <c r="F118" s="9" t="s">
        <v>237</v>
      </c>
      <c r="G118" s="9" t="s">
        <v>238</v>
      </c>
      <c r="H118" s="9" t="s">
        <v>239</v>
      </c>
      <c r="I118" s="9" t="s">
        <v>186</v>
      </c>
      <c r="J118" s="16">
        <v>8665.4</v>
      </c>
      <c r="K118" s="9" t="s">
        <v>199</v>
      </c>
      <c r="L118" s="9" t="s">
        <v>148</v>
      </c>
      <c r="M118" s="17">
        <f>IF(L118="","",IFERROR(INDEX(tbl_fatores_emissao[Valor],MATCH(L118,tbl_fatores_emissao[ID_FE],0)),""))</f>
        <v>2.1000000000000001E-2</v>
      </c>
      <c r="N118" s="17">
        <f t="shared" si="7"/>
        <v>0.182</v>
      </c>
      <c r="O118" s="9" t="s">
        <v>188</v>
      </c>
      <c r="P118" s="9" t="s">
        <v>240</v>
      </c>
      <c r="Q118" s="9"/>
    </row>
    <row r="119" spans="1:17" ht="18" customHeight="1" x14ac:dyDescent="0.3">
      <c r="A119" s="13" t="str">
        <f t="shared" si="4"/>
        <v>202508-S3-C5-ATE</v>
      </c>
      <c r="B119" s="14">
        <v>45870</v>
      </c>
      <c r="C119" s="15">
        <f t="shared" si="5"/>
        <v>2025</v>
      </c>
      <c r="D119" s="13" t="str">
        <f t="shared" si="6"/>
        <v>Fora</v>
      </c>
      <c r="E119" s="9" t="s">
        <v>214</v>
      </c>
      <c r="F119" s="9" t="s">
        <v>237</v>
      </c>
      <c r="G119" s="9" t="s">
        <v>241</v>
      </c>
      <c r="H119" s="9" t="s">
        <v>242</v>
      </c>
      <c r="I119" s="9" t="s">
        <v>186</v>
      </c>
      <c r="J119" s="16">
        <v>2439.4</v>
      </c>
      <c r="K119" s="9" t="s">
        <v>199</v>
      </c>
      <c r="L119" s="9" t="s">
        <v>152</v>
      </c>
      <c r="M119" s="17">
        <f>IF(L119="","",IFERROR(INDEX(tbl_fatores_emissao[Valor],MATCH(L119,tbl_fatores_emissao[ID_FE],0)),""))</f>
        <v>0.45</v>
      </c>
      <c r="N119" s="17">
        <f t="shared" si="7"/>
        <v>1.0980000000000001</v>
      </c>
      <c r="O119" s="9" t="s">
        <v>188</v>
      </c>
      <c r="P119" s="9" t="s">
        <v>243</v>
      </c>
      <c r="Q119" s="9"/>
    </row>
    <row r="120" spans="1:17" ht="18" customHeight="1" x14ac:dyDescent="0.3">
      <c r="A120" s="13" t="str">
        <f t="shared" si="4"/>
        <v>202508-S3-C5-PER</v>
      </c>
      <c r="B120" s="14">
        <v>45870</v>
      </c>
      <c r="C120" s="15">
        <f t="shared" si="5"/>
        <v>2025</v>
      </c>
      <c r="D120" s="13" t="str">
        <f t="shared" si="6"/>
        <v>Fora</v>
      </c>
      <c r="E120" s="9" t="s">
        <v>214</v>
      </c>
      <c r="F120" s="9" t="s">
        <v>237</v>
      </c>
      <c r="G120" s="9" t="s">
        <v>244</v>
      </c>
      <c r="H120" s="9" t="s">
        <v>245</v>
      </c>
      <c r="I120" s="9" t="s">
        <v>186</v>
      </c>
      <c r="J120" s="16">
        <v>31.1</v>
      </c>
      <c r="K120" s="9" t="s">
        <v>199</v>
      </c>
      <c r="L120" s="9" t="s">
        <v>155</v>
      </c>
      <c r="M120" s="17">
        <f>IF(L120="","",IFERROR(INDEX(tbl_fatores_emissao[Valor],MATCH(L120,tbl_fatores_emissao[ID_FE],0)),""))</f>
        <v>0.9</v>
      </c>
      <c r="N120" s="17">
        <f t="shared" si="7"/>
        <v>2.8000000000000001E-2</v>
      </c>
      <c r="O120" s="9" t="s">
        <v>188</v>
      </c>
      <c r="P120" s="9" t="s">
        <v>246</v>
      </c>
      <c r="Q120" s="9"/>
    </row>
    <row r="121" spans="1:17" ht="18" customHeight="1" x14ac:dyDescent="0.3">
      <c r="A121" s="13" t="str">
        <f t="shared" si="4"/>
        <v>202508-S3-C6</v>
      </c>
      <c r="B121" s="14">
        <v>45870</v>
      </c>
      <c r="C121" s="15">
        <f t="shared" si="5"/>
        <v>2025</v>
      </c>
      <c r="D121" s="13" t="str">
        <f t="shared" si="6"/>
        <v>Fora</v>
      </c>
      <c r="E121" s="9" t="s">
        <v>214</v>
      </c>
      <c r="F121" s="9" t="s">
        <v>247</v>
      </c>
      <c r="G121" s="9" t="s">
        <v>248</v>
      </c>
      <c r="H121" s="9" t="s">
        <v>249</v>
      </c>
      <c r="I121" s="9" t="s">
        <v>186</v>
      </c>
      <c r="J121" s="16">
        <v>2574.94</v>
      </c>
      <c r="K121" s="9" t="s">
        <v>250</v>
      </c>
      <c r="L121" s="9" t="s">
        <v>158</v>
      </c>
      <c r="M121" s="17">
        <f>IF(L121="","",IFERROR(INDEX(tbl_fatores_emissao[Valor],MATCH(L121,tbl_fatores_emissao[ID_FE],0)),""))</f>
        <v>0.17</v>
      </c>
      <c r="N121" s="17">
        <f t="shared" si="7"/>
        <v>0.438</v>
      </c>
      <c r="O121" s="9" t="s">
        <v>194</v>
      </c>
      <c r="P121" s="9" t="s">
        <v>251</v>
      </c>
      <c r="Q121" s="9" t="s">
        <v>252</v>
      </c>
    </row>
    <row r="122" spans="1:17" ht="18" customHeight="1" x14ac:dyDescent="0.3">
      <c r="A122" s="13" t="str">
        <f t="shared" si="4"/>
        <v>202508-S3-C7</v>
      </c>
      <c r="B122" s="14">
        <v>45870</v>
      </c>
      <c r="C122" s="15">
        <f t="shared" si="5"/>
        <v>2025</v>
      </c>
      <c r="D122" s="13" t="str">
        <f t="shared" si="6"/>
        <v>Fora</v>
      </c>
      <c r="E122" s="9" t="s">
        <v>214</v>
      </c>
      <c r="F122" s="9" t="s">
        <v>253</v>
      </c>
      <c r="G122" s="9" t="s">
        <v>254</v>
      </c>
      <c r="H122" s="9" t="s">
        <v>255</v>
      </c>
      <c r="I122" s="9" t="s">
        <v>186</v>
      </c>
      <c r="J122" s="16">
        <v>33480</v>
      </c>
      <c r="K122" s="9" t="s">
        <v>250</v>
      </c>
      <c r="L122" s="9" t="s">
        <v>158</v>
      </c>
      <c r="M122" s="17">
        <f>IF(L122="","",IFERROR(INDEX(tbl_fatores_emissao[Valor],MATCH(L122,tbl_fatores_emissao[ID_FE],0)),""))</f>
        <v>0.17</v>
      </c>
      <c r="N122" s="17">
        <f t="shared" si="7"/>
        <v>5.6920000000000002</v>
      </c>
      <c r="O122" s="9" t="s">
        <v>194</v>
      </c>
      <c r="P122" s="9" t="s">
        <v>256</v>
      </c>
      <c r="Q122" s="9" t="s">
        <v>257</v>
      </c>
    </row>
    <row r="123" spans="1:17" ht="18" customHeight="1" x14ac:dyDescent="0.3">
      <c r="A123" s="13" t="str">
        <f t="shared" si="4"/>
        <v>202508-S3-C9</v>
      </c>
      <c r="B123" s="14">
        <v>45870</v>
      </c>
      <c r="C123" s="15">
        <f t="shared" si="5"/>
        <v>2025</v>
      </c>
      <c r="D123" s="13" t="str">
        <f t="shared" si="6"/>
        <v>Fora</v>
      </c>
      <c r="E123" s="9" t="s">
        <v>214</v>
      </c>
      <c r="F123" s="9" t="s">
        <v>258</v>
      </c>
      <c r="G123" s="9" t="s">
        <v>259</v>
      </c>
      <c r="H123" s="9" t="s">
        <v>260</v>
      </c>
      <c r="I123" s="9" t="s">
        <v>186</v>
      </c>
      <c r="J123" s="16">
        <v>30252.87</v>
      </c>
      <c r="K123" s="9" t="s">
        <v>261</v>
      </c>
      <c r="L123" s="9" t="s">
        <v>141</v>
      </c>
      <c r="M123" s="17">
        <f>IF(L123="","",IFERROR(INDEX(tbl_fatores_emissao[Valor],MATCH(L123,tbl_fatores_emissao[ID_FE],0)),""))</f>
        <v>0.108</v>
      </c>
      <c r="N123" s="17">
        <f t="shared" si="7"/>
        <v>3.2669999999999999</v>
      </c>
      <c r="O123" s="9" t="s">
        <v>194</v>
      </c>
      <c r="P123" s="9" t="s">
        <v>262</v>
      </c>
      <c r="Q123" s="9"/>
    </row>
    <row r="124" spans="1:17" ht="18" customHeight="1" x14ac:dyDescent="0.3">
      <c r="A124" s="13" t="str">
        <f t="shared" si="4"/>
        <v>202508-S3-C12</v>
      </c>
      <c r="B124" s="14">
        <v>45870</v>
      </c>
      <c r="C124" s="15">
        <f t="shared" si="5"/>
        <v>2025</v>
      </c>
      <c r="D124" s="13" t="str">
        <f t="shared" si="6"/>
        <v>Fora</v>
      </c>
      <c r="E124" s="9" t="s">
        <v>214</v>
      </c>
      <c r="F124" s="9" t="s">
        <v>263</v>
      </c>
      <c r="G124" s="9" t="s">
        <v>264</v>
      </c>
      <c r="H124" s="9" t="s">
        <v>265</v>
      </c>
      <c r="I124" s="9" t="s">
        <v>186</v>
      </c>
      <c r="J124" s="16">
        <v>67228.61</v>
      </c>
      <c r="K124" s="9" t="s">
        <v>199</v>
      </c>
      <c r="L124" s="9" t="s">
        <v>163</v>
      </c>
      <c r="M124" s="17">
        <f>IF(L124="","",IFERROR(INDEX(tbl_fatores_emissao[Valor],MATCH(L124,tbl_fatores_emissao[ID_FE],0)),""))</f>
        <v>1</v>
      </c>
      <c r="N124" s="17">
        <f t="shared" si="7"/>
        <v>67.228999999999999</v>
      </c>
      <c r="O124" s="9" t="s">
        <v>194</v>
      </c>
      <c r="P124" s="9" t="s">
        <v>266</v>
      </c>
      <c r="Q124" s="9"/>
    </row>
    <row r="125" spans="1:17" ht="18" customHeight="1" x14ac:dyDescent="0.3">
      <c r="A125" s="13" t="str">
        <f t="shared" si="4"/>
        <v>202509-S1-01</v>
      </c>
      <c r="B125" s="14">
        <v>45901</v>
      </c>
      <c r="C125" s="15">
        <f t="shared" si="5"/>
        <v>2025</v>
      </c>
      <c r="D125" s="13" t="str">
        <f t="shared" si="6"/>
        <v>2025/26</v>
      </c>
      <c r="E125" s="9" t="s">
        <v>182</v>
      </c>
      <c r="F125" s="9" t="s">
        <v>183</v>
      </c>
      <c r="G125" s="9" t="s">
        <v>184</v>
      </c>
      <c r="H125" s="9" t="s">
        <v>185</v>
      </c>
      <c r="I125" s="9" t="s">
        <v>186</v>
      </c>
      <c r="J125" s="16">
        <v>290.25</v>
      </c>
      <c r="K125" s="9" t="s">
        <v>187</v>
      </c>
      <c r="L125" s="9" t="s">
        <v>96</v>
      </c>
      <c r="M125" s="17">
        <f>IF(L125="","",IFERROR(INDEX(tbl_fatores_emissao[Valor],MATCH(L125,tbl_fatores_emissao[ID_FE],0)),""))</f>
        <v>2.66</v>
      </c>
      <c r="N125" s="17">
        <f t="shared" si="7"/>
        <v>0.77200000000000002</v>
      </c>
      <c r="O125" s="9" t="s">
        <v>188</v>
      </c>
      <c r="P125" s="9" t="s">
        <v>189</v>
      </c>
      <c r="Q125" s="9" t="s">
        <v>190</v>
      </c>
    </row>
    <row r="126" spans="1:17" ht="18" customHeight="1" x14ac:dyDescent="0.3">
      <c r="A126" s="13" t="str">
        <f t="shared" si="4"/>
        <v>202509-S1-02</v>
      </c>
      <c r="B126" s="14">
        <v>45901</v>
      </c>
      <c r="C126" s="15">
        <f t="shared" si="5"/>
        <v>2025</v>
      </c>
      <c r="D126" s="13" t="str">
        <f t="shared" si="6"/>
        <v>2025/26</v>
      </c>
      <c r="E126" s="9" t="s">
        <v>182</v>
      </c>
      <c r="F126" s="9" t="s">
        <v>191</v>
      </c>
      <c r="G126" s="9" t="s">
        <v>192</v>
      </c>
      <c r="H126" s="9" t="s">
        <v>193</v>
      </c>
      <c r="I126" s="9" t="s">
        <v>186</v>
      </c>
      <c r="J126" s="16">
        <v>15.81</v>
      </c>
      <c r="K126" s="9" t="s">
        <v>187</v>
      </c>
      <c r="L126" s="9" t="s">
        <v>96</v>
      </c>
      <c r="M126" s="17">
        <f>IF(L126="","",IFERROR(INDEX(tbl_fatores_emissao[Valor],MATCH(L126,tbl_fatores_emissao[ID_FE],0)),""))</f>
        <v>2.66</v>
      </c>
      <c r="N126" s="17">
        <f t="shared" si="7"/>
        <v>4.2000000000000003E-2</v>
      </c>
      <c r="O126" s="9" t="s">
        <v>194</v>
      </c>
      <c r="P126" s="9" t="s">
        <v>195</v>
      </c>
      <c r="Q126" s="9" t="s">
        <v>190</v>
      </c>
    </row>
    <row r="127" spans="1:17" ht="18" customHeight="1" x14ac:dyDescent="0.3">
      <c r="A127" s="13" t="str">
        <f t="shared" si="4"/>
        <v>202509-S1-03</v>
      </c>
      <c r="B127" s="14">
        <v>45901</v>
      </c>
      <c r="C127" s="15">
        <f t="shared" si="5"/>
        <v>2025</v>
      </c>
      <c r="D127" s="13" t="str">
        <f t="shared" si="6"/>
        <v>2025/26</v>
      </c>
      <c r="E127" s="9" t="s">
        <v>182</v>
      </c>
      <c r="F127" s="9" t="s">
        <v>196</v>
      </c>
      <c r="G127" s="9" t="s">
        <v>197</v>
      </c>
      <c r="H127" s="9" t="s">
        <v>198</v>
      </c>
      <c r="I127" s="9" t="s">
        <v>186</v>
      </c>
      <c r="J127" s="16"/>
      <c r="K127" s="9" t="s">
        <v>199</v>
      </c>
      <c r="L127" s="9" t="s">
        <v>101</v>
      </c>
      <c r="M127" s="17">
        <f>IF(L127="","",IFERROR(INDEX(tbl_fatores_emissao[Valor],MATCH(L127,tbl_fatores_emissao[ID_FE],0)),""))</f>
        <v>2088</v>
      </c>
      <c r="N127" s="17" t="str">
        <f t="shared" si="7"/>
        <v/>
      </c>
      <c r="O127" s="9" t="s">
        <v>188</v>
      </c>
      <c r="P127" s="9" t="s">
        <v>200</v>
      </c>
      <c r="Q127" s="9"/>
    </row>
    <row r="128" spans="1:17" ht="18" customHeight="1" x14ac:dyDescent="0.3">
      <c r="A128" s="13" t="str">
        <f t="shared" si="4"/>
        <v>202509-S2-LB</v>
      </c>
      <c r="B128" s="14">
        <v>45901</v>
      </c>
      <c r="C128" s="15">
        <f t="shared" si="5"/>
        <v>2025</v>
      </c>
      <c r="D128" s="13" t="str">
        <f t="shared" si="6"/>
        <v>2025/26</v>
      </c>
      <c r="E128" s="9" t="s">
        <v>201</v>
      </c>
      <c r="F128" s="9" t="s">
        <v>202</v>
      </c>
      <c r="G128" s="9" t="s">
        <v>203</v>
      </c>
      <c r="H128" s="9" t="s">
        <v>204</v>
      </c>
      <c r="I128" s="9" t="s">
        <v>205</v>
      </c>
      <c r="J128" s="16">
        <v>569448.28</v>
      </c>
      <c r="K128" s="9" t="s">
        <v>206</v>
      </c>
      <c r="L128" s="9" t="s">
        <v>82</v>
      </c>
      <c r="M128" s="17">
        <f>IF(L128="","",IFERROR(INDEX(tbl_fatores_emissao[Valor],MATCH(L128,tbl_fatores_emissao[ID_FE],0)),""))</f>
        <v>0.11</v>
      </c>
      <c r="N128" s="17">
        <f t="shared" si="7"/>
        <v>62.639000000000003</v>
      </c>
      <c r="O128" s="9" t="s">
        <v>188</v>
      </c>
      <c r="P128" s="9" t="s">
        <v>207</v>
      </c>
      <c r="Q128" s="9"/>
    </row>
    <row r="129" spans="1:17" ht="18" customHeight="1" x14ac:dyDescent="0.3">
      <c r="A129" s="13" t="str">
        <f t="shared" si="4"/>
        <v>202509-S2-MB-GO</v>
      </c>
      <c r="B129" s="14">
        <v>45901</v>
      </c>
      <c r="C129" s="15">
        <f t="shared" si="5"/>
        <v>2025</v>
      </c>
      <c r="D129" s="13" t="str">
        <f t="shared" si="6"/>
        <v>2025/26</v>
      </c>
      <c r="E129" s="9" t="s">
        <v>201</v>
      </c>
      <c r="F129" s="9" t="s">
        <v>202</v>
      </c>
      <c r="G129" s="9" t="s">
        <v>208</v>
      </c>
      <c r="H129" s="9" t="s">
        <v>209</v>
      </c>
      <c r="I129" s="9" t="s">
        <v>210</v>
      </c>
      <c r="J129" s="16">
        <v>313196.55</v>
      </c>
      <c r="K129" s="9" t="s">
        <v>206</v>
      </c>
      <c r="L129" s="9" t="s">
        <v>92</v>
      </c>
      <c r="M129" s="17">
        <f>IF(L129="","",IFERROR(INDEX(tbl_fatores_emissao[Valor],MATCH(L129,tbl_fatores_emissao[ID_FE],0)),""))</f>
        <v>0</v>
      </c>
      <c r="N129" s="17">
        <f t="shared" si="7"/>
        <v>0</v>
      </c>
      <c r="O129" s="9" t="s">
        <v>188</v>
      </c>
      <c r="P129" s="9" t="s">
        <v>211</v>
      </c>
      <c r="Q129" s="9"/>
    </row>
    <row r="130" spans="1:17" ht="18" customHeight="1" x14ac:dyDescent="0.3">
      <c r="A130" s="13" t="str">
        <f t="shared" si="4"/>
        <v>202509-S2-MB-RES</v>
      </c>
      <c r="B130" s="14">
        <v>45901</v>
      </c>
      <c r="C130" s="15">
        <f t="shared" si="5"/>
        <v>2025</v>
      </c>
      <c r="D130" s="13" t="str">
        <f t="shared" si="6"/>
        <v>2025/26</v>
      </c>
      <c r="E130" s="9" t="s">
        <v>201</v>
      </c>
      <c r="F130" s="9" t="s">
        <v>202</v>
      </c>
      <c r="G130" s="9" t="s">
        <v>212</v>
      </c>
      <c r="H130" s="9" t="s">
        <v>213</v>
      </c>
      <c r="I130" s="9" t="s">
        <v>210</v>
      </c>
      <c r="J130" s="16">
        <v>256251.73</v>
      </c>
      <c r="K130" s="9" t="s">
        <v>206</v>
      </c>
      <c r="L130" s="9" t="s">
        <v>88</v>
      </c>
      <c r="M130" s="17">
        <f>IF(L130="","",IFERROR(INDEX(tbl_fatores_emissao[Valor],MATCH(L130,tbl_fatores_emissao[ID_FE],0)),""))</f>
        <v>0.25</v>
      </c>
      <c r="N130" s="17">
        <f t="shared" si="7"/>
        <v>64.063000000000002</v>
      </c>
      <c r="O130" s="9" t="s">
        <v>188</v>
      </c>
      <c r="P130" s="9" t="s">
        <v>211</v>
      </c>
      <c r="Q130" s="9"/>
    </row>
    <row r="131" spans="1:17" ht="18" customHeight="1" x14ac:dyDescent="0.3">
      <c r="A131" s="13" t="str">
        <f t="shared" si="4"/>
        <v>202509-S3-C1-VIR</v>
      </c>
      <c r="B131" s="14">
        <v>45901</v>
      </c>
      <c r="C131" s="15">
        <f t="shared" si="5"/>
        <v>2025</v>
      </c>
      <c r="D131" s="13" t="str">
        <f t="shared" si="6"/>
        <v>2025/26</v>
      </c>
      <c r="E131" s="9" t="s">
        <v>214</v>
      </c>
      <c r="F131" s="9" t="s">
        <v>215</v>
      </c>
      <c r="G131" s="9" t="s">
        <v>216</v>
      </c>
      <c r="H131" s="9" t="s">
        <v>217</v>
      </c>
      <c r="I131" s="9" t="s">
        <v>186</v>
      </c>
      <c r="J131" s="16">
        <v>55550.32</v>
      </c>
      <c r="K131" s="9" t="s">
        <v>199</v>
      </c>
      <c r="L131" s="9" t="s">
        <v>119</v>
      </c>
      <c r="M131" s="17">
        <f>IF(L131="","",IFERROR(INDEX(tbl_fatores_emissao[Valor],MATCH(L131,tbl_fatores_emissao[ID_FE],0)),""))</f>
        <v>1.9</v>
      </c>
      <c r="N131" s="17">
        <f t="shared" si="7"/>
        <v>105.54600000000001</v>
      </c>
      <c r="O131" s="9" t="s">
        <v>218</v>
      </c>
      <c r="P131" s="9" t="s">
        <v>219</v>
      </c>
      <c r="Q131" s="9"/>
    </row>
    <row r="132" spans="1:17" ht="18" customHeight="1" x14ac:dyDescent="0.3">
      <c r="A132" s="13" t="str">
        <f t="shared" si="4"/>
        <v>202509-S3-C1-PCR</v>
      </c>
      <c r="B132" s="14">
        <v>45901</v>
      </c>
      <c r="C132" s="15">
        <f t="shared" si="5"/>
        <v>2025</v>
      </c>
      <c r="D132" s="13" t="str">
        <f t="shared" si="6"/>
        <v>2025/26</v>
      </c>
      <c r="E132" s="9" t="s">
        <v>214</v>
      </c>
      <c r="F132" s="9" t="s">
        <v>215</v>
      </c>
      <c r="G132" s="9" t="s">
        <v>220</v>
      </c>
      <c r="H132" s="9" t="s">
        <v>221</v>
      </c>
      <c r="I132" s="9" t="s">
        <v>186</v>
      </c>
      <c r="J132" s="16">
        <v>7773.53</v>
      </c>
      <c r="K132" s="9" t="s">
        <v>199</v>
      </c>
      <c r="L132" s="9" t="s">
        <v>116</v>
      </c>
      <c r="M132" s="17">
        <f>IF(L132="","",IFERROR(INDEX(tbl_fatores_emissao[Valor],MATCH(L132,tbl_fatores_emissao[ID_FE],0)),""))</f>
        <v>0.5</v>
      </c>
      <c r="N132" s="17">
        <f t="shared" si="7"/>
        <v>3.887</v>
      </c>
      <c r="O132" s="9" t="s">
        <v>218</v>
      </c>
      <c r="P132" s="9" t="s">
        <v>222</v>
      </c>
      <c r="Q132" s="9"/>
    </row>
    <row r="133" spans="1:17" ht="18" customHeight="1" x14ac:dyDescent="0.3">
      <c r="A133" s="13" t="str">
        <f t="shared" ref="A133:A196" si="8">IF(B133="","",(YEAR(B133)*100+MONTH(B133))&amp;"-"&amp;G133)</f>
        <v>202509-S3-C1-TIN</v>
      </c>
      <c r="B133" s="14">
        <v>45901</v>
      </c>
      <c r="C133" s="15">
        <f t="shared" ref="C133:C196" si="9">IF(B133="","",YEAR(B133))</f>
        <v>2025</v>
      </c>
      <c r="D133" s="13" t="str">
        <f t="shared" ref="D133:D196" si="10">IF(B133="","",IF(AND(B133&gt;=DATE(2025,9,1),B133&lt;=DATE(2026,8,1)),"2025/26","Fora"))</f>
        <v>2025/26</v>
      </c>
      <c r="E133" s="9" t="s">
        <v>214</v>
      </c>
      <c r="F133" s="9" t="s">
        <v>215</v>
      </c>
      <c r="G133" s="9" t="s">
        <v>223</v>
      </c>
      <c r="H133" s="9" t="s">
        <v>123</v>
      </c>
      <c r="I133" s="9" t="s">
        <v>186</v>
      </c>
      <c r="J133" s="16">
        <v>89.48</v>
      </c>
      <c r="K133" s="9" t="s">
        <v>199</v>
      </c>
      <c r="L133" s="9" t="s">
        <v>122</v>
      </c>
      <c r="M133" s="17">
        <f>IF(L133="","",IFERROR(INDEX(tbl_fatores_emissao[Valor],MATCH(L133,tbl_fatores_emissao[ID_FE],0)),""))</f>
        <v>3</v>
      </c>
      <c r="N133" s="17">
        <f t="shared" ref="N133:N196" si="11">IF(OR(J133="",M133=""),"",ROUND(J133*M133/1000,3))</f>
        <v>0.26800000000000002</v>
      </c>
      <c r="O133" s="9" t="s">
        <v>218</v>
      </c>
      <c r="P133" s="9" t="s">
        <v>224</v>
      </c>
      <c r="Q133" s="9"/>
    </row>
    <row r="134" spans="1:17" ht="18" customHeight="1" x14ac:dyDescent="0.3">
      <c r="A134" s="13" t="str">
        <f t="shared" si="8"/>
        <v>202509-S3-C1-SOL</v>
      </c>
      <c r="B134" s="14">
        <v>45901</v>
      </c>
      <c r="C134" s="15">
        <f t="shared" si="9"/>
        <v>2025</v>
      </c>
      <c r="D134" s="13" t="str">
        <f t="shared" si="10"/>
        <v>2025/26</v>
      </c>
      <c r="E134" s="9" t="s">
        <v>214</v>
      </c>
      <c r="F134" s="9" t="s">
        <v>215</v>
      </c>
      <c r="G134" s="9" t="s">
        <v>225</v>
      </c>
      <c r="H134" s="9" t="s">
        <v>126</v>
      </c>
      <c r="I134" s="9" t="s">
        <v>186</v>
      </c>
      <c r="J134" s="16">
        <v>59.8</v>
      </c>
      <c r="K134" s="9" t="s">
        <v>199</v>
      </c>
      <c r="L134" s="9" t="s">
        <v>125</v>
      </c>
      <c r="M134" s="17">
        <f>IF(L134="","",IFERROR(INDEX(tbl_fatores_emissao[Valor],MATCH(L134,tbl_fatores_emissao[ID_FE],0)),""))</f>
        <v>1.8</v>
      </c>
      <c r="N134" s="17">
        <f t="shared" si="11"/>
        <v>0.108</v>
      </c>
      <c r="O134" s="9" t="s">
        <v>188</v>
      </c>
      <c r="P134" s="9" t="s">
        <v>226</v>
      </c>
      <c r="Q134" s="9"/>
    </row>
    <row r="135" spans="1:17" ht="18" customHeight="1" x14ac:dyDescent="0.3">
      <c r="A135" s="13" t="str">
        <f t="shared" si="8"/>
        <v>202509-S3-C1-FOI</v>
      </c>
      <c r="B135" s="14">
        <v>45901</v>
      </c>
      <c r="C135" s="15">
        <f t="shared" si="9"/>
        <v>2025</v>
      </c>
      <c r="D135" s="13" t="str">
        <f t="shared" si="10"/>
        <v>2025/26</v>
      </c>
      <c r="E135" s="9" t="s">
        <v>214</v>
      </c>
      <c r="F135" s="9" t="s">
        <v>215</v>
      </c>
      <c r="G135" s="9" t="s">
        <v>227</v>
      </c>
      <c r="H135" s="9" t="s">
        <v>129</v>
      </c>
      <c r="I135" s="9" t="s">
        <v>186</v>
      </c>
      <c r="J135" s="16">
        <v>1096.04</v>
      </c>
      <c r="K135" s="9" t="s">
        <v>199</v>
      </c>
      <c r="L135" s="9" t="s">
        <v>128</v>
      </c>
      <c r="M135" s="17">
        <f>IF(L135="","",IFERROR(INDEX(tbl_fatores_emissao[Valor],MATCH(L135,tbl_fatores_emissao[ID_FE],0)),""))</f>
        <v>3.5</v>
      </c>
      <c r="N135" s="17">
        <f t="shared" si="11"/>
        <v>3.8359999999999999</v>
      </c>
      <c r="O135" s="9" t="s">
        <v>218</v>
      </c>
      <c r="P135" s="9" t="s">
        <v>228</v>
      </c>
      <c r="Q135" s="9"/>
    </row>
    <row r="136" spans="1:17" ht="18" customHeight="1" x14ac:dyDescent="0.3">
      <c r="A136" s="13" t="str">
        <f t="shared" si="8"/>
        <v>202509-S3-C3</v>
      </c>
      <c r="B136" s="14">
        <v>45901</v>
      </c>
      <c r="C136" s="15">
        <f t="shared" si="9"/>
        <v>2025</v>
      </c>
      <c r="D136" s="13" t="str">
        <f t="shared" si="10"/>
        <v>2025/26</v>
      </c>
      <c r="E136" s="9" t="s">
        <v>214</v>
      </c>
      <c r="F136" s="9" t="s">
        <v>229</v>
      </c>
      <c r="G136" s="9" t="s">
        <v>230</v>
      </c>
      <c r="H136" s="9" t="s">
        <v>231</v>
      </c>
      <c r="I136" s="9" t="s">
        <v>186</v>
      </c>
      <c r="J136" s="16">
        <v>569448.28</v>
      </c>
      <c r="K136" s="9" t="s">
        <v>206</v>
      </c>
      <c r="L136" s="9" t="s">
        <v>133</v>
      </c>
      <c r="M136" s="17">
        <f>IF(L136="","",IFERROR(INDEX(tbl_fatores_emissao[Valor],MATCH(L136,tbl_fatores_emissao[ID_FE],0)),""))</f>
        <v>0.02</v>
      </c>
      <c r="N136" s="17">
        <f t="shared" si="11"/>
        <v>11.388999999999999</v>
      </c>
      <c r="O136" s="9" t="s">
        <v>194</v>
      </c>
      <c r="P136" s="9" t="s">
        <v>232</v>
      </c>
      <c r="Q136" s="9"/>
    </row>
    <row r="137" spans="1:17" ht="18" customHeight="1" x14ac:dyDescent="0.3">
      <c r="A137" s="13" t="str">
        <f t="shared" si="8"/>
        <v>202509-S3-C4</v>
      </c>
      <c r="B137" s="14">
        <v>45901</v>
      </c>
      <c r="C137" s="15">
        <f t="shared" si="9"/>
        <v>2025</v>
      </c>
      <c r="D137" s="13" t="str">
        <f t="shared" si="10"/>
        <v>2025/26</v>
      </c>
      <c r="E137" s="9" t="s">
        <v>214</v>
      </c>
      <c r="F137" s="9" t="s">
        <v>233</v>
      </c>
      <c r="G137" s="9" t="s">
        <v>234</v>
      </c>
      <c r="H137" s="9" t="s">
        <v>235</v>
      </c>
      <c r="I137" s="9" t="s">
        <v>186</v>
      </c>
      <c r="J137" s="16">
        <v>63323.85</v>
      </c>
      <c r="K137" s="9" t="s">
        <v>199</v>
      </c>
      <c r="L137" s="9" t="s">
        <v>137</v>
      </c>
      <c r="M137" s="17">
        <f>IF(L137="","",IFERROR(INDEX(tbl_fatores_emissao[Valor],MATCH(L137,tbl_fatores_emissao[ID_FE],0)),""))</f>
        <v>0.1178</v>
      </c>
      <c r="N137" s="17">
        <f t="shared" si="11"/>
        <v>7.46</v>
      </c>
      <c r="O137" s="9" t="s">
        <v>194</v>
      </c>
      <c r="P137" s="9" t="s">
        <v>236</v>
      </c>
      <c r="Q137" s="9"/>
    </row>
    <row r="138" spans="1:17" ht="18" customHeight="1" x14ac:dyDescent="0.3">
      <c r="A138" s="13" t="str">
        <f t="shared" si="8"/>
        <v>202509-S3-C5-REC</v>
      </c>
      <c r="B138" s="14">
        <v>45901</v>
      </c>
      <c r="C138" s="15">
        <f t="shared" si="9"/>
        <v>2025</v>
      </c>
      <c r="D138" s="13" t="str">
        <f t="shared" si="10"/>
        <v>2025/26</v>
      </c>
      <c r="E138" s="9" t="s">
        <v>214</v>
      </c>
      <c r="F138" s="9" t="s">
        <v>237</v>
      </c>
      <c r="G138" s="9" t="s">
        <v>238</v>
      </c>
      <c r="H138" s="9" t="s">
        <v>239</v>
      </c>
      <c r="I138" s="9" t="s">
        <v>186</v>
      </c>
      <c r="J138" s="16">
        <v>8967.9</v>
      </c>
      <c r="K138" s="9" t="s">
        <v>199</v>
      </c>
      <c r="L138" s="9" t="s">
        <v>148</v>
      </c>
      <c r="M138" s="17">
        <f>IF(L138="","",IFERROR(INDEX(tbl_fatores_emissao[Valor],MATCH(L138,tbl_fatores_emissao[ID_FE],0)),""))</f>
        <v>2.1000000000000001E-2</v>
      </c>
      <c r="N138" s="17">
        <f t="shared" si="11"/>
        <v>0.188</v>
      </c>
      <c r="O138" s="9" t="s">
        <v>188</v>
      </c>
      <c r="P138" s="9" t="s">
        <v>240</v>
      </c>
      <c r="Q138" s="9"/>
    </row>
    <row r="139" spans="1:17" ht="18" customHeight="1" x14ac:dyDescent="0.3">
      <c r="A139" s="13" t="str">
        <f t="shared" si="8"/>
        <v>202509-S3-C5-ATE</v>
      </c>
      <c r="B139" s="14">
        <v>45901</v>
      </c>
      <c r="C139" s="15">
        <f t="shared" si="9"/>
        <v>2025</v>
      </c>
      <c r="D139" s="13" t="str">
        <f t="shared" si="10"/>
        <v>2025/26</v>
      </c>
      <c r="E139" s="9" t="s">
        <v>214</v>
      </c>
      <c r="F139" s="9" t="s">
        <v>237</v>
      </c>
      <c r="G139" s="9" t="s">
        <v>241</v>
      </c>
      <c r="H139" s="9" t="s">
        <v>242</v>
      </c>
      <c r="I139" s="9" t="s">
        <v>186</v>
      </c>
      <c r="J139" s="16">
        <v>2078.5</v>
      </c>
      <c r="K139" s="9" t="s">
        <v>199</v>
      </c>
      <c r="L139" s="9" t="s">
        <v>152</v>
      </c>
      <c r="M139" s="17">
        <f>IF(L139="","",IFERROR(INDEX(tbl_fatores_emissao[Valor],MATCH(L139,tbl_fatores_emissao[ID_FE],0)),""))</f>
        <v>0.45</v>
      </c>
      <c r="N139" s="17">
        <f t="shared" si="11"/>
        <v>0.93500000000000005</v>
      </c>
      <c r="O139" s="9" t="s">
        <v>188</v>
      </c>
      <c r="P139" s="9" t="s">
        <v>243</v>
      </c>
      <c r="Q139" s="9"/>
    </row>
    <row r="140" spans="1:17" ht="18" customHeight="1" x14ac:dyDescent="0.3">
      <c r="A140" s="13" t="str">
        <f t="shared" si="8"/>
        <v>202509-S3-C5-PER</v>
      </c>
      <c r="B140" s="14">
        <v>45901</v>
      </c>
      <c r="C140" s="15">
        <f t="shared" si="9"/>
        <v>2025</v>
      </c>
      <c r="D140" s="13" t="str">
        <f t="shared" si="10"/>
        <v>2025/26</v>
      </c>
      <c r="E140" s="9" t="s">
        <v>214</v>
      </c>
      <c r="F140" s="9" t="s">
        <v>237</v>
      </c>
      <c r="G140" s="9" t="s">
        <v>244</v>
      </c>
      <c r="H140" s="9" t="s">
        <v>245</v>
      </c>
      <c r="I140" s="9" t="s">
        <v>186</v>
      </c>
      <c r="J140" s="16">
        <v>45.1</v>
      </c>
      <c r="K140" s="9" t="s">
        <v>199</v>
      </c>
      <c r="L140" s="9" t="s">
        <v>155</v>
      </c>
      <c r="M140" s="17">
        <f>IF(L140="","",IFERROR(INDEX(tbl_fatores_emissao[Valor],MATCH(L140,tbl_fatores_emissao[ID_FE],0)),""))</f>
        <v>0.9</v>
      </c>
      <c r="N140" s="17">
        <f t="shared" si="11"/>
        <v>4.1000000000000002E-2</v>
      </c>
      <c r="O140" s="9" t="s">
        <v>188</v>
      </c>
      <c r="P140" s="9" t="s">
        <v>246</v>
      </c>
      <c r="Q140" s="9"/>
    </row>
    <row r="141" spans="1:17" ht="18" customHeight="1" x14ac:dyDescent="0.3">
      <c r="A141" s="13" t="str">
        <f t="shared" si="8"/>
        <v>202509-S3-C6</v>
      </c>
      <c r="B141" s="14">
        <v>45901</v>
      </c>
      <c r="C141" s="15">
        <f t="shared" si="9"/>
        <v>2025</v>
      </c>
      <c r="D141" s="13" t="str">
        <f t="shared" si="10"/>
        <v>2025/26</v>
      </c>
      <c r="E141" s="9" t="s">
        <v>214</v>
      </c>
      <c r="F141" s="9" t="s">
        <v>247</v>
      </c>
      <c r="G141" s="9" t="s">
        <v>248</v>
      </c>
      <c r="H141" s="9" t="s">
        <v>249</v>
      </c>
      <c r="I141" s="9" t="s">
        <v>186</v>
      </c>
      <c r="J141" s="16">
        <v>1913.57</v>
      </c>
      <c r="K141" s="9" t="s">
        <v>250</v>
      </c>
      <c r="L141" s="9" t="s">
        <v>158</v>
      </c>
      <c r="M141" s="17">
        <f>IF(L141="","",IFERROR(INDEX(tbl_fatores_emissao[Valor],MATCH(L141,tbl_fatores_emissao[ID_FE],0)),""))</f>
        <v>0.17</v>
      </c>
      <c r="N141" s="17">
        <f t="shared" si="11"/>
        <v>0.32500000000000001</v>
      </c>
      <c r="O141" s="9" t="s">
        <v>194</v>
      </c>
      <c r="P141" s="9" t="s">
        <v>251</v>
      </c>
      <c r="Q141" s="9" t="s">
        <v>252</v>
      </c>
    </row>
    <row r="142" spans="1:17" ht="18" customHeight="1" x14ac:dyDescent="0.3">
      <c r="A142" s="13" t="str">
        <f t="shared" si="8"/>
        <v>202509-S3-C7</v>
      </c>
      <c r="B142" s="14">
        <v>45901</v>
      </c>
      <c r="C142" s="15">
        <f t="shared" si="9"/>
        <v>2025</v>
      </c>
      <c r="D142" s="13" t="str">
        <f t="shared" si="10"/>
        <v>2025/26</v>
      </c>
      <c r="E142" s="9" t="s">
        <v>214</v>
      </c>
      <c r="F142" s="9" t="s">
        <v>253</v>
      </c>
      <c r="G142" s="9" t="s">
        <v>254</v>
      </c>
      <c r="H142" s="9" t="s">
        <v>255</v>
      </c>
      <c r="I142" s="9" t="s">
        <v>186</v>
      </c>
      <c r="J142" s="16">
        <v>36828</v>
      </c>
      <c r="K142" s="9" t="s">
        <v>250</v>
      </c>
      <c r="L142" s="9" t="s">
        <v>158</v>
      </c>
      <c r="M142" s="17">
        <f>IF(L142="","",IFERROR(INDEX(tbl_fatores_emissao[Valor],MATCH(L142,tbl_fatores_emissao[ID_FE],0)),""))</f>
        <v>0.17</v>
      </c>
      <c r="N142" s="17">
        <f t="shared" si="11"/>
        <v>6.2610000000000001</v>
      </c>
      <c r="O142" s="9" t="s">
        <v>194</v>
      </c>
      <c r="P142" s="9" t="s">
        <v>256</v>
      </c>
      <c r="Q142" s="9" t="s">
        <v>257</v>
      </c>
    </row>
    <row r="143" spans="1:17" ht="18" customHeight="1" x14ac:dyDescent="0.3">
      <c r="A143" s="13" t="str">
        <f t="shared" si="8"/>
        <v>202509-S3-C9</v>
      </c>
      <c r="B143" s="14">
        <v>45901</v>
      </c>
      <c r="C143" s="15">
        <f t="shared" si="9"/>
        <v>2025</v>
      </c>
      <c r="D143" s="13" t="str">
        <f t="shared" si="10"/>
        <v>2025/26</v>
      </c>
      <c r="E143" s="9" t="s">
        <v>214</v>
      </c>
      <c r="F143" s="9" t="s">
        <v>258</v>
      </c>
      <c r="G143" s="9" t="s">
        <v>259</v>
      </c>
      <c r="H143" s="9" t="s">
        <v>260</v>
      </c>
      <c r="I143" s="9" t="s">
        <v>186</v>
      </c>
      <c r="J143" s="16">
        <v>27763.599999999999</v>
      </c>
      <c r="K143" s="9" t="s">
        <v>261</v>
      </c>
      <c r="L143" s="9" t="s">
        <v>141</v>
      </c>
      <c r="M143" s="17">
        <f>IF(L143="","",IFERROR(INDEX(tbl_fatores_emissao[Valor],MATCH(L143,tbl_fatores_emissao[ID_FE],0)),""))</f>
        <v>0.108</v>
      </c>
      <c r="N143" s="17">
        <f t="shared" si="11"/>
        <v>2.9980000000000002</v>
      </c>
      <c r="O143" s="9" t="s">
        <v>194</v>
      </c>
      <c r="P143" s="9" t="s">
        <v>262</v>
      </c>
      <c r="Q143" s="9"/>
    </row>
    <row r="144" spans="1:17" ht="18" customHeight="1" x14ac:dyDescent="0.3">
      <c r="A144" s="13" t="str">
        <f t="shared" si="8"/>
        <v>202509-S3-C12</v>
      </c>
      <c r="B144" s="14">
        <v>45901</v>
      </c>
      <c r="C144" s="15">
        <f t="shared" si="9"/>
        <v>2025</v>
      </c>
      <c r="D144" s="13" t="str">
        <f t="shared" si="10"/>
        <v>2025/26</v>
      </c>
      <c r="E144" s="9" t="s">
        <v>214</v>
      </c>
      <c r="F144" s="9" t="s">
        <v>263</v>
      </c>
      <c r="G144" s="9" t="s">
        <v>264</v>
      </c>
      <c r="H144" s="9" t="s">
        <v>265</v>
      </c>
      <c r="I144" s="9" t="s">
        <v>186</v>
      </c>
      <c r="J144" s="16">
        <v>61696.9</v>
      </c>
      <c r="K144" s="9" t="s">
        <v>199</v>
      </c>
      <c r="L144" s="9" t="s">
        <v>163</v>
      </c>
      <c r="M144" s="17">
        <f>IF(L144="","",IFERROR(INDEX(tbl_fatores_emissao[Valor],MATCH(L144,tbl_fatores_emissao[ID_FE],0)),""))</f>
        <v>1</v>
      </c>
      <c r="N144" s="17">
        <f t="shared" si="11"/>
        <v>61.697000000000003</v>
      </c>
      <c r="O144" s="9" t="s">
        <v>194</v>
      </c>
      <c r="P144" s="9" t="s">
        <v>266</v>
      </c>
      <c r="Q144" s="9"/>
    </row>
    <row r="145" spans="1:17" ht="18" customHeight="1" x14ac:dyDescent="0.3">
      <c r="A145" s="13" t="str">
        <f t="shared" si="8"/>
        <v>202510-S1-01</v>
      </c>
      <c r="B145" s="14">
        <v>45931</v>
      </c>
      <c r="C145" s="15">
        <f t="shared" si="9"/>
        <v>2025</v>
      </c>
      <c r="D145" s="13" t="str">
        <f t="shared" si="10"/>
        <v>2025/26</v>
      </c>
      <c r="E145" s="9" t="s">
        <v>182</v>
      </c>
      <c r="F145" s="9" t="s">
        <v>183</v>
      </c>
      <c r="G145" s="9" t="s">
        <v>184</v>
      </c>
      <c r="H145" s="9" t="s">
        <v>185</v>
      </c>
      <c r="I145" s="9" t="s">
        <v>186</v>
      </c>
      <c r="J145" s="16">
        <v>231.12</v>
      </c>
      <c r="K145" s="9" t="s">
        <v>187</v>
      </c>
      <c r="L145" s="9" t="s">
        <v>96</v>
      </c>
      <c r="M145" s="17">
        <f>IF(L145="","",IFERROR(INDEX(tbl_fatores_emissao[Valor],MATCH(L145,tbl_fatores_emissao[ID_FE],0)),""))</f>
        <v>2.66</v>
      </c>
      <c r="N145" s="17">
        <f t="shared" si="11"/>
        <v>0.61499999999999999</v>
      </c>
      <c r="O145" s="9" t="s">
        <v>188</v>
      </c>
      <c r="P145" s="9" t="s">
        <v>189</v>
      </c>
      <c r="Q145" s="9" t="s">
        <v>190</v>
      </c>
    </row>
    <row r="146" spans="1:17" ht="18" customHeight="1" x14ac:dyDescent="0.3">
      <c r="A146" s="13" t="str">
        <f t="shared" si="8"/>
        <v>202510-S1-02</v>
      </c>
      <c r="B146" s="14">
        <v>45931</v>
      </c>
      <c r="C146" s="15">
        <f t="shared" si="9"/>
        <v>2025</v>
      </c>
      <c r="D146" s="13" t="str">
        <f t="shared" si="10"/>
        <v>2025/26</v>
      </c>
      <c r="E146" s="9" t="s">
        <v>182</v>
      </c>
      <c r="F146" s="9" t="s">
        <v>191</v>
      </c>
      <c r="G146" s="9" t="s">
        <v>192</v>
      </c>
      <c r="H146" s="9" t="s">
        <v>193</v>
      </c>
      <c r="I146" s="9" t="s">
        <v>186</v>
      </c>
      <c r="J146" s="16">
        <v>20.16</v>
      </c>
      <c r="K146" s="9" t="s">
        <v>187</v>
      </c>
      <c r="L146" s="9" t="s">
        <v>96</v>
      </c>
      <c r="M146" s="17">
        <f>IF(L146="","",IFERROR(INDEX(tbl_fatores_emissao[Valor],MATCH(L146,tbl_fatores_emissao[ID_FE],0)),""))</f>
        <v>2.66</v>
      </c>
      <c r="N146" s="17">
        <f t="shared" si="11"/>
        <v>5.3999999999999999E-2</v>
      </c>
      <c r="O146" s="9" t="s">
        <v>194</v>
      </c>
      <c r="P146" s="9" t="s">
        <v>195</v>
      </c>
      <c r="Q146" s="9" t="s">
        <v>190</v>
      </c>
    </row>
    <row r="147" spans="1:17" ht="18" customHeight="1" x14ac:dyDescent="0.3">
      <c r="A147" s="13" t="str">
        <f t="shared" si="8"/>
        <v>202510-S1-03</v>
      </c>
      <c r="B147" s="14">
        <v>45931</v>
      </c>
      <c r="C147" s="15">
        <f t="shared" si="9"/>
        <v>2025</v>
      </c>
      <c r="D147" s="13" t="str">
        <f t="shared" si="10"/>
        <v>2025/26</v>
      </c>
      <c r="E147" s="9" t="s">
        <v>182</v>
      </c>
      <c r="F147" s="9" t="s">
        <v>196</v>
      </c>
      <c r="G147" s="9" t="s">
        <v>197</v>
      </c>
      <c r="H147" s="9" t="s">
        <v>198</v>
      </c>
      <c r="I147" s="9" t="s">
        <v>186</v>
      </c>
      <c r="J147" s="16"/>
      <c r="K147" s="9" t="s">
        <v>199</v>
      </c>
      <c r="L147" s="9" t="s">
        <v>101</v>
      </c>
      <c r="M147" s="17">
        <f>IF(L147="","",IFERROR(INDEX(tbl_fatores_emissao[Valor],MATCH(L147,tbl_fatores_emissao[ID_FE],0)),""))</f>
        <v>2088</v>
      </c>
      <c r="N147" s="17" t="str">
        <f t="shared" si="11"/>
        <v/>
      </c>
      <c r="O147" s="9" t="s">
        <v>188</v>
      </c>
      <c r="P147" s="9" t="s">
        <v>200</v>
      </c>
      <c r="Q147" s="9"/>
    </row>
    <row r="148" spans="1:17" ht="18" customHeight="1" x14ac:dyDescent="0.3">
      <c r="A148" s="13" t="str">
        <f t="shared" si="8"/>
        <v>202510-S2-LB</v>
      </c>
      <c r="B148" s="14">
        <v>45931</v>
      </c>
      <c r="C148" s="15">
        <f t="shared" si="9"/>
        <v>2025</v>
      </c>
      <c r="D148" s="13" t="str">
        <f t="shared" si="10"/>
        <v>2025/26</v>
      </c>
      <c r="E148" s="9" t="s">
        <v>201</v>
      </c>
      <c r="F148" s="9" t="s">
        <v>202</v>
      </c>
      <c r="G148" s="9" t="s">
        <v>203</v>
      </c>
      <c r="H148" s="9" t="s">
        <v>204</v>
      </c>
      <c r="I148" s="9" t="s">
        <v>205</v>
      </c>
      <c r="J148" s="16">
        <v>568761.74</v>
      </c>
      <c r="K148" s="9" t="s">
        <v>206</v>
      </c>
      <c r="L148" s="9" t="s">
        <v>82</v>
      </c>
      <c r="M148" s="17">
        <f>IF(L148="","",IFERROR(INDEX(tbl_fatores_emissao[Valor],MATCH(L148,tbl_fatores_emissao[ID_FE],0)),""))</f>
        <v>0.11</v>
      </c>
      <c r="N148" s="17">
        <f t="shared" si="11"/>
        <v>62.564</v>
      </c>
      <c r="O148" s="9" t="s">
        <v>188</v>
      </c>
      <c r="P148" s="9" t="s">
        <v>207</v>
      </c>
      <c r="Q148" s="9"/>
    </row>
    <row r="149" spans="1:17" ht="18" customHeight="1" x14ac:dyDescent="0.3">
      <c r="A149" s="13" t="str">
        <f t="shared" si="8"/>
        <v>202510-S2-MB-GO</v>
      </c>
      <c r="B149" s="14">
        <v>45931</v>
      </c>
      <c r="C149" s="15">
        <f t="shared" si="9"/>
        <v>2025</v>
      </c>
      <c r="D149" s="13" t="str">
        <f t="shared" si="10"/>
        <v>2025/26</v>
      </c>
      <c r="E149" s="9" t="s">
        <v>201</v>
      </c>
      <c r="F149" s="9" t="s">
        <v>202</v>
      </c>
      <c r="G149" s="9" t="s">
        <v>208</v>
      </c>
      <c r="H149" s="9" t="s">
        <v>209</v>
      </c>
      <c r="I149" s="9" t="s">
        <v>210</v>
      </c>
      <c r="J149" s="16">
        <v>312818.96000000002</v>
      </c>
      <c r="K149" s="9" t="s">
        <v>206</v>
      </c>
      <c r="L149" s="9" t="s">
        <v>92</v>
      </c>
      <c r="M149" s="17">
        <f>IF(L149="","",IFERROR(INDEX(tbl_fatores_emissao[Valor],MATCH(L149,tbl_fatores_emissao[ID_FE],0)),""))</f>
        <v>0</v>
      </c>
      <c r="N149" s="17">
        <f t="shared" si="11"/>
        <v>0</v>
      </c>
      <c r="O149" s="9" t="s">
        <v>188</v>
      </c>
      <c r="P149" s="9" t="s">
        <v>211</v>
      </c>
      <c r="Q149" s="9"/>
    </row>
    <row r="150" spans="1:17" ht="18" customHeight="1" x14ac:dyDescent="0.3">
      <c r="A150" s="13" t="str">
        <f t="shared" si="8"/>
        <v>202510-S2-MB-RES</v>
      </c>
      <c r="B150" s="14">
        <v>45931</v>
      </c>
      <c r="C150" s="15">
        <f t="shared" si="9"/>
        <v>2025</v>
      </c>
      <c r="D150" s="13" t="str">
        <f t="shared" si="10"/>
        <v>2025/26</v>
      </c>
      <c r="E150" s="9" t="s">
        <v>201</v>
      </c>
      <c r="F150" s="9" t="s">
        <v>202</v>
      </c>
      <c r="G150" s="9" t="s">
        <v>212</v>
      </c>
      <c r="H150" s="9" t="s">
        <v>213</v>
      </c>
      <c r="I150" s="9" t="s">
        <v>210</v>
      </c>
      <c r="J150" s="16">
        <v>255942.78</v>
      </c>
      <c r="K150" s="9" t="s">
        <v>206</v>
      </c>
      <c r="L150" s="9" t="s">
        <v>88</v>
      </c>
      <c r="M150" s="17">
        <f>IF(L150="","",IFERROR(INDEX(tbl_fatores_emissao[Valor],MATCH(L150,tbl_fatores_emissao[ID_FE],0)),""))</f>
        <v>0.25</v>
      </c>
      <c r="N150" s="17">
        <f t="shared" si="11"/>
        <v>63.985999999999997</v>
      </c>
      <c r="O150" s="9" t="s">
        <v>188</v>
      </c>
      <c r="P150" s="9" t="s">
        <v>211</v>
      </c>
      <c r="Q150" s="9"/>
    </row>
    <row r="151" spans="1:17" ht="18" customHeight="1" x14ac:dyDescent="0.3">
      <c r="A151" s="13" t="str">
        <f t="shared" si="8"/>
        <v>202510-S3-C1-VIR</v>
      </c>
      <c r="B151" s="14">
        <v>45931</v>
      </c>
      <c r="C151" s="15">
        <f t="shared" si="9"/>
        <v>2025</v>
      </c>
      <c r="D151" s="13" t="str">
        <f t="shared" si="10"/>
        <v>2025/26</v>
      </c>
      <c r="E151" s="9" t="s">
        <v>214</v>
      </c>
      <c r="F151" s="9" t="s">
        <v>215</v>
      </c>
      <c r="G151" s="9" t="s">
        <v>216</v>
      </c>
      <c r="H151" s="9" t="s">
        <v>217</v>
      </c>
      <c r="I151" s="9" t="s">
        <v>186</v>
      </c>
      <c r="J151" s="16">
        <v>57959.15</v>
      </c>
      <c r="K151" s="9" t="s">
        <v>199</v>
      </c>
      <c r="L151" s="9" t="s">
        <v>119</v>
      </c>
      <c r="M151" s="17">
        <f>IF(L151="","",IFERROR(INDEX(tbl_fatores_emissao[Valor],MATCH(L151,tbl_fatores_emissao[ID_FE],0)),""))</f>
        <v>1.9</v>
      </c>
      <c r="N151" s="17">
        <f t="shared" si="11"/>
        <v>110.122</v>
      </c>
      <c r="O151" s="9" t="s">
        <v>218</v>
      </c>
      <c r="P151" s="9" t="s">
        <v>219</v>
      </c>
      <c r="Q151" s="9"/>
    </row>
    <row r="152" spans="1:17" ht="18" customHeight="1" x14ac:dyDescent="0.3">
      <c r="A152" s="13" t="str">
        <f t="shared" si="8"/>
        <v>202510-S3-C1-PCR</v>
      </c>
      <c r="B152" s="14">
        <v>45931</v>
      </c>
      <c r="C152" s="15">
        <f t="shared" si="9"/>
        <v>2025</v>
      </c>
      <c r="D152" s="13" t="str">
        <f t="shared" si="10"/>
        <v>2025/26</v>
      </c>
      <c r="E152" s="9" t="s">
        <v>214</v>
      </c>
      <c r="F152" s="9" t="s">
        <v>215</v>
      </c>
      <c r="G152" s="9" t="s">
        <v>220</v>
      </c>
      <c r="H152" s="9" t="s">
        <v>221</v>
      </c>
      <c r="I152" s="9" t="s">
        <v>186</v>
      </c>
      <c r="J152" s="16">
        <v>8580.49</v>
      </c>
      <c r="K152" s="9" t="s">
        <v>199</v>
      </c>
      <c r="L152" s="9" t="s">
        <v>116</v>
      </c>
      <c r="M152" s="17">
        <f>IF(L152="","",IFERROR(INDEX(tbl_fatores_emissao[Valor],MATCH(L152,tbl_fatores_emissao[ID_FE],0)),""))</f>
        <v>0.5</v>
      </c>
      <c r="N152" s="17">
        <f t="shared" si="11"/>
        <v>4.29</v>
      </c>
      <c r="O152" s="9" t="s">
        <v>218</v>
      </c>
      <c r="P152" s="9" t="s">
        <v>222</v>
      </c>
      <c r="Q152" s="9"/>
    </row>
    <row r="153" spans="1:17" ht="18" customHeight="1" x14ac:dyDescent="0.3">
      <c r="A153" s="13" t="str">
        <f t="shared" si="8"/>
        <v>202510-S3-C1-TIN</v>
      </c>
      <c r="B153" s="14">
        <v>45931</v>
      </c>
      <c r="C153" s="15">
        <f t="shared" si="9"/>
        <v>2025</v>
      </c>
      <c r="D153" s="13" t="str">
        <f t="shared" si="10"/>
        <v>2025/26</v>
      </c>
      <c r="E153" s="9" t="s">
        <v>214</v>
      </c>
      <c r="F153" s="9" t="s">
        <v>215</v>
      </c>
      <c r="G153" s="9" t="s">
        <v>223</v>
      </c>
      <c r="H153" s="9" t="s">
        <v>123</v>
      </c>
      <c r="I153" s="9" t="s">
        <v>186</v>
      </c>
      <c r="J153" s="16">
        <v>109.67</v>
      </c>
      <c r="K153" s="9" t="s">
        <v>199</v>
      </c>
      <c r="L153" s="9" t="s">
        <v>122</v>
      </c>
      <c r="M153" s="17">
        <f>IF(L153="","",IFERROR(INDEX(tbl_fatores_emissao[Valor],MATCH(L153,tbl_fatores_emissao[ID_FE],0)),""))</f>
        <v>3</v>
      </c>
      <c r="N153" s="17">
        <f t="shared" si="11"/>
        <v>0.32900000000000001</v>
      </c>
      <c r="O153" s="9" t="s">
        <v>218</v>
      </c>
      <c r="P153" s="9" t="s">
        <v>224</v>
      </c>
      <c r="Q153" s="9"/>
    </row>
    <row r="154" spans="1:17" ht="18" customHeight="1" x14ac:dyDescent="0.3">
      <c r="A154" s="13" t="str">
        <f t="shared" si="8"/>
        <v>202510-S3-C1-SOL</v>
      </c>
      <c r="B154" s="14">
        <v>45931</v>
      </c>
      <c r="C154" s="15">
        <f t="shared" si="9"/>
        <v>2025</v>
      </c>
      <c r="D154" s="13" t="str">
        <f t="shared" si="10"/>
        <v>2025/26</v>
      </c>
      <c r="E154" s="9" t="s">
        <v>214</v>
      </c>
      <c r="F154" s="9" t="s">
        <v>215</v>
      </c>
      <c r="G154" s="9" t="s">
        <v>225</v>
      </c>
      <c r="H154" s="9" t="s">
        <v>126</v>
      </c>
      <c r="I154" s="9" t="s">
        <v>186</v>
      </c>
      <c r="J154" s="16">
        <v>72.62</v>
      </c>
      <c r="K154" s="9" t="s">
        <v>199</v>
      </c>
      <c r="L154" s="9" t="s">
        <v>125</v>
      </c>
      <c r="M154" s="17">
        <f>IF(L154="","",IFERROR(INDEX(tbl_fatores_emissao[Valor],MATCH(L154,tbl_fatores_emissao[ID_FE],0)),""))</f>
        <v>1.8</v>
      </c>
      <c r="N154" s="17">
        <f t="shared" si="11"/>
        <v>0.13100000000000001</v>
      </c>
      <c r="O154" s="9" t="s">
        <v>188</v>
      </c>
      <c r="P154" s="9" t="s">
        <v>226</v>
      </c>
      <c r="Q154" s="9"/>
    </row>
    <row r="155" spans="1:17" ht="18" customHeight="1" x14ac:dyDescent="0.3">
      <c r="A155" s="13" t="str">
        <f t="shared" si="8"/>
        <v>202510-S3-C1-FOI</v>
      </c>
      <c r="B155" s="14">
        <v>45931</v>
      </c>
      <c r="C155" s="15">
        <f t="shared" si="9"/>
        <v>2025</v>
      </c>
      <c r="D155" s="13" t="str">
        <f t="shared" si="10"/>
        <v>2025/26</v>
      </c>
      <c r="E155" s="9" t="s">
        <v>214</v>
      </c>
      <c r="F155" s="9" t="s">
        <v>215</v>
      </c>
      <c r="G155" s="9" t="s">
        <v>227</v>
      </c>
      <c r="H155" s="9" t="s">
        <v>129</v>
      </c>
      <c r="I155" s="9" t="s">
        <v>186</v>
      </c>
      <c r="J155" s="16">
        <v>1007.81</v>
      </c>
      <c r="K155" s="9" t="s">
        <v>199</v>
      </c>
      <c r="L155" s="9" t="s">
        <v>128</v>
      </c>
      <c r="M155" s="17">
        <f>IF(L155="","",IFERROR(INDEX(tbl_fatores_emissao[Valor],MATCH(L155,tbl_fatores_emissao[ID_FE],0)),""))</f>
        <v>3.5</v>
      </c>
      <c r="N155" s="17">
        <f t="shared" si="11"/>
        <v>3.5270000000000001</v>
      </c>
      <c r="O155" s="9" t="s">
        <v>218</v>
      </c>
      <c r="P155" s="9" t="s">
        <v>228</v>
      </c>
      <c r="Q155" s="9"/>
    </row>
    <row r="156" spans="1:17" ht="18" customHeight="1" x14ac:dyDescent="0.3">
      <c r="A156" s="13" t="str">
        <f t="shared" si="8"/>
        <v>202510-S3-C3</v>
      </c>
      <c r="B156" s="14">
        <v>45931</v>
      </c>
      <c r="C156" s="15">
        <f t="shared" si="9"/>
        <v>2025</v>
      </c>
      <c r="D156" s="13" t="str">
        <f t="shared" si="10"/>
        <v>2025/26</v>
      </c>
      <c r="E156" s="9" t="s">
        <v>214</v>
      </c>
      <c r="F156" s="9" t="s">
        <v>229</v>
      </c>
      <c r="G156" s="9" t="s">
        <v>230</v>
      </c>
      <c r="H156" s="9" t="s">
        <v>231</v>
      </c>
      <c r="I156" s="9" t="s">
        <v>186</v>
      </c>
      <c r="J156" s="16">
        <v>568761.74</v>
      </c>
      <c r="K156" s="9" t="s">
        <v>206</v>
      </c>
      <c r="L156" s="9" t="s">
        <v>133</v>
      </c>
      <c r="M156" s="17">
        <f>IF(L156="","",IFERROR(INDEX(tbl_fatores_emissao[Valor],MATCH(L156,tbl_fatores_emissao[ID_FE],0)),""))</f>
        <v>0.02</v>
      </c>
      <c r="N156" s="17">
        <f t="shared" si="11"/>
        <v>11.375</v>
      </c>
      <c r="O156" s="9" t="s">
        <v>194</v>
      </c>
      <c r="P156" s="9" t="s">
        <v>232</v>
      </c>
      <c r="Q156" s="9"/>
    </row>
    <row r="157" spans="1:17" ht="18" customHeight="1" x14ac:dyDescent="0.3">
      <c r="A157" s="13" t="str">
        <f t="shared" si="8"/>
        <v>202510-S3-C4</v>
      </c>
      <c r="B157" s="14">
        <v>45931</v>
      </c>
      <c r="C157" s="15">
        <f t="shared" si="9"/>
        <v>2025</v>
      </c>
      <c r="D157" s="13" t="str">
        <f t="shared" si="10"/>
        <v>2025/26</v>
      </c>
      <c r="E157" s="9" t="s">
        <v>214</v>
      </c>
      <c r="F157" s="9" t="s">
        <v>233</v>
      </c>
      <c r="G157" s="9" t="s">
        <v>234</v>
      </c>
      <c r="H157" s="9" t="s">
        <v>235</v>
      </c>
      <c r="I157" s="9" t="s">
        <v>186</v>
      </c>
      <c r="J157" s="16">
        <v>66539.64</v>
      </c>
      <c r="K157" s="9" t="s">
        <v>199</v>
      </c>
      <c r="L157" s="9" t="s">
        <v>137</v>
      </c>
      <c r="M157" s="17">
        <f>IF(L157="","",IFERROR(INDEX(tbl_fatores_emissao[Valor],MATCH(L157,tbl_fatores_emissao[ID_FE],0)),""))</f>
        <v>0.1178</v>
      </c>
      <c r="N157" s="17">
        <f t="shared" si="11"/>
        <v>7.8380000000000001</v>
      </c>
      <c r="O157" s="9" t="s">
        <v>194</v>
      </c>
      <c r="P157" s="9" t="s">
        <v>236</v>
      </c>
      <c r="Q157" s="9"/>
    </row>
    <row r="158" spans="1:17" ht="18" customHeight="1" x14ac:dyDescent="0.3">
      <c r="A158" s="13" t="str">
        <f t="shared" si="8"/>
        <v>202510-S3-C5-REC</v>
      </c>
      <c r="B158" s="14">
        <v>45931</v>
      </c>
      <c r="C158" s="15">
        <f t="shared" si="9"/>
        <v>2025</v>
      </c>
      <c r="D158" s="13" t="str">
        <f t="shared" si="10"/>
        <v>2025/26</v>
      </c>
      <c r="E158" s="9" t="s">
        <v>214</v>
      </c>
      <c r="F158" s="9" t="s">
        <v>237</v>
      </c>
      <c r="G158" s="9" t="s">
        <v>238</v>
      </c>
      <c r="H158" s="9" t="s">
        <v>239</v>
      </c>
      <c r="I158" s="9" t="s">
        <v>186</v>
      </c>
      <c r="J158" s="16">
        <v>9377</v>
      </c>
      <c r="K158" s="9" t="s">
        <v>199</v>
      </c>
      <c r="L158" s="9" t="s">
        <v>148</v>
      </c>
      <c r="M158" s="17">
        <f>IF(L158="","",IFERROR(INDEX(tbl_fatores_emissao[Valor],MATCH(L158,tbl_fatores_emissao[ID_FE],0)),""))</f>
        <v>2.1000000000000001E-2</v>
      </c>
      <c r="N158" s="17">
        <f t="shared" si="11"/>
        <v>0.19700000000000001</v>
      </c>
      <c r="O158" s="9" t="s">
        <v>188</v>
      </c>
      <c r="P158" s="9" t="s">
        <v>240</v>
      </c>
      <c r="Q158" s="9"/>
    </row>
    <row r="159" spans="1:17" ht="18" customHeight="1" x14ac:dyDescent="0.3">
      <c r="A159" s="13" t="str">
        <f t="shared" si="8"/>
        <v>202510-S3-C5-ATE</v>
      </c>
      <c r="B159" s="14">
        <v>45931</v>
      </c>
      <c r="C159" s="15">
        <f t="shared" si="9"/>
        <v>2025</v>
      </c>
      <c r="D159" s="13" t="str">
        <f t="shared" si="10"/>
        <v>2025/26</v>
      </c>
      <c r="E159" s="9" t="s">
        <v>214</v>
      </c>
      <c r="F159" s="9" t="s">
        <v>237</v>
      </c>
      <c r="G159" s="9" t="s">
        <v>241</v>
      </c>
      <c r="H159" s="9" t="s">
        <v>242</v>
      </c>
      <c r="I159" s="9" t="s">
        <v>186</v>
      </c>
      <c r="J159" s="16">
        <v>2297.4</v>
      </c>
      <c r="K159" s="9" t="s">
        <v>199</v>
      </c>
      <c r="L159" s="9" t="s">
        <v>152</v>
      </c>
      <c r="M159" s="17">
        <f>IF(L159="","",IFERROR(INDEX(tbl_fatores_emissao[Valor],MATCH(L159,tbl_fatores_emissao[ID_FE],0)),""))</f>
        <v>0.45</v>
      </c>
      <c r="N159" s="17">
        <f t="shared" si="11"/>
        <v>1.034</v>
      </c>
      <c r="O159" s="9" t="s">
        <v>188</v>
      </c>
      <c r="P159" s="9" t="s">
        <v>243</v>
      </c>
      <c r="Q159" s="9"/>
    </row>
    <row r="160" spans="1:17" ht="18" customHeight="1" x14ac:dyDescent="0.3">
      <c r="A160" s="13" t="str">
        <f t="shared" si="8"/>
        <v>202510-S3-C5-PER</v>
      </c>
      <c r="B160" s="14">
        <v>45931</v>
      </c>
      <c r="C160" s="15">
        <f t="shared" si="9"/>
        <v>2025</v>
      </c>
      <c r="D160" s="13" t="str">
        <f t="shared" si="10"/>
        <v>2025/26</v>
      </c>
      <c r="E160" s="9" t="s">
        <v>214</v>
      </c>
      <c r="F160" s="9" t="s">
        <v>237</v>
      </c>
      <c r="G160" s="9" t="s">
        <v>244</v>
      </c>
      <c r="H160" s="9" t="s">
        <v>245</v>
      </c>
      <c r="I160" s="9" t="s">
        <v>186</v>
      </c>
      <c r="J160" s="16">
        <v>54.7</v>
      </c>
      <c r="K160" s="9" t="s">
        <v>199</v>
      </c>
      <c r="L160" s="9" t="s">
        <v>155</v>
      </c>
      <c r="M160" s="17">
        <f>IF(L160="","",IFERROR(INDEX(tbl_fatores_emissao[Valor],MATCH(L160,tbl_fatores_emissao[ID_FE],0)),""))</f>
        <v>0.9</v>
      </c>
      <c r="N160" s="17">
        <f t="shared" si="11"/>
        <v>4.9000000000000002E-2</v>
      </c>
      <c r="O160" s="9" t="s">
        <v>188</v>
      </c>
      <c r="P160" s="9" t="s">
        <v>246</v>
      </c>
      <c r="Q160" s="9"/>
    </row>
    <row r="161" spans="1:17" ht="18" customHeight="1" x14ac:dyDescent="0.3">
      <c r="A161" s="13" t="str">
        <f t="shared" si="8"/>
        <v>202510-S3-C6</v>
      </c>
      <c r="B161" s="14">
        <v>45931</v>
      </c>
      <c r="C161" s="15">
        <f t="shared" si="9"/>
        <v>2025</v>
      </c>
      <c r="D161" s="13" t="str">
        <f t="shared" si="10"/>
        <v>2025/26</v>
      </c>
      <c r="E161" s="9" t="s">
        <v>214</v>
      </c>
      <c r="F161" s="9" t="s">
        <v>247</v>
      </c>
      <c r="G161" s="9" t="s">
        <v>248</v>
      </c>
      <c r="H161" s="9" t="s">
        <v>249</v>
      </c>
      <c r="I161" s="9" t="s">
        <v>186</v>
      </c>
      <c r="J161" s="16">
        <v>2289.0700000000002</v>
      </c>
      <c r="K161" s="9" t="s">
        <v>250</v>
      </c>
      <c r="L161" s="9" t="s">
        <v>158</v>
      </c>
      <c r="M161" s="17">
        <f>IF(L161="","",IFERROR(INDEX(tbl_fatores_emissao[Valor],MATCH(L161,tbl_fatores_emissao[ID_FE],0)),""))</f>
        <v>0.17</v>
      </c>
      <c r="N161" s="17">
        <f t="shared" si="11"/>
        <v>0.38900000000000001</v>
      </c>
      <c r="O161" s="9" t="s">
        <v>194</v>
      </c>
      <c r="P161" s="9" t="s">
        <v>251</v>
      </c>
      <c r="Q161" s="9" t="s">
        <v>252</v>
      </c>
    </row>
    <row r="162" spans="1:17" ht="18" customHeight="1" x14ac:dyDescent="0.3">
      <c r="A162" s="13" t="str">
        <f t="shared" si="8"/>
        <v>202510-S3-C7</v>
      </c>
      <c r="B162" s="14">
        <v>45931</v>
      </c>
      <c r="C162" s="15">
        <f t="shared" si="9"/>
        <v>2025</v>
      </c>
      <c r="D162" s="13" t="str">
        <f t="shared" si="10"/>
        <v>2025/26</v>
      </c>
      <c r="E162" s="9" t="s">
        <v>214</v>
      </c>
      <c r="F162" s="9" t="s">
        <v>253</v>
      </c>
      <c r="G162" s="9" t="s">
        <v>254</v>
      </c>
      <c r="H162" s="9" t="s">
        <v>255</v>
      </c>
      <c r="I162" s="9" t="s">
        <v>186</v>
      </c>
      <c r="J162" s="16">
        <v>36828</v>
      </c>
      <c r="K162" s="9" t="s">
        <v>250</v>
      </c>
      <c r="L162" s="9" t="s">
        <v>158</v>
      </c>
      <c r="M162" s="17">
        <f>IF(L162="","",IFERROR(INDEX(tbl_fatores_emissao[Valor],MATCH(L162,tbl_fatores_emissao[ID_FE],0)),""))</f>
        <v>0.17</v>
      </c>
      <c r="N162" s="17">
        <f t="shared" si="11"/>
        <v>6.2610000000000001</v>
      </c>
      <c r="O162" s="9" t="s">
        <v>194</v>
      </c>
      <c r="P162" s="9" t="s">
        <v>256</v>
      </c>
      <c r="Q162" s="9" t="s">
        <v>257</v>
      </c>
    </row>
    <row r="163" spans="1:17" ht="18" customHeight="1" x14ac:dyDescent="0.3">
      <c r="A163" s="13" t="str">
        <f t="shared" si="8"/>
        <v>202510-S3-C9</v>
      </c>
      <c r="B163" s="14">
        <v>45931</v>
      </c>
      <c r="C163" s="15">
        <f t="shared" si="9"/>
        <v>2025</v>
      </c>
      <c r="D163" s="13" t="str">
        <f t="shared" si="10"/>
        <v>2025/26</v>
      </c>
      <c r="E163" s="9" t="s">
        <v>214</v>
      </c>
      <c r="F163" s="9" t="s">
        <v>258</v>
      </c>
      <c r="G163" s="9" t="s">
        <v>259</v>
      </c>
      <c r="H163" s="9" t="s">
        <v>260</v>
      </c>
      <c r="I163" s="9" t="s">
        <v>186</v>
      </c>
      <c r="J163" s="16">
        <v>29203.8</v>
      </c>
      <c r="K163" s="9" t="s">
        <v>261</v>
      </c>
      <c r="L163" s="9" t="s">
        <v>141</v>
      </c>
      <c r="M163" s="17">
        <f>IF(L163="","",IFERROR(INDEX(tbl_fatores_emissao[Valor],MATCH(L163,tbl_fatores_emissao[ID_FE],0)),""))</f>
        <v>0.108</v>
      </c>
      <c r="N163" s="17">
        <f t="shared" si="11"/>
        <v>3.1539999999999999</v>
      </c>
      <c r="O163" s="9" t="s">
        <v>194</v>
      </c>
      <c r="P163" s="9" t="s">
        <v>262</v>
      </c>
      <c r="Q163" s="9"/>
    </row>
    <row r="164" spans="1:17" ht="18" customHeight="1" x14ac:dyDescent="0.3">
      <c r="A164" s="13" t="str">
        <f t="shared" si="8"/>
        <v>202510-S3-C12</v>
      </c>
      <c r="B164" s="14">
        <v>45931</v>
      </c>
      <c r="C164" s="15">
        <f t="shared" si="9"/>
        <v>2025</v>
      </c>
      <c r="D164" s="13" t="str">
        <f t="shared" si="10"/>
        <v>2025/26</v>
      </c>
      <c r="E164" s="9" t="s">
        <v>214</v>
      </c>
      <c r="F164" s="9" t="s">
        <v>263</v>
      </c>
      <c r="G164" s="9" t="s">
        <v>264</v>
      </c>
      <c r="H164" s="9" t="s">
        <v>265</v>
      </c>
      <c r="I164" s="9" t="s">
        <v>186</v>
      </c>
      <c r="J164" s="16">
        <v>64897.33</v>
      </c>
      <c r="K164" s="9" t="s">
        <v>199</v>
      </c>
      <c r="L164" s="9" t="s">
        <v>163</v>
      </c>
      <c r="M164" s="17">
        <f>IF(L164="","",IFERROR(INDEX(tbl_fatores_emissao[Valor],MATCH(L164,tbl_fatores_emissao[ID_FE],0)),""))</f>
        <v>1</v>
      </c>
      <c r="N164" s="17">
        <f t="shared" si="11"/>
        <v>64.897000000000006</v>
      </c>
      <c r="O164" s="9" t="s">
        <v>194</v>
      </c>
      <c r="P164" s="9" t="s">
        <v>266</v>
      </c>
      <c r="Q164" s="9"/>
    </row>
    <row r="165" spans="1:17" ht="18" customHeight="1" x14ac:dyDescent="0.3">
      <c r="A165" s="13" t="str">
        <f t="shared" si="8"/>
        <v>202511-S1-01</v>
      </c>
      <c r="B165" s="14">
        <v>45962</v>
      </c>
      <c r="C165" s="15">
        <f t="shared" si="9"/>
        <v>2025</v>
      </c>
      <c r="D165" s="13" t="str">
        <f t="shared" si="10"/>
        <v>2025/26</v>
      </c>
      <c r="E165" s="9" t="s">
        <v>182</v>
      </c>
      <c r="F165" s="9" t="s">
        <v>183</v>
      </c>
      <c r="G165" s="9" t="s">
        <v>184</v>
      </c>
      <c r="H165" s="9" t="s">
        <v>185</v>
      </c>
      <c r="I165" s="9" t="s">
        <v>186</v>
      </c>
      <c r="J165" s="16">
        <v>231.19</v>
      </c>
      <c r="K165" s="9" t="s">
        <v>187</v>
      </c>
      <c r="L165" s="9" t="s">
        <v>96</v>
      </c>
      <c r="M165" s="17">
        <f>IF(L165="","",IFERROR(INDEX(tbl_fatores_emissao[Valor],MATCH(L165,tbl_fatores_emissao[ID_FE],0)),""))</f>
        <v>2.66</v>
      </c>
      <c r="N165" s="17">
        <f t="shared" si="11"/>
        <v>0.61499999999999999</v>
      </c>
      <c r="O165" s="9" t="s">
        <v>188</v>
      </c>
      <c r="P165" s="9" t="s">
        <v>189</v>
      </c>
      <c r="Q165" s="9" t="s">
        <v>190</v>
      </c>
    </row>
    <row r="166" spans="1:17" ht="18" customHeight="1" x14ac:dyDescent="0.3">
      <c r="A166" s="13" t="str">
        <f t="shared" si="8"/>
        <v>202511-S1-02</v>
      </c>
      <c r="B166" s="14">
        <v>45962</v>
      </c>
      <c r="C166" s="15">
        <f t="shared" si="9"/>
        <v>2025</v>
      </c>
      <c r="D166" s="13" t="str">
        <f t="shared" si="10"/>
        <v>2025/26</v>
      </c>
      <c r="E166" s="9" t="s">
        <v>182</v>
      </c>
      <c r="F166" s="9" t="s">
        <v>191</v>
      </c>
      <c r="G166" s="9" t="s">
        <v>192</v>
      </c>
      <c r="H166" s="9" t="s">
        <v>193</v>
      </c>
      <c r="I166" s="9" t="s">
        <v>186</v>
      </c>
      <c r="J166" s="16">
        <v>16.64</v>
      </c>
      <c r="K166" s="9" t="s">
        <v>187</v>
      </c>
      <c r="L166" s="9" t="s">
        <v>96</v>
      </c>
      <c r="M166" s="17">
        <f>IF(L166="","",IFERROR(INDEX(tbl_fatores_emissao[Valor],MATCH(L166,tbl_fatores_emissao[ID_FE],0)),""))</f>
        <v>2.66</v>
      </c>
      <c r="N166" s="17">
        <f t="shared" si="11"/>
        <v>4.3999999999999997E-2</v>
      </c>
      <c r="O166" s="9" t="s">
        <v>194</v>
      </c>
      <c r="P166" s="9" t="s">
        <v>195</v>
      </c>
      <c r="Q166" s="9" t="s">
        <v>190</v>
      </c>
    </row>
    <row r="167" spans="1:17" ht="18" customHeight="1" x14ac:dyDescent="0.3">
      <c r="A167" s="13" t="str">
        <f t="shared" si="8"/>
        <v>202511-S1-03</v>
      </c>
      <c r="B167" s="14">
        <v>45962</v>
      </c>
      <c r="C167" s="15">
        <f t="shared" si="9"/>
        <v>2025</v>
      </c>
      <c r="D167" s="13" t="str">
        <f t="shared" si="10"/>
        <v>2025/26</v>
      </c>
      <c r="E167" s="9" t="s">
        <v>182</v>
      </c>
      <c r="F167" s="9" t="s">
        <v>196</v>
      </c>
      <c r="G167" s="9" t="s">
        <v>197</v>
      </c>
      <c r="H167" s="9" t="s">
        <v>198</v>
      </c>
      <c r="I167" s="9" t="s">
        <v>186</v>
      </c>
      <c r="J167" s="16">
        <v>3.2</v>
      </c>
      <c r="K167" s="9" t="s">
        <v>199</v>
      </c>
      <c r="L167" s="9" t="s">
        <v>101</v>
      </c>
      <c r="M167" s="17">
        <f>IF(L167="","",IFERROR(INDEX(tbl_fatores_emissao[Valor],MATCH(L167,tbl_fatores_emissao[ID_FE],0)),""))</f>
        <v>2088</v>
      </c>
      <c r="N167" s="17">
        <f t="shared" si="11"/>
        <v>6.6820000000000004</v>
      </c>
      <c r="O167" s="9" t="s">
        <v>188</v>
      </c>
      <c r="P167" s="9" t="s">
        <v>200</v>
      </c>
      <c r="Q167" s="9"/>
    </row>
    <row r="168" spans="1:17" ht="18" customHeight="1" x14ac:dyDescent="0.3">
      <c r="A168" s="13" t="str">
        <f t="shared" si="8"/>
        <v>202511-S2-LB</v>
      </c>
      <c r="B168" s="14">
        <v>45962</v>
      </c>
      <c r="C168" s="15">
        <f t="shared" si="9"/>
        <v>2025</v>
      </c>
      <c r="D168" s="13" t="str">
        <f t="shared" si="10"/>
        <v>2025/26</v>
      </c>
      <c r="E168" s="9" t="s">
        <v>201</v>
      </c>
      <c r="F168" s="9" t="s">
        <v>202</v>
      </c>
      <c r="G168" s="9" t="s">
        <v>203</v>
      </c>
      <c r="H168" s="9" t="s">
        <v>204</v>
      </c>
      <c r="I168" s="9" t="s">
        <v>205</v>
      </c>
      <c r="J168" s="16">
        <v>561642.6</v>
      </c>
      <c r="K168" s="9" t="s">
        <v>206</v>
      </c>
      <c r="L168" s="9" t="s">
        <v>82</v>
      </c>
      <c r="M168" s="17">
        <f>IF(L168="","",IFERROR(INDEX(tbl_fatores_emissao[Valor],MATCH(L168,tbl_fatores_emissao[ID_FE],0)),""))</f>
        <v>0.11</v>
      </c>
      <c r="N168" s="17">
        <f t="shared" si="11"/>
        <v>61.780999999999999</v>
      </c>
      <c r="O168" s="9" t="s">
        <v>188</v>
      </c>
      <c r="P168" s="9" t="s">
        <v>207</v>
      </c>
      <c r="Q168" s="9"/>
    </row>
    <row r="169" spans="1:17" ht="18" customHeight="1" x14ac:dyDescent="0.3">
      <c r="A169" s="13" t="str">
        <f t="shared" si="8"/>
        <v>202511-S2-MB-GO</v>
      </c>
      <c r="B169" s="14">
        <v>45962</v>
      </c>
      <c r="C169" s="15">
        <f t="shared" si="9"/>
        <v>2025</v>
      </c>
      <c r="D169" s="13" t="str">
        <f t="shared" si="10"/>
        <v>2025/26</v>
      </c>
      <c r="E169" s="9" t="s">
        <v>201</v>
      </c>
      <c r="F169" s="9" t="s">
        <v>202</v>
      </c>
      <c r="G169" s="9" t="s">
        <v>208</v>
      </c>
      <c r="H169" s="9" t="s">
        <v>209</v>
      </c>
      <c r="I169" s="9" t="s">
        <v>210</v>
      </c>
      <c r="J169" s="16">
        <v>308903.43</v>
      </c>
      <c r="K169" s="9" t="s">
        <v>206</v>
      </c>
      <c r="L169" s="9" t="s">
        <v>92</v>
      </c>
      <c r="M169" s="17">
        <f>IF(L169="","",IFERROR(INDEX(tbl_fatores_emissao[Valor],MATCH(L169,tbl_fatores_emissao[ID_FE],0)),""))</f>
        <v>0</v>
      </c>
      <c r="N169" s="17">
        <f t="shared" si="11"/>
        <v>0</v>
      </c>
      <c r="O169" s="9" t="s">
        <v>188</v>
      </c>
      <c r="P169" s="9" t="s">
        <v>211</v>
      </c>
      <c r="Q169" s="9"/>
    </row>
    <row r="170" spans="1:17" ht="18" customHeight="1" x14ac:dyDescent="0.3">
      <c r="A170" s="13" t="str">
        <f t="shared" si="8"/>
        <v>202511-S2-MB-RES</v>
      </c>
      <c r="B170" s="14">
        <v>45962</v>
      </c>
      <c r="C170" s="15">
        <f t="shared" si="9"/>
        <v>2025</v>
      </c>
      <c r="D170" s="13" t="str">
        <f t="shared" si="10"/>
        <v>2025/26</v>
      </c>
      <c r="E170" s="9" t="s">
        <v>201</v>
      </c>
      <c r="F170" s="9" t="s">
        <v>202</v>
      </c>
      <c r="G170" s="9" t="s">
        <v>212</v>
      </c>
      <c r="H170" s="9" t="s">
        <v>213</v>
      </c>
      <c r="I170" s="9" t="s">
        <v>210</v>
      </c>
      <c r="J170" s="16">
        <v>252739.17</v>
      </c>
      <c r="K170" s="9" t="s">
        <v>206</v>
      </c>
      <c r="L170" s="9" t="s">
        <v>88</v>
      </c>
      <c r="M170" s="17">
        <f>IF(L170="","",IFERROR(INDEX(tbl_fatores_emissao[Valor],MATCH(L170,tbl_fatores_emissao[ID_FE],0)),""))</f>
        <v>0.25</v>
      </c>
      <c r="N170" s="17">
        <f t="shared" si="11"/>
        <v>63.185000000000002</v>
      </c>
      <c r="O170" s="9" t="s">
        <v>188</v>
      </c>
      <c r="P170" s="9" t="s">
        <v>211</v>
      </c>
      <c r="Q170" s="9"/>
    </row>
    <row r="171" spans="1:17" ht="18" customHeight="1" x14ac:dyDescent="0.3">
      <c r="A171" s="13" t="str">
        <f t="shared" si="8"/>
        <v>202511-S3-C1-VIR</v>
      </c>
      <c r="B171" s="14">
        <v>45962</v>
      </c>
      <c r="C171" s="15">
        <f t="shared" si="9"/>
        <v>2025</v>
      </c>
      <c r="D171" s="13" t="str">
        <f t="shared" si="10"/>
        <v>2025/26</v>
      </c>
      <c r="E171" s="9" t="s">
        <v>214</v>
      </c>
      <c r="F171" s="9" t="s">
        <v>215</v>
      </c>
      <c r="G171" s="9" t="s">
        <v>216</v>
      </c>
      <c r="H171" s="9" t="s">
        <v>217</v>
      </c>
      <c r="I171" s="9" t="s">
        <v>186</v>
      </c>
      <c r="J171" s="16">
        <v>53957.94</v>
      </c>
      <c r="K171" s="9" t="s">
        <v>199</v>
      </c>
      <c r="L171" s="9" t="s">
        <v>119</v>
      </c>
      <c r="M171" s="17">
        <f>IF(L171="","",IFERROR(INDEX(tbl_fatores_emissao[Valor],MATCH(L171,tbl_fatores_emissao[ID_FE],0)),""))</f>
        <v>1.9</v>
      </c>
      <c r="N171" s="17">
        <f t="shared" si="11"/>
        <v>102.52</v>
      </c>
      <c r="O171" s="9" t="s">
        <v>218</v>
      </c>
      <c r="P171" s="9" t="s">
        <v>219</v>
      </c>
      <c r="Q171" s="9"/>
    </row>
    <row r="172" spans="1:17" ht="18" customHeight="1" x14ac:dyDescent="0.3">
      <c r="A172" s="13" t="str">
        <f t="shared" si="8"/>
        <v>202511-S3-C1-PCR</v>
      </c>
      <c r="B172" s="14">
        <v>45962</v>
      </c>
      <c r="C172" s="15">
        <f t="shared" si="9"/>
        <v>2025</v>
      </c>
      <c r="D172" s="13" t="str">
        <f t="shared" si="10"/>
        <v>2025/26</v>
      </c>
      <c r="E172" s="9" t="s">
        <v>214</v>
      </c>
      <c r="F172" s="9" t="s">
        <v>215</v>
      </c>
      <c r="G172" s="9" t="s">
        <v>220</v>
      </c>
      <c r="H172" s="9" t="s">
        <v>221</v>
      </c>
      <c r="I172" s="9" t="s">
        <v>186</v>
      </c>
      <c r="J172" s="16">
        <v>7854.58</v>
      </c>
      <c r="K172" s="9" t="s">
        <v>199</v>
      </c>
      <c r="L172" s="9" t="s">
        <v>116</v>
      </c>
      <c r="M172" s="17">
        <f>IF(L172="","",IFERROR(INDEX(tbl_fatores_emissao[Valor],MATCH(L172,tbl_fatores_emissao[ID_FE],0)),""))</f>
        <v>0.5</v>
      </c>
      <c r="N172" s="17">
        <f t="shared" si="11"/>
        <v>3.927</v>
      </c>
      <c r="O172" s="9" t="s">
        <v>218</v>
      </c>
      <c r="P172" s="9" t="s">
        <v>222</v>
      </c>
      <c r="Q172" s="9"/>
    </row>
    <row r="173" spans="1:17" ht="18" customHeight="1" x14ac:dyDescent="0.3">
      <c r="A173" s="13" t="str">
        <f t="shared" si="8"/>
        <v>202511-S3-C1-TIN</v>
      </c>
      <c r="B173" s="14">
        <v>45962</v>
      </c>
      <c r="C173" s="15">
        <f t="shared" si="9"/>
        <v>2025</v>
      </c>
      <c r="D173" s="13" t="str">
        <f t="shared" si="10"/>
        <v>2025/26</v>
      </c>
      <c r="E173" s="9" t="s">
        <v>214</v>
      </c>
      <c r="F173" s="9" t="s">
        <v>215</v>
      </c>
      <c r="G173" s="9" t="s">
        <v>223</v>
      </c>
      <c r="H173" s="9" t="s">
        <v>123</v>
      </c>
      <c r="I173" s="9" t="s">
        <v>186</v>
      </c>
      <c r="J173" s="16">
        <v>107.97</v>
      </c>
      <c r="K173" s="9" t="s">
        <v>199</v>
      </c>
      <c r="L173" s="9" t="s">
        <v>122</v>
      </c>
      <c r="M173" s="17">
        <f>IF(L173="","",IFERROR(INDEX(tbl_fatores_emissao[Valor],MATCH(L173,tbl_fatores_emissao[ID_FE],0)),""))</f>
        <v>3</v>
      </c>
      <c r="N173" s="17">
        <f t="shared" si="11"/>
        <v>0.32400000000000001</v>
      </c>
      <c r="O173" s="9" t="s">
        <v>218</v>
      </c>
      <c r="P173" s="9" t="s">
        <v>224</v>
      </c>
      <c r="Q173" s="9"/>
    </row>
    <row r="174" spans="1:17" ht="18" customHeight="1" x14ac:dyDescent="0.3">
      <c r="A174" s="13" t="str">
        <f t="shared" si="8"/>
        <v>202511-S3-C1-SOL</v>
      </c>
      <c r="B174" s="14">
        <v>45962</v>
      </c>
      <c r="C174" s="15">
        <f t="shared" si="9"/>
        <v>2025</v>
      </c>
      <c r="D174" s="13" t="str">
        <f t="shared" si="10"/>
        <v>2025/26</v>
      </c>
      <c r="E174" s="9" t="s">
        <v>214</v>
      </c>
      <c r="F174" s="9" t="s">
        <v>215</v>
      </c>
      <c r="G174" s="9" t="s">
        <v>225</v>
      </c>
      <c r="H174" s="9" t="s">
        <v>126</v>
      </c>
      <c r="I174" s="9" t="s">
        <v>186</v>
      </c>
      <c r="J174" s="16">
        <v>70.53</v>
      </c>
      <c r="K174" s="9" t="s">
        <v>199</v>
      </c>
      <c r="L174" s="9" t="s">
        <v>125</v>
      </c>
      <c r="M174" s="17">
        <f>IF(L174="","",IFERROR(INDEX(tbl_fatores_emissao[Valor],MATCH(L174,tbl_fatores_emissao[ID_FE],0)),""))</f>
        <v>1.8</v>
      </c>
      <c r="N174" s="17">
        <f t="shared" si="11"/>
        <v>0.127</v>
      </c>
      <c r="O174" s="9" t="s">
        <v>188</v>
      </c>
      <c r="P174" s="9" t="s">
        <v>226</v>
      </c>
      <c r="Q174" s="9"/>
    </row>
    <row r="175" spans="1:17" ht="18" customHeight="1" x14ac:dyDescent="0.3">
      <c r="A175" s="13" t="str">
        <f t="shared" si="8"/>
        <v>202511-S3-C1-FOI</v>
      </c>
      <c r="B175" s="14">
        <v>45962</v>
      </c>
      <c r="C175" s="15">
        <f t="shared" si="9"/>
        <v>2025</v>
      </c>
      <c r="D175" s="13" t="str">
        <f t="shared" si="10"/>
        <v>2025/26</v>
      </c>
      <c r="E175" s="9" t="s">
        <v>214</v>
      </c>
      <c r="F175" s="9" t="s">
        <v>215</v>
      </c>
      <c r="G175" s="9" t="s">
        <v>227</v>
      </c>
      <c r="H175" s="9" t="s">
        <v>129</v>
      </c>
      <c r="I175" s="9" t="s">
        <v>186</v>
      </c>
      <c r="J175" s="16">
        <v>976.29</v>
      </c>
      <c r="K175" s="9" t="s">
        <v>199</v>
      </c>
      <c r="L175" s="9" t="s">
        <v>128</v>
      </c>
      <c r="M175" s="17">
        <f>IF(L175="","",IFERROR(INDEX(tbl_fatores_emissao[Valor],MATCH(L175,tbl_fatores_emissao[ID_FE],0)),""))</f>
        <v>3.5</v>
      </c>
      <c r="N175" s="17">
        <f t="shared" si="11"/>
        <v>3.4169999999999998</v>
      </c>
      <c r="O175" s="9" t="s">
        <v>218</v>
      </c>
      <c r="P175" s="9" t="s">
        <v>228</v>
      </c>
      <c r="Q175" s="9"/>
    </row>
    <row r="176" spans="1:17" ht="18" customHeight="1" x14ac:dyDescent="0.3">
      <c r="A176" s="13" t="str">
        <f t="shared" si="8"/>
        <v>202511-S3-C3</v>
      </c>
      <c r="B176" s="14">
        <v>45962</v>
      </c>
      <c r="C176" s="15">
        <f t="shared" si="9"/>
        <v>2025</v>
      </c>
      <c r="D176" s="13" t="str">
        <f t="shared" si="10"/>
        <v>2025/26</v>
      </c>
      <c r="E176" s="9" t="s">
        <v>214</v>
      </c>
      <c r="F176" s="9" t="s">
        <v>229</v>
      </c>
      <c r="G176" s="9" t="s">
        <v>230</v>
      </c>
      <c r="H176" s="9" t="s">
        <v>231</v>
      </c>
      <c r="I176" s="9" t="s">
        <v>186</v>
      </c>
      <c r="J176" s="16">
        <v>561642.6</v>
      </c>
      <c r="K176" s="9" t="s">
        <v>206</v>
      </c>
      <c r="L176" s="9" t="s">
        <v>133</v>
      </c>
      <c r="M176" s="17">
        <f>IF(L176="","",IFERROR(INDEX(tbl_fatores_emissao[Valor],MATCH(L176,tbl_fatores_emissao[ID_FE],0)),""))</f>
        <v>0.02</v>
      </c>
      <c r="N176" s="17">
        <f t="shared" si="11"/>
        <v>11.233000000000001</v>
      </c>
      <c r="O176" s="9" t="s">
        <v>194</v>
      </c>
      <c r="P176" s="9" t="s">
        <v>232</v>
      </c>
      <c r="Q176" s="9"/>
    </row>
    <row r="177" spans="1:17" ht="18" customHeight="1" x14ac:dyDescent="0.3">
      <c r="A177" s="13" t="str">
        <f t="shared" si="8"/>
        <v>202511-S3-C4</v>
      </c>
      <c r="B177" s="14">
        <v>45962</v>
      </c>
      <c r="C177" s="15">
        <f t="shared" si="9"/>
        <v>2025</v>
      </c>
      <c r="D177" s="13" t="str">
        <f t="shared" si="10"/>
        <v>2025/26</v>
      </c>
      <c r="E177" s="9" t="s">
        <v>214</v>
      </c>
      <c r="F177" s="9" t="s">
        <v>233</v>
      </c>
      <c r="G177" s="9" t="s">
        <v>234</v>
      </c>
      <c r="H177" s="9" t="s">
        <v>235</v>
      </c>
      <c r="I177" s="9" t="s">
        <v>186</v>
      </c>
      <c r="J177" s="16">
        <v>61812.52</v>
      </c>
      <c r="K177" s="9" t="s">
        <v>199</v>
      </c>
      <c r="L177" s="9" t="s">
        <v>137</v>
      </c>
      <c r="M177" s="17">
        <f>IF(L177="","",IFERROR(INDEX(tbl_fatores_emissao[Valor],MATCH(L177,tbl_fatores_emissao[ID_FE],0)),""))</f>
        <v>0.1178</v>
      </c>
      <c r="N177" s="17">
        <f t="shared" si="11"/>
        <v>7.282</v>
      </c>
      <c r="O177" s="9" t="s">
        <v>194</v>
      </c>
      <c r="P177" s="9" t="s">
        <v>236</v>
      </c>
      <c r="Q177" s="9"/>
    </row>
    <row r="178" spans="1:17" ht="18" customHeight="1" x14ac:dyDescent="0.3">
      <c r="A178" s="13" t="str">
        <f t="shared" si="8"/>
        <v>202511-S3-C5-REC</v>
      </c>
      <c r="B178" s="14">
        <v>45962</v>
      </c>
      <c r="C178" s="15">
        <f t="shared" si="9"/>
        <v>2025</v>
      </c>
      <c r="D178" s="13" t="str">
        <f t="shared" si="10"/>
        <v>2025/26</v>
      </c>
      <c r="E178" s="9" t="s">
        <v>214</v>
      </c>
      <c r="F178" s="9" t="s">
        <v>237</v>
      </c>
      <c r="G178" s="9" t="s">
        <v>238</v>
      </c>
      <c r="H178" s="9" t="s">
        <v>239</v>
      </c>
      <c r="I178" s="9" t="s">
        <v>186</v>
      </c>
      <c r="J178" s="16">
        <v>9073.2999999999993</v>
      </c>
      <c r="K178" s="9" t="s">
        <v>199</v>
      </c>
      <c r="L178" s="9" t="s">
        <v>148</v>
      </c>
      <c r="M178" s="17">
        <f>IF(L178="","",IFERROR(INDEX(tbl_fatores_emissao[Valor],MATCH(L178,tbl_fatores_emissao[ID_FE],0)),""))</f>
        <v>2.1000000000000001E-2</v>
      </c>
      <c r="N178" s="17">
        <f t="shared" si="11"/>
        <v>0.191</v>
      </c>
      <c r="O178" s="9" t="s">
        <v>188</v>
      </c>
      <c r="P178" s="9" t="s">
        <v>240</v>
      </c>
      <c r="Q178" s="9"/>
    </row>
    <row r="179" spans="1:17" ht="18" customHeight="1" x14ac:dyDescent="0.3">
      <c r="A179" s="13" t="str">
        <f t="shared" si="8"/>
        <v>202511-S3-C5-ATE</v>
      </c>
      <c r="B179" s="14">
        <v>45962</v>
      </c>
      <c r="C179" s="15">
        <f t="shared" si="9"/>
        <v>2025</v>
      </c>
      <c r="D179" s="13" t="str">
        <f t="shared" si="10"/>
        <v>2025/26</v>
      </c>
      <c r="E179" s="9" t="s">
        <v>214</v>
      </c>
      <c r="F179" s="9" t="s">
        <v>237</v>
      </c>
      <c r="G179" s="9" t="s">
        <v>241</v>
      </c>
      <c r="H179" s="9" t="s">
        <v>242</v>
      </c>
      <c r="I179" s="9" t="s">
        <v>186</v>
      </c>
      <c r="J179" s="16">
        <v>2098.9</v>
      </c>
      <c r="K179" s="9" t="s">
        <v>199</v>
      </c>
      <c r="L179" s="9" t="s">
        <v>152</v>
      </c>
      <c r="M179" s="17">
        <f>IF(L179="","",IFERROR(INDEX(tbl_fatores_emissao[Valor],MATCH(L179,tbl_fatores_emissao[ID_FE],0)),""))</f>
        <v>0.45</v>
      </c>
      <c r="N179" s="17">
        <f t="shared" si="11"/>
        <v>0.94499999999999995</v>
      </c>
      <c r="O179" s="9" t="s">
        <v>188</v>
      </c>
      <c r="P179" s="9" t="s">
        <v>243</v>
      </c>
      <c r="Q179" s="9"/>
    </row>
    <row r="180" spans="1:17" ht="18" customHeight="1" x14ac:dyDescent="0.3">
      <c r="A180" s="13" t="str">
        <f t="shared" si="8"/>
        <v>202511-S3-C5-PER</v>
      </c>
      <c r="B180" s="14">
        <v>45962</v>
      </c>
      <c r="C180" s="15">
        <f t="shared" si="9"/>
        <v>2025</v>
      </c>
      <c r="D180" s="13" t="str">
        <f t="shared" si="10"/>
        <v>2025/26</v>
      </c>
      <c r="E180" s="9" t="s">
        <v>214</v>
      </c>
      <c r="F180" s="9" t="s">
        <v>237</v>
      </c>
      <c r="G180" s="9" t="s">
        <v>244</v>
      </c>
      <c r="H180" s="9" t="s">
        <v>245</v>
      </c>
      <c r="I180" s="9" t="s">
        <v>186</v>
      </c>
      <c r="J180" s="16">
        <v>49.8</v>
      </c>
      <c r="K180" s="9" t="s">
        <v>199</v>
      </c>
      <c r="L180" s="9" t="s">
        <v>155</v>
      </c>
      <c r="M180" s="17">
        <f>IF(L180="","",IFERROR(INDEX(tbl_fatores_emissao[Valor],MATCH(L180,tbl_fatores_emissao[ID_FE],0)),""))</f>
        <v>0.9</v>
      </c>
      <c r="N180" s="17">
        <f t="shared" si="11"/>
        <v>4.4999999999999998E-2</v>
      </c>
      <c r="O180" s="9" t="s">
        <v>188</v>
      </c>
      <c r="P180" s="9" t="s">
        <v>246</v>
      </c>
      <c r="Q180" s="9"/>
    </row>
    <row r="181" spans="1:17" ht="18" customHeight="1" x14ac:dyDescent="0.3">
      <c r="A181" s="13" t="str">
        <f t="shared" si="8"/>
        <v>202511-S3-C6</v>
      </c>
      <c r="B181" s="14">
        <v>45962</v>
      </c>
      <c r="C181" s="15">
        <f t="shared" si="9"/>
        <v>2025</v>
      </c>
      <c r="D181" s="13" t="str">
        <f t="shared" si="10"/>
        <v>2025/26</v>
      </c>
      <c r="E181" s="9" t="s">
        <v>214</v>
      </c>
      <c r="F181" s="9" t="s">
        <v>247</v>
      </c>
      <c r="G181" s="9" t="s">
        <v>248</v>
      </c>
      <c r="H181" s="9" t="s">
        <v>249</v>
      </c>
      <c r="I181" s="9" t="s">
        <v>186</v>
      </c>
      <c r="J181" s="16">
        <v>2880.21</v>
      </c>
      <c r="K181" s="9" t="s">
        <v>250</v>
      </c>
      <c r="L181" s="9" t="s">
        <v>158</v>
      </c>
      <c r="M181" s="17">
        <f>IF(L181="","",IFERROR(INDEX(tbl_fatores_emissao[Valor],MATCH(L181,tbl_fatores_emissao[ID_FE],0)),""))</f>
        <v>0.17</v>
      </c>
      <c r="N181" s="17">
        <f t="shared" si="11"/>
        <v>0.49</v>
      </c>
      <c r="O181" s="9" t="s">
        <v>194</v>
      </c>
      <c r="P181" s="9" t="s">
        <v>251</v>
      </c>
      <c r="Q181" s="9" t="s">
        <v>252</v>
      </c>
    </row>
    <row r="182" spans="1:17" ht="18" customHeight="1" x14ac:dyDescent="0.3">
      <c r="A182" s="13" t="str">
        <f t="shared" si="8"/>
        <v>202511-S3-C7</v>
      </c>
      <c r="B182" s="14">
        <v>45962</v>
      </c>
      <c r="C182" s="15">
        <f t="shared" si="9"/>
        <v>2025</v>
      </c>
      <c r="D182" s="13" t="str">
        <f t="shared" si="10"/>
        <v>2025/26</v>
      </c>
      <c r="E182" s="9" t="s">
        <v>214</v>
      </c>
      <c r="F182" s="9" t="s">
        <v>253</v>
      </c>
      <c r="G182" s="9" t="s">
        <v>254</v>
      </c>
      <c r="H182" s="9" t="s">
        <v>255</v>
      </c>
      <c r="I182" s="9" t="s">
        <v>186</v>
      </c>
      <c r="J182" s="16">
        <v>31806</v>
      </c>
      <c r="K182" s="9" t="s">
        <v>250</v>
      </c>
      <c r="L182" s="9" t="s">
        <v>158</v>
      </c>
      <c r="M182" s="17">
        <f>IF(L182="","",IFERROR(INDEX(tbl_fatores_emissao[Valor],MATCH(L182,tbl_fatores_emissao[ID_FE],0)),""))</f>
        <v>0.17</v>
      </c>
      <c r="N182" s="17">
        <f t="shared" si="11"/>
        <v>5.407</v>
      </c>
      <c r="O182" s="9" t="s">
        <v>194</v>
      </c>
      <c r="P182" s="9" t="s">
        <v>256</v>
      </c>
      <c r="Q182" s="9" t="s">
        <v>257</v>
      </c>
    </row>
    <row r="183" spans="1:17" ht="18" customHeight="1" x14ac:dyDescent="0.3">
      <c r="A183" s="13" t="str">
        <f t="shared" si="8"/>
        <v>202511-S3-C9</v>
      </c>
      <c r="B183" s="14">
        <v>45962</v>
      </c>
      <c r="C183" s="15">
        <f t="shared" si="9"/>
        <v>2025</v>
      </c>
      <c r="D183" s="13" t="str">
        <f t="shared" si="10"/>
        <v>2025/26</v>
      </c>
      <c r="E183" s="9" t="s">
        <v>214</v>
      </c>
      <c r="F183" s="9" t="s">
        <v>258</v>
      </c>
      <c r="G183" s="9" t="s">
        <v>259</v>
      </c>
      <c r="H183" s="9" t="s">
        <v>260</v>
      </c>
      <c r="I183" s="9" t="s">
        <v>186</v>
      </c>
      <c r="J183" s="16">
        <v>27006.12</v>
      </c>
      <c r="K183" s="9" t="s">
        <v>261</v>
      </c>
      <c r="L183" s="9" t="s">
        <v>141</v>
      </c>
      <c r="M183" s="17">
        <f>IF(L183="","",IFERROR(INDEX(tbl_fatores_emissao[Valor],MATCH(L183,tbl_fatores_emissao[ID_FE],0)),""))</f>
        <v>0.108</v>
      </c>
      <c r="N183" s="17">
        <f t="shared" si="11"/>
        <v>2.9169999999999998</v>
      </c>
      <c r="O183" s="9" t="s">
        <v>194</v>
      </c>
      <c r="P183" s="9" t="s">
        <v>262</v>
      </c>
      <c r="Q183" s="9"/>
    </row>
    <row r="184" spans="1:17" ht="18" customHeight="1" x14ac:dyDescent="0.3">
      <c r="A184" s="13" t="str">
        <f t="shared" si="8"/>
        <v>202511-S3-C12</v>
      </c>
      <c r="B184" s="14">
        <v>45962</v>
      </c>
      <c r="C184" s="15">
        <f t="shared" si="9"/>
        <v>2025</v>
      </c>
      <c r="D184" s="13" t="str">
        <f t="shared" si="10"/>
        <v>2025/26</v>
      </c>
      <c r="E184" s="9" t="s">
        <v>214</v>
      </c>
      <c r="F184" s="9" t="s">
        <v>263</v>
      </c>
      <c r="G184" s="9" t="s">
        <v>264</v>
      </c>
      <c r="H184" s="9" t="s">
        <v>265</v>
      </c>
      <c r="I184" s="9" t="s">
        <v>186</v>
      </c>
      <c r="J184" s="16">
        <v>60013.59</v>
      </c>
      <c r="K184" s="9" t="s">
        <v>199</v>
      </c>
      <c r="L184" s="9" t="s">
        <v>163</v>
      </c>
      <c r="M184" s="17">
        <f>IF(L184="","",IFERROR(INDEX(tbl_fatores_emissao[Valor],MATCH(L184,tbl_fatores_emissao[ID_FE],0)),""))</f>
        <v>1</v>
      </c>
      <c r="N184" s="17">
        <f t="shared" si="11"/>
        <v>60.014000000000003</v>
      </c>
      <c r="O184" s="9" t="s">
        <v>194</v>
      </c>
      <c r="P184" s="9" t="s">
        <v>266</v>
      </c>
      <c r="Q184" s="9"/>
    </row>
    <row r="185" spans="1:17" ht="18" customHeight="1" x14ac:dyDescent="0.3">
      <c r="A185" s="13" t="str">
        <f t="shared" si="8"/>
        <v>202512-S1-01</v>
      </c>
      <c r="B185" s="14">
        <v>45992</v>
      </c>
      <c r="C185" s="15">
        <f t="shared" si="9"/>
        <v>2025</v>
      </c>
      <c r="D185" s="13" t="str">
        <f t="shared" si="10"/>
        <v>2025/26</v>
      </c>
      <c r="E185" s="9" t="s">
        <v>182</v>
      </c>
      <c r="F185" s="9" t="s">
        <v>183</v>
      </c>
      <c r="G185" s="9" t="s">
        <v>184</v>
      </c>
      <c r="H185" s="9" t="s">
        <v>185</v>
      </c>
      <c r="I185" s="9" t="s">
        <v>186</v>
      </c>
      <c r="J185" s="16">
        <v>229.29</v>
      </c>
      <c r="K185" s="9" t="s">
        <v>187</v>
      </c>
      <c r="L185" s="9" t="s">
        <v>96</v>
      </c>
      <c r="M185" s="17">
        <f>IF(L185="","",IFERROR(INDEX(tbl_fatores_emissao[Valor],MATCH(L185,tbl_fatores_emissao[ID_FE],0)),""))</f>
        <v>2.66</v>
      </c>
      <c r="N185" s="17">
        <f t="shared" si="11"/>
        <v>0.61</v>
      </c>
      <c r="O185" s="9" t="s">
        <v>188</v>
      </c>
      <c r="P185" s="9" t="s">
        <v>189</v>
      </c>
      <c r="Q185" s="9" t="s">
        <v>190</v>
      </c>
    </row>
    <row r="186" spans="1:17" ht="18" customHeight="1" x14ac:dyDescent="0.3">
      <c r="A186" s="13" t="str">
        <f t="shared" si="8"/>
        <v>202512-S1-02</v>
      </c>
      <c r="B186" s="14">
        <v>45992</v>
      </c>
      <c r="C186" s="15">
        <f t="shared" si="9"/>
        <v>2025</v>
      </c>
      <c r="D186" s="13" t="str">
        <f t="shared" si="10"/>
        <v>2025/26</v>
      </c>
      <c r="E186" s="9" t="s">
        <v>182</v>
      </c>
      <c r="F186" s="9" t="s">
        <v>191</v>
      </c>
      <c r="G186" s="9" t="s">
        <v>192</v>
      </c>
      <c r="H186" s="9" t="s">
        <v>193</v>
      </c>
      <c r="I186" s="9" t="s">
        <v>186</v>
      </c>
      <c r="J186" s="16">
        <v>17.07</v>
      </c>
      <c r="K186" s="9" t="s">
        <v>187</v>
      </c>
      <c r="L186" s="9" t="s">
        <v>96</v>
      </c>
      <c r="M186" s="17">
        <f>IF(L186="","",IFERROR(INDEX(tbl_fatores_emissao[Valor],MATCH(L186,tbl_fatores_emissao[ID_FE],0)),""))</f>
        <v>2.66</v>
      </c>
      <c r="N186" s="17">
        <f t="shared" si="11"/>
        <v>4.4999999999999998E-2</v>
      </c>
      <c r="O186" s="9" t="s">
        <v>194</v>
      </c>
      <c r="P186" s="9" t="s">
        <v>195</v>
      </c>
      <c r="Q186" s="9" t="s">
        <v>190</v>
      </c>
    </row>
    <row r="187" spans="1:17" ht="18" customHeight="1" x14ac:dyDescent="0.3">
      <c r="A187" s="13" t="str">
        <f t="shared" si="8"/>
        <v>202512-S1-03</v>
      </c>
      <c r="B187" s="14">
        <v>45992</v>
      </c>
      <c r="C187" s="15">
        <f t="shared" si="9"/>
        <v>2025</v>
      </c>
      <c r="D187" s="13" t="str">
        <f t="shared" si="10"/>
        <v>2025/26</v>
      </c>
      <c r="E187" s="9" t="s">
        <v>182</v>
      </c>
      <c r="F187" s="9" t="s">
        <v>196</v>
      </c>
      <c r="G187" s="9" t="s">
        <v>197</v>
      </c>
      <c r="H187" s="9" t="s">
        <v>198</v>
      </c>
      <c r="I187" s="9" t="s">
        <v>186</v>
      </c>
      <c r="J187" s="16"/>
      <c r="K187" s="9" t="s">
        <v>199</v>
      </c>
      <c r="L187" s="9" t="s">
        <v>101</v>
      </c>
      <c r="M187" s="17">
        <f>IF(L187="","",IFERROR(INDEX(tbl_fatores_emissao[Valor],MATCH(L187,tbl_fatores_emissao[ID_FE],0)),""))</f>
        <v>2088</v>
      </c>
      <c r="N187" s="17" t="str">
        <f t="shared" si="11"/>
        <v/>
      </c>
      <c r="O187" s="9" t="s">
        <v>188</v>
      </c>
      <c r="P187" s="9" t="s">
        <v>200</v>
      </c>
      <c r="Q187" s="9"/>
    </row>
    <row r="188" spans="1:17" ht="18" customHeight="1" x14ac:dyDescent="0.3">
      <c r="A188" s="13" t="str">
        <f t="shared" si="8"/>
        <v>202512-S2-LB</v>
      </c>
      <c r="B188" s="14">
        <v>45992</v>
      </c>
      <c r="C188" s="15">
        <f t="shared" si="9"/>
        <v>2025</v>
      </c>
      <c r="D188" s="13" t="str">
        <f t="shared" si="10"/>
        <v>2025/26</v>
      </c>
      <c r="E188" s="9" t="s">
        <v>201</v>
      </c>
      <c r="F188" s="9" t="s">
        <v>202</v>
      </c>
      <c r="G188" s="9" t="s">
        <v>203</v>
      </c>
      <c r="H188" s="9" t="s">
        <v>204</v>
      </c>
      <c r="I188" s="9" t="s">
        <v>205</v>
      </c>
      <c r="J188" s="16">
        <v>582602.49</v>
      </c>
      <c r="K188" s="9" t="s">
        <v>206</v>
      </c>
      <c r="L188" s="9" t="s">
        <v>82</v>
      </c>
      <c r="M188" s="17">
        <f>IF(L188="","",IFERROR(INDEX(tbl_fatores_emissao[Valor],MATCH(L188,tbl_fatores_emissao[ID_FE],0)),""))</f>
        <v>0.11</v>
      </c>
      <c r="N188" s="17">
        <f t="shared" si="11"/>
        <v>64.085999999999999</v>
      </c>
      <c r="O188" s="9" t="s">
        <v>188</v>
      </c>
      <c r="P188" s="9" t="s">
        <v>207</v>
      </c>
      <c r="Q188" s="9"/>
    </row>
    <row r="189" spans="1:17" ht="18" customHeight="1" x14ac:dyDescent="0.3">
      <c r="A189" s="13" t="str">
        <f t="shared" si="8"/>
        <v>202512-S2-MB-GO</v>
      </c>
      <c r="B189" s="14">
        <v>45992</v>
      </c>
      <c r="C189" s="15">
        <f t="shared" si="9"/>
        <v>2025</v>
      </c>
      <c r="D189" s="13" t="str">
        <f t="shared" si="10"/>
        <v>2025/26</v>
      </c>
      <c r="E189" s="9" t="s">
        <v>201</v>
      </c>
      <c r="F189" s="9" t="s">
        <v>202</v>
      </c>
      <c r="G189" s="9" t="s">
        <v>208</v>
      </c>
      <c r="H189" s="9" t="s">
        <v>209</v>
      </c>
      <c r="I189" s="9" t="s">
        <v>210</v>
      </c>
      <c r="J189" s="16">
        <v>320431.37</v>
      </c>
      <c r="K189" s="9" t="s">
        <v>206</v>
      </c>
      <c r="L189" s="9" t="s">
        <v>92</v>
      </c>
      <c r="M189" s="17">
        <f>IF(L189="","",IFERROR(INDEX(tbl_fatores_emissao[Valor],MATCH(L189,tbl_fatores_emissao[ID_FE],0)),""))</f>
        <v>0</v>
      </c>
      <c r="N189" s="17">
        <f t="shared" si="11"/>
        <v>0</v>
      </c>
      <c r="O189" s="9" t="s">
        <v>188</v>
      </c>
      <c r="P189" s="9" t="s">
        <v>211</v>
      </c>
      <c r="Q189" s="9"/>
    </row>
    <row r="190" spans="1:17" ht="18" customHeight="1" x14ac:dyDescent="0.3">
      <c r="A190" s="13" t="str">
        <f t="shared" si="8"/>
        <v>202512-S2-MB-RES</v>
      </c>
      <c r="B190" s="14">
        <v>45992</v>
      </c>
      <c r="C190" s="15">
        <f t="shared" si="9"/>
        <v>2025</v>
      </c>
      <c r="D190" s="13" t="str">
        <f t="shared" si="10"/>
        <v>2025/26</v>
      </c>
      <c r="E190" s="9" t="s">
        <v>201</v>
      </c>
      <c r="F190" s="9" t="s">
        <v>202</v>
      </c>
      <c r="G190" s="9" t="s">
        <v>212</v>
      </c>
      <c r="H190" s="9" t="s">
        <v>213</v>
      </c>
      <c r="I190" s="9" t="s">
        <v>210</v>
      </c>
      <c r="J190" s="16">
        <v>262171.12</v>
      </c>
      <c r="K190" s="9" t="s">
        <v>206</v>
      </c>
      <c r="L190" s="9" t="s">
        <v>88</v>
      </c>
      <c r="M190" s="17">
        <f>IF(L190="","",IFERROR(INDEX(tbl_fatores_emissao[Valor],MATCH(L190,tbl_fatores_emissao[ID_FE],0)),""))</f>
        <v>0.25</v>
      </c>
      <c r="N190" s="17">
        <f t="shared" si="11"/>
        <v>65.543000000000006</v>
      </c>
      <c r="O190" s="9" t="s">
        <v>188</v>
      </c>
      <c r="P190" s="9" t="s">
        <v>211</v>
      </c>
      <c r="Q190" s="9"/>
    </row>
    <row r="191" spans="1:17" ht="18" customHeight="1" x14ac:dyDescent="0.3">
      <c r="A191" s="13" t="str">
        <f t="shared" si="8"/>
        <v>202512-S3-C1-VIR</v>
      </c>
      <c r="B191" s="14">
        <v>45992</v>
      </c>
      <c r="C191" s="15">
        <f t="shared" si="9"/>
        <v>2025</v>
      </c>
      <c r="D191" s="13" t="str">
        <f t="shared" si="10"/>
        <v>2025/26</v>
      </c>
      <c r="E191" s="9" t="s">
        <v>214</v>
      </c>
      <c r="F191" s="9" t="s">
        <v>215</v>
      </c>
      <c r="G191" s="9" t="s">
        <v>216</v>
      </c>
      <c r="H191" s="9" t="s">
        <v>217</v>
      </c>
      <c r="I191" s="9" t="s">
        <v>186</v>
      </c>
      <c r="J191" s="16">
        <v>58057.02</v>
      </c>
      <c r="K191" s="9" t="s">
        <v>199</v>
      </c>
      <c r="L191" s="9" t="s">
        <v>119</v>
      </c>
      <c r="M191" s="17">
        <f>IF(L191="","",IFERROR(INDEX(tbl_fatores_emissao[Valor],MATCH(L191,tbl_fatores_emissao[ID_FE],0)),""))</f>
        <v>1.9</v>
      </c>
      <c r="N191" s="17">
        <f t="shared" si="11"/>
        <v>110.30800000000001</v>
      </c>
      <c r="O191" s="9" t="s">
        <v>218</v>
      </c>
      <c r="P191" s="9" t="s">
        <v>219</v>
      </c>
      <c r="Q191" s="9"/>
    </row>
    <row r="192" spans="1:17" ht="18" customHeight="1" x14ac:dyDescent="0.3">
      <c r="A192" s="13" t="str">
        <f t="shared" si="8"/>
        <v>202512-S3-C1-PCR</v>
      </c>
      <c r="B192" s="14">
        <v>45992</v>
      </c>
      <c r="C192" s="15">
        <f t="shared" si="9"/>
        <v>2025</v>
      </c>
      <c r="D192" s="13" t="str">
        <f t="shared" si="10"/>
        <v>2025/26</v>
      </c>
      <c r="E192" s="9" t="s">
        <v>214</v>
      </c>
      <c r="F192" s="9" t="s">
        <v>215</v>
      </c>
      <c r="G192" s="9" t="s">
        <v>220</v>
      </c>
      <c r="H192" s="9" t="s">
        <v>221</v>
      </c>
      <c r="I192" s="9" t="s">
        <v>186</v>
      </c>
      <c r="J192" s="16">
        <v>8469.58</v>
      </c>
      <c r="K192" s="9" t="s">
        <v>199</v>
      </c>
      <c r="L192" s="9" t="s">
        <v>116</v>
      </c>
      <c r="M192" s="17">
        <f>IF(L192="","",IFERROR(INDEX(tbl_fatores_emissao[Valor],MATCH(L192,tbl_fatores_emissao[ID_FE],0)),""))</f>
        <v>0.5</v>
      </c>
      <c r="N192" s="17">
        <f t="shared" si="11"/>
        <v>4.2350000000000003</v>
      </c>
      <c r="O192" s="9" t="s">
        <v>218</v>
      </c>
      <c r="P192" s="9" t="s">
        <v>222</v>
      </c>
      <c r="Q192" s="9"/>
    </row>
    <row r="193" spans="1:17" ht="18" customHeight="1" x14ac:dyDescent="0.3">
      <c r="A193" s="13" t="str">
        <f t="shared" si="8"/>
        <v>202512-S3-C1-TIN</v>
      </c>
      <c r="B193" s="14">
        <v>45992</v>
      </c>
      <c r="C193" s="15">
        <f t="shared" si="9"/>
        <v>2025</v>
      </c>
      <c r="D193" s="13" t="str">
        <f t="shared" si="10"/>
        <v>2025/26</v>
      </c>
      <c r="E193" s="9" t="s">
        <v>214</v>
      </c>
      <c r="F193" s="9" t="s">
        <v>215</v>
      </c>
      <c r="G193" s="9" t="s">
        <v>223</v>
      </c>
      <c r="H193" s="9" t="s">
        <v>123</v>
      </c>
      <c r="I193" s="9" t="s">
        <v>186</v>
      </c>
      <c r="J193" s="16">
        <v>80.92</v>
      </c>
      <c r="K193" s="9" t="s">
        <v>199</v>
      </c>
      <c r="L193" s="9" t="s">
        <v>122</v>
      </c>
      <c r="M193" s="17">
        <f>IF(L193="","",IFERROR(INDEX(tbl_fatores_emissao[Valor],MATCH(L193,tbl_fatores_emissao[ID_FE],0)),""))</f>
        <v>3</v>
      </c>
      <c r="N193" s="17">
        <f t="shared" si="11"/>
        <v>0.24299999999999999</v>
      </c>
      <c r="O193" s="9" t="s">
        <v>218</v>
      </c>
      <c r="P193" s="9" t="s">
        <v>224</v>
      </c>
      <c r="Q193" s="9"/>
    </row>
    <row r="194" spans="1:17" ht="18" customHeight="1" x14ac:dyDescent="0.3">
      <c r="A194" s="13" t="str">
        <f t="shared" si="8"/>
        <v>202512-S3-C1-SOL</v>
      </c>
      <c r="B194" s="14">
        <v>45992</v>
      </c>
      <c r="C194" s="15">
        <f t="shared" si="9"/>
        <v>2025</v>
      </c>
      <c r="D194" s="13" t="str">
        <f t="shared" si="10"/>
        <v>2025/26</v>
      </c>
      <c r="E194" s="9" t="s">
        <v>214</v>
      </c>
      <c r="F194" s="9" t="s">
        <v>215</v>
      </c>
      <c r="G194" s="9" t="s">
        <v>225</v>
      </c>
      <c r="H194" s="9" t="s">
        <v>126</v>
      </c>
      <c r="I194" s="9" t="s">
        <v>186</v>
      </c>
      <c r="J194" s="16">
        <v>54.57</v>
      </c>
      <c r="K194" s="9" t="s">
        <v>199</v>
      </c>
      <c r="L194" s="9" t="s">
        <v>125</v>
      </c>
      <c r="M194" s="17">
        <f>IF(L194="","",IFERROR(INDEX(tbl_fatores_emissao[Valor],MATCH(L194,tbl_fatores_emissao[ID_FE],0)),""))</f>
        <v>1.8</v>
      </c>
      <c r="N194" s="17">
        <f t="shared" si="11"/>
        <v>9.8000000000000004E-2</v>
      </c>
      <c r="O194" s="9" t="s">
        <v>188</v>
      </c>
      <c r="P194" s="9" t="s">
        <v>226</v>
      </c>
      <c r="Q194" s="9"/>
    </row>
    <row r="195" spans="1:17" ht="18" customHeight="1" x14ac:dyDescent="0.3">
      <c r="A195" s="13" t="str">
        <f t="shared" si="8"/>
        <v>202512-S3-C1-FOI</v>
      </c>
      <c r="B195" s="14">
        <v>45992</v>
      </c>
      <c r="C195" s="15">
        <f t="shared" si="9"/>
        <v>2025</v>
      </c>
      <c r="D195" s="13" t="str">
        <f t="shared" si="10"/>
        <v>2025/26</v>
      </c>
      <c r="E195" s="9" t="s">
        <v>214</v>
      </c>
      <c r="F195" s="9" t="s">
        <v>215</v>
      </c>
      <c r="G195" s="9" t="s">
        <v>227</v>
      </c>
      <c r="H195" s="9" t="s">
        <v>129</v>
      </c>
      <c r="I195" s="9" t="s">
        <v>186</v>
      </c>
      <c r="J195" s="16">
        <v>1183.76</v>
      </c>
      <c r="K195" s="9" t="s">
        <v>199</v>
      </c>
      <c r="L195" s="9" t="s">
        <v>128</v>
      </c>
      <c r="M195" s="17">
        <f>IF(L195="","",IFERROR(INDEX(tbl_fatores_emissao[Valor],MATCH(L195,tbl_fatores_emissao[ID_FE],0)),""))</f>
        <v>3.5</v>
      </c>
      <c r="N195" s="17">
        <f t="shared" si="11"/>
        <v>4.1429999999999998</v>
      </c>
      <c r="O195" s="9" t="s">
        <v>218</v>
      </c>
      <c r="P195" s="9" t="s">
        <v>228</v>
      </c>
      <c r="Q195" s="9"/>
    </row>
    <row r="196" spans="1:17" ht="18" customHeight="1" x14ac:dyDescent="0.3">
      <c r="A196" s="13" t="str">
        <f t="shared" si="8"/>
        <v>202512-S3-C3</v>
      </c>
      <c r="B196" s="14">
        <v>45992</v>
      </c>
      <c r="C196" s="15">
        <f t="shared" si="9"/>
        <v>2025</v>
      </c>
      <c r="D196" s="13" t="str">
        <f t="shared" si="10"/>
        <v>2025/26</v>
      </c>
      <c r="E196" s="9" t="s">
        <v>214</v>
      </c>
      <c r="F196" s="9" t="s">
        <v>229</v>
      </c>
      <c r="G196" s="9" t="s">
        <v>230</v>
      </c>
      <c r="H196" s="9" t="s">
        <v>231</v>
      </c>
      <c r="I196" s="9" t="s">
        <v>186</v>
      </c>
      <c r="J196" s="16">
        <v>582602.49</v>
      </c>
      <c r="K196" s="9" t="s">
        <v>206</v>
      </c>
      <c r="L196" s="9" t="s">
        <v>133</v>
      </c>
      <c r="M196" s="17">
        <f>IF(L196="","",IFERROR(INDEX(tbl_fatores_emissao[Valor],MATCH(L196,tbl_fatores_emissao[ID_FE],0)),""))</f>
        <v>0.02</v>
      </c>
      <c r="N196" s="17">
        <f t="shared" si="11"/>
        <v>11.651999999999999</v>
      </c>
      <c r="O196" s="9" t="s">
        <v>194</v>
      </c>
      <c r="P196" s="9" t="s">
        <v>232</v>
      </c>
      <c r="Q196" s="9"/>
    </row>
    <row r="197" spans="1:17" ht="18" customHeight="1" x14ac:dyDescent="0.3">
      <c r="A197" s="13" t="str">
        <f t="shared" ref="A197:A260" si="12">IF(B197="","",(YEAR(B197)*100+MONTH(B197))&amp;"-"&amp;G197)</f>
        <v>202512-S3-C4</v>
      </c>
      <c r="B197" s="14">
        <v>45992</v>
      </c>
      <c r="C197" s="15">
        <f t="shared" ref="C197:C260" si="13">IF(B197="","",YEAR(B197))</f>
        <v>2025</v>
      </c>
      <c r="D197" s="13" t="str">
        <f t="shared" ref="D197:D260" si="14">IF(B197="","",IF(AND(B197&gt;=DATE(2025,9,1),B197&lt;=DATE(2026,8,1)),"2025/26","Fora"))</f>
        <v>2025/26</v>
      </c>
      <c r="E197" s="9" t="s">
        <v>214</v>
      </c>
      <c r="F197" s="9" t="s">
        <v>233</v>
      </c>
      <c r="G197" s="9" t="s">
        <v>234</v>
      </c>
      <c r="H197" s="9" t="s">
        <v>235</v>
      </c>
      <c r="I197" s="9" t="s">
        <v>186</v>
      </c>
      <c r="J197" s="16">
        <v>66526.600000000006</v>
      </c>
      <c r="K197" s="9" t="s">
        <v>199</v>
      </c>
      <c r="L197" s="9" t="s">
        <v>137</v>
      </c>
      <c r="M197" s="17">
        <f>IF(L197="","",IFERROR(INDEX(tbl_fatores_emissao[Valor],MATCH(L197,tbl_fatores_emissao[ID_FE],0)),""))</f>
        <v>0.1178</v>
      </c>
      <c r="N197" s="17">
        <f t="shared" ref="N197:N260" si="15">IF(OR(J197="",M197=""),"",ROUND(J197*M197/1000,3))</f>
        <v>7.8369999999999997</v>
      </c>
      <c r="O197" s="9" t="s">
        <v>194</v>
      </c>
      <c r="P197" s="9" t="s">
        <v>236</v>
      </c>
      <c r="Q197" s="9"/>
    </row>
    <row r="198" spans="1:17" ht="18" customHeight="1" x14ac:dyDescent="0.3">
      <c r="A198" s="13" t="str">
        <f t="shared" si="12"/>
        <v>202512-S3-C5-REC</v>
      </c>
      <c r="B198" s="14">
        <v>45992</v>
      </c>
      <c r="C198" s="15">
        <f t="shared" si="13"/>
        <v>2025</v>
      </c>
      <c r="D198" s="13" t="str">
        <f t="shared" si="14"/>
        <v>2025/26</v>
      </c>
      <c r="E198" s="9" t="s">
        <v>214</v>
      </c>
      <c r="F198" s="9" t="s">
        <v>237</v>
      </c>
      <c r="G198" s="9" t="s">
        <v>238</v>
      </c>
      <c r="H198" s="9" t="s">
        <v>239</v>
      </c>
      <c r="I198" s="9" t="s">
        <v>186</v>
      </c>
      <c r="J198" s="16">
        <v>8759.1</v>
      </c>
      <c r="K198" s="9" t="s">
        <v>199</v>
      </c>
      <c r="L198" s="9" t="s">
        <v>148</v>
      </c>
      <c r="M198" s="17">
        <f>IF(L198="","",IFERROR(INDEX(tbl_fatores_emissao[Valor],MATCH(L198,tbl_fatores_emissao[ID_FE],0)),""))</f>
        <v>2.1000000000000001E-2</v>
      </c>
      <c r="N198" s="17">
        <f t="shared" si="15"/>
        <v>0.184</v>
      </c>
      <c r="O198" s="9" t="s">
        <v>188</v>
      </c>
      <c r="P198" s="9" t="s">
        <v>240</v>
      </c>
      <c r="Q198" s="9"/>
    </row>
    <row r="199" spans="1:17" ht="18" customHeight="1" x14ac:dyDescent="0.3">
      <c r="A199" s="13" t="str">
        <f t="shared" si="12"/>
        <v>202512-S3-C5-ATE</v>
      </c>
      <c r="B199" s="14">
        <v>45992</v>
      </c>
      <c r="C199" s="15">
        <f t="shared" si="13"/>
        <v>2025</v>
      </c>
      <c r="D199" s="13" t="str">
        <f t="shared" si="14"/>
        <v>2025/26</v>
      </c>
      <c r="E199" s="9" t="s">
        <v>214</v>
      </c>
      <c r="F199" s="9" t="s">
        <v>237</v>
      </c>
      <c r="G199" s="9" t="s">
        <v>241</v>
      </c>
      <c r="H199" s="9" t="s">
        <v>242</v>
      </c>
      <c r="I199" s="9" t="s">
        <v>186</v>
      </c>
      <c r="J199" s="16">
        <v>2391.1999999999998</v>
      </c>
      <c r="K199" s="9" t="s">
        <v>199</v>
      </c>
      <c r="L199" s="9" t="s">
        <v>152</v>
      </c>
      <c r="M199" s="17">
        <f>IF(L199="","",IFERROR(INDEX(tbl_fatores_emissao[Valor],MATCH(L199,tbl_fatores_emissao[ID_FE],0)),""))</f>
        <v>0.45</v>
      </c>
      <c r="N199" s="17">
        <f t="shared" si="15"/>
        <v>1.0760000000000001</v>
      </c>
      <c r="O199" s="9" t="s">
        <v>188</v>
      </c>
      <c r="P199" s="9" t="s">
        <v>243</v>
      </c>
      <c r="Q199" s="9"/>
    </row>
    <row r="200" spans="1:17" ht="18" customHeight="1" x14ac:dyDescent="0.3">
      <c r="A200" s="13" t="str">
        <f t="shared" si="12"/>
        <v>202512-S3-C5-PER</v>
      </c>
      <c r="B200" s="14">
        <v>45992</v>
      </c>
      <c r="C200" s="15">
        <f t="shared" si="13"/>
        <v>2025</v>
      </c>
      <c r="D200" s="13" t="str">
        <f t="shared" si="14"/>
        <v>2025/26</v>
      </c>
      <c r="E200" s="9" t="s">
        <v>214</v>
      </c>
      <c r="F200" s="9" t="s">
        <v>237</v>
      </c>
      <c r="G200" s="9" t="s">
        <v>244</v>
      </c>
      <c r="H200" s="9" t="s">
        <v>245</v>
      </c>
      <c r="I200" s="9" t="s">
        <v>186</v>
      </c>
      <c r="J200" s="16">
        <v>36.700000000000003</v>
      </c>
      <c r="K200" s="9" t="s">
        <v>199</v>
      </c>
      <c r="L200" s="9" t="s">
        <v>155</v>
      </c>
      <c r="M200" s="17">
        <f>IF(L200="","",IFERROR(INDEX(tbl_fatores_emissao[Valor],MATCH(L200,tbl_fatores_emissao[ID_FE],0)),""))</f>
        <v>0.9</v>
      </c>
      <c r="N200" s="17">
        <f t="shared" si="15"/>
        <v>3.3000000000000002E-2</v>
      </c>
      <c r="O200" s="9" t="s">
        <v>188</v>
      </c>
      <c r="P200" s="9" t="s">
        <v>246</v>
      </c>
      <c r="Q200" s="9"/>
    </row>
    <row r="201" spans="1:17" ht="18" customHeight="1" x14ac:dyDescent="0.3">
      <c r="A201" s="13" t="str">
        <f t="shared" si="12"/>
        <v>202512-S3-C6</v>
      </c>
      <c r="B201" s="14">
        <v>45992</v>
      </c>
      <c r="C201" s="15">
        <f t="shared" si="13"/>
        <v>2025</v>
      </c>
      <c r="D201" s="13" t="str">
        <f t="shared" si="14"/>
        <v>2025/26</v>
      </c>
      <c r="E201" s="9" t="s">
        <v>214</v>
      </c>
      <c r="F201" s="9" t="s">
        <v>247</v>
      </c>
      <c r="G201" s="9" t="s">
        <v>248</v>
      </c>
      <c r="H201" s="9" t="s">
        <v>249</v>
      </c>
      <c r="I201" s="9" t="s">
        <v>186</v>
      </c>
      <c r="J201" s="16">
        <v>2989.61</v>
      </c>
      <c r="K201" s="9" t="s">
        <v>250</v>
      </c>
      <c r="L201" s="9" t="s">
        <v>158</v>
      </c>
      <c r="M201" s="17">
        <f>IF(L201="","",IFERROR(INDEX(tbl_fatores_emissao[Valor],MATCH(L201,tbl_fatores_emissao[ID_FE],0)),""))</f>
        <v>0.17</v>
      </c>
      <c r="N201" s="17">
        <f t="shared" si="15"/>
        <v>0.50800000000000001</v>
      </c>
      <c r="O201" s="9" t="s">
        <v>194</v>
      </c>
      <c r="P201" s="9" t="s">
        <v>251</v>
      </c>
      <c r="Q201" s="9" t="s">
        <v>252</v>
      </c>
    </row>
    <row r="202" spans="1:17" ht="18" customHeight="1" x14ac:dyDescent="0.3">
      <c r="A202" s="13" t="str">
        <f t="shared" si="12"/>
        <v>202512-S3-C7</v>
      </c>
      <c r="B202" s="14">
        <v>45992</v>
      </c>
      <c r="C202" s="15">
        <f t="shared" si="13"/>
        <v>2025</v>
      </c>
      <c r="D202" s="13" t="str">
        <f t="shared" si="14"/>
        <v>2025/26</v>
      </c>
      <c r="E202" s="9" t="s">
        <v>214</v>
      </c>
      <c r="F202" s="9" t="s">
        <v>253</v>
      </c>
      <c r="G202" s="9" t="s">
        <v>254</v>
      </c>
      <c r="H202" s="9" t="s">
        <v>255</v>
      </c>
      <c r="I202" s="9" t="s">
        <v>186</v>
      </c>
      <c r="J202" s="16">
        <v>33480</v>
      </c>
      <c r="K202" s="9" t="s">
        <v>250</v>
      </c>
      <c r="L202" s="9" t="s">
        <v>158</v>
      </c>
      <c r="M202" s="17">
        <f>IF(L202="","",IFERROR(INDEX(tbl_fatores_emissao[Valor],MATCH(L202,tbl_fatores_emissao[ID_FE],0)),""))</f>
        <v>0.17</v>
      </c>
      <c r="N202" s="17">
        <f t="shared" si="15"/>
        <v>5.6920000000000002</v>
      </c>
      <c r="O202" s="9" t="s">
        <v>194</v>
      </c>
      <c r="P202" s="9" t="s">
        <v>256</v>
      </c>
      <c r="Q202" s="9" t="s">
        <v>257</v>
      </c>
    </row>
    <row r="203" spans="1:17" ht="18" customHeight="1" x14ac:dyDescent="0.3">
      <c r="A203" s="13" t="str">
        <f t="shared" si="12"/>
        <v>202512-S3-C9</v>
      </c>
      <c r="B203" s="14">
        <v>45992</v>
      </c>
      <c r="C203" s="15">
        <f t="shared" si="13"/>
        <v>2025</v>
      </c>
      <c r="D203" s="13" t="str">
        <f t="shared" si="14"/>
        <v>2025/26</v>
      </c>
      <c r="E203" s="9" t="s">
        <v>214</v>
      </c>
      <c r="F203" s="9" t="s">
        <v>258</v>
      </c>
      <c r="G203" s="9" t="s">
        <v>259</v>
      </c>
      <c r="H203" s="9" t="s">
        <v>260</v>
      </c>
      <c r="I203" s="9" t="s">
        <v>186</v>
      </c>
      <c r="J203" s="16">
        <v>29234.93</v>
      </c>
      <c r="K203" s="9" t="s">
        <v>261</v>
      </c>
      <c r="L203" s="9" t="s">
        <v>141</v>
      </c>
      <c r="M203" s="17">
        <f>IF(L203="","",IFERROR(INDEX(tbl_fatores_emissao[Valor],MATCH(L203,tbl_fatores_emissao[ID_FE],0)),""))</f>
        <v>0.108</v>
      </c>
      <c r="N203" s="17">
        <f t="shared" si="15"/>
        <v>3.157</v>
      </c>
      <c r="O203" s="9" t="s">
        <v>194</v>
      </c>
      <c r="P203" s="9" t="s">
        <v>262</v>
      </c>
      <c r="Q203" s="9"/>
    </row>
    <row r="204" spans="1:17" ht="18" customHeight="1" x14ac:dyDescent="0.3">
      <c r="A204" s="13" t="str">
        <f t="shared" si="12"/>
        <v>202512-S3-C12</v>
      </c>
      <c r="B204" s="14">
        <v>45992</v>
      </c>
      <c r="C204" s="15">
        <f t="shared" si="13"/>
        <v>2025</v>
      </c>
      <c r="D204" s="13" t="str">
        <f t="shared" si="14"/>
        <v>2025/26</v>
      </c>
      <c r="E204" s="9" t="s">
        <v>214</v>
      </c>
      <c r="F204" s="9" t="s">
        <v>263</v>
      </c>
      <c r="G204" s="9" t="s">
        <v>264</v>
      </c>
      <c r="H204" s="9" t="s">
        <v>265</v>
      </c>
      <c r="I204" s="9" t="s">
        <v>186</v>
      </c>
      <c r="J204" s="16">
        <v>64966.51</v>
      </c>
      <c r="K204" s="9" t="s">
        <v>199</v>
      </c>
      <c r="L204" s="9" t="s">
        <v>163</v>
      </c>
      <c r="M204" s="17">
        <f>IF(L204="","",IFERROR(INDEX(tbl_fatores_emissao[Valor],MATCH(L204,tbl_fatores_emissao[ID_FE],0)),""))</f>
        <v>1</v>
      </c>
      <c r="N204" s="17">
        <f t="shared" si="15"/>
        <v>64.966999999999999</v>
      </c>
      <c r="O204" s="9" t="s">
        <v>194</v>
      </c>
      <c r="P204" s="9" t="s">
        <v>266</v>
      </c>
      <c r="Q204" s="9"/>
    </row>
    <row r="205" spans="1:17" ht="18" customHeight="1" x14ac:dyDescent="0.3">
      <c r="A205" s="13" t="str">
        <f t="shared" si="12"/>
        <v>202601-S1-01</v>
      </c>
      <c r="B205" s="14">
        <v>46023</v>
      </c>
      <c r="C205" s="15">
        <f t="shared" si="13"/>
        <v>2026</v>
      </c>
      <c r="D205" s="13" t="str">
        <f t="shared" si="14"/>
        <v>2025/26</v>
      </c>
      <c r="E205" s="9" t="s">
        <v>182</v>
      </c>
      <c r="F205" s="9" t="s">
        <v>183</v>
      </c>
      <c r="G205" s="9" t="s">
        <v>184</v>
      </c>
      <c r="H205" s="9" t="s">
        <v>185</v>
      </c>
      <c r="I205" s="9" t="s">
        <v>186</v>
      </c>
      <c r="J205" s="16">
        <v>283.32</v>
      </c>
      <c r="K205" s="9" t="s">
        <v>187</v>
      </c>
      <c r="L205" s="9" t="s">
        <v>96</v>
      </c>
      <c r="M205" s="17">
        <f>IF(L205="","",IFERROR(INDEX(tbl_fatores_emissao[Valor],MATCH(L205,tbl_fatores_emissao[ID_FE],0)),""))</f>
        <v>2.66</v>
      </c>
      <c r="N205" s="17">
        <f t="shared" si="15"/>
        <v>0.754</v>
      </c>
      <c r="O205" s="9" t="s">
        <v>188</v>
      </c>
      <c r="P205" s="9" t="s">
        <v>189</v>
      </c>
      <c r="Q205" s="9" t="s">
        <v>190</v>
      </c>
    </row>
    <row r="206" spans="1:17" ht="18" customHeight="1" x14ac:dyDescent="0.3">
      <c r="A206" s="13" t="str">
        <f t="shared" si="12"/>
        <v>202601-S1-02</v>
      </c>
      <c r="B206" s="14">
        <v>46023</v>
      </c>
      <c r="C206" s="15">
        <f t="shared" si="13"/>
        <v>2026</v>
      </c>
      <c r="D206" s="13" t="str">
        <f t="shared" si="14"/>
        <v>2025/26</v>
      </c>
      <c r="E206" s="9" t="s">
        <v>182</v>
      </c>
      <c r="F206" s="9" t="s">
        <v>191</v>
      </c>
      <c r="G206" s="9" t="s">
        <v>192</v>
      </c>
      <c r="H206" s="9" t="s">
        <v>193</v>
      </c>
      <c r="I206" s="9" t="s">
        <v>186</v>
      </c>
      <c r="J206" s="16">
        <v>18.059999999999999</v>
      </c>
      <c r="K206" s="9" t="s">
        <v>187</v>
      </c>
      <c r="L206" s="9" t="s">
        <v>96</v>
      </c>
      <c r="M206" s="17">
        <f>IF(L206="","",IFERROR(INDEX(tbl_fatores_emissao[Valor],MATCH(L206,tbl_fatores_emissao[ID_FE],0)),""))</f>
        <v>2.66</v>
      </c>
      <c r="N206" s="17">
        <f t="shared" si="15"/>
        <v>4.8000000000000001E-2</v>
      </c>
      <c r="O206" s="9" t="s">
        <v>194</v>
      </c>
      <c r="P206" s="9" t="s">
        <v>195</v>
      </c>
      <c r="Q206" s="9" t="s">
        <v>190</v>
      </c>
    </row>
    <row r="207" spans="1:17" ht="18" customHeight="1" x14ac:dyDescent="0.3">
      <c r="A207" s="13" t="str">
        <f t="shared" si="12"/>
        <v>202601-S1-03</v>
      </c>
      <c r="B207" s="14">
        <v>46023</v>
      </c>
      <c r="C207" s="15">
        <f t="shared" si="13"/>
        <v>2026</v>
      </c>
      <c r="D207" s="13" t="str">
        <f t="shared" si="14"/>
        <v>2025/26</v>
      </c>
      <c r="E207" s="9" t="s">
        <v>182</v>
      </c>
      <c r="F207" s="9" t="s">
        <v>196</v>
      </c>
      <c r="G207" s="9" t="s">
        <v>197</v>
      </c>
      <c r="H207" s="9" t="s">
        <v>198</v>
      </c>
      <c r="I207" s="9" t="s">
        <v>186</v>
      </c>
      <c r="J207" s="16"/>
      <c r="K207" s="9" t="s">
        <v>199</v>
      </c>
      <c r="L207" s="9" t="s">
        <v>101</v>
      </c>
      <c r="M207" s="17">
        <f>IF(L207="","",IFERROR(INDEX(tbl_fatores_emissao[Valor],MATCH(L207,tbl_fatores_emissao[ID_FE],0)),""))</f>
        <v>2088</v>
      </c>
      <c r="N207" s="17" t="str">
        <f t="shared" si="15"/>
        <v/>
      </c>
      <c r="O207" s="9" t="s">
        <v>188</v>
      </c>
      <c r="P207" s="9" t="s">
        <v>200</v>
      </c>
      <c r="Q207" s="9"/>
    </row>
    <row r="208" spans="1:17" ht="18" customHeight="1" x14ac:dyDescent="0.3">
      <c r="A208" s="13" t="str">
        <f t="shared" si="12"/>
        <v>202601-S2-LB</v>
      </c>
      <c r="B208" s="14">
        <v>46023</v>
      </c>
      <c r="C208" s="15">
        <f t="shared" si="13"/>
        <v>2026</v>
      </c>
      <c r="D208" s="13" t="str">
        <f t="shared" si="14"/>
        <v>2025/26</v>
      </c>
      <c r="E208" s="9" t="s">
        <v>201</v>
      </c>
      <c r="F208" s="9" t="s">
        <v>202</v>
      </c>
      <c r="G208" s="9" t="s">
        <v>203</v>
      </c>
      <c r="H208" s="9" t="s">
        <v>204</v>
      </c>
      <c r="I208" s="9" t="s">
        <v>205</v>
      </c>
      <c r="J208" s="16">
        <v>567251.43999999994</v>
      </c>
      <c r="K208" s="9" t="s">
        <v>206</v>
      </c>
      <c r="L208" s="9" t="s">
        <v>82</v>
      </c>
      <c r="M208" s="17">
        <f>IF(L208="","",IFERROR(INDEX(tbl_fatores_emissao[Valor],MATCH(L208,tbl_fatores_emissao[ID_FE],0)),""))</f>
        <v>0.11</v>
      </c>
      <c r="N208" s="17">
        <f t="shared" si="15"/>
        <v>62.398000000000003</v>
      </c>
      <c r="O208" s="9" t="s">
        <v>188</v>
      </c>
      <c r="P208" s="9" t="s">
        <v>207</v>
      </c>
      <c r="Q208" s="9"/>
    </row>
    <row r="209" spans="1:17" ht="18" customHeight="1" x14ac:dyDescent="0.3">
      <c r="A209" s="13" t="str">
        <f t="shared" si="12"/>
        <v>202601-S2-MB-GO</v>
      </c>
      <c r="B209" s="14">
        <v>46023</v>
      </c>
      <c r="C209" s="15">
        <f t="shared" si="13"/>
        <v>2026</v>
      </c>
      <c r="D209" s="13" t="str">
        <f t="shared" si="14"/>
        <v>2025/26</v>
      </c>
      <c r="E209" s="9" t="s">
        <v>201</v>
      </c>
      <c r="F209" s="9" t="s">
        <v>202</v>
      </c>
      <c r="G209" s="9" t="s">
        <v>208</v>
      </c>
      <c r="H209" s="9" t="s">
        <v>209</v>
      </c>
      <c r="I209" s="9" t="s">
        <v>210</v>
      </c>
      <c r="J209" s="16">
        <v>311988.28999999998</v>
      </c>
      <c r="K209" s="9" t="s">
        <v>206</v>
      </c>
      <c r="L209" s="9" t="s">
        <v>92</v>
      </c>
      <c r="M209" s="17">
        <f>IF(L209="","",IFERROR(INDEX(tbl_fatores_emissao[Valor],MATCH(L209,tbl_fatores_emissao[ID_FE],0)),""))</f>
        <v>0</v>
      </c>
      <c r="N209" s="17">
        <f t="shared" si="15"/>
        <v>0</v>
      </c>
      <c r="O209" s="9" t="s">
        <v>188</v>
      </c>
      <c r="P209" s="9" t="s">
        <v>211</v>
      </c>
      <c r="Q209" s="9"/>
    </row>
    <row r="210" spans="1:17" ht="18" customHeight="1" x14ac:dyDescent="0.3">
      <c r="A210" s="13" t="str">
        <f t="shared" si="12"/>
        <v>202601-S2-MB-RES</v>
      </c>
      <c r="B210" s="14">
        <v>46023</v>
      </c>
      <c r="C210" s="15">
        <f t="shared" si="13"/>
        <v>2026</v>
      </c>
      <c r="D210" s="13" t="str">
        <f t="shared" si="14"/>
        <v>2025/26</v>
      </c>
      <c r="E210" s="9" t="s">
        <v>201</v>
      </c>
      <c r="F210" s="9" t="s">
        <v>202</v>
      </c>
      <c r="G210" s="9" t="s">
        <v>212</v>
      </c>
      <c r="H210" s="9" t="s">
        <v>213</v>
      </c>
      <c r="I210" s="9" t="s">
        <v>210</v>
      </c>
      <c r="J210" s="16">
        <v>255263.15</v>
      </c>
      <c r="K210" s="9" t="s">
        <v>206</v>
      </c>
      <c r="L210" s="9" t="s">
        <v>88</v>
      </c>
      <c r="M210" s="17">
        <f>IF(L210="","",IFERROR(INDEX(tbl_fatores_emissao[Valor],MATCH(L210,tbl_fatores_emissao[ID_FE],0)),""))</f>
        <v>0.25</v>
      </c>
      <c r="N210" s="17">
        <f t="shared" si="15"/>
        <v>63.816000000000003</v>
      </c>
      <c r="O210" s="9" t="s">
        <v>188</v>
      </c>
      <c r="P210" s="9" t="s">
        <v>211</v>
      </c>
      <c r="Q210" s="9"/>
    </row>
    <row r="211" spans="1:17" ht="18" customHeight="1" x14ac:dyDescent="0.3">
      <c r="A211" s="13" t="str">
        <f t="shared" si="12"/>
        <v>202601-S3-C1-VIR</v>
      </c>
      <c r="B211" s="14">
        <v>46023</v>
      </c>
      <c r="C211" s="15">
        <f t="shared" si="13"/>
        <v>2026</v>
      </c>
      <c r="D211" s="13" t="str">
        <f t="shared" si="14"/>
        <v>2025/26</v>
      </c>
      <c r="E211" s="9" t="s">
        <v>214</v>
      </c>
      <c r="F211" s="9" t="s">
        <v>215</v>
      </c>
      <c r="G211" s="9" t="s">
        <v>216</v>
      </c>
      <c r="H211" s="9" t="s">
        <v>217</v>
      </c>
      <c r="I211" s="9" t="s">
        <v>186</v>
      </c>
      <c r="J211" s="16">
        <v>57426.61</v>
      </c>
      <c r="K211" s="9" t="s">
        <v>199</v>
      </c>
      <c r="L211" s="9" t="s">
        <v>119</v>
      </c>
      <c r="M211" s="17">
        <f>IF(L211="","",IFERROR(INDEX(tbl_fatores_emissao[Valor],MATCH(L211,tbl_fatores_emissao[ID_FE],0)),""))</f>
        <v>1.9</v>
      </c>
      <c r="N211" s="17">
        <f t="shared" si="15"/>
        <v>109.111</v>
      </c>
      <c r="O211" s="9" t="s">
        <v>218</v>
      </c>
      <c r="P211" s="9" t="s">
        <v>219</v>
      </c>
      <c r="Q211" s="9"/>
    </row>
    <row r="212" spans="1:17" ht="18" customHeight="1" x14ac:dyDescent="0.3">
      <c r="A212" s="13" t="str">
        <f t="shared" si="12"/>
        <v>202601-S3-C1-PCR</v>
      </c>
      <c r="B212" s="14">
        <v>46023</v>
      </c>
      <c r="C212" s="15">
        <f t="shared" si="13"/>
        <v>2026</v>
      </c>
      <c r="D212" s="13" t="str">
        <f t="shared" si="14"/>
        <v>2025/26</v>
      </c>
      <c r="E212" s="9" t="s">
        <v>214</v>
      </c>
      <c r="F212" s="9" t="s">
        <v>215</v>
      </c>
      <c r="G212" s="9" t="s">
        <v>220</v>
      </c>
      <c r="H212" s="9" t="s">
        <v>221</v>
      </c>
      <c r="I212" s="9" t="s">
        <v>186</v>
      </c>
      <c r="J212" s="16">
        <v>7736.98</v>
      </c>
      <c r="K212" s="9" t="s">
        <v>199</v>
      </c>
      <c r="L212" s="9" t="s">
        <v>116</v>
      </c>
      <c r="M212" s="17">
        <f>IF(L212="","",IFERROR(INDEX(tbl_fatores_emissao[Valor],MATCH(L212,tbl_fatores_emissao[ID_FE],0)),""))</f>
        <v>0.5</v>
      </c>
      <c r="N212" s="17">
        <f t="shared" si="15"/>
        <v>3.8679999999999999</v>
      </c>
      <c r="O212" s="9" t="s">
        <v>218</v>
      </c>
      <c r="P212" s="9" t="s">
        <v>222</v>
      </c>
      <c r="Q212" s="9"/>
    </row>
    <row r="213" spans="1:17" ht="18" customHeight="1" x14ac:dyDescent="0.3">
      <c r="A213" s="13" t="str">
        <f t="shared" si="12"/>
        <v>202601-S3-C1-TIN</v>
      </c>
      <c r="B213" s="14">
        <v>46023</v>
      </c>
      <c r="C213" s="15">
        <f t="shared" si="13"/>
        <v>2026</v>
      </c>
      <c r="D213" s="13" t="str">
        <f t="shared" si="14"/>
        <v>2025/26</v>
      </c>
      <c r="E213" s="9" t="s">
        <v>214</v>
      </c>
      <c r="F213" s="9" t="s">
        <v>215</v>
      </c>
      <c r="G213" s="9" t="s">
        <v>223</v>
      </c>
      <c r="H213" s="9" t="s">
        <v>123</v>
      </c>
      <c r="I213" s="9" t="s">
        <v>186</v>
      </c>
      <c r="J213" s="16">
        <v>68.17</v>
      </c>
      <c r="K213" s="9" t="s">
        <v>199</v>
      </c>
      <c r="L213" s="9" t="s">
        <v>122</v>
      </c>
      <c r="M213" s="17">
        <f>IF(L213="","",IFERROR(INDEX(tbl_fatores_emissao[Valor],MATCH(L213,tbl_fatores_emissao[ID_FE],0)),""))</f>
        <v>3</v>
      </c>
      <c r="N213" s="17">
        <f t="shared" si="15"/>
        <v>0.20499999999999999</v>
      </c>
      <c r="O213" s="9" t="s">
        <v>218</v>
      </c>
      <c r="P213" s="9" t="s">
        <v>224</v>
      </c>
      <c r="Q213" s="9"/>
    </row>
    <row r="214" spans="1:17" ht="18" customHeight="1" x14ac:dyDescent="0.3">
      <c r="A214" s="13" t="str">
        <f t="shared" si="12"/>
        <v>202601-S3-C1-SOL</v>
      </c>
      <c r="B214" s="14">
        <v>46023</v>
      </c>
      <c r="C214" s="15">
        <f t="shared" si="13"/>
        <v>2026</v>
      </c>
      <c r="D214" s="13" t="str">
        <f t="shared" si="14"/>
        <v>2025/26</v>
      </c>
      <c r="E214" s="9" t="s">
        <v>214</v>
      </c>
      <c r="F214" s="9" t="s">
        <v>215</v>
      </c>
      <c r="G214" s="9" t="s">
        <v>225</v>
      </c>
      <c r="H214" s="9" t="s">
        <v>126</v>
      </c>
      <c r="I214" s="9" t="s">
        <v>186</v>
      </c>
      <c r="J214" s="16">
        <v>47.3</v>
      </c>
      <c r="K214" s="9" t="s">
        <v>199</v>
      </c>
      <c r="L214" s="9" t="s">
        <v>125</v>
      </c>
      <c r="M214" s="17">
        <f>IF(L214="","",IFERROR(INDEX(tbl_fatores_emissao[Valor],MATCH(L214,tbl_fatores_emissao[ID_FE],0)),""))</f>
        <v>1.8</v>
      </c>
      <c r="N214" s="17">
        <f t="shared" si="15"/>
        <v>8.5000000000000006E-2</v>
      </c>
      <c r="O214" s="9" t="s">
        <v>188</v>
      </c>
      <c r="P214" s="9" t="s">
        <v>226</v>
      </c>
      <c r="Q214" s="9"/>
    </row>
    <row r="215" spans="1:17" ht="18" customHeight="1" x14ac:dyDescent="0.3">
      <c r="A215" s="13" t="str">
        <f t="shared" si="12"/>
        <v>202601-S3-C1-FOI</v>
      </c>
      <c r="B215" s="14">
        <v>46023</v>
      </c>
      <c r="C215" s="15">
        <f t="shared" si="13"/>
        <v>2026</v>
      </c>
      <c r="D215" s="13" t="str">
        <f t="shared" si="14"/>
        <v>2025/26</v>
      </c>
      <c r="E215" s="9" t="s">
        <v>214</v>
      </c>
      <c r="F215" s="9" t="s">
        <v>215</v>
      </c>
      <c r="G215" s="9" t="s">
        <v>227</v>
      </c>
      <c r="H215" s="9" t="s">
        <v>129</v>
      </c>
      <c r="I215" s="9" t="s">
        <v>186</v>
      </c>
      <c r="J215" s="16">
        <v>876.62</v>
      </c>
      <c r="K215" s="9" t="s">
        <v>199</v>
      </c>
      <c r="L215" s="9" t="s">
        <v>128</v>
      </c>
      <c r="M215" s="17">
        <f>IF(L215="","",IFERROR(INDEX(tbl_fatores_emissao[Valor],MATCH(L215,tbl_fatores_emissao[ID_FE],0)),""))</f>
        <v>3.5</v>
      </c>
      <c r="N215" s="17">
        <f t="shared" si="15"/>
        <v>3.0680000000000001</v>
      </c>
      <c r="O215" s="9" t="s">
        <v>218</v>
      </c>
      <c r="P215" s="9" t="s">
        <v>228</v>
      </c>
      <c r="Q215" s="9"/>
    </row>
    <row r="216" spans="1:17" ht="18" customHeight="1" x14ac:dyDescent="0.3">
      <c r="A216" s="13" t="str">
        <f t="shared" si="12"/>
        <v>202601-S3-C3</v>
      </c>
      <c r="B216" s="14">
        <v>46023</v>
      </c>
      <c r="C216" s="15">
        <f t="shared" si="13"/>
        <v>2026</v>
      </c>
      <c r="D216" s="13" t="str">
        <f t="shared" si="14"/>
        <v>2025/26</v>
      </c>
      <c r="E216" s="9" t="s">
        <v>214</v>
      </c>
      <c r="F216" s="9" t="s">
        <v>229</v>
      </c>
      <c r="G216" s="9" t="s">
        <v>230</v>
      </c>
      <c r="H216" s="9" t="s">
        <v>231</v>
      </c>
      <c r="I216" s="9" t="s">
        <v>186</v>
      </c>
      <c r="J216" s="16">
        <v>567251.43999999994</v>
      </c>
      <c r="K216" s="9" t="s">
        <v>206</v>
      </c>
      <c r="L216" s="9" t="s">
        <v>133</v>
      </c>
      <c r="M216" s="17">
        <f>IF(L216="","",IFERROR(INDEX(tbl_fatores_emissao[Valor],MATCH(L216,tbl_fatores_emissao[ID_FE],0)),""))</f>
        <v>0.02</v>
      </c>
      <c r="N216" s="17">
        <f t="shared" si="15"/>
        <v>11.345000000000001</v>
      </c>
      <c r="O216" s="9" t="s">
        <v>194</v>
      </c>
      <c r="P216" s="9" t="s">
        <v>232</v>
      </c>
      <c r="Q216" s="9"/>
    </row>
    <row r="217" spans="1:17" ht="18" customHeight="1" x14ac:dyDescent="0.3">
      <c r="A217" s="13" t="str">
        <f t="shared" si="12"/>
        <v>202601-S3-C4</v>
      </c>
      <c r="B217" s="14">
        <v>46023</v>
      </c>
      <c r="C217" s="15">
        <f t="shared" si="13"/>
        <v>2026</v>
      </c>
      <c r="D217" s="13" t="str">
        <f t="shared" si="14"/>
        <v>2025/26</v>
      </c>
      <c r="E217" s="9" t="s">
        <v>214</v>
      </c>
      <c r="F217" s="9" t="s">
        <v>233</v>
      </c>
      <c r="G217" s="9" t="s">
        <v>234</v>
      </c>
      <c r="H217" s="9" t="s">
        <v>235</v>
      </c>
      <c r="I217" s="9" t="s">
        <v>186</v>
      </c>
      <c r="J217" s="16">
        <v>65163.59</v>
      </c>
      <c r="K217" s="9" t="s">
        <v>199</v>
      </c>
      <c r="L217" s="9" t="s">
        <v>137</v>
      </c>
      <c r="M217" s="17">
        <f>IF(L217="","",IFERROR(INDEX(tbl_fatores_emissao[Valor],MATCH(L217,tbl_fatores_emissao[ID_FE],0)),""))</f>
        <v>0.1178</v>
      </c>
      <c r="N217" s="17">
        <f t="shared" si="15"/>
        <v>7.6760000000000002</v>
      </c>
      <c r="O217" s="9" t="s">
        <v>194</v>
      </c>
      <c r="P217" s="9" t="s">
        <v>236</v>
      </c>
      <c r="Q217" s="9"/>
    </row>
    <row r="218" spans="1:17" ht="18" customHeight="1" x14ac:dyDescent="0.3">
      <c r="A218" s="13" t="str">
        <f t="shared" si="12"/>
        <v>202601-S3-C5-REC</v>
      </c>
      <c r="B218" s="14">
        <v>46023</v>
      </c>
      <c r="C218" s="15">
        <f t="shared" si="13"/>
        <v>2026</v>
      </c>
      <c r="D218" s="13" t="str">
        <f t="shared" si="14"/>
        <v>2025/26</v>
      </c>
      <c r="E218" s="9" t="s">
        <v>214</v>
      </c>
      <c r="F218" s="9" t="s">
        <v>237</v>
      </c>
      <c r="G218" s="9" t="s">
        <v>238</v>
      </c>
      <c r="H218" s="9" t="s">
        <v>239</v>
      </c>
      <c r="I218" s="9" t="s">
        <v>186</v>
      </c>
      <c r="J218" s="16">
        <v>8390.2999999999993</v>
      </c>
      <c r="K218" s="9" t="s">
        <v>199</v>
      </c>
      <c r="L218" s="9" t="s">
        <v>148</v>
      </c>
      <c r="M218" s="17">
        <f>IF(L218="","",IFERROR(INDEX(tbl_fatores_emissao[Valor],MATCH(L218,tbl_fatores_emissao[ID_FE],0)),""))</f>
        <v>2.1000000000000001E-2</v>
      </c>
      <c r="N218" s="17">
        <f t="shared" si="15"/>
        <v>0.17599999999999999</v>
      </c>
      <c r="O218" s="9" t="s">
        <v>188</v>
      </c>
      <c r="P218" s="9" t="s">
        <v>240</v>
      </c>
      <c r="Q218" s="9"/>
    </row>
    <row r="219" spans="1:17" ht="18" customHeight="1" x14ac:dyDescent="0.3">
      <c r="A219" s="13" t="str">
        <f t="shared" si="12"/>
        <v>202601-S3-C5-ATE</v>
      </c>
      <c r="B219" s="14">
        <v>46023</v>
      </c>
      <c r="C219" s="15">
        <f t="shared" si="13"/>
        <v>2026</v>
      </c>
      <c r="D219" s="13" t="str">
        <f t="shared" si="14"/>
        <v>2025/26</v>
      </c>
      <c r="E219" s="9" t="s">
        <v>214</v>
      </c>
      <c r="F219" s="9" t="s">
        <v>237</v>
      </c>
      <c r="G219" s="9" t="s">
        <v>241</v>
      </c>
      <c r="H219" s="9" t="s">
        <v>242</v>
      </c>
      <c r="I219" s="9" t="s">
        <v>186</v>
      </c>
      <c r="J219" s="16">
        <v>1962</v>
      </c>
      <c r="K219" s="9" t="s">
        <v>199</v>
      </c>
      <c r="L219" s="9" t="s">
        <v>152</v>
      </c>
      <c r="M219" s="17">
        <f>IF(L219="","",IFERROR(INDEX(tbl_fatores_emissao[Valor],MATCH(L219,tbl_fatores_emissao[ID_FE],0)),""))</f>
        <v>0.45</v>
      </c>
      <c r="N219" s="17">
        <f t="shared" si="15"/>
        <v>0.88300000000000001</v>
      </c>
      <c r="O219" s="9" t="s">
        <v>188</v>
      </c>
      <c r="P219" s="9" t="s">
        <v>243</v>
      </c>
      <c r="Q219" s="9"/>
    </row>
    <row r="220" spans="1:17" ht="18" customHeight="1" x14ac:dyDescent="0.3">
      <c r="A220" s="13" t="str">
        <f t="shared" si="12"/>
        <v>202601-S3-C5-PER</v>
      </c>
      <c r="B220" s="14">
        <v>46023</v>
      </c>
      <c r="C220" s="15">
        <f t="shared" si="13"/>
        <v>2026</v>
      </c>
      <c r="D220" s="13" t="str">
        <f t="shared" si="14"/>
        <v>2025/26</v>
      </c>
      <c r="E220" s="9" t="s">
        <v>214</v>
      </c>
      <c r="F220" s="9" t="s">
        <v>237</v>
      </c>
      <c r="G220" s="9" t="s">
        <v>244</v>
      </c>
      <c r="H220" s="9" t="s">
        <v>245</v>
      </c>
      <c r="I220" s="9" t="s">
        <v>186</v>
      </c>
      <c r="J220" s="16">
        <v>36.299999999999997</v>
      </c>
      <c r="K220" s="9" t="s">
        <v>199</v>
      </c>
      <c r="L220" s="9" t="s">
        <v>155</v>
      </c>
      <c r="M220" s="17">
        <f>IF(L220="","",IFERROR(INDEX(tbl_fatores_emissao[Valor],MATCH(L220,tbl_fatores_emissao[ID_FE],0)),""))</f>
        <v>0.9</v>
      </c>
      <c r="N220" s="17">
        <f t="shared" si="15"/>
        <v>3.3000000000000002E-2</v>
      </c>
      <c r="O220" s="9" t="s">
        <v>188</v>
      </c>
      <c r="P220" s="9" t="s">
        <v>246</v>
      </c>
      <c r="Q220" s="9"/>
    </row>
    <row r="221" spans="1:17" ht="18" customHeight="1" x14ac:dyDescent="0.3">
      <c r="A221" s="13" t="str">
        <f t="shared" si="12"/>
        <v>202601-S3-C6</v>
      </c>
      <c r="B221" s="14">
        <v>46023</v>
      </c>
      <c r="C221" s="15">
        <f t="shared" si="13"/>
        <v>2026</v>
      </c>
      <c r="D221" s="13" t="str">
        <f t="shared" si="14"/>
        <v>2025/26</v>
      </c>
      <c r="E221" s="9" t="s">
        <v>214</v>
      </c>
      <c r="F221" s="9" t="s">
        <v>247</v>
      </c>
      <c r="G221" s="9" t="s">
        <v>248</v>
      </c>
      <c r="H221" s="9" t="s">
        <v>249</v>
      </c>
      <c r="I221" s="9" t="s">
        <v>186</v>
      </c>
      <c r="J221" s="16">
        <v>2754.95</v>
      </c>
      <c r="K221" s="9" t="s">
        <v>250</v>
      </c>
      <c r="L221" s="9" t="s">
        <v>158</v>
      </c>
      <c r="M221" s="17">
        <f>IF(L221="","",IFERROR(INDEX(tbl_fatores_emissao[Valor],MATCH(L221,tbl_fatores_emissao[ID_FE],0)),""))</f>
        <v>0.17</v>
      </c>
      <c r="N221" s="17">
        <f t="shared" si="15"/>
        <v>0.46800000000000003</v>
      </c>
      <c r="O221" s="9" t="s">
        <v>194</v>
      </c>
      <c r="P221" s="9" t="s">
        <v>251</v>
      </c>
      <c r="Q221" s="9" t="s">
        <v>252</v>
      </c>
    </row>
    <row r="222" spans="1:17" ht="18" customHeight="1" x14ac:dyDescent="0.3">
      <c r="A222" s="13" t="str">
        <f t="shared" si="12"/>
        <v>202601-S3-C7</v>
      </c>
      <c r="B222" s="14">
        <v>46023</v>
      </c>
      <c r="C222" s="15">
        <f t="shared" si="13"/>
        <v>2026</v>
      </c>
      <c r="D222" s="13" t="str">
        <f t="shared" si="14"/>
        <v>2025/26</v>
      </c>
      <c r="E222" s="9" t="s">
        <v>214</v>
      </c>
      <c r="F222" s="9" t="s">
        <v>253</v>
      </c>
      <c r="G222" s="9" t="s">
        <v>254</v>
      </c>
      <c r="H222" s="9" t="s">
        <v>255</v>
      </c>
      <c r="I222" s="9" t="s">
        <v>186</v>
      </c>
      <c r="J222" s="16">
        <v>35154</v>
      </c>
      <c r="K222" s="9" t="s">
        <v>250</v>
      </c>
      <c r="L222" s="9" t="s">
        <v>158</v>
      </c>
      <c r="M222" s="17">
        <f>IF(L222="","",IFERROR(INDEX(tbl_fatores_emissao[Valor],MATCH(L222,tbl_fatores_emissao[ID_FE],0)),""))</f>
        <v>0.17</v>
      </c>
      <c r="N222" s="17">
        <f t="shared" si="15"/>
        <v>5.976</v>
      </c>
      <c r="O222" s="9" t="s">
        <v>194</v>
      </c>
      <c r="P222" s="9" t="s">
        <v>256</v>
      </c>
      <c r="Q222" s="9" t="s">
        <v>257</v>
      </c>
    </row>
    <row r="223" spans="1:17" ht="18" customHeight="1" x14ac:dyDescent="0.3">
      <c r="A223" s="13" t="str">
        <f t="shared" si="12"/>
        <v>202601-S3-C9</v>
      </c>
      <c r="B223" s="14">
        <v>46023</v>
      </c>
      <c r="C223" s="15">
        <f t="shared" si="13"/>
        <v>2026</v>
      </c>
      <c r="D223" s="13" t="str">
        <f t="shared" si="14"/>
        <v>2025/26</v>
      </c>
      <c r="E223" s="9" t="s">
        <v>214</v>
      </c>
      <c r="F223" s="9" t="s">
        <v>258</v>
      </c>
      <c r="G223" s="9" t="s">
        <v>259</v>
      </c>
      <c r="H223" s="9" t="s">
        <v>260</v>
      </c>
      <c r="I223" s="9" t="s">
        <v>186</v>
      </c>
      <c r="J223" s="16">
        <v>28651.67</v>
      </c>
      <c r="K223" s="9" t="s">
        <v>261</v>
      </c>
      <c r="L223" s="9" t="s">
        <v>141</v>
      </c>
      <c r="M223" s="17">
        <f>IF(L223="","",IFERROR(INDEX(tbl_fatores_emissao[Valor],MATCH(L223,tbl_fatores_emissao[ID_FE],0)),""))</f>
        <v>0.108</v>
      </c>
      <c r="N223" s="17">
        <f t="shared" si="15"/>
        <v>3.0939999999999999</v>
      </c>
      <c r="O223" s="9" t="s">
        <v>194</v>
      </c>
      <c r="P223" s="9" t="s">
        <v>262</v>
      </c>
      <c r="Q223" s="9"/>
    </row>
    <row r="224" spans="1:17" ht="18" customHeight="1" x14ac:dyDescent="0.3">
      <c r="A224" s="13" t="str">
        <f t="shared" si="12"/>
        <v>202601-S3-C12</v>
      </c>
      <c r="B224" s="14">
        <v>46023</v>
      </c>
      <c r="C224" s="15">
        <f t="shared" si="13"/>
        <v>2026</v>
      </c>
      <c r="D224" s="13" t="str">
        <f t="shared" si="14"/>
        <v>2025/26</v>
      </c>
      <c r="E224" s="9" t="s">
        <v>214</v>
      </c>
      <c r="F224" s="9" t="s">
        <v>263</v>
      </c>
      <c r="G224" s="9" t="s">
        <v>264</v>
      </c>
      <c r="H224" s="9" t="s">
        <v>265</v>
      </c>
      <c r="I224" s="9" t="s">
        <v>186</v>
      </c>
      <c r="J224" s="16">
        <v>63670.37</v>
      </c>
      <c r="K224" s="9" t="s">
        <v>199</v>
      </c>
      <c r="L224" s="9" t="s">
        <v>163</v>
      </c>
      <c r="M224" s="17">
        <f>IF(L224="","",IFERROR(INDEX(tbl_fatores_emissao[Valor],MATCH(L224,tbl_fatores_emissao[ID_FE],0)),""))</f>
        <v>1</v>
      </c>
      <c r="N224" s="17">
        <f t="shared" si="15"/>
        <v>63.67</v>
      </c>
      <c r="O224" s="9" t="s">
        <v>194</v>
      </c>
      <c r="P224" s="9" t="s">
        <v>266</v>
      </c>
      <c r="Q224" s="9"/>
    </row>
    <row r="225" spans="1:17" ht="18" customHeight="1" x14ac:dyDescent="0.3">
      <c r="A225" s="13" t="str">
        <f t="shared" si="12"/>
        <v>202602-S1-01</v>
      </c>
      <c r="B225" s="14">
        <v>46054</v>
      </c>
      <c r="C225" s="15">
        <f t="shared" si="13"/>
        <v>2026</v>
      </c>
      <c r="D225" s="13" t="str">
        <f t="shared" si="14"/>
        <v>2025/26</v>
      </c>
      <c r="E225" s="9" t="s">
        <v>182</v>
      </c>
      <c r="F225" s="9" t="s">
        <v>183</v>
      </c>
      <c r="G225" s="9" t="s">
        <v>184</v>
      </c>
      <c r="H225" s="9" t="s">
        <v>185</v>
      </c>
      <c r="I225" s="9" t="s">
        <v>186</v>
      </c>
      <c r="J225" s="16">
        <v>288.75</v>
      </c>
      <c r="K225" s="9" t="s">
        <v>187</v>
      </c>
      <c r="L225" s="9" t="s">
        <v>96</v>
      </c>
      <c r="M225" s="17">
        <f>IF(L225="","",IFERROR(INDEX(tbl_fatores_emissao[Valor],MATCH(L225,tbl_fatores_emissao[ID_FE],0)),""))</f>
        <v>2.66</v>
      </c>
      <c r="N225" s="17">
        <f t="shared" si="15"/>
        <v>0.76800000000000002</v>
      </c>
      <c r="O225" s="9" t="s">
        <v>188</v>
      </c>
      <c r="P225" s="9" t="s">
        <v>189</v>
      </c>
      <c r="Q225" s="9" t="s">
        <v>190</v>
      </c>
    </row>
    <row r="226" spans="1:17" ht="18" customHeight="1" x14ac:dyDescent="0.3">
      <c r="A226" s="13" t="str">
        <f t="shared" si="12"/>
        <v>202602-S1-02</v>
      </c>
      <c r="B226" s="14">
        <v>46054</v>
      </c>
      <c r="C226" s="15">
        <f t="shared" si="13"/>
        <v>2026</v>
      </c>
      <c r="D226" s="13" t="str">
        <f t="shared" si="14"/>
        <v>2025/26</v>
      </c>
      <c r="E226" s="9" t="s">
        <v>182</v>
      </c>
      <c r="F226" s="9" t="s">
        <v>191</v>
      </c>
      <c r="G226" s="9" t="s">
        <v>192</v>
      </c>
      <c r="H226" s="9" t="s">
        <v>193</v>
      </c>
      <c r="I226" s="9" t="s">
        <v>186</v>
      </c>
      <c r="J226" s="16">
        <v>17.850000000000001</v>
      </c>
      <c r="K226" s="9" t="s">
        <v>187</v>
      </c>
      <c r="L226" s="9" t="s">
        <v>96</v>
      </c>
      <c r="M226" s="17">
        <f>IF(L226="","",IFERROR(INDEX(tbl_fatores_emissao[Valor],MATCH(L226,tbl_fatores_emissao[ID_FE],0)),""))</f>
        <v>2.66</v>
      </c>
      <c r="N226" s="17">
        <f t="shared" si="15"/>
        <v>4.7E-2</v>
      </c>
      <c r="O226" s="9" t="s">
        <v>194</v>
      </c>
      <c r="P226" s="9" t="s">
        <v>195</v>
      </c>
      <c r="Q226" s="9" t="s">
        <v>190</v>
      </c>
    </row>
    <row r="227" spans="1:17" ht="18" customHeight="1" x14ac:dyDescent="0.3">
      <c r="A227" s="13" t="str">
        <f t="shared" si="12"/>
        <v>202602-S1-03</v>
      </c>
      <c r="B227" s="14">
        <v>46054</v>
      </c>
      <c r="C227" s="15">
        <f t="shared" si="13"/>
        <v>2026</v>
      </c>
      <c r="D227" s="13" t="str">
        <f t="shared" si="14"/>
        <v>2025/26</v>
      </c>
      <c r="E227" s="9" t="s">
        <v>182</v>
      </c>
      <c r="F227" s="9" t="s">
        <v>196</v>
      </c>
      <c r="G227" s="9" t="s">
        <v>197</v>
      </c>
      <c r="H227" s="9" t="s">
        <v>198</v>
      </c>
      <c r="I227" s="9" t="s">
        <v>186</v>
      </c>
      <c r="J227" s="16"/>
      <c r="K227" s="9" t="s">
        <v>199</v>
      </c>
      <c r="L227" s="9" t="s">
        <v>101</v>
      </c>
      <c r="M227" s="17">
        <f>IF(L227="","",IFERROR(INDEX(tbl_fatores_emissao[Valor],MATCH(L227,tbl_fatores_emissao[ID_FE],0)),""))</f>
        <v>2088</v>
      </c>
      <c r="N227" s="17" t="str">
        <f t="shared" si="15"/>
        <v/>
      </c>
      <c r="O227" s="9" t="s">
        <v>188</v>
      </c>
      <c r="P227" s="9" t="s">
        <v>200</v>
      </c>
      <c r="Q227" s="9"/>
    </row>
    <row r="228" spans="1:17" ht="18" customHeight="1" x14ac:dyDescent="0.3">
      <c r="A228" s="13" t="str">
        <f t="shared" si="12"/>
        <v>202602-S2-LB</v>
      </c>
      <c r="B228" s="14">
        <v>46054</v>
      </c>
      <c r="C228" s="15">
        <f t="shared" si="13"/>
        <v>2026</v>
      </c>
      <c r="D228" s="13" t="str">
        <f t="shared" si="14"/>
        <v>2025/26</v>
      </c>
      <c r="E228" s="9" t="s">
        <v>201</v>
      </c>
      <c r="F228" s="9" t="s">
        <v>202</v>
      </c>
      <c r="G228" s="9" t="s">
        <v>203</v>
      </c>
      <c r="H228" s="9" t="s">
        <v>204</v>
      </c>
      <c r="I228" s="9" t="s">
        <v>205</v>
      </c>
      <c r="J228" s="16">
        <v>527748.79</v>
      </c>
      <c r="K228" s="9" t="s">
        <v>206</v>
      </c>
      <c r="L228" s="9" t="s">
        <v>82</v>
      </c>
      <c r="M228" s="17">
        <f>IF(L228="","",IFERROR(INDEX(tbl_fatores_emissao[Valor],MATCH(L228,tbl_fatores_emissao[ID_FE],0)),""))</f>
        <v>0.11</v>
      </c>
      <c r="N228" s="17">
        <f t="shared" si="15"/>
        <v>58.052</v>
      </c>
      <c r="O228" s="9" t="s">
        <v>188</v>
      </c>
      <c r="P228" s="9" t="s">
        <v>207</v>
      </c>
      <c r="Q228" s="9"/>
    </row>
    <row r="229" spans="1:17" ht="18" customHeight="1" x14ac:dyDescent="0.3">
      <c r="A229" s="13" t="str">
        <f t="shared" si="12"/>
        <v>202602-S2-MB-GO</v>
      </c>
      <c r="B229" s="14">
        <v>46054</v>
      </c>
      <c r="C229" s="15">
        <f t="shared" si="13"/>
        <v>2026</v>
      </c>
      <c r="D229" s="13" t="str">
        <f t="shared" si="14"/>
        <v>2025/26</v>
      </c>
      <c r="E229" s="9" t="s">
        <v>201</v>
      </c>
      <c r="F229" s="9" t="s">
        <v>202</v>
      </c>
      <c r="G229" s="9" t="s">
        <v>208</v>
      </c>
      <c r="H229" s="9" t="s">
        <v>209</v>
      </c>
      <c r="I229" s="9" t="s">
        <v>210</v>
      </c>
      <c r="J229" s="16">
        <v>290261.83</v>
      </c>
      <c r="K229" s="9" t="s">
        <v>206</v>
      </c>
      <c r="L229" s="9" t="s">
        <v>92</v>
      </c>
      <c r="M229" s="17">
        <f>IF(L229="","",IFERROR(INDEX(tbl_fatores_emissao[Valor],MATCH(L229,tbl_fatores_emissao[ID_FE],0)),""))</f>
        <v>0</v>
      </c>
      <c r="N229" s="17">
        <f t="shared" si="15"/>
        <v>0</v>
      </c>
      <c r="O229" s="9" t="s">
        <v>188</v>
      </c>
      <c r="P229" s="9" t="s">
        <v>211</v>
      </c>
      <c r="Q229" s="9"/>
    </row>
    <row r="230" spans="1:17" ht="18" customHeight="1" x14ac:dyDescent="0.3">
      <c r="A230" s="13" t="str">
        <f t="shared" si="12"/>
        <v>202602-S2-MB-RES</v>
      </c>
      <c r="B230" s="14">
        <v>46054</v>
      </c>
      <c r="C230" s="15">
        <f t="shared" si="13"/>
        <v>2026</v>
      </c>
      <c r="D230" s="13" t="str">
        <f t="shared" si="14"/>
        <v>2025/26</v>
      </c>
      <c r="E230" s="9" t="s">
        <v>201</v>
      </c>
      <c r="F230" s="9" t="s">
        <v>202</v>
      </c>
      <c r="G230" s="9" t="s">
        <v>212</v>
      </c>
      <c r="H230" s="9" t="s">
        <v>213</v>
      </c>
      <c r="I230" s="9" t="s">
        <v>210</v>
      </c>
      <c r="J230" s="16">
        <v>237486.96</v>
      </c>
      <c r="K230" s="9" t="s">
        <v>206</v>
      </c>
      <c r="L230" s="9" t="s">
        <v>88</v>
      </c>
      <c r="M230" s="17">
        <f>IF(L230="","",IFERROR(INDEX(tbl_fatores_emissao[Valor],MATCH(L230,tbl_fatores_emissao[ID_FE],0)),""))</f>
        <v>0.25</v>
      </c>
      <c r="N230" s="17">
        <f t="shared" si="15"/>
        <v>59.372</v>
      </c>
      <c r="O230" s="9" t="s">
        <v>188</v>
      </c>
      <c r="P230" s="9" t="s">
        <v>211</v>
      </c>
      <c r="Q230" s="9"/>
    </row>
    <row r="231" spans="1:17" ht="18" customHeight="1" x14ac:dyDescent="0.3">
      <c r="A231" s="13" t="str">
        <f t="shared" si="12"/>
        <v>202602-S3-C1-VIR</v>
      </c>
      <c r="B231" s="14">
        <v>46054</v>
      </c>
      <c r="C231" s="15">
        <f t="shared" si="13"/>
        <v>2026</v>
      </c>
      <c r="D231" s="13" t="str">
        <f t="shared" si="14"/>
        <v>2025/26</v>
      </c>
      <c r="E231" s="9" t="s">
        <v>214</v>
      </c>
      <c r="F231" s="9" t="s">
        <v>215</v>
      </c>
      <c r="G231" s="9" t="s">
        <v>216</v>
      </c>
      <c r="H231" s="9" t="s">
        <v>217</v>
      </c>
      <c r="I231" s="9" t="s">
        <v>186</v>
      </c>
      <c r="J231" s="16">
        <v>55395.85</v>
      </c>
      <c r="K231" s="9" t="s">
        <v>199</v>
      </c>
      <c r="L231" s="9" t="s">
        <v>119</v>
      </c>
      <c r="M231" s="17">
        <f>IF(L231="","",IFERROR(INDEX(tbl_fatores_emissao[Valor],MATCH(L231,tbl_fatores_emissao[ID_FE],0)),""))</f>
        <v>1.9</v>
      </c>
      <c r="N231" s="17">
        <f t="shared" si="15"/>
        <v>105.252</v>
      </c>
      <c r="O231" s="9" t="s">
        <v>218</v>
      </c>
      <c r="P231" s="9" t="s">
        <v>219</v>
      </c>
      <c r="Q231" s="9"/>
    </row>
    <row r="232" spans="1:17" ht="18" customHeight="1" x14ac:dyDescent="0.3">
      <c r="A232" s="13" t="str">
        <f t="shared" si="12"/>
        <v>202602-S3-C1-PCR</v>
      </c>
      <c r="B232" s="14">
        <v>46054</v>
      </c>
      <c r="C232" s="15">
        <f t="shared" si="13"/>
        <v>2026</v>
      </c>
      <c r="D232" s="13" t="str">
        <f t="shared" si="14"/>
        <v>2025/26</v>
      </c>
      <c r="E232" s="9" t="s">
        <v>214</v>
      </c>
      <c r="F232" s="9" t="s">
        <v>215</v>
      </c>
      <c r="G232" s="9" t="s">
        <v>220</v>
      </c>
      <c r="H232" s="9" t="s">
        <v>221</v>
      </c>
      <c r="I232" s="9" t="s">
        <v>186</v>
      </c>
      <c r="J232" s="16">
        <v>6848.13</v>
      </c>
      <c r="K232" s="9" t="s">
        <v>199</v>
      </c>
      <c r="L232" s="9" t="s">
        <v>116</v>
      </c>
      <c r="M232" s="17">
        <f>IF(L232="","",IFERROR(INDEX(tbl_fatores_emissao[Valor],MATCH(L232,tbl_fatores_emissao[ID_FE],0)),""))</f>
        <v>0.5</v>
      </c>
      <c r="N232" s="17">
        <f t="shared" si="15"/>
        <v>3.4239999999999999</v>
      </c>
      <c r="O232" s="9" t="s">
        <v>218</v>
      </c>
      <c r="P232" s="9" t="s">
        <v>222</v>
      </c>
      <c r="Q232" s="9"/>
    </row>
    <row r="233" spans="1:17" ht="18" customHeight="1" x14ac:dyDescent="0.3">
      <c r="A233" s="13" t="str">
        <f t="shared" si="12"/>
        <v>202602-S3-C1-TIN</v>
      </c>
      <c r="B233" s="14">
        <v>46054</v>
      </c>
      <c r="C233" s="15">
        <f t="shared" si="13"/>
        <v>2026</v>
      </c>
      <c r="D233" s="13" t="str">
        <f t="shared" si="14"/>
        <v>2025/26</v>
      </c>
      <c r="E233" s="9" t="s">
        <v>214</v>
      </c>
      <c r="F233" s="9" t="s">
        <v>215</v>
      </c>
      <c r="G233" s="9" t="s">
        <v>223</v>
      </c>
      <c r="H233" s="9" t="s">
        <v>123</v>
      </c>
      <c r="I233" s="9" t="s">
        <v>186</v>
      </c>
      <c r="J233" s="16">
        <v>71.58</v>
      </c>
      <c r="K233" s="9" t="s">
        <v>199</v>
      </c>
      <c r="L233" s="9" t="s">
        <v>122</v>
      </c>
      <c r="M233" s="17">
        <f>IF(L233="","",IFERROR(INDEX(tbl_fatores_emissao[Valor],MATCH(L233,tbl_fatores_emissao[ID_FE],0)),""))</f>
        <v>3</v>
      </c>
      <c r="N233" s="17">
        <f t="shared" si="15"/>
        <v>0.215</v>
      </c>
      <c r="O233" s="9" t="s">
        <v>218</v>
      </c>
      <c r="P233" s="9" t="s">
        <v>224</v>
      </c>
      <c r="Q233" s="9"/>
    </row>
    <row r="234" spans="1:17" ht="18" customHeight="1" x14ac:dyDescent="0.3">
      <c r="A234" s="13" t="str">
        <f t="shared" si="12"/>
        <v>202602-S3-C1-SOL</v>
      </c>
      <c r="B234" s="14">
        <v>46054</v>
      </c>
      <c r="C234" s="15">
        <f t="shared" si="13"/>
        <v>2026</v>
      </c>
      <c r="D234" s="13" t="str">
        <f t="shared" si="14"/>
        <v>2025/26</v>
      </c>
      <c r="E234" s="9" t="s">
        <v>214</v>
      </c>
      <c r="F234" s="9" t="s">
        <v>215</v>
      </c>
      <c r="G234" s="9" t="s">
        <v>225</v>
      </c>
      <c r="H234" s="9" t="s">
        <v>126</v>
      </c>
      <c r="I234" s="9" t="s">
        <v>186</v>
      </c>
      <c r="J234" s="16">
        <v>47.53</v>
      </c>
      <c r="K234" s="9" t="s">
        <v>199</v>
      </c>
      <c r="L234" s="9" t="s">
        <v>125</v>
      </c>
      <c r="M234" s="17">
        <f>IF(L234="","",IFERROR(INDEX(tbl_fatores_emissao[Valor],MATCH(L234,tbl_fatores_emissao[ID_FE],0)),""))</f>
        <v>1.8</v>
      </c>
      <c r="N234" s="17">
        <f t="shared" si="15"/>
        <v>8.5999999999999993E-2</v>
      </c>
      <c r="O234" s="9" t="s">
        <v>188</v>
      </c>
      <c r="P234" s="9" t="s">
        <v>226</v>
      </c>
      <c r="Q234" s="9"/>
    </row>
    <row r="235" spans="1:17" ht="18" customHeight="1" x14ac:dyDescent="0.3">
      <c r="A235" s="13" t="str">
        <f t="shared" si="12"/>
        <v>202602-S3-C1-FOI</v>
      </c>
      <c r="B235" s="14">
        <v>46054</v>
      </c>
      <c r="C235" s="15">
        <f t="shared" si="13"/>
        <v>2026</v>
      </c>
      <c r="D235" s="13" t="str">
        <f t="shared" si="14"/>
        <v>2025/26</v>
      </c>
      <c r="E235" s="9" t="s">
        <v>214</v>
      </c>
      <c r="F235" s="9" t="s">
        <v>215</v>
      </c>
      <c r="G235" s="9" t="s">
        <v>227</v>
      </c>
      <c r="H235" s="9" t="s">
        <v>129</v>
      </c>
      <c r="I235" s="9" t="s">
        <v>186</v>
      </c>
      <c r="J235" s="16">
        <v>972.21</v>
      </c>
      <c r="K235" s="9" t="s">
        <v>199</v>
      </c>
      <c r="L235" s="9" t="s">
        <v>128</v>
      </c>
      <c r="M235" s="17">
        <f>IF(L235="","",IFERROR(INDEX(tbl_fatores_emissao[Valor],MATCH(L235,tbl_fatores_emissao[ID_FE],0)),""))</f>
        <v>3.5</v>
      </c>
      <c r="N235" s="17">
        <f t="shared" si="15"/>
        <v>3.403</v>
      </c>
      <c r="O235" s="9" t="s">
        <v>218</v>
      </c>
      <c r="P235" s="9" t="s">
        <v>228</v>
      </c>
      <c r="Q235" s="9"/>
    </row>
    <row r="236" spans="1:17" ht="18" customHeight="1" x14ac:dyDescent="0.3">
      <c r="A236" s="13" t="str">
        <f t="shared" si="12"/>
        <v>202602-S3-C3</v>
      </c>
      <c r="B236" s="14">
        <v>46054</v>
      </c>
      <c r="C236" s="15">
        <f t="shared" si="13"/>
        <v>2026</v>
      </c>
      <c r="D236" s="13" t="str">
        <f t="shared" si="14"/>
        <v>2025/26</v>
      </c>
      <c r="E236" s="9" t="s">
        <v>214</v>
      </c>
      <c r="F236" s="9" t="s">
        <v>229</v>
      </c>
      <c r="G236" s="9" t="s">
        <v>230</v>
      </c>
      <c r="H236" s="9" t="s">
        <v>231</v>
      </c>
      <c r="I236" s="9" t="s">
        <v>186</v>
      </c>
      <c r="J236" s="16">
        <v>527748.79</v>
      </c>
      <c r="K236" s="9" t="s">
        <v>206</v>
      </c>
      <c r="L236" s="9" t="s">
        <v>133</v>
      </c>
      <c r="M236" s="17">
        <f>IF(L236="","",IFERROR(INDEX(tbl_fatores_emissao[Valor],MATCH(L236,tbl_fatores_emissao[ID_FE],0)),""))</f>
        <v>0.02</v>
      </c>
      <c r="N236" s="17">
        <f t="shared" si="15"/>
        <v>10.555</v>
      </c>
      <c r="O236" s="9" t="s">
        <v>194</v>
      </c>
      <c r="P236" s="9" t="s">
        <v>232</v>
      </c>
      <c r="Q236" s="9"/>
    </row>
    <row r="237" spans="1:17" ht="18" customHeight="1" x14ac:dyDescent="0.3">
      <c r="A237" s="13" t="str">
        <f t="shared" si="12"/>
        <v>202602-S3-C4</v>
      </c>
      <c r="B237" s="14">
        <v>46054</v>
      </c>
      <c r="C237" s="15">
        <f t="shared" si="13"/>
        <v>2026</v>
      </c>
      <c r="D237" s="13" t="str">
        <f t="shared" si="14"/>
        <v>2025/26</v>
      </c>
      <c r="E237" s="9" t="s">
        <v>214</v>
      </c>
      <c r="F237" s="9" t="s">
        <v>233</v>
      </c>
      <c r="G237" s="9" t="s">
        <v>234</v>
      </c>
      <c r="H237" s="9" t="s">
        <v>235</v>
      </c>
      <c r="I237" s="9" t="s">
        <v>186</v>
      </c>
      <c r="J237" s="16">
        <v>62243.98</v>
      </c>
      <c r="K237" s="9" t="s">
        <v>199</v>
      </c>
      <c r="L237" s="9" t="s">
        <v>137</v>
      </c>
      <c r="M237" s="17">
        <f>IF(L237="","",IFERROR(INDEX(tbl_fatores_emissao[Valor],MATCH(L237,tbl_fatores_emissao[ID_FE],0)),""))</f>
        <v>0.1178</v>
      </c>
      <c r="N237" s="17">
        <f t="shared" si="15"/>
        <v>7.3319999999999999</v>
      </c>
      <c r="O237" s="9" t="s">
        <v>194</v>
      </c>
      <c r="P237" s="9" t="s">
        <v>236</v>
      </c>
      <c r="Q237" s="9"/>
    </row>
    <row r="238" spans="1:17" ht="18" customHeight="1" x14ac:dyDescent="0.3">
      <c r="A238" s="13" t="str">
        <f t="shared" si="12"/>
        <v>202602-S3-C5-REC</v>
      </c>
      <c r="B238" s="14">
        <v>46054</v>
      </c>
      <c r="C238" s="15">
        <f t="shared" si="13"/>
        <v>2026</v>
      </c>
      <c r="D238" s="13" t="str">
        <f t="shared" si="14"/>
        <v>2025/26</v>
      </c>
      <c r="E238" s="9" t="s">
        <v>214</v>
      </c>
      <c r="F238" s="9" t="s">
        <v>237</v>
      </c>
      <c r="G238" s="9" t="s">
        <v>238</v>
      </c>
      <c r="H238" s="9" t="s">
        <v>239</v>
      </c>
      <c r="I238" s="9" t="s">
        <v>186</v>
      </c>
      <c r="J238" s="16">
        <v>8170.2</v>
      </c>
      <c r="K238" s="9" t="s">
        <v>199</v>
      </c>
      <c r="L238" s="9" t="s">
        <v>148</v>
      </c>
      <c r="M238" s="17">
        <f>IF(L238="","",IFERROR(INDEX(tbl_fatores_emissao[Valor],MATCH(L238,tbl_fatores_emissao[ID_FE],0)),""))</f>
        <v>2.1000000000000001E-2</v>
      </c>
      <c r="N238" s="17">
        <f t="shared" si="15"/>
        <v>0.17199999999999999</v>
      </c>
      <c r="O238" s="9" t="s">
        <v>188</v>
      </c>
      <c r="P238" s="9" t="s">
        <v>240</v>
      </c>
      <c r="Q238" s="9"/>
    </row>
    <row r="239" spans="1:17" ht="18" customHeight="1" x14ac:dyDescent="0.3">
      <c r="A239" s="13" t="str">
        <f t="shared" si="12"/>
        <v>202602-S3-C5-ATE</v>
      </c>
      <c r="B239" s="14">
        <v>46054</v>
      </c>
      <c r="C239" s="15">
        <f t="shared" si="13"/>
        <v>2026</v>
      </c>
      <c r="D239" s="13" t="str">
        <f t="shared" si="14"/>
        <v>2025/26</v>
      </c>
      <c r="E239" s="9" t="s">
        <v>214</v>
      </c>
      <c r="F239" s="9" t="s">
        <v>237</v>
      </c>
      <c r="G239" s="9" t="s">
        <v>241</v>
      </c>
      <c r="H239" s="9" t="s">
        <v>242</v>
      </c>
      <c r="I239" s="9" t="s">
        <v>186</v>
      </c>
      <c r="J239" s="16">
        <v>2059.5</v>
      </c>
      <c r="K239" s="9" t="s">
        <v>199</v>
      </c>
      <c r="L239" s="9" t="s">
        <v>152</v>
      </c>
      <c r="M239" s="17">
        <f>IF(L239="","",IFERROR(INDEX(tbl_fatores_emissao[Valor],MATCH(L239,tbl_fatores_emissao[ID_FE],0)),""))</f>
        <v>0.45</v>
      </c>
      <c r="N239" s="17">
        <f t="shared" si="15"/>
        <v>0.92700000000000005</v>
      </c>
      <c r="O239" s="9" t="s">
        <v>188</v>
      </c>
      <c r="P239" s="9" t="s">
        <v>243</v>
      </c>
      <c r="Q239" s="9"/>
    </row>
    <row r="240" spans="1:17" ht="18" customHeight="1" x14ac:dyDescent="0.3">
      <c r="A240" s="13" t="str">
        <f t="shared" si="12"/>
        <v>202602-S3-C5-PER</v>
      </c>
      <c r="B240" s="14">
        <v>46054</v>
      </c>
      <c r="C240" s="15">
        <f t="shared" si="13"/>
        <v>2026</v>
      </c>
      <c r="D240" s="13" t="str">
        <f t="shared" si="14"/>
        <v>2025/26</v>
      </c>
      <c r="E240" s="9" t="s">
        <v>214</v>
      </c>
      <c r="F240" s="9" t="s">
        <v>237</v>
      </c>
      <c r="G240" s="9" t="s">
        <v>244</v>
      </c>
      <c r="H240" s="9" t="s">
        <v>245</v>
      </c>
      <c r="I240" s="9" t="s">
        <v>186</v>
      </c>
      <c r="J240" s="16">
        <v>36.1</v>
      </c>
      <c r="K240" s="9" t="s">
        <v>199</v>
      </c>
      <c r="L240" s="9" t="s">
        <v>155</v>
      </c>
      <c r="M240" s="17">
        <f>IF(L240="","",IFERROR(INDEX(tbl_fatores_emissao[Valor],MATCH(L240,tbl_fatores_emissao[ID_FE],0)),""))</f>
        <v>0.9</v>
      </c>
      <c r="N240" s="17">
        <f t="shared" si="15"/>
        <v>3.2000000000000001E-2</v>
      </c>
      <c r="O240" s="9" t="s">
        <v>188</v>
      </c>
      <c r="P240" s="9" t="s">
        <v>246</v>
      </c>
      <c r="Q240" s="9"/>
    </row>
    <row r="241" spans="1:17" ht="18" customHeight="1" x14ac:dyDescent="0.3">
      <c r="A241" s="13" t="str">
        <f t="shared" si="12"/>
        <v>202602-S3-C6</v>
      </c>
      <c r="B241" s="14">
        <v>46054</v>
      </c>
      <c r="C241" s="15">
        <f t="shared" si="13"/>
        <v>2026</v>
      </c>
      <c r="D241" s="13" t="str">
        <f t="shared" si="14"/>
        <v>2025/26</v>
      </c>
      <c r="E241" s="9" t="s">
        <v>214</v>
      </c>
      <c r="F241" s="9" t="s">
        <v>247</v>
      </c>
      <c r="G241" s="9" t="s">
        <v>248</v>
      </c>
      <c r="H241" s="9" t="s">
        <v>249</v>
      </c>
      <c r="I241" s="9" t="s">
        <v>186</v>
      </c>
      <c r="J241" s="16">
        <v>2982.49</v>
      </c>
      <c r="K241" s="9" t="s">
        <v>250</v>
      </c>
      <c r="L241" s="9" t="s">
        <v>158</v>
      </c>
      <c r="M241" s="17">
        <f>IF(L241="","",IFERROR(INDEX(tbl_fatores_emissao[Valor],MATCH(L241,tbl_fatores_emissao[ID_FE],0)),""))</f>
        <v>0.17</v>
      </c>
      <c r="N241" s="17">
        <f t="shared" si="15"/>
        <v>0.50700000000000001</v>
      </c>
      <c r="O241" s="9" t="s">
        <v>194</v>
      </c>
      <c r="P241" s="9" t="s">
        <v>251</v>
      </c>
      <c r="Q241" s="9" t="s">
        <v>252</v>
      </c>
    </row>
    <row r="242" spans="1:17" ht="18" customHeight="1" x14ac:dyDescent="0.3">
      <c r="A242" s="13" t="str">
        <f t="shared" si="12"/>
        <v>202602-S3-C7</v>
      </c>
      <c r="B242" s="14">
        <v>46054</v>
      </c>
      <c r="C242" s="15">
        <f t="shared" si="13"/>
        <v>2026</v>
      </c>
      <c r="D242" s="13" t="str">
        <f t="shared" si="14"/>
        <v>2025/26</v>
      </c>
      <c r="E242" s="9" t="s">
        <v>214</v>
      </c>
      <c r="F242" s="9" t="s">
        <v>253</v>
      </c>
      <c r="G242" s="9" t="s">
        <v>254</v>
      </c>
      <c r="H242" s="9" t="s">
        <v>255</v>
      </c>
      <c r="I242" s="9" t="s">
        <v>186</v>
      </c>
      <c r="J242" s="16">
        <v>33480</v>
      </c>
      <c r="K242" s="9" t="s">
        <v>250</v>
      </c>
      <c r="L242" s="9" t="s">
        <v>158</v>
      </c>
      <c r="M242" s="17">
        <f>IF(L242="","",IFERROR(INDEX(tbl_fatores_emissao[Valor],MATCH(L242,tbl_fatores_emissao[ID_FE],0)),""))</f>
        <v>0.17</v>
      </c>
      <c r="N242" s="17">
        <f t="shared" si="15"/>
        <v>5.6920000000000002</v>
      </c>
      <c r="O242" s="9" t="s">
        <v>194</v>
      </c>
      <c r="P242" s="9" t="s">
        <v>256</v>
      </c>
      <c r="Q242" s="9" t="s">
        <v>257</v>
      </c>
    </row>
    <row r="243" spans="1:17" ht="18" customHeight="1" x14ac:dyDescent="0.3">
      <c r="A243" s="13" t="str">
        <f t="shared" si="12"/>
        <v>202602-S3-C9</v>
      </c>
      <c r="B243" s="14">
        <v>46054</v>
      </c>
      <c r="C243" s="15">
        <f t="shared" si="13"/>
        <v>2026</v>
      </c>
      <c r="D243" s="13" t="str">
        <f t="shared" si="14"/>
        <v>2025/26</v>
      </c>
      <c r="E243" s="9" t="s">
        <v>214</v>
      </c>
      <c r="F243" s="9" t="s">
        <v>258</v>
      </c>
      <c r="G243" s="9" t="s">
        <v>259</v>
      </c>
      <c r="H243" s="9" t="s">
        <v>260</v>
      </c>
      <c r="I243" s="9" t="s">
        <v>186</v>
      </c>
      <c r="J243" s="16">
        <v>27375.66</v>
      </c>
      <c r="K243" s="9" t="s">
        <v>261</v>
      </c>
      <c r="L243" s="9" t="s">
        <v>141</v>
      </c>
      <c r="M243" s="17">
        <f>IF(L243="","",IFERROR(INDEX(tbl_fatores_emissao[Valor],MATCH(L243,tbl_fatores_emissao[ID_FE],0)),""))</f>
        <v>0.108</v>
      </c>
      <c r="N243" s="17">
        <f t="shared" si="15"/>
        <v>2.9569999999999999</v>
      </c>
      <c r="O243" s="9" t="s">
        <v>194</v>
      </c>
      <c r="P243" s="9" t="s">
        <v>262</v>
      </c>
      <c r="Q243" s="9"/>
    </row>
    <row r="244" spans="1:17" ht="18" customHeight="1" x14ac:dyDescent="0.3">
      <c r="A244" s="13" t="str">
        <f t="shared" si="12"/>
        <v>202602-S3-C12</v>
      </c>
      <c r="B244" s="14">
        <v>46054</v>
      </c>
      <c r="C244" s="15">
        <f t="shared" si="13"/>
        <v>2026</v>
      </c>
      <c r="D244" s="13" t="str">
        <f t="shared" si="14"/>
        <v>2025/26</v>
      </c>
      <c r="E244" s="9" t="s">
        <v>214</v>
      </c>
      <c r="F244" s="9" t="s">
        <v>263</v>
      </c>
      <c r="G244" s="9" t="s">
        <v>264</v>
      </c>
      <c r="H244" s="9" t="s">
        <v>265</v>
      </c>
      <c r="I244" s="9" t="s">
        <v>186</v>
      </c>
      <c r="J244" s="16">
        <v>60834.81</v>
      </c>
      <c r="K244" s="9" t="s">
        <v>199</v>
      </c>
      <c r="L244" s="9" t="s">
        <v>163</v>
      </c>
      <c r="M244" s="17">
        <f>IF(L244="","",IFERROR(INDEX(tbl_fatores_emissao[Valor],MATCH(L244,tbl_fatores_emissao[ID_FE],0)),""))</f>
        <v>1</v>
      </c>
      <c r="N244" s="17">
        <f t="shared" si="15"/>
        <v>60.835000000000001</v>
      </c>
      <c r="O244" s="9" t="s">
        <v>194</v>
      </c>
      <c r="P244" s="9" t="s">
        <v>266</v>
      </c>
      <c r="Q244" s="9"/>
    </row>
    <row r="245" spans="1:17" ht="18" customHeight="1" x14ac:dyDescent="0.3">
      <c r="A245" s="13" t="str">
        <f t="shared" si="12"/>
        <v>202603-S1-01</v>
      </c>
      <c r="B245" s="14">
        <v>46082</v>
      </c>
      <c r="C245" s="15">
        <f t="shared" si="13"/>
        <v>2026</v>
      </c>
      <c r="D245" s="13" t="str">
        <f t="shared" si="14"/>
        <v>2025/26</v>
      </c>
      <c r="E245" s="9" t="s">
        <v>182</v>
      </c>
      <c r="F245" s="9" t="s">
        <v>183</v>
      </c>
      <c r="G245" s="9" t="s">
        <v>184</v>
      </c>
      <c r="H245" s="9" t="s">
        <v>185</v>
      </c>
      <c r="I245" s="9" t="s">
        <v>186</v>
      </c>
      <c r="J245" s="16">
        <v>225.43</v>
      </c>
      <c r="K245" s="9" t="s">
        <v>187</v>
      </c>
      <c r="L245" s="9" t="s">
        <v>96</v>
      </c>
      <c r="M245" s="17">
        <f>IF(L245="","",IFERROR(INDEX(tbl_fatores_emissao[Valor],MATCH(L245,tbl_fatores_emissao[ID_FE],0)),""))</f>
        <v>2.66</v>
      </c>
      <c r="N245" s="17">
        <f t="shared" si="15"/>
        <v>0.6</v>
      </c>
      <c r="O245" s="9" t="s">
        <v>188</v>
      </c>
      <c r="P245" s="9" t="s">
        <v>189</v>
      </c>
      <c r="Q245" s="9" t="s">
        <v>190</v>
      </c>
    </row>
    <row r="246" spans="1:17" ht="18" customHeight="1" x14ac:dyDescent="0.3">
      <c r="A246" s="13" t="str">
        <f t="shared" si="12"/>
        <v>202603-S1-02</v>
      </c>
      <c r="B246" s="14">
        <v>46082</v>
      </c>
      <c r="C246" s="15">
        <f t="shared" si="13"/>
        <v>2026</v>
      </c>
      <c r="D246" s="13" t="str">
        <f t="shared" si="14"/>
        <v>2025/26</v>
      </c>
      <c r="E246" s="9" t="s">
        <v>182</v>
      </c>
      <c r="F246" s="9" t="s">
        <v>191</v>
      </c>
      <c r="G246" s="9" t="s">
        <v>192</v>
      </c>
      <c r="H246" s="9" t="s">
        <v>193</v>
      </c>
      <c r="I246" s="9" t="s">
        <v>186</v>
      </c>
      <c r="J246" s="16">
        <v>18.86</v>
      </c>
      <c r="K246" s="9" t="s">
        <v>187</v>
      </c>
      <c r="L246" s="9" t="s">
        <v>96</v>
      </c>
      <c r="M246" s="17">
        <f>IF(L246="","",IFERROR(INDEX(tbl_fatores_emissao[Valor],MATCH(L246,tbl_fatores_emissao[ID_FE],0)),""))</f>
        <v>2.66</v>
      </c>
      <c r="N246" s="17">
        <f t="shared" si="15"/>
        <v>0.05</v>
      </c>
      <c r="O246" s="9" t="s">
        <v>194</v>
      </c>
      <c r="P246" s="9" t="s">
        <v>195</v>
      </c>
      <c r="Q246" s="9" t="s">
        <v>190</v>
      </c>
    </row>
    <row r="247" spans="1:17" ht="18" customHeight="1" x14ac:dyDescent="0.3">
      <c r="A247" s="13" t="str">
        <f t="shared" si="12"/>
        <v>202603-S1-03</v>
      </c>
      <c r="B247" s="14">
        <v>46082</v>
      </c>
      <c r="C247" s="15">
        <f t="shared" si="13"/>
        <v>2026</v>
      </c>
      <c r="D247" s="13" t="str">
        <f t="shared" si="14"/>
        <v>2025/26</v>
      </c>
      <c r="E247" s="9" t="s">
        <v>182</v>
      </c>
      <c r="F247" s="9" t="s">
        <v>196</v>
      </c>
      <c r="G247" s="9" t="s">
        <v>197</v>
      </c>
      <c r="H247" s="9" t="s">
        <v>198</v>
      </c>
      <c r="I247" s="9" t="s">
        <v>186</v>
      </c>
      <c r="J247" s="16"/>
      <c r="K247" s="9" t="s">
        <v>199</v>
      </c>
      <c r="L247" s="9" t="s">
        <v>101</v>
      </c>
      <c r="M247" s="17">
        <f>IF(L247="","",IFERROR(INDEX(tbl_fatores_emissao[Valor],MATCH(L247,tbl_fatores_emissao[ID_FE],0)),""))</f>
        <v>2088</v>
      </c>
      <c r="N247" s="17" t="str">
        <f t="shared" si="15"/>
        <v/>
      </c>
      <c r="O247" s="9" t="s">
        <v>188</v>
      </c>
      <c r="P247" s="9" t="s">
        <v>200</v>
      </c>
      <c r="Q247" s="9"/>
    </row>
    <row r="248" spans="1:17" ht="18" customHeight="1" x14ac:dyDescent="0.3">
      <c r="A248" s="13" t="str">
        <f t="shared" si="12"/>
        <v>202603-S2-LB</v>
      </c>
      <c r="B248" s="14">
        <v>46082</v>
      </c>
      <c r="C248" s="15">
        <f t="shared" si="13"/>
        <v>2026</v>
      </c>
      <c r="D248" s="13" t="str">
        <f t="shared" si="14"/>
        <v>2025/26</v>
      </c>
      <c r="E248" s="9" t="s">
        <v>201</v>
      </c>
      <c r="F248" s="9" t="s">
        <v>202</v>
      </c>
      <c r="G248" s="9" t="s">
        <v>203</v>
      </c>
      <c r="H248" s="9" t="s">
        <v>204</v>
      </c>
      <c r="I248" s="9" t="s">
        <v>205</v>
      </c>
      <c r="J248" s="16">
        <v>590162.4</v>
      </c>
      <c r="K248" s="9" t="s">
        <v>206</v>
      </c>
      <c r="L248" s="9" t="s">
        <v>82</v>
      </c>
      <c r="M248" s="17">
        <f>IF(L248="","",IFERROR(INDEX(tbl_fatores_emissao[Valor],MATCH(L248,tbl_fatores_emissao[ID_FE],0)),""))</f>
        <v>0.11</v>
      </c>
      <c r="N248" s="17">
        <f t="shared" si="15"/>
        <v>64.918000000000006</v>
      </c>
      <c r="O248" s="9" t="s">
        <v>188</v>
      </c>
      <c r="P248" s="9" t="s">
        <v>207</v>
      </c>
      <c r="Q248" s="9"/>
    </row>
    <row r="249" spans="1:17" ht="18" customHeight="1" x14ac:dyDescent="0.3">
      <c r="A249" s="13" t="str">
        <f t="shared" si="12"/>
        <v>202603-S2-MB-GO</v>
      </c>
      <c r="B249" s="14">
        <v>46082</v>
      </c>
      <c r="C249" s="15">
        <f t="shared" si="13"/>
        <v>2026</v>
      </c>
      <c r="D249" s="13" t="str">
        <f t="shared" si="14"/>
        <v>2025/26</v>
      </c>
      <c r="E249" s="9" t="s">
        <v>201</v>
      </c>
      <c r="F249" s="9" t="s">
        <v>202</v>
      </c>
      <c r="G249" s="9" t="s">
        <v>208</v>
      </c>
      <c r="H249" s="9" t="s">
        <v>209</v>
      </c>
      <c r="I249" s="9" t="s">
        <v>210</v>
      </c>
      <c r="J249" s="16">
        <v>324589.32</v>
      </c>
      <c r="K249" s="9" t="s">
        <v>206</v>
      </c>
      <c r="L249" s="9" t="s">
        <v>92</v>
      </c>
      <c r="M249" s="17">
        <f>IF(L249="","",IFERROR(INDEX(tbl_fatores_emissao[Valor],MATCH(L249,tbl_fatores_emissao[ID_FE],0)),""))</f>
        <v>0</v>
      </c>
      <c r="N249" s="17">
        <f t="shared" si="15"/>
        <v>0</v>
      </c>
      <c r="O249" s="9" t="s">
        <v>188</v>
      </c>
      <c r="P249" s="9" t="s">
        <v>211</v>
      </c>
      <c r="Q249" s="9"/>
    </row>
    <row r="250" spans="1:17" ht="18" customHeight="1" x14ac:dyDescent="0.3">
      <c r="A250" s="13" t="str">
        <f t="shared" si="12"/>
        <v>202603-S2-MB-RES</v>
      </c>
      <c r="B250" s="14">
        <v>46082</v>
      </c>
      <c r="C250" s="15">
        <f t="shared" si="13"/>
        <v>2026</v>
      </c>
      <c r="D250" s="13" t="str">
        <f t="shared" si="14"/>
        <v>2025/26</v>
      </c>
      <c r="E250" s="9" t="s">
        <v>201</v>
      </c>
      <c r="F250" s="9" t="s">
        <v>202</v>
      </c>
      <c r="G250" s="9" t="s">
        <v>212</v>
      </c>
      <c r="H250" s="9" t="s">
        <v>213</v>
      </c>
      <c r="I250" s="9" t="s">
        <v>210</v>
      </c>
      <c r="J250" s="16">
        <v>265573.08</v>
      </c>
      <c r="K250" s="9" t="s">
        <v>206</v>
      </c>
      <c r="L250" s="9" t="s">
        <v>88</v>
      </c>
      <c r="M250" s="17">
        <f>IF(L250="","",IFERROR(INDEX(tbl_fatores_emissao[Valor],MATCH(L250,tbl_fatores_emissao[ID_FE],0)),""))</f>
        <v>0.25</v>
      </c>
      <c r="N250" s="17">
        <f t="shared" si="15"/>
        <v>66.393000000000001</v>
      </c>
      <c r="O250" s="9" t="s">
        <v>188</v>
      </c>
      <c r="P250" s="9" t="s">
        <v>211</v>
      </c>
      <c r="Q250" s="9"/>
    </row>
    <row r="251" spans="1:17" ht="18" customHeight="1" x14ac:dyDescent="0.3">
      <c r="A251" s="13" t="str">
        <f t="shared" si="12"/>
        <v>202603-S3-C1-VIR</v>
      </c>
      <c r="B251" s="14">
        <v>46082</v>
      </c>
      <c r="C251" s="15">
        <f t="shared" si="13"/>
        <v>2026</v>
      </c>
      <c r="D251" s="13" t="str">
        <f t="shared" si="14"/>
        <v>2025/26</v>
      </c>
      <c r="E251" s="9" t="s">
        <v>214</v>
      </c>
      <c r="F251" s="9" t="s">
        <v>215</v>
      </c>
      <c r="G251" s="9" t="s">
        <v>216</v>
      </c>
      <c r="H251" s="9" t="s">
        <v>217</v>
      </c>
      <c r="I251" s="9" t="s">
        <v>186</v>
      </c>
      <c r="J251" s="16">
        <v>59200.31</v>
      </c>
      <c r="K251" s="9" t="s">
        <v>199</v>
      </c>
      <c r="L251" s="9" t="s">
        <v>119</v>
      </c>
      <c r="M251" s="17">
        <f>IF(L251="","",IFERROR(INDEX(tbl_fatores_emissao[Valor],MATCH(L251,tbl_fatores_emissao[ID_FE],0)),""))</f>
        <v>1.9</v>
      </c>
      <c r="N251" s="17">
        <f t="shared" si="15"/>
        <v>112.48099999999999</v>
      </c>
      <c r="O251" s="9" t="s">
        <v>218</v>
      </c>
      <c r="P251" s="9" t="s">
        <v>219</v>
      </c>
      <c r="Q251" s="9"/>
    </row>
    <row r="252" spans="1:17" ht="18" customHeight="1" x14ac:dyDescent="0.3">
      <c r="A252" s="13" t="str">
        <f t="shared" si="12"/>
        <v>202603-S3-C1-PCR</v>
      </c>
      <c r="B252" s="14">
        <v>46082</v>
      </c>
      <c r="C252" s="15">
        <f t="shared" si="13"/>
        <v>2026</v>
      </c>
      <c r="D252" s="13" t="str">
        <f t="shared" si="14"/>
        <v>2025/26</v>
      </c>
      <c r="E252" s="9" t="s">
        <v>214</v>
      </c>
      <c r="F252" s="9" t="s">
        <v>215</v>
      </c>
      <c r="G252" s="9" t="s">
        <v>220</v>
      </c>
      <c r="H252" s="9" t="s">
        <v>221</v>
      </c>
      <c r="I252" s="9" t="s">
        <v>186</v>
      </c>
      <c r="J252" s="16">
        <v>7999.31</v>
      </c>
      <c r="K252" s="9" t="s">
        <v>199</v>
      </c>
      <c r="L252" s="9" t="s">
        <v>116</v>
      </c>
      <c r="M252" s="17">
        <f>IF(L252="","",IFERROR(INDEX(tbl_fatores_emissao[Valor],MATCH(L252,tbl_fatores_emissao[ID_FE],0)),""))</f>
        <v>0.5</v>
      </c>
      <c r="N252" s="17">
        <f t="shared" si="15"/>
        <v>4</v>
      </c>
      <c r="O252" s="9" t="s">
        <v>218</v>
      </c>
      <c r="P252" s="9" t="s">
        <v>222</v>
      </c>
      <c r="Q252" s="9"/>
    </row>
    <row r="253" spans="1:17" ht="18" customHeight="1" x14ac:dyDescent="0.3">
      <c r="A253" s="13" t="str">
        <f t="shared" si="12"/>
        <v>202603-S3-C1-TIN</v>
      </c>
      <c r="B253" s="14">
        <v>46082</v>
      </c>
      <c r="C253" s="15">
        <f t="shared" si="13"/>
        <v>2026</v>
      </c>
      <c r="D253" s="13" t="str">
        <f t="shared" si="14"/>
        <v>2025/26</v>
      </c>
      <c r="E253" s="9" t="s">
        <v>214</v>
      </c>
      <c r="F253" s="9" t="s">
        <v>215</v>
      </c>
      <c r="G253" s="9" t="s">
        <v>223</v>
      </c>
      <c r="H253" s="9" t="s">
        <v>123</v>
      </c>
      <c r="I253" s="9" t="s">
        <v>186</v>
      </c>
      <c r="J253" s="16">
        <v>93.29</v>
      </c>
      <c r="K253" s="9" t="s">
        <v>199</v>
      </c>
      <c r="L253" s="9" t="s">
        <v>122</v>
      </c>
      <c r="M253" s="17">
        <f>IF(L253="","",IFERROR(INDEX(tbl_fatores_emissao[Valor],MATCH(L253,tbl_fatores_emissao[ID_FE],0)),""))</f>
        <v>3</v>
      </c>
      <c r="N253" s="17">
        <f t="shared" si="15"/>
        <v>0.28000000000000003</v>
      </c>
      <c r="O253" s="9" t="s">
        <v>218</v>
      </c>
      <c r="P253" s="9" t="s">
        <v>224</v>
      </c>
      <c r="Q253" s="9"/>
    </row>
    <row r="254" spans="1:17" ht="18" customHeight="1" x14ac:dyDescent="0.3">
      <c r="A254" s="13" t="str">
        <f t="shared" si="12"/>
        <v>202603-S3-C1-SOL</v>
      </c>
      <c r="B254" s="14">
        <v>46082</v>
      </c>
      <c r="C254" s="15">
        <f t="shared" si="13"/>
        <v>2026</v>
      </c>
      <c r="D254" s="13" t="str">
        <f t="shared" si="14"/>
        <v>2025/26</v>
      </c>
      <c r="E254" s="9" t="s">
        <v>214</v>
      </c>
      <c r="F254" s="9" t="s">
        <v>215</v>
      </c>
      <c r="G254" s="9" t="s">
        <v>225</v>
      </c>
      <c r="H254" s="9" t="s">
        <v>126</v>
      </c>
      <c r="I254" s="9" t="s">
        <v>186</v>
      </c>
      <c r="J254" s="16">
        <v>61.77</v>
      </c>
      <c r="K254" s="9" t="s">
        <v>199</v>
      </c>
      <c r="L254" s="9" t="s">
        <v>125</v>
      </c>
      <c r="M254" s="17">
        <f>IF(L254="","",IFERROR(INDEX(tbl_fatores_emissao[Valor],MATCH(L254,tbl_fatores_emissao[ID_FE],0)),""))</f>
        <v>1.8</v>
      </c>
      <c r="N254" s="17">
        <f t="shared" si="15"/>
        <v>0.111</v>
      </c>
      <c r="O254" s="9" t="s">
        <v>188</v>
      </c>
      <c r="P254" s="9" t="s">
        <v>226</v>
      </c>
      <c r="Q254" s="9"/>
    </row>
    <row r="255" spans="1:17" ht="18" customHeight="1" x14ac:dyDescent="0.3">
      <c r="A255" s="13" t="str">
        <f t="shared" si="12"/>
        <v>202603-S3-C1-FOI</v>
      </c>
      <c r="B255" s="14">
        <v>46082</v>
      </c>
      <c r="C255" s="15">
        <f t="shared" si="13"/>
        <v>2026</v>
      </c>
      <c r="D255" s="13" t="str">
        <f t="shared" si="14"/>
        <v>2025/26</v>
      </c>
      <c r="E255" s="9" t="s">
        <v>214</v>
      </c>
      <c r="F255" s="9" t="s">
        <v>215</v>
      </c>
      <c r="G255" s="9" t="s">
        <v>227</v>
      </c>
      <c r="H255" s="9" t="s">
        <v>129</v>
      </c>
      <c r="I255" s="9" t="s">
        <v>186</v>
      </c>
      <c r="J255" s="16">
        <v>1073.3699999999999</v>
      </c>
      <c r="K255" s="9" t="s">
        <v>199</v>
      </c>
      <c r="L255" s="9" t="s">
        <v>128</v>
      </c>
      <c r="M255" s="17">
        <f>IF(L255="","",IFERROR(INDEX(tbl_fatores_emissao[Valor],MATCH(L255,tbl_fatores_emissao[ID_FE],0)),""))</f>
        <v>3.5</v>
      </c>
      <c r="N255" s="17">
        <f t="shared" si="15"/>
        <v>3.7570000000000001</v>
      </c>
      <c r="O255" s="9" t="s">
        <v>218</v>
      </c>
      <c r="P255" s="9" t="s">
        <v>228</v>
      </c>
      <c r="Q255" s="9"/>
    </row>
    <row r="256" spans="1:17" ht="18" customHeight="1" x14ac:dyDescent="0.3">
      <c r="A256" s="13" t="str">
        <f t="shared" si="12"/>
        <v>202603-S3-C3</v>
      </c>
      <c r="B256" s="14">
        <v>46082</v>
      </c>
      <c r="C256" s="15">
        <f t="shared" si="13"/>
        <v>2026</v>
      </c>
      <c r="D256" s="13" t="str">
        <f t="shared" si="14"/>
        <v>2025/26</v>
      </c>
      <c r="E256" s="9" t="s">
        <v>214</v>
      </c>
      <c r="F256" s="9" t="s">
        <v>229</v>
      </c>
      <c r="G256" s="9" t="s">
        <v>230</v>
      </c>
      <c r="H256" s="9" t="s">
        <v>231</v>
      </c>
      <c r="I256" s="9" t="s">
        <v>186</v>
      </c>
      <c r="J256" s="16">
        <v>590162.4</v>
      </c>
      <c r="K256" s="9" t="s">
        <v>206</v>
      </c>
      <c r="L256" s="9" t="s">
        <v>133</v>
      </c>
      <c r="M256" s="17">
        <f>IF(L256="","",IFERROR(INDEX(tbl_fatores_emissao[Valor],MATCH(L256,tbl_fatores_emissao[ID_FE],0)),""))</f>
        <v>0.02</v>
      </c>
      <c r="N256" s="17">
        <f t="shared" si="15"/>
        <v>11.803000000000001</v>
      </c>
      <c r="O256" s="9" t="s">
        <v>194</v>
      </c>
      <c r="P256" s="9" t="s">
        <v>232</v>
      </c>
      <c r="Q256" s="9"/>
    </row>
    <row r="257" spans="1:17" ht="18" customHeight="1" x14ac:dyDescent="0.3">
      <c r="A257" s="13" t="str">
        <f t="shared" si="12"/>
        <v>202603-S3-C4</v>
      </c>
      <c r="B257" s="14">
        <v>46082</v>
      </c>
      <c r="C257" s="15">
        <f t="shared" si="13"/>
        <v>2026</v>
      </c>
      <c r="D257" s="13" t="str">
        <f t="shared" si="14"/>
        <v>2025/26</v>
      </c>
      <c r="E257" s="9" t="s">
        <v>214</v>
      </c>
      <c r="F257" s="9" t="s">
        <v>233</v>
      </c>
      <c r="G257" s="9" t="s">
        <v>234</v>
      </c>
      <c r="H257" s="9" t="s">
        <v>235</v>
      </c>
      <c r="I257" s="9" t="s">
        <v>186</v>
      </c>
      <c r="J257" s="16">
        <v>67199.62</v>
      </c>
      <c r="K257" s="9" t="s">
        <v>199</v>
      </c>
      <c r="L257" s="9" t="s">
        <v>137</v>
      </c>
      <c r="M257" s="17">
        <f>IF(L257="","",IFERROR(INDEX(tbl_fatores_emissao[Valor],MATCH(L257,tbl_fatores_emissao[ID_FE],0)),""))</f>
        <v>0.1178</v>
      </c>
      <c r="N257" s="17">
        <f t="shared" si="15"/>
        <v>7.9160000000000004</v>
      </c>
      <c r="O257" s="9" t="s">
        <v>194</v>
      </c>
      <c r="P257" s="9" t="s">
        <v>236</v>
      </c>
      <c r="Q257" s="9"/>
    </row>
    <row r="258" spans="1:17" ht="18" customHeight="1" x14ac:dyDescent="0.3">
      <c r="A258" s="13" t="str">
        <f t="shared" si="12"/>
        <v>202603-S3-C5-REC</v>
      </c>
      <c r="B258" s="14">
        <v>46082</v>
      </c>
      <c r="C258" s="15">
        <f t="shared" si="13"/>
        <v>2026</v>
      </c>
      <c r="D258" s="13" t="str">
        <f t="shared" si="14"/>
        <v>2025/26</v>
      </c>
      <c r="E258" s="9" t="s">
        <v>214</v>
      </c>
      <c r="F258" s="9" t="s">
        <v>237</v>
      </c>
      <c r="G258" s="9" t="s">
        <v>238</v>
      </c>
      <c r="H258" s="9" t="s">
        <v>239</v>
      </c>
      <c r="I258" s="9" t="s">
        <v>186</v>
      </c>
      <c r="J258" s="16">
        <v>8592.9</v>
      </c>
      <c r="K258" s="9" t="s">
        <v>199</v>
      </c>
      <c r="L258" s="9" t="s">
        <v>148</v>
      </c>
      <c r="M258" s="17">
        <f>IF(L258="","",IFERROR(INDEX(tbl_fatores_emissao[Valor],MATCH(L258,tbl_fatores_emissao[ID_FE],0)),""))</f>
        <v>2.1000000000000001E-2</v>
      </c>
      <c r="N258" s="17">
        <f t="shared" si="15"/>
        <v>0.18</v>
      </c>
      <c r="O258" s="9" t="s">
        <v>188</v>
      </c>
      <c r="P258" s="9" t="s">
        <v>240</v>
      </c>
      <c r="Q258" s="9"/>
    </row>
    <row r="259" spans="1:17" ht="18" customHeight="1" x14ac:dyDescent="0.3">
      <c r="A259" s="13" t="str">
        <f t="shared" si="12"/>
        <v>202603-S3-C5-ATE</v>
      </c>
      <c r="B259" s="14">
        <v>46082</v>
      </c>
      <c r="C259" s="15">
        <f t="shared" si="13"/>
        <v>2026</v>
      </c>
      <c r="D259" s="13" t="str">
        <f t="shared" si="14"/>
        <v>2025/26</v>
      </c>
      <c r="E259" s="9" t="s">
        <v>214</v>
      </c>
      <c r="F259" s="9" t="s">
        <v>237</v>
      </c>
      <c r="G259" s="9" t="s">
        <v>241</v>
      </c>
      <c r="H259" s="9" t="s">
        <v>242</v>
      </c>
      <c r="I259" s="9" t="s">
        <v>186</v>
      </c>
      <c r="J259" s="16">
        <v>2107.1</v>
      </c>
      <c r="K259" s="9" t="s">
        <v>199</v>
      </c>
      <c r="L259" s="9" t="s">
        <v>152</v>
      </c>
      <c r="M259" s="17">
        <f>IF(L259="","",IFERROR(INDEX(tbl_fatores_emissao[Valor],MATCH(L259,tbl_fatores_emissao[ID_FE],0)),""))</f>
        <v>0.45</v>
      </c>
      <c r="N259" s="17">
        <f t="shared" si="15"/>
        <v>0.94799999999999995</v>
      </c>
      <c r="O259" s="9" t="s">
        <v>188</v>
      </c>
      <c r="P259" s="9" t="s">
        <v>243</v>
      </c>
      <c r="Q259" s="9"/>
    </row>
    <row r="260" spans="1:17" ht="18" customHeight="1" x14ac:dyDescent="0.3">
      <c r="A260" s="13" t="str">
        <f t="shared" si="12"/>
        <v>202603-S3-C5-PER</v>
      </c>
      <c r="B260" s="14">
        <v>46082</v>
      </c>
      <c r="C260" s="15">
        <f t="shared" si="13"/>
        <v>2026</v>
      </c>
      <c r="D260" s="13" t="str">
        <f t="shared" si="14"/>
        <v>2025/26</v>
      </c>
      <c r="E260" s="9" t="s">
        <v>214</v>
      </c>
      <c r="F260" s="9" t="s">
        <v>237</v>
      </c>
      <c r="G260" s="9" t="s">
        <v>244</v>
      </c>
      <c r="H260" s="9" t="s">
        <v>245</v>
      </c>
      <c r="I260" s="9" t="s">
        <v>186</v>
      </c>
      <c r="J260" s="16">
        <v>40.799999999999997</v>
      </c>
      <c r="K260" s="9" t="s">
        <v>199</v>
      </c>
      <c r="L260" s="9" t="s">
        <v>155</v>
      </c>
      <c r="M260" s="17">
        <f>IF(L260="","",IFERROR(INDEX(tbl_fatores_emissao[Valor],MATCH(L260,tbl_fatores_emissao[ID_FE],0)),""))</f>
        <v>0.9</v>
      </c>
      <c r="N260" s="17">
        <f t="shared" si="15"/>
        <v>3.6999999999999998E-2</v>
      </c>
      <c r="O260" s="9" t="s">
        <v>188</v>
      </c>
      <c r="P260" s="9" t="s">
        <v>246</v>
      </c>
      <c r="Q260" s="9"/>
    </row>
    <row r="261" spans="1:17" ht="18" customHeight="1" x14ac:dyDescent="0.3">
      <c r="A261" s="13" t="str">
        <f t="shared" ref="A261:A324" si="16">IF(B261="","",(YEAR(B261)*100+MONTH(B261))&amp;"-"&amp;G261)</f>
        <v>202603-S3-C6</v>
      </c>
      <c r="B261" s="14">
        <v>46082</v>
      </c>
      <c r="C261" s="15">
        <f t="shared" ref="C261:C324" si="17">IF(B261="","",YEAR(B261))</f>
        <v>2026</v>
      </c>
      <c r="D261" s="13" t="str">
        <f t="shared" ref="D261:D324" si="18">IF(B261="","",IF(AND(B261&gt;=DATE(2025,9,1),B261&lt;=DATE(2026,8,1)),"2025/26","Fora"))</f>
        <v>2025/26</v>
      </c>
      <c r="E261" s="9" t="s">
        <v>214</v>
      </c>
      <c r="F261" s="9" t="s">
        <v>247</v>
      </c>
      <c r="G261" s="9" t="s">
        <v>248</v>
      </c>
      <c r="H261" s="9" t="s">
        <v>249</v>
      </c>
      <c r="I261" s="9" t="s">
        <v>186</v>
      </c>
      <c r="J261" s="16">
        <v>2445.06</v>
      </c>
      <c r="K261" s="9" t="s">
        <v>250</v>
      </c>
      <c r="L261" s="9" t="s">
        <v>158</v>
      </c>
      <c r="M261" s="17">
        <f>IF(L261="","",IFERROR(INDEX(tbl_fatores_emissao[Valor],MATCH(L261,tbl_fatores_emissao[ID_FE],0)),""))</f>
        <v>0.17</v>
      </c>
      <c r="N261" s="17">
        <f t="shared" ref="N261:N324" si="19">IF(OR(J261="",M261=""),"",ROUND(J261*M261/1000,3))</f>
        <v>0.41599999999999998</v>
      </c>
      <c r="O261" s="9" t="s">
        <v>194</v>
      </c>
      <c r="P261" s="9" t="s">
        <v>251</v>
      </c>
      <c r="Q261" s="9" t="s">
        <v>252</v>
      </c>
    </row>
    <row r="262" spans="1:17" ht="18" customHeight="1" x14ac:dyDescent="0.3">
      <c r="A262" s="13" t="str">
        <f t="shared" si="16"/>
        <v>202603-S3-C7</v>
      </c>
      <c r="B262" s="14">
        <v>46082</v>
      </c>
      <c r="C262" s="15">
        <f t="shared" si="17"/>
        <v>2026</v>
      </c>
      <c r="D262" s="13" t="str">
        <f t="shared" si="18"/>
        <v>2025/26</v>
      </c>
      <c r="E262" s="9" t="s">
        <v>214</v>
      </c>
      <c r="F262" s="9" t="s">
        <v>253</v>
      </c>
      <c r="G262" s="9" t="s">
        <v>254</v>
      </c>
      <c r="H262" s="9" t="s">
        <v>255</v>
      </c>
      <c r="I262" s="9" t="s">
        <v>186</v>
      </c>
      <c r="J262" s="16">
        <v>36828</v>
      </c>
      <c r="K262" s="9" t="s">
        <v>250</v>
      </c>
      <c r="L262" s="9" t="s">
        <v>158</v>
      </c>
      <c r="M262" s="17">
        <f>IF(L262="","",IFERROR(INDEX(tbl_fatores_emissao[Valor],MATCH(L262,tbl_fatores_emissao[ID_FE],0)),""))</f>
        <v>0.17</v>
      </c>
      <c r="N262" s="17">
        <f t="shared" si="19"/>
        <v>6.2610000000000001</v>
      </c>
      <c r="O262" s="9" t="s">
        <v>194</v>
      </c>
      <c r="P262" s="9" t="s">
        <v>256</v>
      </c>
      <c r="Q262" s="9" t="s">
        <v>257</v>
      </c>
    </row>
    <row r="263" spans="1:17" ht="18" customHeight="1" x14ac:dyDescent="0.3">
      <c r="A263" s="13" t="str">
        <f t="shared" si="16"/>
        <v>202603-S3-C9</v>
      </c>
      <c r="B263" s="14">
        <v>46082</v>
      </c>
      <c r="C263" s="15">
        <f t="shared" si="17"/>
        <v>2026</v>
      </c>
      <c r="D263" s="13" t="str">
        <f t="shared" si="18"/>
        <v>2025/26</v>
      </c>
      <c r="E263" s="9" t="s">
        <v>214</v>
      </c>
      <c r="F263" s="9" t="s">
        <v>258</v>
      </c>
      <c r="G263" s="9" t="s">
        <v>259</v>
      </c>
      <c r="H263" s="9" t="s">
        <v>260</v>
      </c>
      <c r="I263" s="9" t="s">
        <v>186</v>
      </c>
      <c r="J263" s="16">
        <v>29527.52</v>
      </c>
      <c r="K263" s="9" t="s">
        <v>261</v>
      </c>
      <c r="L263" s="9" t="s">
        <v>141</v>
      </c>
      <c r="M263" s="17">
        <f>IF(L263="","",IFERROR(INDEX(tbl_fatores_emissao[Valor],MATCH(L263,tbl_fatores_emissao[ID_FE],0)),""))</f>
        <v>0.108</v>
      </c>
      <c r="N263" s="17">
        <f t="shared" si="19"/>
        <v>3.1890000000000001</v>
      </c>
      <c r="O263" s="9" t="s">
        <v>194</v>
      </c>
      <c r="P263" s="9" t="s">
        <v>262</v>
      </c>
      <c r="Q263" s="9"/>
    </row>
    <row r="264" spans="1:17" ht="18" customHeight="1" x14ac:dyDescent="0.3">
      <c r="A264" s="13" t="str">
        <f t="shared" si="16"/>
        <v>202603-S3-C12</v>
      </c>
      <c r="B264" s="14">
        <v>46082</v>
      </c>
      <c r="C264" s="15">
        <f t="shared" si="17"/>
        <v>2026</v>
      </c>
      <c r="D264" s="13" t="str">
        <f t="shared" si="18"/>
        <v>2025/26</v>
      </c>
      <c r="E264" s="9" t="s">
        <v>214</v>
      </c>
      <c r="F264" s="9" t="s">
        <v>263</v>
      </c>
      <c r="G264" s="9" t="s">
        <v>264</v>
      </c>
      <c r="H264" s="9" t="s">
        <v>265</v>
      </c>
      <c r="I264" s="9" t="s">
        <v>186</v>
      </c>
      <c r="J264" s="16">
        <v>65616.72</v>
      </c>
      <c r="K264" s="9" t="s">
        <v>199</v>
      </c>
      <c r="L264" s="9" t="s">
        <v>163</v>
      </c>
      <c r="M264" s="17">
        <f>IF(L264="","",IFERROR(INDEX(tbl_fatores_emissao[Valor],MATCH(L264,tbl_fatores_emissao[ID_FE],0)),""))</f>
        <v>1</v>
      </c>
      <c r="N264" s="17">
        <f t="shared" si="19"/>
        <v>65.617000000000004</v>
      </c>
      <c r="O264" s="9" t="s">
        <v>194</v>
      </c>
      <c r="P264" s="9" t="s">
        <v>266</v>
      </c>
      <c r="Q264" s="9"/>
    </row>
    <row r="265" spans="1:17" ht="18" customHeight="1" x14ac:dyDescent="0.3">
      <c r="A265" s="13" t="str">
        <f t="shared" si="16"/>
        <v>202604-S1-01</v>
      </c>
      <c r="B265" s="14">
        <v>46113</v>
      </c>
      <c r="C265" s="15">
        <f t="shared" si="17"/>
        <v>2026</v>
      </c>
      <c r="D265" s="13" t="str">
        <f t="shared" si="18"/>
        <v>2025/26</v>
      </c>
      <c r="E265" s="9" t="s">
        <v>182</v>
      </c>
      <c r="F265" s="9" t="s">
        <v>183</v>
      </c>
      <c r="G265" s="9" t="s">
        <v>184</v>
      </c>
      <c r="H265" s="9" t="s">
        <v>185</v>
      </c>
      <c r="I265" s="9" t="s">
        <v>186</v>
      </c>
      <c r="J265" s="16">
        <v>226.67</v>
      </c>
      <c r="K265" s="9" t="s">
        <v>187</v>
      </c>
      <c r="L265" s="9" t="s">
        <v>96</v>
      </c>
      <c r="M265" s="17">
        <f>IF(L265="","",IFERROR(INDEX(tbl_fatores_emissao[Valor],MATCH(L265,tbl_fatores_emissao[ID_FE],0)),""))</f>
        <v>2.66</v>
      </c>
      <c r="N265" s="17">
        <f t="shared" si="19"/>
        <v>0.60299999999999998</v>
      </c>
      <c r="O265" s="9" t="s">
        <v>188</v>
      </c>
      <c r="P265" s="9" t="s">
        <v>189</v>
      </c>
      <c r="Q265" s="9" t="s">
        <v>190</v>
      </c>
    </row>
    <row r="266" spans="1:17" ht="18" customHeight="1" x14ac:dyDescent="0.3">
      <c r="A266" s="13" t="str">
        <f t="shared" si="16"/>
        <v>202604-S1-02</v>
      </c>
      <c r="B266" s="14">
        <v>46113</v>
      </c>
      <c r="C266" s="15">
        <f t="shared" si="17"/>
        <v>2026</v>
      </c>
      <c r="D266" s="13" t="str">
        <f t="shared" si="18"/>
        <v>2025/26</v>
      </c>
      <c r="E266" s="9" t="s">
        <v>182</v>
      </c>
      <c r="F266" s="9" t="s">
        <v>191</v>
      </c>
      <c r="G266" s="9" t="s">
        <v>192</v>
      </c>
      <c r="H266" s="9" t="s">
        <v>193</v>
      </c>
      <c r="I266" s="9" t="s">
        <v>186</v>
      </c>
      <c r="J266" s="16">
        <v>18.75</v>
      </c>
      <c r="K266" s="9" t="s">
        <v>187</v>
      </c>
      <c r="L266" s="9" t="s">
        <v>96</v>
      </c>
      <c r="M266" s="17">
        <f>IF(L266="","",IFERROR(INDEX(tbl_fatores_emissao[Valor],MATCH(L266,tbl_fatores_emissao[ID_FE],0)),""))</f>
        <v>2.66</v>
      </c>
      <c r="N266" s="17">
        <f t="shared" si="19"/>
        <v>0.05</v>
      </c>
      <c r="O266" s="9" t="s">
        <v>194</v>
      </c>
      <c r="P266" s="9" t="s">
        <v>195</v>
      </c>
      <c r="Q266" s="9" t="s">
        <v>190</v>
      </c>
    </row>
    <row r="267" spans="1:17" ht="18" customHeight="1" x14ac:dyDescent="0.3">
      <c r="A267" s="13" t="str">
        <f t="shared" si="16"/>
        <v>202604-S1-03</v>
      </c>
      <c r="B267" s="14">
        <v>46113</v>
      </c>
      <c r="C267" s="15">
        <f t="shared" si="17"/>
        <v>2026</v>
      </c>
      <c r="D267" s="13" t="str">
        <f t="shared" si="18"/>
        <v>2025/26</v>
      </c>
      <c r="E267" s="9" t="s">
        <v>182</v>
      </c>
      <c r="F267" s="9" t="s">
        <v>196</v>
      </c>
      <c r="G267" s="9" t="s">
        <v>197</v>
      </c>
      <c r="H267" s="9" t="s">
        <v>198</v>
      </c>
      <c r="I267" s="9" t="s">
        <v>186</v>
      </c>
      <c r="J267" s="16"/>
      <c r="K267" s="9" t="s">
        <v>199</v>
      </c>
      <c r="L267" s="9" t="s">
        <v>101</v>
      </c>
      <c r="M267" s="17">
        <f>IF(L267="","",IFERROR(INDEX(tbl_fatores_emissao[Valor],MATCH(L267,tbl_fatores_emissao[ID_FE],0)),""))</f>
        <v>2088</v>
      </c>
      <c r="N267" s="17" t="str">
        <f t="shared" si="19"/>
        <v/>
      </c>
      <c r="O267" s="9" t="s">
        <v>188</v>
      </c>
      <c r="P267" s="9" t="s">
        <v>200</v>
      </c>
      <c r="Q267" s="9"/>
    </row>
    <row r="268" spans="1:17" ht="18" customHeight="1" x14ac:dyDescent="0.3">
      <c r="A268" s="13" t="str">
        <f t="shared" si="16"/>
        <v>202604-S2-LB</v>
      </c>
      <c r="B268" s="14">
        <v>46113</v>
      </c>
      <c r="C268" s="15">
        <f t="shared" si="17"/>
        <v>2026</v>
      </c>
      <c r="D268" s="13" t="str">
        <f t="shared" si="18"/>
        <v>2025/26</v>
      </c>
      <c r="E268" s="9" t="s">
        <v>201</v>
      </c>
      <c r="F268" s="9" t="s">
        <v>202</v>
      </c>
      <c r="G268" s="9" t="s">
        <v>203</v>
      </c>
      <c r="H268" s="9" t="s">
        <v>204</v>
      </c>
      <c r="I268" s="9" t="s">
        <v>205</v>
      </c>
      <c r="J268" s="16">
        <v>554352.38</v>
      </c>
      <c r="K268" s="9" t="s">
        <v>206</v>
      </c>
      <c r="L268" s="9" t="s">
        <v>82</v>
      </c>
      <c r="M268" s="17">
        <f>IF(L268="","",IFERROR(INDEX(tbl_fatores_emissao[Valor],MATCH(L268,tbl_fatores_emissao[ID_FE],0)),""))</f>
        <v>0.11</v>
      </c>
      <c r="N268" s="17">
        <f t="shared" si="19"/>
        <v>60.978999999999999</v>
      </c>
      <c r="O268" s="9" t="s">
        <v>188</v>
      </c>
      <c r="P268" s="9" t="s">
        <v>207</v>
      </c>
      <c r="Q268" s="9"/>
    </row>
    <row r="269" spans="1:17" ht="18" customHeight="1" x14ac:dyDescent="0.3">
      <c r="A269" s="13" t="str">
        <f t="shared" si="16"/>
        <v>202604-S2-MB-GO</v>
      </c>
      <c r="B269" s="14">
        <v>46113</v>
      </c>
      <c r="C269" s="15">
        <f t="shared" si="17"/>
        <v>2026</v>
      </c>
      <c r="D269" s="13" t="str">
        <f t="shared" si="18"/>
        <v>2025/26</v>
      </c>
      <c r="E269" s="9" t="s">
        <v>201</v>
      </c>
      <c r="F269" s="9" t="s">
        <v>202</v>
      </c>
      <c r="G269" s="9" t="s">
        <v>208</v>
      </c>
      <c r="H269" s="9" t="s">
        <v>209</v>
      </c>
      <c r="I269" s="9" t="s">
        <v>210</v>
      </c>
      <c r="J269" s="16">
        <v>304893.81</v>
      </c>
      <c r="K269" s="9" t="s">
        <v>206</v>
      </c>
      <c r="L269" s="9" t="s">
        <v>92</v>
      </c>
      <c r="M269" s="17">
        <f>IF(L269="","",IFERROR(INDEX(tbl_fatores_emissao[Valor],MATCH(L269,tbl_fatores_emissao[ID_FE],0)),""))</f>
        <v>0</v>
      </c>
      <c r="N269" s="17">
        <f t="shared" si="19"/>
        <v>0</v>
      </c>
      <c r="O269" s="9" t="s">
        <v>188</v>
      </c>
      <c r="P269" s="9" t="s">
        <v>211</v>
      </c>
      <c r="Q269" s="9"/>
    </row>
    <row r="270" spans="1:17" ht="18" customHeight="1" x14ac:dyDescent="0.3">
      <c r="A270" s="13" t="str">
        <f t="shared" si="16"/>
        <v>202604-S2-MB-RES</v>
      </c>
      <c r="B270" s="14">
        <v>46113</v>
      </c>
      <c r="C270" s="15">
        <f t="shared" si="17"/>
        <v>2026</v>
      </c>
      <c r="D270" s="13" t="str">
        <f t="shared" si="18"/>
        <v>2025/26</v>
      </c>
      <c r="E270" s="9" t="s">
        <v>201</v>
      </c>
      <c r="F270" s="9" t="s">
        <v>202</v>
      </c>
      <c r="G270" s="9" t="s">
        <v>212</v>
      </c>
      <c r="H270" s="9" t="s">
        <v>213</v>
      </c>
      <c r="I270" s="9" t="s">
        <v>210</v>
      </c>
      <c r="J270" s="16">
        <v>249458.57</v>
      </c>
      <c r="K270" s="9" t="s">
        <v>206</v>
      </c>
      <c r="L270" s="9" t="s">
        <v>88</v>
      </c>
      <c r="M270" s="17">
        <f>IF(L270="","",IFERROR(INDEX(tbl_fatores_emissao[Valor],MATCH(L270,tbl_fatores_emissao[ID_FE],0)),""))</f>
        <v>0.25</v>
      </c>
      <c r="N270" s="17">
        <f t="shared" si="19"/>
        <v>62.365000000000002</v>
      </c>
      <c r="O270" s="9" t="s">
        <v>188</v>
      </c>
      <c r="P270" s="9" t="s">
        <v>211</v>
      </c>
      <c r="Q270" s="9"/>
    </row>
    <row r="271" spans="1:17" ht="18" customHeight="1" x14ac:dyDescent="0.3">
      <c r="A271" s="13" t="str">
        <f t="shared" si="16"/>
        <v>202604-S3-C1-VIR</v>
      </c>
      <c r="B271" s="14">
        <v>46113</v>
      </c>
      <c r="C271" s="15">
        <f t="shared" si="17"/>
        <v>2026</v>
      </c>
      <c r="D271" s="13" t="str">
        <f t="shared" si="18"/>
        <v>2025/26</v>
      </c>
      <c r="E271" s="9" t="s">
        <v>214</v>
      </c>
      <c r="F271" s="9" t="s">
        <v>215</v>
      </c>
      <c r="G271" s="9" t="s">
        <v>216</v>
      </c>
      <c r="H271" s="9" t="s">
        <v>217</v>
      </c>
      <c r="I271" s="9" t="s">
        <v>186</v>
      </c>
      <c r="J271" s="16">
        <v>54249.14</v>
      </c>
      <c r="K271" s="9" t="s">
        <v>199</v>
      </c>
      <c r="L271" s="9" t="s">
        <v>119</v>
      </c>
      <c r="M271" s="17">
        <f>IF(L271="","",IFERROR(INDEX(tbl_fatores_emissao[Valor],MATCH(L271,tbl_fatores_emissao[ID_FE],0)),""))</f>
        <v>1.9</v>
      </c>
      <c r="N271" s="17">
        <f t="shared" si="19"/>
        <v>103.07299999999999</v>
      </c>
      <c r="O271" s="9" t="s">
        <v>218</v>
      </c>
      <c r="P271" s="9" t="s">
        <v>219</v>
      </c>
      <c r="Q271" s="9"/>
    </row>
    <row r="272" spans="1:17" ht="18" customHeight="1" x14ac:dyDescent="0.3">
      <c r="A272" s="13" t="str">
        <f t="shared" si="16"/>
        <v>202604-S3-C1-PCR</v>
      </c>
      <c r="B272" s="14">
        <v>46113</v>
      </c>
      <c r="C272" s="15">
        <f t="shared" si="17"/>
        <v>2026</v>
      </c>
      <c r="D272" s="13" t="str">
        <f t="shared" si="18"/>
        <v>2025/26</v>
      </c>
      <c r="E272" s="9" t="s">
        <v>214</v>
      </c>
      <c r="F272" s="9" t="s">
        <v>215</v>
      </c>
      <c r="G272" s="9" t="s">
        <v>220</v>
      </c>
      <c r="H272" s="9" t="s">
        <v>221</v>
      </c>
      <c r="I272" s="9" t="s">
        <v>186</v>
      </c>
      <c r="J272" s="16">
        <v>7608.44</v>
      </c>
      <c r="K272" s="9" t="s">
        <v>199</v>
      </c>
      <c r="L272" s="9" t="s">
        <v>116</v>
      </c>
      <c r="M272" s="17">
        <f>IF(L272="","",IFERROR(INDEX(tbl_fatores_emissao[Valor],MATCH(L272,tbl_fatores_emissao[ID_FE],0)),""))</f>
        <v>0.5</v>
      </c>
      <c r="N272" s="17">
        <f t="shared" si="19"/>
        <v>3.8039999999999998</v>
      </c>
      <c r="O272" s="9" t="s">
        <v>218</v>
      </c>
      <c r="P272" s="9" t="s">
        <v>222</v>
      </c>
      <c r="Q272" s="9"/>
    </row>
    <row r="273" spans="1:17" ht="18" customHeight="1" x14ac:dyDescent="0.3">
      <c r="A273" s="13" t="str">
        <f t="shared" si="16"/>
        <v>202604-S3-C1-TIN</v>
      </c>
      <c r="B273" s="14">
        <v>46113</v>
      </c>
      <c r="C273" s="15">
        <f t="shared" si="17"/>
        <v>2026</v>
      </c>
      <c r="D273" s="13" t="str">
        <f t="shared" si="18"/>
        <v>2025/26</v>
      </c>
      <c r="E273" s="9" t="s">
        <v>214</v>
      </c>
      <c r="F273" s="9" t="s">
        <v>215</v>
      </c>
      <c r="G273" s="9" t="s">
        <v>223</v>
      </c>
      <c r="H273" s="9" t="s">
        <v>123</v>
      </c>
      <c r="I273" s="9" t="s">
        <v>186</v>
      </c>
      <c r="J273" s="16">
        <v>89.41</v>
      </c>
      <c r="K273" s="9" t="s">
        <v>199</v>
      </c>
      <c r="L273" s="9" t="s">
        <v>122</v>
      </c>
      <c r="M273" s="17">
        <f>IF(L273="","",IFERROR(INDEX(tbl_fatores_emissao[Valor],MATCH(L273,tbl_fatores_emissao[ID_FE],0)),""))</f>
        <v>3</v>
      </c>
      <c r="N273" s="17">
        <f t="shared" si="19"/>
        <v>0.26800000000000002</v>
      </c>
      <c r="O273" s="9" t="s">
        <v>218</v>
      </c>
      <c r="P273" s="9" t="s">
        <v>224</v>
      </c>
      <c r="Q273" s="9"/>
    </row>
    <row r="274" spans="1:17" ht="18" customHeight="1" x14ac:dyDescent="0.3">
      <c r="A274" s="13" t="str">
        <f t="shared" si="16"/>
        <v>202604-S3-C1-SOL</v>
      </c>
      <c r="B274" s="14">
        <v>46113</v>
      </c>
      <c r="C274" s="15">
        <f t="shared" si="17"/>
        <v>2026</v>
      </c>
      <c r="D274" s="13" t="str">
        <f t="shared" si="18"/>
        <v>2025/26</v>
      </c>
      <c r="E274" s="9" t="s">
        <v>214</v>
      </c>
      <c r="F274" s="9" t="s">
        <v>215</v>
      </c>
      <c r="G274" s="9" t="s">
        <v>225</v>
      </c>
      <c r="H274" s="9" t="s">
        <v>126</v>
      </c>
      <c r="I274" s="9" t="s">
        <v>186</v>
      </c>
      <c r="J274" s="16">
        <v>56.87</v>
      </c>
      <c r="K274" s="9" t="s">
        <v>199</v>
      </c>
      <c r="L274" s="9" t="s">
        <v>125</v>
      </c>
      <c r="M274" s="17">
        <f>IF(L274="","",IFERROR(INDEX(tbl_fatores_emissao[Valor],MATCH(L274,tbl_fatores_emissao[ID_FE],0)),""))</f>
        <v>1.8</v>
      </c>
      <c r="N274" s="17">
        <f t="shared" si="19"/>
        <v>0.10199999999999999</v>
      </c>
      <c r="O274" s="9" t="s">
        <v>188</v>
      </c>
      <c r="P274" s="9" t="s">
        <v>226</v>
      </c>
      <c r="Q274" s="9"/>
    </row>
    <row r="275" spans="1:17" ht="18" customHeight="1" x14ac:dyDescent="0.3">
      <c r="A275" s="13" t="str">
        <f t="shared" si="16"/>
        <v>202604-S3-C1-FOI</v>
      </c>
      <c r="B275" s="14">
        <v>46113</v>
      </c>
      <c r="C275" s="15">
        <f t="shared" si="17"/>
        <v>2026</v>
      </c>
      <c r="D275" s="13" t="str">
        <f t="shared" si="18"/>
        <v>2025/26</v>
      </c>
      <c r="E275" s="9" t="s">
        <v>214</v>
      </c>
      <c r="F275" s="9" t="s">
        <v>215</v>
      </c>
      <c r="G275" s="9" t="s">
        <v>227</v>
      </c>
      <c r="H275" s="9" t="s">
        <v>129</v>
      </c>
      <c r="I275" s="9" t="s">
        <v>186</v>
      </c>
      <c r="J275" s="16">
        <v>920.56</v>
      </c>
      <c r="K275" s="9" t="s">
        <v>199</v>
      </c>
      <c r="L275" s="9" t="s">
        <v>128</v>
      </c>
      <c r="M275" s="17">
        <f>IF(L275="","",IFERROR(INDEX(tbl_fatores_emissao[Valor],MATCH(L275,tbl_fatores_emissao[ID_FE],0)),""))</f>
        <v>3.5</v>
      </c>
      <c r="N275" s="17">
        <f t="shared" si="19"/>
        <v>3.222</v>
      </c>
      <c r="O275" s="9" t="s">
        <v>218</v>
      </c>
      <c r="P275" s="9" t="s">
        <v>228</v>
      </c>
      <c r="Q275" s="9"/>
    </row>
    <row r="276" spans="1:17" ht="18" customHeight="1" x14ac:dyDescent="0.3">
      <c r="A276" s="13" t="str">
        <f t="shared" si="16"/>
        <v>202604-S3-C3</v>
      </c>
      <c r="B276" s="14">
        <v>46113</v>
      </c>
      <c r="C276" s="15">
        <f t="shared" si="17"/>
        <v>2026</v>
      </c>
      <c r="D276" s="13" t="str">
        <f t="shared" si="18"/>
        <v>2025/26</v>
      </c>
      <c r="E276" s="9" t="s">
        <v>214</v>
      </c>
      <c r="F276" s="9" t="s">
        <v>229</v>
      </c>
      <c r="G276" s="9" t="s">
        <v>230</v>
      </c>
      <c r="H276" s="9" t="s">
        <v>231</v>
      </c>
      <c r="I276" s="9" t="s">
        <v>186</v>
      </c>
      <c r="J276" s="16">
        <v>554352.38</v>
      </c>
      <c r="K276" s="9" t="s">
        <v>206</v>
      </c>
      <c r="L276" s="9" t="s">
        <v>133</v>
      </c>
      <c r="M276" s="17">
        <f>IF(L276="","",IFERROR(INDEX(tbl_fatores_emissao[Valor],MATCH(L276,tbl_fatores_emissao[ID_FE],0)),""))</f>
        <v>0.02</v>
      </c>
      <c r="N276" s="17">
        <f t="shared" si="19"/>
        <v>11.087</v>
      </c>
      <c r="O276" s="9" t="s">
        <v>194</v>
      </c>
      <c r="P276" s="9" t="s">
        <v>232</v>
      </c>
      <c r="Q276" s="9"/>
    </row>
    <row r="277" spans="1:17" ht="18" customHeight="1" x14ac:dyDescent="0.3">
      <c r="A277" s="13" t="str">
        <f t="shared" si="16"/>
        <v>202604-S3-C4</v>
      </c>
      <c r="B277" s="14">
        <v>46113</v>
      </c>
      <c r="C277" s="15">
        <f t="shared" si="17"/>
        <v>2026</v>
      </c>
      <c r="D277" s="13" t="str">
        <f t="shared" si="18"/>
        <v>2025/26</v>
      </c>
      <c r="E277" s="9" t="s">
        <v>214</v>
      </c>
      <c r="F277" s="9" t="s">
        <v>233</v>
      </c>
      <c r="G277" s="9" t="s">
        <v>234</v>
      </c>
      <c r="H277" s="9" t="s">
        <v>235</v>
      </c>
      <c r="I277" s="9" t="s">
        <v>186</v>
      </c>
      <c r="J277" s="16">
        <v>61857.58</v>
      </c>
      <c r="K277" s="9" t="s">
        <v>199</v>
      </c>
      <c r="L277" s="9" t="s">
        <v>137</v>
      </c>
      <c r="M277" s="17">
        <f>IF(L277="","",IFERROR(INDEX(tbl_fatores_emissao[Valor],MATCH(L277,tbl_fatores_emissao[ID_FE],0)),""))</f>
        <v>0.1178</v>
      </c>
      <c r="N277" s="17">
        <f t="shared" si="19"/>
        <v>7.2869999999999999</v>
      </c>
      <c r="O277" s="9" t="s">
        <v>194</v>
      </c>
      <c r="P277" s="9" t="s">
        <v>236</v>
      </c>
      <c r="Q277" s="9"/>
    </row>
    <row r="278" spans="1:17" ht="18" customHeight="1" x14ac:dyDescent="0.3">
      <c r="A278" s="13" t="str">
        <f t="shared" si="16"/>
        <v>202604-S3-C5-REC</v>
      </c>
      <c r="B278" s="14">
        <v>46113</v>
      </c>
      <c r="C278" s="15">
        <f t="shared" si="17"/>
        <v>2026</v>
      </c>
      <c r="D278" s="13" t="str">
        <f t="shared" si="18"/>
        <v>2025/26</v>
      </c>
      <c r="E278" s="9" t="s">
        <v>214</v>
      </c>
      <c r="F278" s="9" t="s">
        <v>237</v>
      </c>
      <c r="G278" s="9" t="s">
        <v>238</v>
      </c>
      <c r="H278" s="9" t="s">
        <v>239</v>
      </c>
      <c r="I278" s="9" t="s">
        <v>186</v>
      </c>
      <c r="J278" s="16">
        <v>8392.2000000000007</v>
      </c>
      <c r="K278" s="9" t="s">
        <v>199</v>
      </c>
      <c r="L278" s="9" t="s">
        <v>148</v>
      </c>
      <c r="M278" s="17">
        <f>IF(L278="","",IFERROR(INDEX(tbl_fatores_emissao[Valor],MATCH(L278,tbl_fatores_emissao[ID_FE],0)),""))</f>
        <v>2.1000000000000001E-2</v>
      </c>
      <c r="N278" s="17">
        <f t="shared" si="19"/>
        <v>0.17599999999999999</v>
      </c>
      <c r="O278" s="9" t="s">
        <v>188</v>
      </c>
      <c r="P278" s="9" t="s">
        <v>240</v>
      </c>
      <c r="Q278" s="9"/>
    </row>
    <row r="279" spans="1:17" ht="18" customHeight="1" x14ac:dyDescent="0.3">
      <c r="A279" s="13" t="str">
        <f t="shared" si="16"/>
        <v>202604-S3-C5-ATE</v>
      </c>
      <c r="B279" s="14">
        <v>46113</v>
      </c>
      <c r="C279" s="15">
        <f t="shared" si="17"/>
        <v>2026</v>
      </c>
      <c r="D279" s="13" t="str">
        <f t="shared" si="18"/>
        <v>2025/26</v>
      </c>
      <c r="E279" s="9" t="s">
        <v>214</v>
      </c>
      <c r="F279" s="9" t="s">
        <v>237</v>
      </c>
      <c r="G279" s="9" t="s">
        <v>241</v>
      </c>
      <c r="H279" s="9" t="s">
        <v>242</v>
      </c>
      <c r="I279" s="9" t="s">
        <v>186</v>
      </c>
      <c r="J279" s="16">
        <v>1973.8</v>
      </c>
      <c r="K279" s="9" t="s">
        <v>199</v>
      </c>
      <c r="L279" s="9" t="s">
        <v>152</v>
      </c>
      <c r="M279" s="17">
        <f>IF(L279="","",IFERROR(INDEX(tbl_fatores_emissao[Valor],MATCH(L279,tbl_fatores_emissao[ID_FE],0)),""))</f>
        <v>0.45</v>
      </c>
      <c r="N279" s="17">
        <f t="shared" si="19"/>
        <v>0.88800000000000001</v>
      </c>
      <c r="O279" s="9" t="s">
        <v>188</v>
      </c>
      <c r="P279" s="9" t="s">
        <v>243</v>
      </c>
      <c r="Q279" s="9"/>
    </row>
    <row r="280" spans="1:17" ht="18" customHeight="1" x14ac:dyDescent="0.3">
      <c r="A280" s="13" t="str">
        <f t="shared" si="16"/>
        <v>202604-S3-C5-PER</v>
      </c>
      <c r="B280" s="14">
        <v>46113</v>
      </c>
      <c r="C280" s="15">
        <f t="shared" si="17"/>
        <v>2026</v>
      </c>
      <c r="D280" s="13" t="str">
        <f t="shared" si="18"/>
        <v>2025/26</v>
      </c>
      <c r="E280" s="9" t="s">
        <v>214</v>
      </c>
      <c r="F280" s="9" t="s">
        <v>237</v>
      </c>
      <c r="G280" s="9" t="s">
        <v>244</v>
      </c>
      <c r="H280" s="9" t="s">
        <v>245</v>
      </c>
      <c r="I280" s="9" t="s">
        <v>186</v>
      </c>
      <c r="J280" s="16">
        <v>45.6</v>
      </c>
      <c r="K280" s="9" t="s">
        <v>199</v>
      </c>
      <c r="L280" s="9" t="s">
        <v>155</v>
      </c>
      <c r="M280" s="17">
        <f>IF(L280="","",IFERROR(INDEX(tbl_fatores_emissao[Valor],MATCH(L280,tbl_fatores_emissao[ID_FE],0)),""))</f>
        <v>0.9</v>
      </c>
      <c r="N280" s="17">
        <f t="shared" si="19"/>
        <v>4.1000000000000002E-2</v>
      </c>
      <c r="O280" s="9" t="s">
        <v>188</v>
      </c>
      <c r="P280" s="9" t="s">
        <v>246</v>
      </c>
      <c r="Q280" s="9"/>
    </row>
    <row r="281" spans="1:17" ht="18" customHeight="1" x14ac:dyDescent="0.3">
      <c r="A281" s="13" t="str">
        <f t="shared" si="16"/>
        <v>202604-S3-C6</v>
      </c>
      <c r="B281" s="14">
        <v>46113</v>
      </c>
      <c r="C281" s="15">
        <f t="shared" si="17"/>
        <v>2026</v>
      </c>
      <c r="D281" s="13" t="str">
        <f t="shared" si="18"/>
        <v>2025/26</v>
      </c>
      <c r="E281" s="9" t="s">
        <v>214</v>
      </c>
      <c r="F281" s="9" t="s">
        <v>247</v>
      </c>
      <c r="G281" s="9" t="s">
        <v>248</v>
      </c>
      <c r="H281" s="9" t="s">
        <v>249</v>
      </c>
      <c r="I281" s="9" t="s">
        <v>186</v>
      </c>
      <c r="J281" s="16">
        <v>3047.72</v>
      </c>
      <c r="K281" s="9" t="s">
        <v>250</v>
      </c>
      <c r="L281" s="9" t="s">
        <v>158</v>
      </c>
      <c r="M281" s="17">
        <f>IF(L281="","",IFERROR(INDEX(tbl_fatores_emissao[Valor],MATCH(L281,tbl_fatores_emissao[ID_FE],0)),""))</f>
        <v>0.17</v>
      </c>
      <c r="N281" s="17">
        <f t="shared" si="19"/>
        <v>0.51800000000000002</v>
      </c>
      <c r="O281" s="9" t="s">
        <v>194</v>
      </c>
      <c r="P281" s="9" t="s">
        <v>251</v>
      </c>
      <c r="Q281" s="9" t="s">
        <v>252</v>
      </c>
    </row>
    <row r="282" spans="1:17" ht="18" customHeight="1" x14ac:dyDescent="0.3">
      <c r="A282" s="13" t="str">
        <f t="shared" si="16"/>
        <v>202604-S3-C7</v>
      </c>
      <c r="B282" s="14">
        <v>46113</v>
      </c>
      <c r="C282" s="15">
        <f t="shared" si="17"/>
        <v>2026</v>
      </c>
      <c r="D282" s="13" t="str">
        <f t="shared" si="18"/>
        <v>2025/26</v>
      </c>
      <c r="E282" s="9" t="s">
        <v>214</v>
      </c>
      <c r="F282" s="9" t="s">
        <v>253</v>
      </c>
      <c r="G282" s="9" t="s">
        <v>254</v>
      </c>
      <c r="H282" s="9" t="s">
        <v>255</v>
      </c>
      <c r="I282" s="9" t="s">
        <v>186</v>
      </c>
      <c r="J282" s="16">
        <v>33480</v>
      </c>
      <c r="K282" s="9" t="s">
        <v>250</v>
      </c>
      <c r="L282" s="9" t="s">
        <v>158</v>
      </c>
      <c r="M282" s="17">
        <f>IF(L282="","",IFERROR(INDEX(tbl_fatores_emissao[Valor],MATCH(L282,tbl_fatores_emissao[ID_FE],0)),""))</f>
        <v>0.17</v>
      </c>
      <c r="N282" s="17">
        <f t="shared" si="19"/>
        <v>5.6920000000000002</v>
      </c>
      <c r="O282" s="9" t="s">
        <v>194</v>
      </c>
      <c r="P282" s="9" t="s">
        <v>256</v>
      </c>
      <c r="Q282" s="9" t="s">
        <v>257</v>
      </c>
    </row>
    <row r="283" spans="1:17" ht="18" customHeight="1" x14ac:dyDescent="0.3">
      <c r="A283" s="13" t="str">
        <f t="shared" si="16"/>
        <v>202604-S3-C9</v>
      </c>
      <c r="B283" s="14">
        <v>46113</v>
      </c>
      <c r="C283" s="15">
        <f t="shared" si="17"/>
        <v>2026</v>
      </c>
      <c r="D283" s="13" t="str">
        <f t="shared" si="18"/>
        <v>2025/26</v>
      </c>
      <c r="E283" s="9" t="s">
        <v>214</v>
      </c>
      <c r="F283" s="9" t="s">
        <v>258</v>
      </c>
      <c r="G283" s="9" t="s">
        <v>259</v>
      </c>
      <c r="H283" s="9" t="s">
        <v>260</v>
      </c>
      <c r="I283" s="9" t="s">
        <v>186</v>
      </c>
      <c r="J283" s="16">
        <v>27125.07</v>
      </c>
      <c r="K283" s="9" t="s">
        <v>261</v>
      </c>
      <c r="L283" s="9" t="s">
        <v>141</v>
      </c>
      <c r="M283" s="17">
        <f>IF(L283="","",IFERROR(INDEX(tbl_fatores_emissao[Valor],MATCH(L283,tbl_fatores_emissao[ID_FE],0)),""))</f>
        <v>0.108</v>
      </c>
      <c r="N283" s="17">
        <f t="shared" si="19"/>
        <v>2.93</v>
      </c>
      <c r="O283" s="9" t="s">
        <v>194</v>
      </c>
      <c r="P283" s="9" t="s">
        <v>262</v>
      </c>
      <c r="Q283" s="9"/>
    </row>
    <row r="284" spans="1:17" ht="18" customHeight="1" x14ac:dyDescent="0.3">
      <c r="A284" s="13" t="str">
        <f t="shared" si="16"/>
        <v>202604-S3-C12</v>
      </c>
      <c r="B284" s="14">
        <v>46113</v>
      </c>
      <c r="C284" s="15">
        <f t="shared" si="17"/>
        <v>2026</v>
      </c>
      <c r="D284" s="13" t="str">
        <f t="shared" si="18"/>
        <v>2025/26</v>
      </c>
      <c r="E284" s="9" t="s">
        <v>214</v>
      </c>
      <c r="F284" s="9" t="s">
        <v>263</v>
      </c>
      <c r="G284" s="9" t="s">
        <v>264</v>
      </c>
      <c r="H284" s="9" t="s">
        <v>265</v>
      </c>
      <c r="I284" s="9" t="s">
        <v>186</v>
      </c>
      <c r="J284" s="16">
        <v>60277.94</v>
      </c>
      <c r="K284" s="9" t="s">
        <v>199</v>
      </c>
      <c r="L284" s="9" t="s">
        <v>163</v>
      </c>
      <c r="M284" s="17">
        <f>IF(L284="","",IFERROR(INDEX(tbl_fatores_emissao[Valor],MATCH(L284,tbl_fatores_emissao[ID_FE],0)),""))</f>
        <v>1</v>
      </c>
      <c r="N284" s="17">
        <f t="shared" si="19"/>
        <v>60.277999999999999</v>
      </c>
      <c r="O284" s="9" t="s">
        <v>194</v>
      </c>
      <c r="P284" s="9" t="s">
        <v>266</v>
      </c>
      <c r="Q284" s="9"/>
    </row>
    <row r="285" spans="1:17" ht="18" customHeight="1" x14ac:dyDescent="0.3">
      <c r="A285" s="13" t="str">
        <f t="shared" si="16"/>
        <v>202605-S1-01</v>
      </c>
      <c r="B285" s="14">
        <v>46143</v>
      </c>
      <c r="C285" s="15">
        <f t="shared" si="17"/>
        <v>2026</v>
      </c>
      <c r="D285" s="13" t="str">
        <f t="shared" si="18"/>
        <v>2025/26</v>
      </c>
      <c r="E285" s="9" t="s">
        <v>182</v>
      </c>
      <c r="F285" s="9" t="s">
        <v>183</v>
      </c>
      <c r="G285" s="9" t="s">
        <v>184</v>
      </c>
      <c r="H285" s="9" t="s">
        <v>185</v>
      </c>
      <c r="I285" s="9" t="s">
        <v>186</v>
      </c>
      <c r="J285" s="16">
        <v>295.77</v>
      </c>
      <c r="K285" s="9" t="s">
        <v>187</v>
      </c>
      <c r="L285" s="9" t="s">
        <v>96</v>
      </c>
      <c r="M285" s="17">
        <f>IF(L285="","",IFERROR(INDEX(tbl_fatores_emissao[Valor],MATCH(L285,tbl_fatores_emissao[ID_FE],0)),""))</f>
        <v>2.66</v>
      </c>
      <c r="N285" s="17">
        <f t="shared" si="19"/>
        <v>0.78700000000000003</v>
      </c>
      <c r="O285" s="9" t="s">
        <v>188</v>
      </c>
      <c r="P285" s="9" t="s">
        <v>189</v>
      </c>
      <c r="Q285" s="9" t="s">
        <v>190</v>
      </c>
    </row>
    <row r="286" spans="1:17" ht="18" customHeight="1" x14ac:dyDescent="0.3">
      <c r="A286" s="13" t="str">
        <f t="shared" si="16"/>
        <v>202605-S1-02</v>
      </c>
      <c r="B286" s="14">
        <v>46143</v>
      </c>
      <c r="C286" s="15">
        <f t="shared" si="17"/>
        <v>2026</v>
      </c>
      <c r="D286" s="13" t="str">
        <f t="shared" si="18"/>
        <v>2025/26</v>
      </c>
      <c r="E286" s="9" t="s">
        <v>182</v>
      </c>
      <c r="F286" s="9" t="s">
        <v>191</v>
      </c>
      <c r="G286" s="9" t="s">
        <v>192</v>
      </c>
      <c r="H286" s="9" t="s">
        <v>193</v>
      </c>
      <c r="I286" s="9" t="s">
        <v>186</v>
      </c>
      <c r="J286" s="16">
        <v>18.68</v>
      </c>
      <c r="K286" s="9" t="s">
        <v>187</v>
      </c>
      <c r="L286" s="9" t="s">
        <v>96</v>
      </c>
      <c r="M286" s="17">
        <f>IF(L286="","",IFERROR(INDEX(tbl_fatores_emissao[Valor],MATCH(L286,tbl_fatores_emissao[ID_FE],0)),""))</f>
        <v>2.66</v>
      </c>
      <c r="N286" s="17">
        <f t="shared" si="19"/>
        <v>0.05</v>
      </c>
      <c r="O286" s="9" t="s">
        <v>194</v>
      </c>
      <c r="P286" s="9" t="s">
        <v>195</v>
      </c>
      <c r="Q286" s="9" t="s">
        <v>190</v>
      </c>
    </row>
    <row r="287" spans="1:17" ht="18" customHeight="1" x14ac:dyDescent="0.3">
      <c r="A287" s="13" t="str">
        <f t="shared" si="16"/>
        <v>202605-S1-03</v>
      </c>
      <c r="B287" s="14">
        <v>46143</v>
      </c>
      <c r="C287" s="15">
        <f t="shared" si="17"/>
        <v>2026</v>
      </c>
      <c r="D287" s="13" t="str">
        <f t="shared" si="18"/>
        <v>2025/26</v>
      </c>
      <c r="E287" s="9" t="s">
        <v>182</v>
      </c>
      <c r="F287" s="9" t="s">
        <v>196</v>
      </c>
      <c r="G287" s="9" t="s">
        <v>197</v>
      </c>
      <c r="H287" s="9" t="s">
        <v>198</v>
      </c>
      <c r="I287" s="9" t="s">
        <v>186</v>
      </c>
      <c r="J287" s="16"/>
      <c r="K287" s="9" t="s">
        <v>199</v>
      </c>
      <c r="L287" s="9" t="s">
        <v>101</v>
      </c>
      <c r="M287" s="17">
        <f>IF(L287="","",IFERROR(INDEX(tbl_fatores_emissao[Valor],MATCH(L287,tbl_fatores_emissao[ID_FE],0)),""))</f>
        <v>2088</v>
      </c>
      <c r="N287" s="17" t="str">
        <f t="shared" si="19"/>
        <v/>
      </c>
      <c r="O287" s="9" t="s">
        <v>188</v>
      </c>
      <c r="P287" s="9" t="s">
        <v>200</v>
      </c>
      <c r="Q287" s="9"/>
    </row>
    <row r="288" spans="1:17" ht="18" customHeight="1" x14ac:dyDescent="0.3">
      <c r="A288" s="13" t="str">
        <f t="shared" si="16"/>
        <v>202605-S2-LB</v>
      </c>
      <c r="B288" s="14">
        <v>46143</v>
      </c>
      <c r="C288" s="15">
        <f t="shared" si="17"/>
        <v>2026</v>
      </c>
      <c r="D288" s="13" t="str">
        <f t="shared" si="18"/>
        <v>2025/26</v>
      </c>
      <c r="E288" s="9" t="s">
        <v>201</v>
      </c>
      <c r="F288" s="9" t="s">
        <v>202</v>
      </c>
      <c r="G288" s="9" t="s">
        <v>203</v>
      </c>
      <c r="H288" s="9" t="s">
        <v>204</v>
      </c>
      <c r="I288" s="9" t="s">
        <v>205</v>
      </c>
      <c r="J288" s="16">
        <v>588371.46</v>
      </c>
      <c r="K288" s="9" t="s">
        <v>206</v>
      </c>
      <c r="L288" s="9" t="s">
        <v>82</v>
      </c>
      <c r="M288" s="17">
        <f>IF(L288="","",IFERROR(INDEX(tbl_fatores_emissao[Valor],MATCH(L288,tbl_fatores_emissao[ID_FE],0)),""))</f>
        <v>0.11</v>
      </c>
      <c r="N288" s="17">
        <f t="shared" si="19"/>
        <v>64.721000000000004</v>
      </c>
      <c r="O288" s="9" t="s">
        <v>188</v>
      </c>
      <c r="P288" s="9" t="s">
        <v>207</v>
      </c>
      <c r="Q288" s="9"/>
    </row>
    <row r="289" spans="1:17" ht="18" customHeight="1" x14ac:dyDescent="0.3">
      <c r="A289" s="13" t="str">
        <f t="shared" si="16"/>
        <v>202605-S2-MB-GO</v>
      </c>
      <c r="B289" s="14">
        <v>46143</v>
      </c>
      <c r="C289" s="15">
        <f t="shared" si="17"/>
        <v>2026</v>
      </c>
      <c r="D289" s="13" t="str">
        <f t="shared" si="18"/>
        <v>2025/26</v>
      </c>
      <c r="E289" s="9" t="s">
        <v>201</v>
      </c>
      <c r="F289" s="9" t="s">
        <v>202</v>
      </c>
      <c r="G289" s="9" t="s">
        <v>208</v>
      </c>
      <c r="H289" s="9" t="s">
        <v>209</v>
      </c>
      <c r="I289" s="9" t="s">
        <v>210</v>
      </c>
      <c r="J289" s="16">
        <v>323604.3</v>
      </c>
      <c r="K289" s="9" t="s">
        <v>206</v>
      </c>
      <c r="L289" s="9" t="s">
        <v>92</v>
      </c>
      <c r="M289" s="17">
        <f>IF(L289="","",IFERROR(INDEX(tbl_fatores_emissao[Valor],MATCH(L289,tbl_fatores_emissao[ID_FE],0)),""))</f>
        <v>0</v>
      </c>
      <c r="N289" s="17">
        <f t="shared" si="19"/>
        <v>0</v>
      </c>
      <c r="O289" s="9" t="s">
        <v>188</v>
      </c>
      <c r="P289" s="9" t="s">
        <v>211</v>
      </c>
      <c r="Q289" s="9"/>
    </row>
    <row r="290" spans="1:17" ht="18" customHeight="1" x14ac:dyDescent="0.3">
      <c r="A290" s="13" t="str">
        <f t="shared" si="16"/>
        <v>202605-S2-MB-RES</v>
      </c>
      <c r="B290" s="14">
        <v>46143</v>
      </c>
      <c r="C290" s="15">
        <f t="shared" si="17"/>
        <v>2026</v>
      </c>
      <c r="D290" s="13" t="str">
        <f t="shared" si="18"/>
        <v>2025/26</v>
      </c>
      <c r="E290" s="9" t="s">
        <v>201</v>
      </c>
      <c r="F290" s="9" t="s">
        <v>202</v>
      </c>
      <c r="G290" s="9" t="s">
        <v>212</v>
      </c>
      <c r="H290" s="9" t="s">
        <v>213</v>
      </c>
      <c r="I290" s="9" t="s">
        <v>210</v>
      </c>
      <c r="J290" s="16">
        <v>264767.15999999997</v>
      </c>
      <c r="K290" s="9" t="s">
        <v>206</v>
      </c>
      <c r="L290" s="9" t="s">
        <v>88</v>
      </c>
      <c r="M290" s="17">
        <f>IF(L290="","",IFERROR(INDEX(tbl_fatores_emissao[Valor],MATCH(L290,tbl_fatores_emissao[ID_FE],0)),""))</f>
        <v>0.25</v>
      </c>
      <c r="N290" s="17">
        <f t="shared" si="19"/>
        <v>66.191999999999993</v>
      </c>
      <c r="O290" s="9" t="s">
        <v>188</v>
      </c>
      <c r="P290" s="9" t="s">
        <v>211</v>
      </c>
      <c r="Q290" s="9"/>
    </row>
    <row r="291" spans="1:17" ht="18" customHeight="1" x14ac:dyDescent="0.3">
      <c r="A291" s="13" t="str">
        <f t="shared" si="16"/>
        <v>202605-S3-C1-VIR</v>
      </c>
      <c r="B291" s="14">
        <v>46143</v>
      </c>
      <c r="C291" s="15">
        <f t="shared" si="17"/>
        <v>2026</v>
      </c>
      <c r="D291" s="13" t="str">
        <f t="shared" si="18"/>
        <v>2025/26</v>
      </c>
      <c r="E291" s="9" t="s">
        <v>214</v>
      </c>
      <c r="F291" s="9" t="s">
        <v>215</v>
      </c>
      <c r="G291" s="9" t="s">
        <v>216</v>
      </c>
      <c r="H291" s="9" t="s">
        <v>217</v>
      </c>
      <c r="I291" s="9" t="s">
        <v>186</v>
      </c>
      <c r="J291" s="16">
        <v>57333.86</v>
      </c>
      <c r="K291" s="9" t="s">
        <v>199</v>
      </c>
      <c r="L291" s="9" t="s">
        <v>119</v>
      </c>
      <c r="M291" s="17">
        <f>IF(L291="","",IFERROR(INDEX(tbl_fatores_emissao[Valor],MATCH(L291,tbl_fatores_emissao[ID_FE],0)),""))</f>
        <v>1.9</v>
      </c>
      <c r="N291" s="17">
        <f t="shared" si="19"/>
        <v>108.934</v>
      </c>
      <c r="O291" s="9" t="s">
        <v>218</v>
      </c>
      <c r="P291" s="9" t="s">
        <v>219</v>
      </c>
      <c r="Q291" s="9"/>
    </row>
    <row r="292" spans="1:17" ht="18" customHeight="1" x14ac:dyDescent="0.3">
      <c r="A292" s="13" t="str">
        <f t="shared" si="16"/>
        <v>202605-S3-C1-PCR</v>
      </c>
      <c r="B292" s="14">
        <v>46143</v>
      </c>
      <c r="C292" s="15">
        <f t="shared" si="17"/>
        <v>2026</v>
      </c>
      <c r="D292" s="13" t="str">
        <f t="shared" si="18"/>
        <v>2025/26</v>
      </c>
      <c r="E292" s="9" t="s">
        <v>214</v>
      </c>
      <c r="F292" s="9" t="s">
        <v>215</v>
      </c>
      <c r="G292" s="9" t="s">
        <v>220</v>
      </c>
      <c r="H292" s="9" t="s">
        <v>221</v>
      </c>
      <c r="I292" s="9" t="s">
        <v>186</v>
      </c>
      <c r="J292" s="16">
        <v>7871.88</v>
      </c>
      <c r="K292" s="9" t="s">
        <v>199</v>
      </c>
      <c r="L292" s="9" t="s">
        <v>116</v>
      </c>
      <c r="M292" s="17">
        <f>IF(L292="","",IFERROR(INDEX(tbl_fatores_emissao[Valor],MATCH(L292,tbl_fatores_emissao[ID_FE],0)),""))</f>
        <v>0.5</v>
      </c>
      <c r="N292" s="17">
        <f t="shared" si="19"/>
        <v>3.9359999999999999</v>
      </c>
      <c r="O292" s="9" t="s">
        <v>218</v>
      </c>
      <c r="P292" s="9" t="s">
        <v>222</v>
      </c>
      <c r="Q292" s="9"/>
    </row>
    <row r="293" spans="1:17" ht="18" customHeight="1" x14ac:dyDescent="0.3">
      <c r="A293" s="13" t="str">
        <f t="shared" si="16"/>
        <v>202605-S3-C1-TIN</v>
      </c>
      <c r="B293" s="14">
        <v>46143</v>
      </c>
      <c r="C293" s="15">
        <f t="shared" si="17"/>
        <v>2026</v>
      </c>
      <c r="D293" s="13" t="str">
        <f t="shared" si="18"/>
        <v>2025/26</v>
      </c>
      <c r="E293" s="9" t="s">
        <v>214</v>
      </c>
      <c r="F293" s="9" t="s">
        <v>215</v>
      </c>
      <c r="G293" s="9" t="s">
        <v>223</v>
      </c>
      <c r="H293" s="9" t="s">
        <v>123</v>
      </c>
      <c r="I293" s="9" t="s">
        <v>186</v>
      </c>
      <c r="J293" s="16">
        <v>93.39</v>
      </c>
      <c r="K293" s="9" t="s">
        <v>199</v>
      </c>
      <c r="L293" s="9" t="s">
        <v>122</v>
      </c>
      <c r="M293" s="17">
        <f>IF(L293="","",IFERROR(INDEX(tbl_fatores_emissao[Valor],MATCH(L293,tbl_fatores_emissao[ID_FE],0)),""))</f>
        <v>3</v>
      </c>
      <c r="N293" s="17">
        <f t="shared" si="19"/>
        <v>0.28000000000000003</v>
      </c>
      <c r="O293" s="9" t="s">
        <v>218</v>
      </c>
      <c r="P293" s="9" t="s">
        <v>224</v>
      </c>
      <c r="Q293" s="9"/>
    </row>
    <row r="294" spans="1:17" ht="18" customHeight="1" x14ac:dyDescent="0.3">
      <c r="A294" s="13" t="str">
        <f t="shared" si="16"/>
        <v>202605-S3-C1-SOL</v>
      </c>
      <c r="B294" s="14">
        <v>46143</v>
      </c>
      <c r="C294" s="15">
        <f t="shared" si="17"/>
        <v>2026</v>
      </c>
      <c r="D294" s="13" t="str">
        <f t="shared" si="18"/>
        <v>2025/26</v>
      </c>
      <c r="E294" s="9" t="s">
        <v>214</v>
      </c>
      <c r="F294" s="9" t="s">
        <v>215</v>
      </c>
      <c r="G294" s="9" t="s">
        <v>225</v>
      </c>
      <c r="H294" s="9" t="s">
        <v>126</v>
      </c>
      <c r="I294" s="9" t="s">
        <v>186</v>
      </c>
      <c r="J294" s="16">
        <v>61.5</v>
      </c>
      <c r="K294" s="9" t="s">
        <v>199</v>
      </c>
      <c r="L294" s="9" t="s">
        <v>125</v>
      </c>
      <c r="M294" s="17">
        <f>IF(L294="","",IFERROR(INDEX(tbl_fatores_emissao[Valor],MATCH(L294,tbl_fatores_emissao[ID_FE],0)),""))</f>
        <v>1.8</v>
      </c>
      <c r="N294" s="17">
        <f t="shared" si="19"/>
        <v>0.111</v>
      </c>
      <c r="O294" s="9" t="s">
        <v>188</v>
      </c>
      <c r="P294" s="9" t="s">
        <v>226</v>
      </c>
      <c r="Q294" s="9"/>
    </row>
    <row r="295" spans="1:17" ht="18" customHeight="1" x14ac:dyDescent="0.3">
      <c r="A295" s="13" t="str">
        <f t="shared" si="16"/>
        <v>202605-S3-C1-FOI</v>
      </c>
      <c r="B295" s="14">
        <v>46143</v>
      </c>
      <c r="C295" s="15">
        <f t="shared" si="17"/>
        <v>2026</v>
      </c>
      <c r="D295" s="13" t="str">
        <f t="shared" si="18"/>
        <v>2025/26</v>
      </c>
      <c r="E295" s="9" t="s">
        <v>214</v>
      </c>
      <c r="F295" s="9" t="s">
        <v>215</v>
      </c>
      <c r="G295" s="9" t="s">
        <v>227</v>
      </c>
      <c r="H295" s="9" t="s">
        <v>129</v>
      </c>
      <c r="I295" s="9" t="s">
        <v>186</v>
      </c>
      <c r="J295" s="16">
        <v>975.66</v>
      </c>
      <c r="K295" s="9" t="s">
        <v>199</v>
      </c>
      <c r="L295" s="9" t="s">
        <v>128</v>
      </c>
      <c r="M295" s="17">
        <f>IF(L295="","",IFERROR(INDEX(tbl_fatores_emissao[Valor],MATCH(L295,tbl_fatores_emissao[ID_FE],0)),""))</f>
        <v>3.5</v>
      </c>
      <c r="N295" s="17">
        <f t="shared" si="19"/>
        <v>3.415</v>
      </c>
      <c r="O295" s="9" t="s">
        <v>218</v>
      </c>
      <c r="P295" s="9" t="s">
        <v>228</v>
      </c>
      <c r="Q295" s="9"/>
    </row>
    <row r="296" spans="1:17" ht="18" customHeight="1" x14ac:dyDescent="0.3">
      <c r="A296" s="13" t="str">
        <f t="shared" si="16"/>
        <v>202605-S3-C3</v>
      </c>
      <c r="B296" s="14">
        <v>46143</v>
      </c>
      <c r="C296" s="15">
        <f t="shared" si="17"/>
        <v>2026</v>
      </c>
      <c r="D296" s="13" t="str">
        <f t="shared" si="18"/>
        <v>2025/26</v>
      </c>
      <c r="E296" s="9" t="s">
        <v>214</v>
      </c>
      <c r="F296" s="9" t="s">
        <v>229</v>
      </c>
      <c r="G296" s="9" t="s">
        <v>230</v>
      </c>
      <c r="H296" s="9" t="s">
        <v>231</v>
      </c>
      <c r="I296" s="9" t="s">
        <v>186</v>
      </c>
      <c r="J296" s="16">
        <v>588371.46</v>
      </c>
      <c r="K296" s="9" t="s">
        <v>206</v>
      </c>
      <c r="L296" s="9" t="s">
        <v>133</v>
      </c>
      <c r="M296" s="17">
        <f>IF(L296="","",IFERROR(INDEX(tbl_fatores_emissao[Valor],MATCH(L296,tbl_fatores_emissao[ID_FE],0)),""))</f>
        <v>0.02</v>
      </c>
      <c r="N296" s="17">
        <f t="shared" si="19"/>
        <v>11.766999999999999</v>
      </c>
      <c r="O296" s="9" t="s">
        <v>194</v>
      </c>
      <c r="P296" s="9" t="s">
        <v>232</v>
      </c>
      <c r="Q296" s="9"/>
    </row>
    <row r="297" spans="1:17" ht="18" customHeight="1" x14ac:dyDescent="0.3">
      <c r="A297" s="13" t="str">
        <f t="shared" si="16"/>
        <v>202605-S3-C4</v>
      </c>
      <c r="B297" s="14">
        <v>46143</v>
      </c>
      <c r="C297" s="15">
        <f t="shared" si="17"/>
        <v>2026</v>
      </c>
      <c r="D297" s="13" t="str">
        <f t="shared" si="18"/>
        <v>2025/26</v>
      </c>
      <c r="E297" s="9" t="s">
        <v>214</v>
      </c>
      <c r="F297" s="9" t="s">
        <v>233</v>
      </c>
      <c r="G297" s="9" t="s">
        <v>234</v>
      </c>
      <c r="H297" s="9" t="s">
        <v>235</v>
      </c>
      <c r="I297" s="9" t="s">
        <v>186</v>
      </c>
      <c r="J297" s="16">
        <v>65205.74</v>
      </c>
      <c r="K297" s="9" t="s">
        <v>199</v>
      </c>
      <c r="L297" s="9" t="s">
        <v>137</v>
      </c>
      <c r="M297" s="17">
        <f>IF(L297="","",IFERROR(INDEX(tbl_fatores_emissao[Valor],MATCH(L297,tbl_fatores_emissao[ID_FE],0)),""))</f>
        <v>0.1178</v>
      </c>
      <c r="N297" s="17">
        <f t="shared" si="19"/>
        <v>7.681</v>
      </c>
      <c r="O297" s="9" t="s">
        <v>194</v>
      </c>
      <c r="P297" s="9" t="s">
        <v>236</v>
      </c>
      <c r="Q297" s="9"/>
    </row>
    <row r="298" spans="1:17" ht="18" customHeight="1" x14ac:dyDescent="0.3">
      <c r="A298" s="13" t="str">
        <f t="shared" si="16"/>
        <v>202605-S3-C5-REC</v>
      </c>
      <c r="B298" s="14">
        <v>46143</v>
      </c>
      <c r="C298" s="15">
        <f t="shared" si="17"/>
        <v>2026</v>
      </c>
      <c r="D298" s="13" t="str">
        <f t="shared" si="18"/>
        <v>2025/26</v>
      </c>
      <c r="E298" s="9" t="s">
        <v>214</v>
      </c>
      <c r="F298" s="9" t="s">
        <v>237</v>
      </c>
      <c r="G298" s="9" t="s">
        <v>238</v>
      </c>
      <c r="H298" s="9" t="s">
        <v>239</v>
      </c>
      <c r="I298" s="9" t="s">
        <v>186</v>
      </c>
      <c r="J298" s="16">
        <v>8669.5</v>
      </c>
      <c r="K298" s="9" t="s">
        <v>199</v>
      </c>
      <c r="L298" s="9" t="s">
        <v>148</v>
      </c>
      <c r="M298" s="17">
        <f>IF(L298="","",IFERROR(INDEX(tbl_fatores_emissao[Valor],MATCH(L298,tbl_fatores_emissao[ID_FE],0)),""))</f>
        <v>2.1000000000000001E-2</v>
      </c>
      <c r="N298" s="17">
        <f t="shared" si="19"/>
        <v>0.182</v>
      </c>
      <c r="O298" s="9" t="s">
        <v>188</v>
      </c>
      <c r="P298" s="9" t="s">
        <v>240</v>
      </c>
      <c r="Q298" s="9"/>
    </row>
    <row r="299" spans="1:17" ht="18" customHeight="1" x14ac:dyDescent="0.3">
      <c r="A299" s="13" t="str">
        <f t="shared" si="16"/>
        <v>202605-S3-C5-ATE</v>
      </c>
      <c r="B299" s="14">
        <v>46143</v>
      </c>
      <c r="C299" s="15">
        <f t="shared" si="17"/>
        <v>2026</v>
      </c>
      <c r="D299" s="13" t="str">
        <f t="shared" si="18"/>
        <v>2025/26</v>
      </c>
      <c r="E299" s="9" t="s">
        <v>214</v>
      </c>
      <c r="F299" s="9" t="s">
        <v>237</v>
      </c>
      <c r="G299" s="9" t="s">
        <v>241</v>
      </c>
      <c r="H299" s="9" t="s">
        <v>242</v>
      </c>
      <c r="I299" s="9" t="s">
        <v>186</v>
      </c>
      <c r="J299" s="16">
        <v>2126.1</v>
      </c>
      <c r="K299" s="9" t="s">
        <v>199</v>
      </c>
      <c r="L299" s="9" t="s">
        <v>152</v>
      </c>
      <c r="M299" s="17">
        <f>IF(L299="","",IFERROR(INDEX(tbl_fatores_emissao[Valor],MATCH(L299,tbl_fatores_emissao[ID_FE],0)),""))</f>
        <v>0.45</v>
      </c>
      <c r="N299" s="17">
        <f t="shared" si="19"/>
        <v>0.95699999999999996</v>
      </c>
      <c r="O299" s="9" t="s">
        <v>188</v>
      </c>
      <c r="P299" s="9" t="s">
        <v>243</v>
      </c>
      <c r="Q299" s="9"/>
    </row>
    <row r="300" spans="1:17" ht="18" customHeight="1" x14ac:dyDescent="0.3">
      <c r="A300" s="13" t="str">
        <f t="shared" si="16"/>
        <v>202605-S3-C5-PER</v>
      </c>
      <c r="B300" s="14">
        <v>46143</v>
      </c>
      <c r="C300" s="15">
        <f t="shared" si="17"/>
        <v>2026</v>
      </c>
      <c r="D300" s="13" t="str">
        <f t="shared" si="18"/>
        <v>2025/26</v>
      </c>
      <c r="E300" s="9" t="s">
        <v>214</v>
      </c>
      <c r="F300" s="9" t="s">
        <v>237</v>
      </c>
      <c r="G300" s="9" t="s">
        <v>244</v>
      </c>
      <c r="H300" s="9" t="s">
        <v>245</v>
      </c>
      <c r="I300" s="9" t="s">
        <v>186</v>
      </c>
      <c r="J300" s="16">
        <v>42.5</v>
      </c>
      <c r="K300" s="9" t="s">
        <v>199</v>
      </c>
      <c r="L300" s="9" t="s">
        <v>155</v>
      </c>
      <c r="M300" s="17">
        <f>IF(L300="","",IFERROR(INDEX(tbl_fatores_emissao[Valor],MATCH(L300,tbl_fatores_emissao[ID_FE],0)),""))</f>
        <v>0.9</v>
      </c>
      <c r="N300" s="17">
        <f t="shared" si="19"/>
        <v>3.7999999999999999E-2</v>
      </c>
      <c r="O300" s="9" t="s">
        <v>188</v>
      </c>
      <c r="P300" s="9" t="s">
        <v>246</v>
      </c>
      <c r="Q300" s="9"/>
    </row>
    <row r="301" spans="1:17" ht="18" customHeight="1" x14ac:dyDescent="0.3">
      <c r="A301" s="13" t="str">
        <f t="shared" si="16"/>
        <v>202605-S3-C6</v>
      </c>
      <c r="B301" s="14">
        <v>46143</v>
      </c>
      <c r="C301" s="15">
        <f t="shared" si="17"/>
        <v>2026</v>
      </c>
      <c r="D301" s="13" t="str">
        <f t="shared" si="18"/>
        <v>2025/26</v>
      </c>
      <c r="E301" s="9" t="s">
        <v>214</v>
      </c>
      <c r="F301" s="9" t="s">
        <v>247</v>
      </c>
      <c r="G301" s="9" t="s">
        <v>248</v>
      </c>
      <c r="H301" s="9" t="s">
        <v>249</v>
      </c>
      <c r="I301" s="9" t="s">
        <v>186</v>
      </c>
      <c r="J301" s="16">
        <v>2507.0300000000002</v>
      </c>
      <c r="K301" s="9" t="s">
        <v>250</v>
      </c>
      <c r="L301" s="9" t="s">
        <v>158</v>
      </c>
      <c r="M301" s="17">
        <f>IF(L301="","",IFERROR(INDEX(tbl_fatores_emissao[Valor],MATCH(L301,tbl_fatores_emissao[ID_FE],0)),""))</f>
        <v>0.17</v>
      </c>
      <c r="N301" s="17">
        <f t="shared" si="19"/>
        <v>0.42599999999999999</v>
      </c>
      <c r="O301" s="9" t="s">
        <v>194</v>
      </c>
      <c r="P301" s="9" t="s">
        <v>251</v>
      </c>
      <c r="Q301" s="9" t="s">
        <v>252</v>
      </c>
    </row>
    <row r="302" spans="1:17" ht="18" customHeight="1" x14ac:dyDescent="0.3">
      <c r="A302" s="13" t="str">
        <f t="shared" si="16"/>
        <v>202605-S3-C7</v>
      </c>
      <c r="B302" s="14">
        <v>46143</v>
      </c>
      <c r="C302" s="15">
        <f t="shared" si="17"/>
        <v>2026</v>
      </c>
      <c r="D302" s="13" t="str">
        <f t="shared" si="18"/>
        <v>2025/26</v>
      </c>
      <c r="E302" s="9" t="s">
        <v>214</v>
      </c>
      <c r="F302" s="9" t="s">
        <v>253</v>
      </c>
      <c r="G302" s="9" t="s">
        <v>254</v>
      </c>
      <c r="H302" s="9" t="s">
        <v>255</v>
      </c>
      <c r="I302" s="9" t="s">
        <v>186</v>
      </c>
      <c r="J302" s="16">
        <v>33480</v>
      </c>
      <c r="K302" s="9" t="s">
        <v>250</v>
      </c>
      <c r="L302" s="9" t="s">
        <v>158</v>
      </c>
      <c r="M302" s="17">
        <f>IF(L302="","",IFERROR(INDEX(tbl_fatores_emissao[Valor],MATCH(L302,tbl_fatores_emissao[ID_FE],0)),""))</f>
        <v>0.17</v>
      </c>
      <c r="N302" s="17">
        <f t="shared" si="19"/>
        <v>5.6920000000000002</v>
      </c>
      <c r="O302" s="9" t="s">
        <v>194</v>
      </c>
      <c r="P302" s="9" t="s">
        <v>256</v>
      </c>
      <c r="Q302" s="9" t="s">
        <v>257</v>
      </c>
    </row>
    <row r="303" spans="1:17" ht="18" customHeight="1" x14ac:dyDescent="0.3">
      <c r="A303" s="13" t="str">
        <f t="shared" si="16"/>
        <v>202605-S3-C9</v>
      </c>
      <c r="B303" s="14">
        <v>46143</v>
      </c>
      <c r="C303" s="15">
        <f t="shared" si="17"/>
        <v>2026</v>
      </c>
      <c r="D303" s="13" t="str">
        <f t="shared" si="18"/>
        <v>2025/26</v>
      </c>
      <c r="E303" s="9" t="s">
        <v>214</v>
      </c>
      <c r="F303" s="9" t="s">
        <v>258</v>
      </c>
      <c r="G303" s="9" t="s">
        <v>259</v>
      </c>
      <c r="H303" s="9" t="s">
        <v>260</v>
      </c>
      <c r="I303" s="9" t="s">
        <v>186</v>
      </c>
      <c r="J303" s="16">
        <v>28590.959999999999</v>
      </c>
      <c r="K303" s="9" t="s">
        <v>261</v>
      </c>
      <c r="L303" s="9" t="s">
        <v>141</v>
      </c>
      <c r="M303" s="17">
        <f>IF(L303="","",IFERROR(INDEX(tbl_fatores_emissao[Valor],MATCH(L303,tbl_fatores_emissao[ID_FE],0)),""))</f>
        <v>0.108</v>
      </c>
      <c r="N303" s="17">
        <f t="shared" si="19"/>
        <v>3.0880000000000001</v>
      </c>
      <c r="O303" s="9" t="s">
        <v>194</v>
      </c>
      <c r="P303" s="9" t="s">
        <v>262</v>
      </c>
      <c r="Q303" s="9"/>
    </row>
    <row r="304" spans="1:17" ht="18" customHeight="1" x14ac:dyDescent="0.3">
      <c r="A304" s="13" t="str">
        <f t="shared" si="16"/>
        <v>202605-S3-C12</v>
      </c>
      <c r="B304" s="14">
        <v>46143</v>
      </c>
      <c r="C304" s="15">
        <f t="shared" si="17"/>
        <v>2026</v>
      </c>
      <c r="D304" s="13" t="str">
        <f t="shared" si="18"/>
        <v>2025/26</v>
      </c>
      <c r="E304" s="9" t="s">
        <v>214</v>
      </c>
      <c r="F304" s="9" t="s">
        <v>263</v>
      </c>
      <c r="G304" s="9" t="s">
        <v>264</v>
      </c>
      <c r="H304" s="9" t="s">
        <v>265</v>
      </c>
      <c r="I304" s="9" t="s">
        <v>186</v>
      </c>
      <c r="J304" s="16">
        <v>63535.46</v>
      </c>
      <c r="K304" s="9" t="s">
        <v>199</v>
      </c>
      <c r="L304" s="9" t="s">
        <v>163</v>
      </c>
      <c r="M304" s="17">
        <f>IF(L304="","",IFERROR(INDEX(tbl_fatores_emissao[Valor],MATCH(L304,tbl_fatores_emissao[ID_FE],0)),""))</f>
        <v>1</v>
      </c>
      <c r="N304" s="17">
        <f t="shared" si="19"/>
        <v>63.534999999999997</v>
      </c>
      <c r="O304" s="9" t="s">
        <v>194</v>
      </c>
      <c r="P304" s="9" t="s">
        <v>266</v>
      </c>
      <c r="Q304" s="9"/>
    </row>
    <row r="305" spans="1:17" ht="18" customHeight="1" x14ac:dyDescent="0.3">
      <c r="A305" s="13" t="str">
        <f t="shared" si="16"/>
        <v>202606-S1-01</v>
      </c>
      <c r="B305" s="14">
        <v>46174</v>
      </c>
      <c r="C305" s="15">
        <f t="shared" si="17"/>
        <v>2026</v>
      </c>
      <c r="D305" s="13" t="str">
        <f t="shared" si="18"/>
        <v>2025/26</v>
      </c>
      <c r="E305" s="9" t="s">
        <v>182</v>
      </c>
      <c r="F305" s="9" t="s">
        <v>183</v>
      </c>
      <c r="G305" s="9" t="s">
        <v>184</v>
      </c>
      <c r="H305" s="9" t="s">
        <v>185</v>
      </c>
      <c r="I305" s="9" t="s">
        <v>186</v>
      </c>
      <c r="J305" s="16">
        <v>268.11</v>
      </c>
      <c r="K305" s="9" t="s">
        <v>187</v>
      </c>
      <c r="L305" s="9" t="s">
        <v>96</v>
      </c>
      <c r="M305" s="17">
        <f>IF(L305="","",IFERROR(INDEX(tbl_fatores_emissao[Valor],MATCH(L305,tbl_fatores_emissao[ID_FE],0)),""))</f>
        <v>2.66</v>
      </c>
      <c r="N305" s="17">
        <f t="shared" si="19"/>
        <v>0.71299999999999997</v>
      </c>
      <c r="O305" s="9" t="s">
        <v>188</v>
      </c>
      <c r="P305" s="9" t="s">
        <v>189</v>
      </c>
      <c r="Q305" s="9" t="s">
        <v>190</v>
      </c>
    </row>
    <row r="306" spans="1:17" ht="18" customHeight="1" x14ac:dyDescent="0.3">
      <c r="A306" s="13" t="str">
        <f t="shared" si="16"/>
        <v>202606-S1-02</v>
      </c>
      <c r="B306" s="14">
        <v>46174</v>
      </c>
      <c r="C306" s="15">
        <f t="shared" si="17"/>
        <v>2026</v>
      </c>
      <c r="D306" s="13" t="str">
        <f t="shared" si="18"/>
        <v>2025/26</v>
      </c>
      <c r="E306" s="9" t="s">
        <v>182</v>
      </c>
      <c r="F306" s="9" t="s">
        <v>191</v>
      </c>
      <c r="G306" s="9" t="s">
        <v>192</v>
      </c>
      <c r="H306" s="9" t="s">
        <v>193</v>
      </c>
      <c r="I306" s="9" t="s">
        <v>186</v>
      </c>
      <c r="J306" s="16">
        <v>14.9</v>
      </c>
      <c r="K306" s="9" t="s">
        <v>187</v>
      </c>
      <c r="L306" s="9" t="s">
        <v>96</v>
      </c>
      <c r="M306" s="17">
        <f>IF(L306="","",IFERROR(INDEX(tbl_fatores_emissao[Valor],MATCH(L306,tbl_fatores_emissao[ID_FE],0)),""))</f>
        <v>2.66</v>
      </c>
      <c r="N306" s="17">
        <f t="shared" si="19"/>
        <v>0.04</v>
      </c>
      <c r="O306" s="9" t="s">
        <v>194</v>
      </c>
      <c r="P306" s="9" t="s">
        <v>195</v>
      </c>
      <c r="Q306" s="9" t="s">
        <v>190</v>
      </c>
    </row>
    <row r="307" spans="1:17" ht="18" customHeight="1" x14ac:dyDescent="0.3">
      <c r="A307" s="13" t="str">
        <f t="shared" si="16"/>
        <v>202606-S1-03</v>
      </c>
      <c r="B307" s="14">
        <v>46174</v>
      </c>
      <c r="C307" s="15">
        <f t="shared" si="17"/>
        <v>2026</v>
      </c>
      <c r="D307" s="13" t="str">
        <f t="shared" si="18"/>
        <v>2025/26</v>
      </c>
      <c r="E307" s="9" t="s">
        <v>182</v>
      </c>
      <c r="F307" s="9" t="s">
        <v>196</v>
      </c>
      <c r="G307" s="9" t="s">
        <v>197</v>
      </c>
      <c r="H307" s="9" t="s">
        <v>198</v>
      </c>
      <c r="I307" s="9" t="s">
        <v>186</v>
      </c>
      <c r="J307" s="16"/>
      <c r="K307" s="9" t="s">
        <v>199</v>
      </c>
      <c r="L307" s="9" t="s">
        <v>101</v>
      </c>
      <c r="M307" s="17">
        <f>IF(L307="","",IFERROR(INDEX(tbl_fatores_emissao[Valor],MATCH(L307,tbl_fatores_emissao[ID_FE],0)),""))</f>
        <v>2088</v>
      </c>
      <c r="N307" s="17" t="str">
        <f t="shared" si="19"/>
        <v/>
      </c>
      <c r="O307" s="9" t="s">
        <v>188</v>
      </c>
      <c r="P307" s="9" t="s">
        <v>200</v>
      </c>
      <c r="Q307" s="9"/>
    </row>
    <row r="308" spans="1:17" ht="18" customHeight="1" x14ac:dyDescent="0.3">
      <c r="A308" s="13" t="str">
        <f t="shared" si="16"/>
        <v>202606-S2-LB</v>
      </c>
      <c r="B308" s="14">
        <v>46174</v>
      </c>
      <c r="C308" s="15">
        <f t="shared" si="17"/>
        <v>2026</v>
      </c>
      <c r="D308" s="13" t="str">
        <f t="shared" si="18"/>
        <v>2025/26</v>
      </c>
      <c r="E308" s="9" t="s">
        <v>201</v>
      </c>
      <c r="F308" s="9" t="s">
        <v>202</v>
      </c>
      <c r="G308" s="9" t="s">
        <v>203</v>
      </c>
      <c r="H308" s="9" t="s">
        <v>204</v>
      </c>
      <c r="I308" s="9" t="s">
        <v>205</v>
      </c>
      <c r="J308" s="16">
        <v>568978.72</v>
      </c>
      <c r="K308" s="9" t="s">
        <v>206</v>
      </c>
      <c r="L308" s="9" t="s">
        <v>82</v>
      </c>
      <c r="M308" s="17">
        <f>IF(L308="","",IFERROR(INDEX(tbl_fatores_emissao[Valor],MATCH(L308,tbl_fatores_emissao[ID_FE],0)),""))</f>
        <v>0.11</v>
      </c>
      <c r="N308" s="17">
        <f t="shared" si="19"/>
        <v>62.588000000000001</v>
      </c>
      <c r="O308" s="9" t="s">
        <v>188</v>
      </c>
      <c r="P308" s="9" t="s">
        <v>207</v>
      </c>
      <c r="Q308" s="9"/>
    </row>
    <row r="309" spans="1:17" ht="18" customHeight="1" x14ac:dyDescent="0.3">
      <c r="A309" s="13" t="str">
        <f t="shared" si="16"/>
        <v>202606-S2-MB-GO</v>
      </c>
      <c r="B309" s="14">
        <v>46174</v>
      </c>
      <c r="C309" s="15">
        <f t="shared" si="17"/>
        <v>2026</v>
      </c>
      <c r="D309" s="13" t="str">
        <f t="shared" si="18"/>
        <v>2025/26</v>
      </c>
      <c r="E309" s="9" t="s">
        <v>201</v>
      </c>
      <c r="F309" s="9" t="s">
        <v>202</v>
      </c>
      <c r="G309" s="9" t="s">
        <v>208</v>
      </c>
      <c r="H309" s="9" t="s">
        <v>209</v>
      </c>
      <c r="I309" s="9" t="s">
        <v>210</v>
      </c>
      <c r="J309" s="16">
        <v>312938.3</v>
      </c>
      <c r="K309" s="9" t="s">
        <v>206</v>
      </c>
      <c r="L309" s="9" t="s">
        <v>92</v>
      </c>
      <c r="M309" s="17">
        <f>IF(L309="","",IFERROR(INDEX(tbl_fatores_emissao[Valor],MATCH(L309,tbl_fatores_emissao[ID_FE],0)),""))</f>
        <v>0</v>
      </c>
      <c r="N309" s="17">
        <f t="shared" si="19"/>
        <v>0</v>
      </c>
      <c r="O309" s="9" t="s">
        <v>188</v>
      </c>
      <c r="P309" s="9" t="s">
        <v>211</v>
      </c>
      <c r="Q309" s="9"/>
    </row>
    <row r="310" spans="1:17" ht="18" customHeight="1" x14ac:dyDescent="0.3">
      <c r="A310" s="13" t="str">
        <f t="shared" si="16"/>
        <v>202606-S2-MB-RES</v>
      </c>
      <c r="B310" s="14">
        <v>46174</v>
      </c>
      <c r="C310" s="15">
        <f t="shared" si="17"/>
        <v>2026</v>
      </c>
      <c r="D310" s="13" t="str">
        <f t="shared" si="18"/>
        <v>2025/26</v>
      </c>
      <c r="E310" s="9" t="s">
        <v>201</v>
      </c>
      <c r="F310" s="9" t="s">
        <v>202</v>
      </c>
      <c r="G310" s="9" t="s">
        <v>212</v>
      </c>
      <c r="H310" s="9" t="s">
        <v>213</v>
      </c>
      <c r="I310" s="9" t="s">
        <v>210</v>
      </c>
      <c r="J310" s="16">
        <v>256040.42</v>
      </c>
      <c r="K310" s="9" t="s">
        <v>206</v>
      </c>
      <c r="L310" s="9" t="s">
        <v>88</v>
      </c>
      <c r="M310" s="17">
        <f>IF(L310="","",IFERROR(INDEX(tbl_fatores_emissao[Valor],MATCH(L310,tbl_fatores_emissao[ID_FE],0)),""))</f>
        <v>0.25</v>
      </c>
      <c r="N310" s="17">
        <f t="shared" si="19"/>
        <v>64.010000000000005</v>
      </c>
      <c r="O310" s="9" t="s">
        <v>188</v>
      </c>
      <c r="P310" s="9" t="s">
        <v>211</v>
      </c>
      <c r="Q310" s="9"/>
    </row>
    <row r="311" spans="1:17" ht="18" customHeight="1" x14ac:dyDescent="0.3">
      <c r="A311" s="13" t="str">
        <f t="shared" si="16"/>
        <v>202606-S3-C1-VIR</v>
      </c>
      <c r="B311" s="14">
        <v>46174</v>
      </c>
      <c r="C311" s="15">
        <f t="shared" si="17"/>
        <v>2026</v>
      </c>
      <c r="D311" s="13" t="str">
        <f t="shared" si="18"/>
        <v>2025/26</v>
      </c>
      <c r="E311" s="9" t="s">
        <v>214</v>
      </c>
      <c r="F311" s="9" t="s">
        <v>215</v>
      </c>
      <c r="G311" s="9" t="s">
        <v>216</v>
      </c>
      <c r="H311" s="9" t="s">
        <v>217</v>
      </c>
      <c r="I311" s="9" t="s">
        <v>186</v>
      </c>
      <c r="J311" s="16">
        <v>57901.67</v>
      </c>
      <c r="K311" s="9" t="s">
        <v>199</v>
      </c>
      <c r="L311" s="9" t="s">
        <v>119</v>
      </c>
      <c r="M311" s="17">
        <f>IF(L311="","",IFERROR(INDEX(tbl_fatores_emissao[Valor],MATCH(L311,tbl_fatores_emissao[ID_FE],0)),""))</f>
        <v>1.9</v>
      </c>
      <c r="N311" s="17">
        <f t="shared" si="19"/>
        <v>110.01300000000001</v>
      </c>
      <c r="O311" s="9" t="s">
        <v>218</v>
      </c>
      <c r="P311" s="9" t="s">
        <v>219</v>
      </c>
      <c r="Q311" s="9"/>
    </row>
    <row r="312" spans="1:17" ht="18" customHeight="1" x14ac:dyDescent="0.3">
      <c r="A312" s="13" t="str">
        <f t="shared" si="16"/>
        <v>202606-S3-C1-PCR</v>
      </c>
      <c r="B312" s="14">
        <v>46174</v>
      </c>
      <c r="C312" s="15">
        <f t="shared" si="17"/>
        <v>2026</v>
      </c>
      <c r="D312" s="13" t="str">
        <f t="shared" si="18"/>
        <v>2025/26</v>
      </c>
      <c r="E312" s="9" t="s">
        <v>214</v>
      </c>
      <c r="F312" s="9" t="s">
        <v>215</v>
      </c>
      <c r="G312" s="9" t="s">
        <v>220</v>
      </c>
      <c r="H312" s="9" t="s">
        <v>221</v>
      </c>
      <c r="I312" s="9" t="s">
        <v>186</v>
      </c>
      <c r="J312" s="16">
        <v>7091.34</v>
      </c>
      <c r="K312" s="9" t="s">
        <v>199</v>
      </c>
      <c r="L312" s="9" t="s">
        <v>116</v>
      </c>
      <c r="M312" s="17">
        <f>IF(L312="","",IFERROR(INDEX(tbl_fatores_emissao[Valor],MATCH(L312,tbl_fatores_emissao[ID_FE],0)),""))</f>
        <v>0.5</v>
      </c>
      <c r="N312" s="17">
        <f t="shared" si="19"/>
        <v>3.5459999999999998</v>
      </c>
      <c r="O312" s="9" t="s">
        <v>218</v>
      </c>
      <c r="P312" s="9" t="s">
        <v>222</v>
      </c>
      <c r="Q312" s="9"/>
    </row>
    <row r="313" spans="1:17" ht="18" customHeight="1" x14ac:dyDescent="0.3">
      <c r="A313" s="13" t="str">
        <f t="shared" si="16"/>
        <v>202606-S3-C1-TIN</v>
      </c>
      <c r="B313" s="14">
        <v>46174</v>
      </c>
      <c r="C313" s="15">
        <f t="shared" si="17"/>
        <v>2026</v>
      </c>
      <c r="D313" s="13" t="str">
        <f t="shared" si="18"/>
        <v>2025/26</v>
      </c>
      <c r="E313" s="9" t="s">
        <v>214</v>
      </c>
      <c r="F313" s="9" t="s">
        <v>215</v>
      </c>
      <c r="G313" s="9" t="s">
        <v>223</v>
      </c>
      <c r="H313" s="9" t="s">
        <v>123</v>
      </c>
      <c r="I313" s="9" t="s">
        <v>186</v>
      </c>
      <c r="J313" s="16">
        <v>61.42</v>
      </c>
      <c r="K313" s="9" t="s">
        <v>199</v>
      </c>
      <c r="L313" s="9" t="s">
        <v>122</v>
      </c>
      <c r="M313" s="17">
        <f>IF(L313="","",IFERROR(INDEX(tbl_fatores_emissao[Valor],MATCH(L313,tbl_fatores_emissao[ID_FE],0)),""))</f>
        <v>3</v>
      </c>
      <c r="N313" s="17">
        <f t="shared" si="19"/>
        <v>0.184</v>
      </c>
      <c r="O313" s="9" t="s">
        <v>218</v>
      </c>
      <c r="P313" s="9" t="s">
        <v>224</v>
      </c>
      <c r="Q313" s="9"/>
    </row>
    <row r="314" spans="1:17" ht="18" customHeight="1" x14ac:dyDescent="0.3">
      <c r="A314" s="13" t="str">
        <f t="shared" si="16"/>
        <v>202606-S3-C1-SOL</v>
      </c>
      <c r="B314" s="14">
        <v>46174</v>
      </c>
      <c r="C314" s="15">
        <f t="shared" si="17"/>
        <v>2026</v>
      </c>
      <c r="D314" s="13" t="str">
        <f t="shared" si="18"/>
        <v>2025/26</v>
      </c>
      <c r="E314" s="9" t="s">
        <v>214</v>
      </c>
      <c r="F314" s="9" t="s">
        <v>215</v>
      </c>
      <c r="G314" s="9" t="s">
        <v>225</v>
      </c>
      <c r="H314" s="9" t="s">
        <v>126</v>
      </c>
      <c r="I314" s="9" t="s">
        <v>186</v>
      </c>
      <c r="J314" s="16">
        <v>45.09</v>
      </c>
      <c r="K314" s="9" t="s">
        <v>199</v>
      </c>
      <c r="L314" s="9" t="s">
        <v>125</v>
      </c>
      <c r="M314" s="17">
        <f>IF(L314="","",IFERROR(INDEX(tbl_fatores_emissao[Valor],MATCH(L314,tbl_fatores_emissao[ID_FE],0)),""))</f>
        <v>1.8</v>
      </c>
      <c r="N314" s="17">
        <f t="shared" si="19"/>
        <v>8.1000000000000003E-2</v>
      </c>
      <c r="O314" s="9" t="s">
        <v>188</v>
      </c>
      <c r="P314" s="9" t="s">
        <v>226</v>
      </c>
      <c r="Q314" s="9"/>
    </row>
    <row r="315" spans="1:17" ht="18" customHeight="1" x14ac:dyDescent="0.3">
      <c r="A315" s="13" t="str">
        <f t="shared" si="16"/>
        <v>202606-S3-C1-FOI</v>
      </c>
      <c r="B315" s="14">
        <v>46174</v>
      </c>
      <c r="C315" s="15">
        <f t="shared" si="17"/>
        <v>2026</v>
      </c>
      <c r="D315" s="13" t="str">
        <f t="shared" si="18"/>
        <v>2025/26</v>
      </c>
      <c r="E315" s="9" t="s">
        <v>214</v>
      </c>
      <c r="F315" s="9" t="s">
        <v>215</v>
      </c>
      <c r="G315" s="9" t="s">
        <v>227</v>
      </c>
      <c r="H315" s="9" t="s">
        <v>129</v>
      </c>
      <c r="I315" s="9" t="s">
        <v>186</v>
      </c>
      <c r="J315" s="16">
        <v>992.36</v>
      </c>
      <c r="K315" s="9" t="s">
        <v>199</v>
      </c>
      <c r="L315" s="9" t="s">
        <v>128</v>
      </c>
      <c r="M315" s="17">
        <f>IF(L315="","",IFERROR(INDEX(tbl_fatores_emissao[Valor],MATCH(L315,tbl_fatores_emissao[ID_FE],0)),""))</f>
        <v>3.5</v>
      </c>
      <c r="N315" s="17">
        <f t="shared" si="19"/>
        <v>3.4729999999999999</v>
      </c>
      <c r="O315" s="9" t="s">
        <v>218</v>
      </c>
      <c r="P315" s="9" t="s">
        <v>228</v>
      </c>
      <c r="Q315" s="9"/>
    </row>
    <row r="316" spans="1:17" ht="18" customHeight="1" x14ac:dyDescent="0.3">
      <c r="A316" s="13" t="str">
        <f t="shared" si="16"/>
        <v>202606-S3-C3</v>
      </c>
      <c r="B316" s="14">
        <v>46174</v>
      </c>
      <c r="C316" s="15">
        <f t="shared" si="17"/>
        <v>2026</v>
      </c>
      <c r="D316" s="13" t="str">
        <f t="shared" si="18"/>
        <v>2025/26</v>
      </c>
      <c r="E316" s="9" t="s">
        <v>214</v>
      </c>
      <c r="F316" s="9" t="s">
        <v>229</v>
      </c>
      <c r="G316" s="9" t="s">
        <v>230</v>
      </c>
      <c r="H316" s="9" t="s">
        <v>231</v>
      </c>
      <c r="I316" s="9" t="s">
        <v>186</v>
      </c>
      <c r="J316" s="16">
        <v>568978.72</v>
      </c>
      <c r="K316" s="9" t="s">
        <v>206</v>
      </c>
      <c r="L316" s="9" t="s">
        <v>133</v>
      </c>
      <c r="M316" s="17">
        <f>IF(L316="","",IFERROR(INDEX(tbl_fatores_emissao[Valor],MATCH(L316,tbl_fatores_emissao[ID_FE],0)),""))</f>
        <v>0.02</v>
      </c>
      <c r="N316" s="17">
        <f t="shared" si="19"/>
        <v>11.38</v>
      </c>
      <c r="O316" s="9" t="s">
        <v>194</v>
      </c>
      <c r="P316" s="9" t="s">
        <v>232</v>
      </c>
      <c r="Q316" s="9"/>
    </row>
    <row r="317" spans="1:17" ht="18" customHeight="1" x14ac:dyDescent="0.3">
      <c r="A317" s="13" t="str">
        <f t="shared" si="16"/>
        <v>202606-S3-C4</v>
      </c>
      <c r="B317" s="14">
        <v>46174</v>
      </c>
      <c r="C317" s="15">
        <f t="shared" si="17"/>
        <v>2026</v>
      </c>
      <c r="D317" s="13" t="str">
        <f t="shared" si="18"/>
        <v>2025/26</v>
      </c>
      <c r="E317" s="9" t="s">
        <v>214</v>
      </c>
      <c r="F317" s="9" t="s">
        <v>233</v>
      </c>
      <c r="G317" s="9" t="s">
        <v>234</v>
      </c>
      <c r="H317" s="9" t="s">
        <v>235</v>
      </c>
      <c r="I317" s="9" t="s">
        <v>186</v>
      </c>
      <c r="J317" s="16">
        <v>64993.01</v>
      </c>
      <c r="K317" s="9" t="s">
        <v>199</v>
      </c>
      <c r="L317" s="9" t="s">
        <v>137</v>
      </c>
      <c r="M317" s="17">
        <f>IF(L317="","",IFERROR(INDEX(tbl_fatores_emissao[Valor],MATCH(L317,tbl_fatores_emissao[ID_FE],0)),""))</f>
        <v>0.1178</v>
      </c>
      <c r="N317" s="17">
        <f t="shared" si="19"/>
        <v>7.6559999999999997</v>
      </c>
      <c r="O317" s="9" t="s">
        <v>194</v>
      </c>
      <c r="P317" s="9" t="s">
        <v>236</v>
      </c>
      <c r="Q317" s="9"/>
    </row>
    <row r="318" spans="1:17" ht="18" customHeight="1" x14ac:dyDescent="0.3">
      <c r="A318" s="13" t="str">
        <f t="shared" si="16"/>
        <v>202606-S3-C5-REC</v>
      </c>
      <c r="B318" s="14">
        <v>46174</v>
      </c>
      <c r="C318" s="15">
        <f t="shared" si="17"/>
        <v>2026</v>
      </c>
      <c r="D318" s="13" t="str">
        <f t="shared" si="18"/>
        <v>2025/26</v>
      </c>
      <c r="E318" s="9" t="s">
        <v>214</v>
      </c>
      <c r="F318" s="9" t="s">
        <v>237</v>
      </c>
      <c r="G318" s="9" t="s">
        <v>238</v>
      </c>
      <c r="H318" s="9" t="s">
        <v>239</v>
      </c>
      <c r="I318" s="9" t="s">
        <v>186</v>
      </c>
      <c r="J318" s="16">
        <v>9057.2999999999993</v>
      </c>
      <c r="K318" s="9" t="s">
        <v>199</v>
      </c>
      <c r="L318" s="9" t="s">
        <v>148</v>
      </c>
      <c r="M318" s="17">
        <f>IF(L318="","",IFERROR(INDEX(tbl_fatores_emissao[Valor],MATCH(L318,tbl_fatores_emissao[ID_FE],0)),""))</f>
        <v>2.1000000000000001E-2</v>
      </c>
      <c r="N318" s="17">
        <f t="shared" si="19"/>
        <v>0.19</v>
      </c>
      <c r="O318" s="9" t="s">
        <v>188</v>
      </c>
      <c r="P318" s="9" t="s">
        <v>240</v>
      </c>
      <c r="Q318" s="9"/>
    </row>
    <row r="319" spans="1:17" ht="18" customHeight="1" x14ac:dyDescent="0.3">
      <c r="A319" s="13" t="str">
        <f t="shared" si="16"/>
        <v>202606-S3-C5-ATE</v>
      </c>
      <c r="B319" s="14">
        <v>46174</v>
      </c>
      <c r="C319" s="15">
        <f t="shared" si="17"/>
        <v>2026</v>
      </c>
      <c r="D319" s="13" t="str">
        <f t="shared" si="18"/>
        <v>2025/26</v>
      </c>
      <c r="E319" s="9" t="s">
        <v>214</v>
      </c>
      <c r="F319" s="9" t="s">
        <v>237</v>
      </c>
      <c r="G319" s="9" t="s">
        <v>241</v>
      </c>
      <c r="H319" s="9" t="s">
        <v>242</v>
      </c>
      <c r="I319" s="9" t="s">
        <v>186</v>
      </c>
      <c r="J319" s="16">
        <v>1982.9</v>
      </c>
      <c r="K319" s="9" t="s">
        <v>199</v>
      </c>
      <c r="L319" s="9" t="s">
        <v>152</v>
      </c>
      <c r="M319" s="17">
        <f>IF(L319="","",IFERROR(INDEX(tbl_fatores_emissao[Valor],MATCH(L319,tbl_fatores_emissao[ID_FE],0)),""))</f>
        <v>0.45</v>
      </c>
      <c r="N319" s="17">
        <f t="shared" si="19"/>
        <v>0.89200000000000002</v>
      </c>
      <c r="O319" s="9" t="s">
        <v>188</v>
      </c>
      <c r="P319" s="9" t="s">
        <v>243</v>
      </c>
      <c r="Q319" s="9"/>
    </row>
    <row r="320" spans="1:17" ht="18" customHeight="1" x14ac:dyDescent="0.3">
      <c r="A320" s="13" t="str">
        <f t="shared" si="16"/>
        <v>202606-S3-C5-PER</v>
      </c>
      <c r="B320" s="14">
        <v>46174</v>
      </c>
      <c r="C320" s="15">
        <f t="shared" si="17"/>
        <v>2026</v>
      </c>
      <c r="D320" s="13" t="str">
        <f t="shared" si="18"/>
        <v>2025/26</v>
      </c>
      <c r="E320" s="9" t="s">
        <v>214</v>
      </c>
      <c r="F320" s="9" t="s">
        <v>237</v>
      </c>
      <c r="G320" s="9" t="s">
        <v>244</v>
      </c>
      <c r="H320" s="9" t="s">
        <v>245</v>
      </c>
      <c r="I320" s="9" t="s">
        <v>186</v>
      </c>
      <c r="J320" s="16">
        <v>39.1</v>
      </c>
      <c r="K320" s="9" t="s">
        <v>199</v>
      </c>
      <c r="L320" s="9" t="s">
        <v>155</v>
      </c>
      <c r="M320" s="17">
        <f>IF(L320="","",IFERROR(INDEX(tbl_fatores_emissao[Valor],MATCH(L320,tbl_fatores_emissao[ID_FE],0)),""))</f>
        <v>0.9</v>
      </c>
      <c r="N320" s="17">
        <f t="shared" si="19"/>
        <v>3.5000000000000003E-2</v>
      </c>
      <c r="O320" s="9" t="s">
        <v>188</v>
      </c>
      <c r="P320" s="9" t="s">
        <v>246</v>
      </c>
      <c r="Q320" s="9"/>
    </row>
    <row r="321" spans="1:17" ht="18" customHeight="1" x14ac:dyDescent="0.3">
      <c r="A321" s="13" t="str">
        <f t="shared" si="16"/>
        <v>202606-S3-C6</v>
      </c>
      <c r="B321" s="14">
        <v>46174</v>
      </c>
      <c r="C321" s="15">
        <f t="shared" si="17"/>
        <v>2026</v>
      </c>
      <c r="D321" s="13" t="str">
        <f t="shared" si="18"/>
        <v>2025/26</v>
      </c>
      <c r="E321" s="9" t="s">
        <v>214</v>
      </c>
      <c r="F321" s="9" t="s">
        <v>247</v>
      </c>
      <c r="G321" s="9" t="s">
        <v>248</v>
      </c>
      <c r="H321" s="9" t="s">
        <v>249</v>
      </c>
      <c r="I321" s="9" t="s">
        <v>186</v>
      </c>
      <c r="J321" s="16">
        <v>2190.71</v>
      </c>
      <c r="K321" s="9" t="s">
        <v>250</v>
      </c>
      <c r="L321" s="9" t="s">
        <v>158</v>
      </c>
      <c r="M321" s="17">
        <f>IF(L321="","",IFERROR(INDEX(tbl_fatores_emissao[Valor],MATCH(L321,tbl_fatores_emissao[ID_FE],0)),""))</f>
        <v>0.17</v>
      </c>
      <c r="N321" s="17">
        <f t="shared" si="19"/>
        <v>0.372</v>
      </c>
      <c r="O321" s="9" t="s">
        <v>194</v>
      </c>
      <c r="P321" s="9" t="s">
        <v>251</v>
      </c>
      <c r="Q321" s="9" t="s">
        <v>252</v>
      </c>
    </row>
    <row r="322" spans="1:17" ht="18" customHeight="1" x14ac:dyDescent="0.3">
      <c r="A322" s="13" t="str">
        <f t="shared" si="16"/>
        <v>202606-S3-C7</v>
      </c>
      <c r="B322" s="14">
        <v>46174</v>
      </c>
      <c r="C322" s="15">
        <f t="shared" si="17"/>
        <v>2026</v>
      </c>
      <c r="D322" s="13" t="str">
        <f t="shared" si="18"/>
        <v>2025/26</v>
      </c>
      <c r="E322" s="9" t="s">
        <v>214</v>
      </c>
      <c r="F322" s="9" t="s">
        <v>253</v>
      </c>
      <c r="G322" s="9" t="s">
        <v>254</v>
      </c>
      <c r="H322" s="9" t="s">
        <v>255</v>
      </c>
      <c r="I322" s="9" t="s">
        <v>186</v>
      </c>
      <c r="J322" s="16">
        <v>33480</v>
      </c>
      <c r="K322" s="9" t="s">
        <v>250</v>
      </c>
      <c r="L322" s="9" t="s">
        <v>158</v>
      </c>
      <c r="M322" s="17">
        <f>IF(L322="","",IFERROR(INDEX(tbl_fatores_emissao[Valor],MATCH(L322,tbl_fatores_emissao[ID_FE],0)),""))</f>
        <v>0.17</v>
      </c>
      <c r="N322" s="17">
        <f t="shared" si="19"/>
        <v>5.6920000000000002</v>
      </c>
      <c r="O322" s="9" t="s">
        <v>194</v>
      </c>
      <c r="P322" s="9" t="s">
        <v>256</v>
      </c>
      <c r="Q322" s="9" t="s">
        <v>257</v>
      </c>
    </row>
    <row r="323" spans="1:17" ht="18" customHeight="1" x14ac:dyDescent="0.3">
      <c r="A323" s="13" t="str">
        <f t="shared" si="16"/>
        <v>202606-S3-C9</v>
      </c>
      <c r="B323" s="14">
        <v>46174</v>
      </c>
      <c r="C323" s="15">
        <f t="shared" si="17"/>
        <v>2026</v>
      </c>
      <c r="D323" s="13" t="str">
        <f t="shared" si="18"/>
        <v>2025/26</v>
      </c>
      <c r="E323" s="9" t="s">
        <v>214</v>
      </c>
      <c r="F323" s="9" t="s">
        <v>258</v>
      </c>
      <c r="G323" s="9" t="s">
        <v>259</v>
      </c>
      <c r="H323" s="9" t="s">
        <v>260</v>
      </c>
      <c r="I323" s="9" t="s">
        <v>186</v>
      </c>
      <c r="J323" s="16">
        <v>28554.92</v>
      </c>
      <c r="K323" s="9" t="s">
        <v>261</v>
      </c>
      <c r="L323" s="9" t="s">
        <v>141</v>
      </c>
      <c r="M323" s="17">
        <f>IF(L323="","",IFERROR(INDEX(tbl_fatores_emissao[Valor],MATCH(L323,tbl_fatores_emissao[ID_FE],0)),""))</f>
        <v>0.108</v>
      </c>
      <c r="N323" s="17">
        <f t="shared" si="19"/>
        <v>3.0840000000000001</v>
      </c>
      <c r="O323" s="9" t="s">
        <v>194</v>
      </c>
      <c r="P323" s="9" t="s">
        <v>262</v>
      </c>
      <c r="Q323" s="9"/>
    </row>
    <row r="324" spans="1:17" ht="18" customHeight="1" x14ac:dyDescent="0.3">
      <c r="A324" s="13" t="str">
        <f t="shared" si="16"/>
        <v>202606-S3-C12</v>
      </c>
      <c r="B324" s="14">
        <v>46174</v>
      </c>
      <c r="C324" s="15">
        <f t="shared" si="17"/>
        <v>2026</v>
      </c>
      <c r="D324" s="13" t="str">
        <f t="shared" si="18"/>
        <v>2025/26</v>
      </c>
      <c r="E324" s="9" t="s">
        <v>214</v>
      </c>
      <c r="F324" s="9" t="s">
        <v>263</v>
      </c>
      <c r="G324" s="9" t="s">
        <v>264</v>
      </c>
      <c r="H324" s="9" t="s">
        <v>265</v>
      </c>
      <c r="I324" s="9" t="s">
        <v>186</v>
      </c>
      <c r="J324" s="16">
        <v>63455.37</v>
      </c>
      <c r="K324" s="9" t="s">
        <v>199</v>
      </c>
      <c r="L324" s="9" t="s">
        <v>163</v>
      </c>
      <c r="M324" s="17">
        <f>IF(L324="","",IFERROR(INDEX(tbl_fatores_emissao[Valor],MATCH(L324,tbl_fatores_emissao[ID_FE],0)),""))</f>
        <v>1</v>
      </c>
      <c r="N324" s="17">
        <f t="shared" si="19"/>
        <v>63.454999999999998</v>
      </c>
      <c r="O324" s="9" t="s">
        <v>194</v>
      </c>
      <c r="P324" s="9" t="s">
        <v>266</v>
      </c>
      <c r="Q324" s="9"/>
    </row>
    <row r="325" spans="1:17" ht="18" customHeight="1" x14ac:dyDescent="0.3">
      <c r="A325" s="13" t="str">
        <f t="shared" ref="A325:A388" si="20">IF(B325="","",(YEAR(B325)*100+MONTH(B325))&amp;"-"&amp;G325)</f>
        <v>202607-S1-01</v>
      </c>
      <c r="B325" s="14">
        <v>46204</v>
      </c>
      <c r="C325" s="15">
        <f t="shared" ref="C325:C388" si="21">IF(B325="","",YEAR(B325))</f>
        <v>2026</v>
      </c>
      <c r="D325" s="13" t="str">
        <f t="shared" ref="D325:D388" si="22">IF(B325="","",IF(AND(B325&gt;=DATE(2025,9,1),B325&lt;=DATE(2026,8,1)),"2025/26","Fora"))</f>
        <v>2025/26</v>
      </c>
      <c r="E325" s="9" t="s">
        <v>182</v>
      </c>
      <c r="F325" s="9" t="s">
        <v>183</v>
      </c>
      <c r="G325" s="9" t="s">
        <v>184</v>
      </c>
      <c r="H325" s="9" t="s">
        <v>185</v>
      </c>
      <c r="I325" s="9" t="s">
        <v>186</v>
      </c>
      <c r="J325" s="16">
        <v>294.02</v>
      </c>
      <c r="K325" s="9" t="s">
        <v>187</v>
      </c>
      <c r="L325" s="9" t="s">
        <v>96</v>
      </c>
      <c r="M325" s="17">
        <f>IF(L325="","",IFERROR(INDEX(tbl_fatores_emissao[Valor],MATCH(L325,tbl_fatores_emissao[ID_FE],0)),""))</f>
        <v>2.66</v>
      </c>
      <c r="N325" s="17">
        <f t="shared" ref="N325:N388" si="23">IF(OR(J325="",M325=""),"",ROUND(J325*M325/1000,3))</f>
        <v>0.78200000000000003</v>
      </c>
      <c r="O325" s="9" t="s">
        <v>188</v>
      </c>
      <c r="P325" s="9" t="s">
        <v>189</v>
      </c>
      <c r="Q325" s="9" t="s">
        <v>190</v>
      </c>
    </row>
    <row r="326" spans="1:17" ht="18" customHeight="1" x14ac:dyDescent="0.3">
      <c r="A326" s="13" t="str">
        <f t="shared" si="20"/>
        <v>202607-S1-02</v>
      </c>
      <c r="B326" s="14">
        <v>46204</v>
      </c>
      <c r="C326" s="15">
        <f t="shared" si="21"/>
        <v>2026</v>
      </c>
      <c r="D326" s="13" t="str">
        <f t="shared" si="22"/>
        <v>2025/26</v>
      </c>
      <c r="E326" s="9" t="s">
        <v>182</v>
      </c>
      <c r="F326" s="9" t="s">
        <v>191</v>
      </c>
      <c r="G326" s="9" t="s">
        <v>192</v>
      </c>
      <c r="H326" s="9" t="s">
        <v>193</v>
      </c>
      <c r="I326" s="9" t="s">
        <v>186</v>
      </c>
      <c r="J326" s="16">
        <v>21.08</v>
      </c>
      <c r="K326" s="9" t="s">
        <v>187</v>
      </c>
      <c r="L326" s="9" t="s">
        <v>96</v>
      </c>
      <c r="M326" s="17">
        <f>IF(L326="","",IFERROR(INDEX(tbl_fatores_emissao[Valor],MATCH(L326,tbl_fatores_emissao[ID_FE],0)),""))</f>
        <v>2.66</v>
      </c>
      <c r="N326" s="17">
        <f t="shared" si="23"/>
        <v>5.6000000000000001E-2</v>
      </c>
      <c r="O326" s="9" t="s">
        <v>194</v>
      </c>
      <c r="P326" s="9" t="s">
        <v>195</v>
      </c>
      <c r="Q326" s="9" t="s">
        <v>190</v>
      </c>
    </row>
    <row r="327" spans="1:17" ht="18" customHeight="1" x14ac:dyDescent="0.3">
      <c r="A327" s="13" t="str">
        <f t="shared" si="20"/>
        <v>202607-S1-03</v>
      </c>
      <c r="B327" s="14">
        <v>46204</v>
      </c>
      <c r="C327" s="15">
        <f t="shared" si="21"/>
        <v>2026</v>
      </c>
      <c r="D327" s="13" t="str">
        <f t="shared" si="22"/>
        <v>2025/26</v>
      </c>
      <c r="E327" s="9" t="s">
        <v>182</v>
      </c>
      <c r="F327" s="9" t="s">
        <v>196</v>
      </c>
      <c r="G327" s="9" t="s">
        <v>197</v>
      </c>
      <c r="H327" s="9" t="s">
        <v>198</v>
      </c>
      <c r="I327" s="9" t="s">
        <v>186</v>
      </c>
      <c r="J327" s="16"/>
      <c r="K327" s="9" t="s">
        <v>199</v>
      </c>
      <c r="L327" s="9" t="s">
        <v>101</v>
      </c>
      <c r="M327" s="17">
        <f>IF(L327="","",IFERROR(INDEX(tbl_fatores_emissao[Valor],MATCH(L327,tbl_fatores_emissao[ID_FE],0)),""))</f>
        <v>2088</v>
      </c>
      <c r="N327" s="17" t="str">
        <f t="shared" si="23"/>
        <v/>
      </c>
      <c r="O327" s="9" t="s">
        <v>188</v>
      </c>
      <c r="P327" s="9" t="s">
        <v>200</v>
      </c>
      <c r="Q327" s="9"/>
    </row>
    <row r="328" spans="1:17" ht="18" customHeight="1" x14ac:dyDescent="0.3">
      <c r="A328" s="13" t="str">
        <f t="shared" si="20"/>
        <v>202607-S2-LB</v>
      </c>
      <c r="B328" s="14">
        <v>46204</v>
      </c>
      <c r="C328" s="15">
        <f t="shared" si="21"/>
        <v>2026</v>
      </c>
      <c r="D328" s="13" t="str">
        <f t="shared" si="22"/>
        <v>2025/26</v>
      </c>
      <c r="E328" s="9" t="s">
        <v>201</v>
      </c>
      <c r="F328" s="9" t="s">
        <v>202</v>
      </c>
      <c r="G328" s="9" t="s">
        <v>203</v>
      </c>
      <c r="H328" s="9" t="s">
        <v>204</v>
      </c>
      <c r="I328" s="9" t="s">
        <v>205</v>
      </c>
      <c r="J328" s="16">
        <v>727698.42</v>
      </c>
      <c r="K328" s="9" t="s">
        <v>206</v>
      </c>
      <c r="L328" s="9" t="s">
        <v>82</v>
      </c>
      <c r="M328" s="17">
        <f>IF(L328="","",IFERROR(INDEX(tbl_fatores_emissao[Valor],MATCH(L328,tbl_fatores_emissao[ID_FE],0)),""))</f>
        <v>0.11</v>
      </c>
      <c r="N328" s="17">
        <f t="shared" si="23"/>
        <v>80.046999999999997</v>
      </c>
      <c r="O328" s="9" t="s">
        <v>188</v>
      </c>
      <c r="P328" s="9" t="s">
        <v>207</v>
      </c>
      <c r="Q328" s="9"/>
    </row>
    <row r="329" spans="1:17" ht="18" customHeight="1" x14ac:dyDescent="0.3">
      <c r="A329" s="13" t="str">
        <f t="shared" si="20"/>
        <v>202607-S2-MB-GO</v>
      </c>
      <c r="B329" s="14">
        <v>46204</v>
      </c>
      <c r="C329" s="15">
        <f t="shared" si="21"/>
        <v>2026</v>
      </c>
      <c r="D329" s="13" t="str">
        <f t="shared" si="22"/>
        <v>2025/26</v>
      </c>
      <c r="E329" s="9" t="s">
        <v>201</v>
      </c>
      <c r="F329" s="9" t="s">
        <v>202</v>
      </c>
      <c r="G329" s="9" t="s">
        <v>208</v>
      </c>
      <c r="H329" s="9" t="s">
        <v>209</v>
      </c>
      <c r="I329" s="9" t="s">
        <v>210</v>
      </c>
      <c r="J329" s="16">
        <v>400234.13</v>
      </c>
      <c r="K329" s="9" t="s">
        <v>206</v>
      </c>
      <c r="L329" s="9" t="s">
        <v>92</v>
      </c>
      <c r="M329" s="17">
        <f>IF(L329="","",IFERROR(INDEX(tbl_fatores_emissao[Valor],MATCH(L329,tbl_fatores_emissao[ID_FE],0)),""))</f>
        <v>0</v>
      </c>
      <c r="N329" s="17">
        <f t="shared" si="23"/>
        <v>0</v>
      </c>
      <c r="O329" s="9" t="s">
        <v>188</v>
      </c>
      <c r="P329" s="9" t="s">
        <v>211</v>
      </c>
      <c r="Q329" s="9"/>
    </row>
    <row r="330" spans="1:17" ht="18" customHeight="1" x14ac:dyDescent="0.3">
      <c r="A330" s="13" t="str">
        <f t="shared" si="20"/>
        <v>202607-S2-MB-RES</v>
      </c>
      <c r="B330" s="14">
        <v>46204</v>
      </c>
      <c r="C330" s="15">
        <f t="shared" si="21"/>
        <v>2026</v>
      </c>
      <c r="D330" s="13" t="str">
        <f t="shared" si="22"/>
        <v>2025/26</v>
      </c>
      <c r="E330" s="9" t="s">
        <v>201</v>
      </c>
      <c r="F330" s="9" t="s">
        <v>202</v>
      </c>
      <c r="G330" s="9" t="s">
        <v>212</v>
      </c>
      <c r="H330" s="9" t="s">
        <v>213</v>
      </c>
      <c r="I330" s="9" t="s">
        <v>210</v>
      </c>
      <c r="J330" s="16">
        <v>327464.28999999998</v>
      </c>
      <c r="K330" s="9" t="s">
        <v>206</v>
      </c>
      <c r="L330" s="9" t="s">
        <v>88</v>
      </c>
      <c r="M330" s="17">
        <f>IF(L330="","",IFERROR(INDEX(tbl_fatores_emissao[Valor],MATCH(L330,tbl_fatores_emissao[ID_FE],0)),""))</f>
        <v>0.25</v>
      </c>
      <c r="N330" s="17">
        <f t="shared" si="23"/>
        <v>81.866</v>
      </c>
      <c r="O330" s="9" t="s">
        <v>188</v>
      </c>
      <c r="P330" s="9" t="s">
        <v>211</v>
      </c>
      <c r="Q330" s="9"/>
    </row>
    <row r="331" spans="1:17" ht="18" customHeight="1" x14ac:dyDescent="0.3">
      <c r="A331" s="13" t="str">
        <f t="shared" si="20"/>
        <v>202607-S3-C1-VIR</v>
      </c>
      <c r="B331" s="14">
        <v>46204</v>
      </c>
      <c r="C331" s="15">
        <f t="shared" si="21"/>
        <v>2026</v>
      </c>
      <c r="D331" s="13" t="str">
        <f t="shared" si="22"/>
        <v>2025/26</v>
      </c>
      <c r="E331" s="9" t="s">
        <v>214</v>
      </c>
      <c r="F331" s="9" t="s">
        <v>215</v>
      </c>
      <c r="G331" s="9" t="s">
        <v>216</v>
      </c>
      <c r="H331" s="9" t="s">
        <v>217</v>
      </c>
      <c r="I331" s="9" t="s">
        <v>186</v>
      </c>
      <c r="J331" s="16">
        <v>67976.98</v>
      </c>
      <c r="K331" s="9" t="s">
        <v>199</v>
      </c>
      <c r="L331" s="9" t="s">
        <v>119</v>
      </c>
      <c r="M331" s="17">
        <f>IF(L331="","",IFERROR(INDEX(tbl_fatores_emissao[Valor],MATCH(L331,tbl_fatores_emissao[ID_FE],0)),""))</f>
        <v>1.9</v>
      </c>
      <c r="N331" s="17">
        <f t="shared" si="23"/>
        <v>129.15600000000001</v>
      </c>
      <c r="O331" s="9" t="s">
        <v>218</v>
      </c>
      <c r="P331" s="9" t="s">
        <v>219</v>
      </c>
      <c r="Q331" s="9"/>
    </row>
    <row r="332" spans="1:17" ht="18" customHeight="1" x14ac:dyDescent="0.3">
      <c r="A332" s="13" t="str">
        <f t="shared" si="20"/>
        <v>202607-S3-C1-PCR</v>
      </c>
      <c r="B332" s="14">
        <v>46204</v>
      </c>
      <c r="C332" s="15">
        <f t="shared" si="21"/>
        <v>2026</v>
      </c>
      <c r="D332" s="13" t="str">
        <f t="shared" si="22"/>
        <v>2025/26</v>
      </c>
      <c r="E332" s="9" t="s">
        <v>214</v>
      </c>
      <c r="F332" s="9" t="s">
        <v>215</v>
      </c>
      <c r="G332" s="9" t="s">
        <v>220</v>
      </c>
      <c r="H332" s="9" t="s">
        <v>221</v>
      </c>
      <c r="I332" s="9" t="s">
        <v>186</v>
      </c>
      <c r="J332" s="16">
        <v>11328.79</v>
      </c>
      <c r="K332" s="9" t="s">
        <v>199</v>
      </c>
      <c r="L332" s="9" t="s">
        <v>116</v>
      </c>
      <c r="M332" s="17">
        <f>IF(L332="","",IFERROR(INDEX(tbl_fatores_emissao[Valor],MATCH(L332,tbl_fatores_emissao[ID_FE],0)),""))</f>
        <v>0.5</v>
      </c>
      <c r="N332" s="17">
        <f t="shared" si="23"/>
        <v>5.6639999999999997</v>
      </c>
      <c r="O332" s="9" t="s">
        <v>218</v>
      </c>
      <c r="P332" s="9" t="s">
        <v>222</v>
      </c>
      <c r="Q332" s="9"/>
    </row>
    <row r="333" spans="1:17" ht="18" customHeight="1" x14ac:dyDescent="0.3">
      <c r="A333" s="13" t="str">
        <f t="shared" si="20"/>
        <v>202607-S3-C1-TIN</v>
      </c>
      <c r="B333" s="14">
        <v>46204</v>
      </c>
      <c r="C333" s="15">
        <f t="shared" si="21"/>
        <v>2026</v>
      </c>
      <c r="D333" s="13" t="str">
        <f t="shared" si="22"/>
        <v>2025/26</v>
      </c>
      <c r="E333" s="9" t="s">
        <v>214</v>
      </c>
      <c r="F333" s="9" t="s">
        <v>215</v>
      </c>
      <c r="G333" s="9" t="s">
        <v>223</v>
      </c>
      <c r="H333" s="9" t="s">
        <v>123</v>
      </c>
      <c r="I333" s="9" t="s">
        <v>186</v>
      </c>
      <c r="J333" s="16">
        <v>107.27</v>
      </c>
      <c r="K333" s="9" t="s">
        <v>199</v>
      </c>
      <c r="L333" s="9" t="s">
        <v>122</v>
      </c>
      <c r="M333" s="17">
        <f>IF(L333="","",IFERROR(INDEX(tbl_fatores_emissao[Valor],MATCH(L333,tbl_fatores_emissao[ID_FE],0)),""))</f>
        <v>3</v>
      </c>
      <c r="N333" s="17">
        <f t="shared" si="23"/>
        <v>0.32200000000000001</v>
      </c>
      <c r="O333" s="9" t="s">
        <v>218</v>
      </c>
      <c r="P333" s="9" t="s">
        <v>224</v>
      </c>
      <c r="Q333" s="9"/>
    </row>
    <row r="334" spans="1:17" ht="18" customHeight="1" x14ac:dyDescent="0.3">
      <c r="A334" s="13" t="str">
        <f t="shared" si="20"/>
        <v>202607-S3-C1-SOL</v>
      </c>
      <c r="B334" s="14">
        <v>46204</v>
      </c>
      <c r="C334" s="15">
        <f t="shared" si="21"/>
        <v>2026</v>
      </c>
      <c r="D334" s="13" t="str">
        <f t="shared" si="22"/>
        <v>2025/26</v>
      </c>
      <c r="E334" s="9" t="s">
        <v>214</v>
      </c>
      <c r="F334" s="9" t="s">
        <v>215</v>
      </c>
      <c r="G334" s="9" t="s">
        <v>225</v>
      </c>
      <c r="H334" s="9" t="s">
        <v>126</v>
      </c>
      <c r="I334" s="9" t="s">
        <v>186</v>
      </c>
      <c r="J334" s="16">
        <v>79.180000000000007</v>
      </c>
      <c r="K334" s="9" t="s">
        <v>199</v>
      </c>
      <c r="L334" s="9" t="s">
        <v>125</v>
      </c>
      <c r="M334" s="17">
        <f>IF(L334="","",IFERROR(INDEX(tbl_fatores_emissao[Valor],MATCH(L334,tbl_fatores_emissao[ID_FE],0)),""))</f>
        <v>1.8</v>
      </c>
      <c r="N334" s="17">
        <f t="shared" si="23"/>
        <v>0.14299999999999999</v>
      </c>
      <c r="O334" s="9" t="s">
        <v>188</v>
      </c>
      <c r="P334" s="9" t="s">
        <v>226</v>
      </c>
      <c r="Q334" s="9"/>
    </row>
    <row r="335" spans="1:17" ht="18" customHeight="1" x14ac:dyDescent="0.3">
      <c r="A335" s="13" t="str">
        <f t="shared" si="20"/>
        <v>202607-S3-C1-FOI</v>
      </c>
      <c r="B335" s="14">
        <v>46204</v>
      </c>
      <c r="C335" s="15">
        <f t="shared" si="21"/>
        <v>2026</v>
      </c>
      <c r="D335" s="13" t="str">
        <f t="shared" si="22"/>
        <v>2025/26</v>
      </c>
      <c r="E335" s="9" t="s">
        <v>214</v>
      </c>
      <c r="F335" s="9" t="s">
        <v>215</v>
      </c>
      <c r="G335" s="9" t="s">
        <v>227</v>
      </c>
      <c r="H335" s="9" t="s">
        <v>129</v>
      </c>
      <c r="I335" s="9" t="s">
        <v>186</v>
      </c>
      <c r="J335" s="16">
        <v>902.75</v>
      </c>
      <c r="K335" s="9" t="s">
        <v>199</v>
      </c>
      <c r="L335" s="9" t="s">
        <v>128</v>
      </c>
      <c r="M335" s="17">
        <f>IF(L335="","",IFERROR(INDEX(tbl_fatores_emissao[Valor],MATCH(L335,tbl_fatores_emissao[ID_FE],0)),""))</f>
        <v>3.5</v>
      </c>
      <c r="N335" s="17">
        <f t="shared" si="23"/>
        <v>3.16</v>
      </c>
      <c r="O335" s="9" t="s">
        <v>218</v>
      </c>
      <c r="P335" s="9" t="s">
        <v>228</v>
      </c>
      <c r="Q335" s="9"/>
    </row>
    <row r="336" spans="1:17" ht="18" customHeight="1" x14ac:dyDescent="0.3">
      <c r="A336" s="13" t="str">
        <f t="shared" si="20"/>
        <v>202607-S3-C3</v>
      </c>
      <c r="B336" s="14">
        <v>46204</v>
      </c>
      <c r="C336" s="15">
        <f t="shared" si="21"/>
        <v>2026</v>
      </c>
      <c r="D336" s="13" t="str">
        <f t="shared" si="22"/>
        <v>2025/26</v>
      </c>
      <c r="E336" s="9" t="s">
        <v>214</v>
      </c>
      <c r="F336" s="9" t="s">
        <v>229</v>
      </c>
      <c r="G336" s="9" t="s">
        <v>230</v>
      </c>
      <c r="H336" s="9" t="s">
        <v>231</v>
      </c>
      <c r="I336" s="9" t="s">
        <v>186</v>
      </c>
      <c r="J336" s="16">
        <v>727698.42</v>
      </c>
      <c r="K336" s="9" t="s">
        <v>206</v>
      </c>
      <c r="L336" s="9" t="s">
        <v>133</v>
      </c>
      <c r="M336" s="17">
        <f>IF(L336="","",IFERROR(INDEX(tbl_fatores_emissao[Valor],MATCH(L336,tbl_fatores_emissao[ID_FE],0)),""))</f>
        <v>0.02</v>
      </c>
      <c r="N336" s="17">
        <f t="shared" si="23"/>
        <v>14.554</v>
      </c>
      <c r="O336" s="9" t="s">
        <v>194</v>
      </c>
      <c r="P336" s="9" t="s">
        <v>232</v>
      </c>
      <c r="Q336" s="9"/>
    </row>
    <row r="337" spans="1:17" ht="18" customHeight="1" x14ac:dyDescent="0.3">
      <c r="A337" s="13" t="str">
        <f t="shared" si="20"/>
        <v>202607-S3-C4</v>
      </c>
      <c r="B337" s="14">
        <v>46204</v>
      </c>
      <c r="C337" s="15">
        <f t="shared" si="21"/>
        <v>2026</v>
      </c>
      <c r="D337" s="13" t="str">
        <f t="shared" si="22"/>
        <v>2025/26</v>
      </c>
      <c r="E337" s="9" t="s">
        <v>214</v>
      </c>
      <c r="F337" s="9" t="s">
        <v>233</v>
      </c>
      <c r="G337" s="9" t="s">
        <v>234</v>
      </c>
      <c r="H337" s="9" t="s">
        <v>235</v>
      </c>
      <c r="I337" s="9" t="s">
        <v>186</v>
      </c>
      <c r="J337" s="16">
        <v>79305.77</v>
      </c>
      <c r="K337" s="9" t="s">
        <v>199</v>
      </c>
      <c r="L337" s="9" t="s">
        <v>137</v>
      </c>
      <c r="M337" s="17">
        <f>IF(L337="","",IFERROR(INDEX(tbl_fatores_emissao[Valor],MATCH(L337,tbl_fatores_emissao[ID_FE],0)),""))</f>
        <v>0.1178</v>
      </c>
      <c r="N337" s="17">
        <f t="shared" si="23"/>
        <v>9.3420000000000005</v>
      </c>
      <c r="O337" s="9" t="s">
        <v>194</v>
      </c>
      <c r="P337" s="9" t="s">
        <v>236</v>
      </c>
      <c r="Q337" s="9"/>
    </row>
    <row r="338" spans="1:17" ht="18" customHeight="1" x14ac:dyDescent="0.3">
      <c r="A338" s="13" t="str">
        <f t="shared" si="20"/>
        <v>202607-S3-C5-REC</v>
      </c>
      <c r="B338" s="14">
        <v>46204</v>
      </c>
      <c r="C338" s="15">
        <f t="shared" si="21"/>
        <v>2026</v>
      </c>
      <c r="D338" s="13" t="str">
        <f t="shared" si="22"/>
        <v>2025/26</v>
      </c>
      <c r="E338" s="9" t="s">
        <v>214</v>
      </c>
      <c r="F338" s="9" t="s">
        <v>237</v>
      </c>
      <c r="G338" s="9" t="s">
        <v>238</v>
      </c>
      <c r="H338" s="9" t="s">
        <v>239</v>
      </c>
      <c r="I338" s="9" t="s">
        <v>186</v>
      </c>
      <c r="J338" s="16">
        <v>8612.2999999999993</v>
      </c>
      <c r="K338" s="9" t="s">
        <v>199</v>
      </c>
      <c r="L338" s="9" t="s">
        <v>148</v>
      </c>
      <c r="M338" s="17">
        <f>IF(L338="","",IFERROR(INDEX(tbl_fatores_emissao[Valor],MATCH(L338,tbl_fatores_emissao[ID_FE],0)),""))</f>
        <v>2.1000000000000001E-2</v>
      </c>
      <c r="N338" s="17">
        <f t="shared" si="23"/>
        <v>0.18099999999999999</v>
      </c>
      <c r="O338" s="9" t="s">
        <v>188</v>
      </c>
      <c r="P338" s="9" t="s">
        <v>240</v>
      </c>
      <c r="Q338" s="9"/>
    </row>
    <row r="339" spans="1:17" ht="18" customHeight="1" x14ac:dyDescent="0.3">
      <c r="A339" s="13" t="str">
        <f t="shared" si="20"/>
        <v>202607-S3-C5-ATE</v>
      </c>
      <c r="B339" s="14">
        <v>46204</v>
      </c>
      <c r="C339" s="15">
        <f t="shared" si="21"/>
        <v>2026</v>
      </c>
      <c r="D339" s="13" t="str">
        <f t="shared" si="22"/>
        <v>2025/26</v>
      </c>
      <c r="E339" s="9" t="s">
        <v>214</v>
      </c>
      <c r="F339" s="9" t="s">
        <v>237</v>
      </c>
      <c r="G339" s="9" t="s">
        <v>241</v>
      </c>
      <c r="H339" s="9" t="s">
        <v>242</v>
      </c>
      <c r="I339" s="9" t="s">
        <v>186</v>
      </c>
      <c r="J339" s="16">
        <v>2289.3000000000002</v>
      </c>
      <c r="K339" s="9" t="s">
        <v>199</v>
      </c>
      <c r="L339" s="9" t="s">
        <v>152</v>
      </c>
      <c r="M339" s="17">
        <f>IF(L339="","",IFERROR(INDEX(tbl_fatores_emissao[Valor],MATCH(L339,tbl_fatores_emissao[ID_FE],0)),""))</f>
        <v>0.45</v>
      </c>
      <c r="N339" s="17">
        <f t="shared" si="23"/>
        <v>1.03</v>
      </c>
      <c r="O339" s="9" t="s">
        <v>188</v>
      </c>
      <c r="P339" s="9" t="s">
        <v>243</v>
      </c>
      <c r="Q339" s="9"/>
    </row>
    <row r="340" spans="1:17" ht="18" customHeight="1" x14ac:dyDescent="0.3">
      <c r="A340" s="13" t="str">
        <f t="shared" si="20"/>
        <v>202607-S3-C5-PER</v>
      </c>
      <c r="B340" s="14">
        <v>46204</v>
      </c>
      <c r="C340" s="15">
        <f t="shared" si="21"/>
        <v>2026</v>
      </c>
      <c r="D340" s="13" t="str">
        <f t="shared" si="22"/>
        <v>2025/26</v>
      </c>
      <c r="E340" s="9" t="s">
        <v>214</v>
      </c>
      <c r="F340" s="9" t="s">
        <v>237</v>
      </c>
      <c r="G340" s="9" t="s">
        <v>244</v>
      </c>
      <c r="H340" s="9" t="s">
        <v>245</v>
      </c>
      <c r="I340" s="9" t="s">
        <v>186</v>
      </c>
      <c r="J340" s="16">
        <v>57.9</v>
      </c>
      <c r="K340" s="9" t="s">
        <v>199</v>
      </c>
      <c r="L340" s="9" t="s">
        <v>155</v>
      </c>
      <c r="M340" s="17">
        <f>IF(L340="","",IFERROR(INDEX(tbl_fatores_emissao[Valor],MATCH(L340,tbl_fatores_emissao[ID_FE],0)),""))</f>
        <v>0.9</v>
      </c>
      <c r="N340" s="17">
        <f t="shared" si="23"/>
        <v>5.1999999999999998E-2</v>
      </c>
      <c r="O340" s="9" t="s">
        <v>188</v>
      </c>
      <c r="P340" s="9" t="s">
        <v>246</v>
      </c>
      <c r="Q340" s="9"/>
    </row>
    <row r="341" spans="1:17" ht="18" customHeight="1" x14ac:dyDescent="0.3">
      <c r="A341" s="13" t="str">
        <f t="shared" si="20"/>
        <v>202607-S3-C6</v>
      </c>
      <c r="B341" s="14">
        <v>46204</v>
      </c>
      <c r="C341" s="15">
        <f t="shared" si="21"/>
        <v>2026</v>
      </c>
      <c r="D341" s="13" t="str">
        <f t="shared" si="22"/>
        <v>2025/26</v>
      </c>
      <c r="E341" s="9" t="s">
        <v>214</v>
      </c>
      <c r="F341" s="9" t="s">
        <v>247</v>
      </c>
      <c r="G341" s="9" t="s">
        <v>248</v>
      </c>
      <c r="H341" s="9" t="s">
        <v>249</v>
      </c>
      <c r="I341" s="9" t="s">
        <v>186</v>
      </c>
      <c r="J341" s="16">
        <v>2705.13</v>
      </c>
      <c r="K341" s="9" t="s">
        <v>250</v>
      </c>
      <c r="L341" s="9" t="s">
        <v>158</v>
      </c>
      <c r="M341" s="17">
        <f>IF(L341="","",IFERROR(INDEX(tbl_fatores_emissao[Valor],MATCH(L341,tbl_fatores_emissao[ID_FE],0)),""))</f>
        <v>0.17</v>
      </c>
      <c r="N341" s="17">
        <f t="shared" si="23"/>
        <v>0.46</v>
      </c>
      <c r="O341" s="9" t="s">
        <v>194</v>
      </c>
      <c r="P341" s="9" t="s">
        <v>251</v>
      </c>
      <c r="Q341" s="9" t="s">
        <v>252</v>
      </c>
    </row>
    <row r="342" spans="1:17" ht="18" customHeight="1" x14ac:dyDescent="0.3">
      <c r="A342" s="13" t="str">
        <f t="shared" si="20"/>
        <v>202607-S3-C7</v>
      </c>
      <c r="B342" s="14">
        <v>46204</v>
      </c>
      <c r="C342" s="15">
        <f t="shared" si="21"/>
        <v>2026</v>
      </c>
      <c r="D342" s="13" t="str">
        <f t="shared" si="22"/>
        <v>2025/26</v>
      </c>
      <c r="E342" s="9" t="s">
        <v>214</v>
      </c>
      <c r="F342" s="9" t="s">
        <v>253</v>
      </c>
      <c r="G342" s="9" t="s">
        <v>254</v>
      </c>
      <c r="H342" s="9" t="s">
        <v>255</v>
      </c>
      <c r="I342" s="9" t="s">
        <v>186</v>
      </c>
      <c r="J342" s="16">
        <v>38502</v>
      </c>
      <c r="K342" s="9" t="s">
        <v>250</v>
      </c>
      <c r="L342" s="9" t="s">
        <v>158</v>
      </c>
      <c r="M342" s="17">
        <f>IF(L342="","",IFERROR(INDEX(tbl_fatores_emissao[Valor],MATCH(L342,tbl_fatores_emissao[ID_FE],0)),""))</f>
        <v>0.17</v>
      </c>
      <c r="N342" s="17">
        <f t="shared" si="23"/>
        <v>6.5449999999999999</v>
      </c>
      <c r="O342" s="9" t="s">
        <v>194</v>
      </c>
      <c r="P342" s="9" t="s">
        <v>256</v>
      </c>
      <c r="Q342" s="9" t="s">
        <v>257</v>
      </c>
    </row>
    <row r="343" spans="1:17" ht="18" customHeight="1" x14ac:dyDescent="0.3">
      <c r="A343" s="13" t="str">
        <f t="shared" si="20"/>
        <v>202607-S3-C9</v>
      </c>
      <c r="B343" s="14">
        <v>46204</v>
      </c>
      <c r="C343" s="15">
        <f t="shared" si="21"/>
        <v>2026</v>
      </c>
      <c r="D343" s="13" t="str">
        <f t="shared" si="22"/>
        <v>2025/26</v>
      </c>
      <c r="E343" s="9" t="s">
        <v>214</v>
      </c>
      <c r="F343" s="9" t="s">
        <v>258</v>
      </c>
      <c r="G343" s="9" t="s">
        <v>259</v>
      </c>
      <c r="H343" s="9" t="s">
        <v>260</v>
      </c>
      <c r="I343" s="9" t="s">
        <v>186</v>
      </c>
      <c r="J343" s="16">
        <v>34908.980000000003</v>
      </c>
      <c r="K343" s="9" t="s">
        <v>261</v>
      </c>
      <c r="L343" s="9" t="s">
        <v>141</v>
      </c>
      <c r="M343" s="17">
        <f>IF(L343="","",IFERROR(INDEX(tbl_fatores_emissao[Valor],MATCH(L343,tbl_fatores_emissao[ID_FE],0)),""))</f>
        <v>0.108</v>
      </c>
      <c r="N343" s="17">
        <f t="shared" si="23"/>
        <v>3.77</v>
      </c>
      <c r="O343" s="9" t="s">
        <v>194</v>
      </c>
      <c r="P343" s="9" t="s">
        <v>262</v>
      </c>
      <c r="Q343" s="9"/>
    </row>
    <row r="344" spans="1:17" ht="18" customHeight="1" x14ac:dyDescent="0.3">
      <c r="A344" s="13" t="str">
        <f t="shared" si="20"/>
        <v>202607-S3-C12</v>
      </c>
      <c r="B344" s="14">
        <v>46204</v>
      </c>
      <c r="C344" s="15">
        <f t="shared" si="21"/>
        <v>2026</v>
      </c>
      <c r="D344" s="13" t="str">
        <f t="shared" si="22"/>
        <v>2025/26</v>
      </c>
      <c r="E344" s="9" t="s">
        <v>214</v>
      </c>
      <c r="F344" s="9" t="s">
        <v>263</v>
      </c>
      <c r="G344" s="9" t="s">
        <v>264</v>
      </c>
      <c r="H344" s="9" t="s">
        <v>265</v>
      </c>
      <c r="I344" s="9" t="s">
        <v>186</v>
      </c>
      <c r="J344" s="16">
        <v>77575.509999999995</v>
      </c>
      <c r="K344" s="9" t="s">
        <v>199</v>
      </c>
      <c r="L344" s="9" t="s">
        <v>163</v>
      </c>
      <c r="M344" s="17">
        <f>IF(L344="","",IFERROR(INDEX(tbl_fatores_emissao[Valor],MATCH(L344,tbl_fatores_emissao[ID_FE],0)),""))</f>
        <v>1</v>
      </c>
      <c r="N344" s="17">
        <f t="shared" si="23"/>
        <v>77.575999999999993</v>
      </c>
      <c r="O344" s="9" t="s">
        <v>194</v>
      </c>
      <c r="P344" s="9" t="s">
        <v>266</v>
      </c>
      <c r="Q344" s="9"/>
    </row>
    <row r="345" spans="1:17" ht="18" customHeight="1" x14ac:dyDescent="0.3">
      <c r="A345" s="13" t="str">
        <f t="shared" si="20"/>
        <v>202608-S1-01</v>
      </c>
      <c r="B345" s="14">
        <v>46235</v>
      </c>
      <c r="C345" s="15">
        <f t="shared" si="21"/>
        <v>2026</v>
      </c>
      <c r="D345" s="13" t="str">
        <f t="shared" si="22"/>
        <v>2025/26</v>
      </c>
      <c r="E345" s="9" t="s">
        <v>182</v>
      </c>
      <c r="F345" s="9" t="s">
        <v>183</v>
      </c>
      <c r="G345" s="9" t="s">
        <v>184</v>
      </c>
      <c r="H345" s="9" t="s">
        <v>185</v>
      </c>
      <c r="I345" s="9" t="s">
        <v>186</v>
      </c>
      <c r="J345" s="16">
        <v>283.52</v>
      </c>
      <c r="K345" s="9" t="s">
        <v>187</v>
      </c>
      <c r="L345" s="9" t="s">
        <v>96</v>
      </c>
      <c r="M345" s="17">
        <f>IF(L345="","",IFERROR(INDEX(tbl_fatores_emissao[Valor],MATCH(L345,tbl_fatores_emissao[ID_FE],0)),""))</f>
        <v>2.66</v>
      </c>
      <c r="N345" s="17">
        <f t="shared" si="23"/>
        <v>0.754</v>
      </c>
      <c r="O345" s="9" t="s">
        <v>188</v>
      </c>
      <c r="P345" s="9" t="s">
        <v>189</v>
      </c>
      <c r="Q345" s="9" t="s">
        <v>190</v>
      </c>
    </row>
    <row r="346" spans="1:17" ht="18" customHeight="1" x14ac:dyDescent="0.3">
      <c r="A346" s="13" t="str">
        <f t="shared" si="20"/>
        <v>202608-S1-02</v>
      </c>
      <c r="B346" s="14">
        <v>46235</v>
      </c>
      <c r="C346" s="15">
        <f t="shared" si="21"/>
        <v>2026</v>
      </c>
      <c r="D346" s="13" t="str">
        <f t="shared" si="22"/>
        <v>2025/26</v>
      </c>
      <c r="E346" s="9" t="s">
        <v>182</v>
      </c>
      <c r="F346" s="9" t="s">
        <v>191</v>
      </c>
      <c r="G346" s="9" t="s">
        <v>192</v>
      </c>
      <c r="H346" s="9" t="s">
        <v>193</v>
      </c>
      <c r="I346" s="9" t="s">
        <v>186</v>
      </c>
      <c r="J346" s="16">
        <v>17.489999999999998</v>
      </c>
      <c r="K346" s="9" t="s">
        <v>187</v>
      </c>
      <c r="L346" s="9" t="s">
        <v>96</v>
      </c>
      <c r="M346" s="17">
        <f>IF(L346="","",IFERROR(INDEX(tbl_fatores_emissao[Valor],MATCH(L346,tbl_fatores_emissao[ID_FE],0)),""))</f>
        <v>2.66</v>
      </c>
      <c r="N346" s="17">
        <f t="shared" si="23"/>
        <v>4.7E-2</v>
      </c>
      <c r="O346" s="9" t="s">
        <v>194</v>
      </c>
      <c r="P346" s="9" t="s">
        <v>195</v>
      </c>
      <c r="Q346" s="9" t="s">
        <v>190</v>
      </c>
    </row>
    <row r="347" spans="1:17" ht="18" customHeight="1" x14ac:dyDescent="0.3">
      <c r="A347" s="13" t="str">
        <f t="shared" si="20"/>
        <v>202608-S1-03</v>
      </c>
      <c r="B347" s="14">
        <v>46235</v>
      </c>
      <c r="C347" s="15">
        <f t="shared" si="21"/>
        <v>2026</v>
      </c>
      <c r="D347" s="13" t="str">
        <f t="shared" si="22"/>
        <v>2025/26</v>
      </c>
      <c r="E347" s="9" t="s">
        <v>182</v>
      </c>
      <c r="F347" s="9" t="s">
        <v>196</v>
      </c>
      <c r="G347" s="9" t="s">
        <v>197</v>
      </c>
      <c r="H347" s="9" t="s">
        <v>198</v>
      </c>
      <c r="I347" s="9" t="s">
        <v>186</v>
      </c>
      <c r="J347" s="16"/>
      <c r="K347" s="9" t="s">
        <v>199</v>
      </c>
      <c r="L347" s="9" t="s">
        <v>101</v>
      </c>
      <c r="M347" s="17">
        <f>IF(L347="","",IFERROR(INDEX(tbl_fatores_emissao[Valor],MATCH(L347,tbl_fatores_emissao[ID_FE],0)),""))</f>
        <v>2088</v>
      </c>
      <c r="N347" s="17" t="str">
        <f t="shared" si="23"/>
        <v/>
      </c>
      <c r="O347" s="9" t="s">
        <v>188</v>
      </c>
      <c r="P347" s="9" t="s">
        <v>200</v>
      </c>
      <c r="Q347" s="9"/>
    </row>
    <row r="348" spans="1:17" ht="18" customHeight="1" x14ac:dyDescent="0.3">
      <c r="A348" s="13" t="str">
        <f t="shared" si="20"/>
        <v>202608-S2-LB</v>
      </c>
      <c r="B348" s="14">
        <v>46235</v>
      </c>
      <c r="C348" s="15">
        <f t="shared" si="21"/>
        <v>2026</v>
      </c>
      <c r="D348" s="13" t="str">
        <f t="shared" si="22"/>
        <v>2025/26</v>
      </c>
      <c r="E348" s="9" t="s">
        <v>201</v>
      </c>
      <c r="F348" s="9" t="s">
        <v>202</v>
      </c>
      <c r="G348" s="9" t="s">
        <v>203</v>
      </c>
      <c r="H348" s="9" t="s">
        <v>204</v>
      </c>
      <c r="I348" s="9" t="s">
        <v>205</v>
      </c>
      <c r="J348" s="16">
        <v>804829.55</v>
      </c>
      <c r="K348" s="9" t="s">
        <v>206</v>
      </c>
      <c r="L348" s="9" t="s">
        <v>82</v>
      </c>
      <c r="M348" s="17">
        <f>IF(L348="","",IFERROR(INDEX(tbl_fatores_emissao[Valor],MATCH(L348,tbl_fatores_emissao[ID_FE],0)),""))</f>
        <v>0.11</v>
      </c>
      <c r="N348" s="17">
        <f t="shared" si="23"/>
        <v>88.531000000000006</v>
      </c>
      <c r="O348" s="9" t="s">
        <v>188</v>
      </c>
      <c r="P348" s="9" t="s">
        <v>207</v>
      </c>
      <c r="Q348" s="9"/>
    </row>
    <row r="349" spans="1:17" ht="18" customHeight="1" x14ac:dyDescent="0.3">
      <c r="A349" s="13" t="str">
        <f t="shared" si="20"/>
        <v>202608-S2-MB-GO</v>
      </c>
      <c r="B349" s="14">
        <v>46235</v>
      </c>
      <c r="C349" s="15">
        <f t="shared" si="21"/>
        <v>2026</v>
      </c>
      <c r="D349" s="13" t="str">
        <f t="shared" si="22"/>
        <v>2025/26</v>
      </c>
      <c r="E349" s="9" t="s">
        <v>201</v>
      </c>
      <c r="F349" s="9" t="s">
        <v>202</v>
      </c>
      <c r="G349" s="9" t="s">
        <v>208</v>
      </c>
      <c r="H349" s="9" t="s">
        <v>209</v>
      </c>
      <c r="I349" s="9" t="s">
        <v>210</v>
      </c>
      <c r="J349" s="16">
        <v>442656.25</v>
      </c>
      <c r="K349" s="9" t="s">
        <v>206</v>
      </c>
      <c r="L349" s="9" t="s">
        <v>92</v>
      </c>
      <c r="M349" s="17">
        <f>IF(L349="","",IFERROR(INDEX(tbl_fatores_emissao[Valor],MATCH(L349,tbl_fatores_emissao[ID_FE],0)),""))</f>
        <v>0</v>
      </c>
      <c r="N349" s="17">
        <f t="shared" si="23"/>
        <v>0</v>
      </c>
      <c r="O349" s="9" t="s">
        <v>188</v>
      </c>
      <c r="P349" s="9" t="s">
        <v>211</v>
      </c>
      <c r="Q349" s="9"/>
    </row>
    <row r="350" spans="1:17" ht="18" customHeight="1" x14ac:dyDescent="0.3">
      <c r="A350" s="13" t="str">
        <f t="shared" si="20"/>
        <v>202608-S2-MB-RES</v>
      </c>
      <c r="B350" s="14">
        <v>46235</v>
      </c>
      <c r="C350" s="15">
        <f t="shared" si="21"/>
        <v>2026</v>
      </c>
      <c r="D350" s="13" t="str">
        <f t="shared" si="22"/>
        <v>2025/26</v>
      </c>
      <c r="E350" s="9" t="s">
        <v>201</v>
      </c>
      <c r="F350" s="9" t="s">
        <v>202</v>
      </c>
      <c r="G350" s="9" t="s">
        <v>212</v>
      </c>
      <c r="H350" s="9" t="s">
        <v>213</v>
      </c>
      <c r="I350" s="9" t="s">
        <v>210</v>
      </c>
      <c r="J350" s="16">
        <v>362173.3</v>
      </c>
      <c r="K350" s="9" t="s">
        <v>206</v>
      </c>
      <c r="L350" s="9" t="s">
        <v>88</v>
      </c>
      <c r="M350" s="17">
        <f>IF(L350="","",IFERROR(INDEX(tbl_fatores_emissao[Valor],MATCH(L350,tbl_fatores_emissao[ID_FE],0)),""))</f>
        <v>0.25</v>
      </c>
      <c r="N350" s="17">
        <f t="shared" si="23"/>
        <v>90.543000000000006</v>
      </c>
      <c r="O350" s="9" t="s">
        <v>188</v>
      </c>
      <c r="P350" s="9" t="s">
        <v>211</v>
      </c>
      <c r="Q350" s="9"/>
    </row>
    <row r="351" spans="1:17" ht="18" customHeight="1" x14ac:dyDescent="0.3">
      <c r="A351" s="13" t="str">
        <f t="shared" si="20"/>
        <v>202608-S3-C1-VIR</v>
      </c>
      <c r="B351" s="14">
        <v>46235</v>
      </c>
      <c r="C351" s="15">
        <f t="shared" si="21"/>
        <v>2026</v>
      </c>
      <c r="D351" s="13" t="str">
        <f t="shared" si="22"/>
        <v>2025/26</v>
      </c>
      <c r="E351" s="9" t="s">
        <v>214</v>
      </c>
      <c r="F351" s="9" t="s">
        <v>215</v>
      </c>
      <c r="G351" s="9" t="s">
        <v>216</v>
      </c>
      <c r="H351" s="9" t="s">
        <v>217</v>
      </c>
      <c r="I351" s="9" t="s">
        <v>186</v>
      </c>
      <c r="J351" s="16">
        <v>77429.37</v>
      </c>
      <c r="K351" s="9" t="s">
        <v>199</v>
      </c>
      <c r="L351" s="9" t="s">
        <v>119</v>
      </c>
      <c r="M351" s="17">
        <f>IF(L351="","",IFERROR(INDEX(tbl_fatores_emissao[Valor],MATCH(L351,tbl_fatores_emissao[ID_FE],0)),""))</f>
        <v>1.9</v>
      </c>
      <c r="N351" s="17">
        <f t="shared" si="23"/>
        <v>147.11600000000001</v>
      </c>
      <c r="O351" s="9" t="s">
        <v>218</v>
      </c>
      <c r="P351" s="9" t="s">
        <v>219</v>
      </c>
      <c r="Q351" s="9"/>
    </row>
    <row r="352" spans="1:17" ht="18" customHeight="1" x14ac:dyDescent="0.3">
      <c r="A352" s="13" t="str">
        <f t="shared" si="20"/>
        <v>202608-S3-C1-PCR</v>
      </c>
      <c r="B352" s="14">
        <v>46235</v>
      </c>
      <c r="C352" s="15">
        <f t="shared" si="21"/>
        <v>2026</v>
      </c>
      <c r="D352" s="13" t="str">
        <f t="shared" si="22"/>
        <v>2025/26</v>
      </c>
      <c r="E352" s="9" t="s">
        <v>214</v>
      </c>
      <c r="F352" s="9" t="s">
        <v>215</v>
      </c>
      <c r="G352" s="9" t="s">
        <v>220</v>
      </c>
      <c r="H352" s="9" t="s">
        <v>221</v>
      </c>
      <c r="I352" s="9" t="s">
        <v>186</v>
      </c>
      <c r="J352" s="16">
        <v>9989.5499999999993</v>
      </c>
      <c r="K352" s="9" t="s">
        <v>199</v>
      </c>
      <c r="L352" s="9" t="s">
        <v>116</v>
      </c>
      <c r="M352" s="17">
        <f>IF(L352="","",IFERROR(INDEX(tbl_fatores_emissao[Valor],MATCH(L352,tbl_fatores_emissao[ID_FE],0)),""))</f>
        <v>0.5</v>
      </c>
      <c r="N352" s="17">
        <f t="shared" si="23"/>
        <v>4.9950000000000001</v>
      </c>
      <c r="O352" s="9" t="s">
        <v>218</v>
      </c>
      <c r="P352" s="9" t="s">
        <v>222</v>
      </c>
      <c r="Q352" s="9"/>
    </row>
    <row r="353" spans="1:17" ht="18" customHeight="1" x14ac:dyDescent="0.3">
      <c r="A353" s="13" t="str">
        <f t="shared" si="20"/>
        <v>202608-S3-C1-TIN</v>
      </c>
      <c r="B353" s="14">
        <v>46235</v>
      </c>
      <c r="C353" s="15">
        <f t="shared" si="21"/>
        <v>2026</v>
      </c>
      <c r="D353" s="13" t="str">
        <f t="shared" si="22"/>
        <v>2025/26</v>
      </c>
      <c r="E353" s="9" t="s">
        <v>214</v>
      </c>
      <c r="F353" s="9" t="s">
        <v>215</v>
      </c>
      <c r="G353" s="9" t="s">
        <v>223</v>
      </c>
      <c r="H353" s="9" t="s">
        <v>123</v>
      </c>
      <c r="I353" s="9" t="s">
        <v>186</v>
      </c>
      <c r="J353" s="16">
        <v>109.92</v>
      </c>
      <c r="K353" s="9" t="s">
        <v>199</v>
      </c>
      <c r="L353" s="9" t="s">
        <v>122</v>
      </c>
      <c r="M353" s="17">
        <f>IF(L353="","",IFERROR(INDEX(tbl_fatores_emissao[Valor],MATCH(L353,tbl_fatores_emissao[ID_FE],0)),""))</f>
        <v>3</v>
      </c>
      <c r="N353" s="17">
        <f t="shared" si="23"/>
        <v>0.33</v>
      </c>
      <c r="O353" s="9" t="s">
        <v>218</v>
      </c>
      <c r="P353" s="9" t="s">
        <v>224</v>
      </c>
      <c r="Q353" s="9"/>
    </row>
    <row r="354" spans="1:17" ht="18" customHeight="1" x14ac:dyDescent="0.3">
      <c r="A354" s="13" t="str">
        <f t="shared" si="20"/>
        <v>202608-S3-C1-SOL</v>
      </c>
      <c r="B354" s="14">
        <v>46235</v>
      </c>
      <c r="C354" s="15">
        <f t="shared" si="21"/>
        <v>2026</v>
      </c>
      <c r="D354" s="13" t="str">
        <f t="shared" si="22"/>
        <v>2025/26</v>
      </c>
      <c r="E354" s="9" t="s">
        <v>214</v>
      </c>
      <c r="F354" s="9" t="s">
        <v>215</v>
      </c>
      <c r="G354" s="9" t="s">
        <v>225</v>
      </c>
      <c r="H354" s="9" t="s">
        <v>126</v>
      </c>
      <c r="I354" s="9" t="s">
        <v>186</v>
      </c>
      <c r="J354" s="16">
        <v>84.06</v>
      </c>
      <c r="K354" s="9" t="s">
        <v>199</v>
      </c>
      <c r="L354" s="9" t="s">
        <v>125</v>
      </c>
      <c r="M354" s="17">
        <f>IF(L354="","",IFERROR(INDEX(tbl_fatores_emissao[Valor],MATCH(L354,tbl_fatores_emissao[ID_FE],0)),""))</f>
        <v>1.8</v>
      </c>
      <c r="N354" s="17">
        <f t="shared" si="23"/>
        <v>0.151</v>
      </c>
      <c r="O354" s="9" t="s">
        <v>188</v>
      </c>
      <c r="P354" s="9" t="s">
        <v>226</v>
      </c>
      <c r="Q354" s="9"/>
    </row>
    <row r="355" spans="1:17" ht="18" customHeight="1" x14ac:dyDescent="0.3">
      <c r="A355" s="13" t="str">
        <f t="shared" si="20"/>
        <v>202608-S3-C1-FOI</v>
      </c>
      <c r="B355" s="14">
        <v>46235</v>
      </c>
      <c r="C355" s="15">
        <f t="shared" si="21"/>
        <v>2026</v>
      </c>
      <c r="D355" s="13" t="str">
        <f t="shared" si="22"/>
        <v>2025/26</v>
      </c>
      <c r="E355" s="9" t="s">
        <v>214</v>
      </c>
      <c r="F355" s="9" t="s">
        <v>215</v>
      </c>
      <c r="G355" s="9" t="s">
        <v>227</v>
      </c>
      <c r="H355" s="9" t="s">
        <v>129</v>
      </c>
      <c r="I355" s="9" t="s">
        <v>186</v>
      </c>
      <c r="J355" s="16">
        <v>1064.3499999999999</v>
      </c>
      <c r="K355" s="9" t="s">
        <v>199</v>
      </c>
      <c r="L355" s="9" t="s">
        <v>128</v>
      </c>
      <c r="M355" s="17">
        <f>IF(L355="","",IFERROR(INDEX(tbl_fatores_emissao[Valor],MATCH(L355,tbl_fatores_emissao[ID_FE],0)),""))</f>
        <v>3.5</v>
      </c>
      <c r="N355" s="17">
        <f t="shared" si="23"/>
        <v>3.7250000000000001</v>
      </c>
      <c r="O355" s="9" t="s">
        <v>218</v>
      </c>
      <c r="P355" s="9" t="s">
        <v>228</v>
      </c>
      <c r="Q355" s="9"/>
    </row>
    <row r="356" spans="1:17" ht="18" customHeight="1" x14ac:dyDescent="0.3">
      <c r="A356" s="13" t="str">
        <f t="shared" si="20"/>
        <v>202608-S3-C3</v>
      </c>
      <c r="B356" s="14">
        <v>46235</v>
      </c>
      <c r="C356" s="15">
        <f t="shared" si="21"/>
        <v>2026</v>
      </c>
      <c r="D356" s="13" t="str">
        <f t="shared" si="22"/>
        <v>2025/26</v>
      </c>
      <c r="E356" s="9" t="s">
        <v>214</v>
      </c>
      <c r="F356" s="9" t="s">
        <v>229</v>
      </c>
      <c r="G356" s="9" t="s">
        <v>230</v>
      </c>
      <c r="H356" s="9" t="s">
        <v>231</v>
      </c>
      <c r="I356" s="9" t="s">
        <v>186</v>
      </c>
      <c r="J356" s="16">
        <v>804829.55</v>
      </c>
      <c r="K356" s="9" t="s">
        <v>206</v>
      </c>
      <c r="L356" s="9" t="s">
        <v>133</v>
      </c>
      <c r="M356" s="17">
        <f>IF(L356="","",IFERROR(INDEX(tbl_fatores_emissao[Valor],MATCH(L356,tbl_fatores_emissao[ID_FE],0)),""))</f>
        <v>0.02</v>
      </c>
      <c r="N356" s="17">
        <f t="shared" si="23"/>
        <v>16.097000000000001</v>
      </c>
      <c r="O356" s="9" t="s">
        <v>194</v>
      </c>
      <c r="P356" s="9" t="s">
        <v>232</v>
      </c>
      <c r="Q356" s="9"/>
    </row>
    <row r="357" spans="1:17" ht="18" customHeight="1" x14ac:dyDescent="0.3">
      <c r="A357" s="13" t="str">
        <f t="shared" si="20"/>
        <v>202608-S3-C4</v>
      </c>
      <c r="B357" s="14">
        <v>46235</v>
      </c>
      <c r="C357" s="15">
        <f t="shared" si="21"/>
        <v>2026</v>
      </c>
      <c r="D357" s="13" t="str">
        <f t="shared" si="22"/>
        <v>2025/26</v>
      </c>
      <c r="E357" s="9" t="s">
        <v>214</v>
      </c>
      <c r="F357" s="9" t="s">
        <v>233</v>
      </c>
      <c r="G357" s="9" t="s">
        <v>234</v>
      </c>
      <c r="H357" s="9" t="s">
        <v>235</v>
      </c>
      <c r="I357" s="9" t="s">
        <v>186</v>
      </c>
      <c r="J357" s="16">
        <v>87418.92</v>
      </c>
      <c r="K357" s="9" t="s">
        <v>199</v>
      </c>
      <c r="L357" s="9" t="s">
        <v>137</v>
      </c>
      <c r="M357" s="17">
        <f>IF(L357="","",IFERROR(INDEX(tbl_fatores_emissao[Valor],MATCH(L357,tbl_fatores_emissao[ID_FE],0)),""))</f>
        <v>0.1178</v>
      </c>
      <c r="N357" s="17">
        <f t="shared" si="23"/>
        <v>10.298</v>
      </c>
      <c r="O357" s="9" t="s">
        <v>194</v>
      </c>
      <c r="P357" s="9" t="s">
        <v>236</v>
      </c>
      <c r="Q357" s="9"/>
    </row>
    <row r="358" spans="1:17" ht="18" customHeight="1" x14ac:dyDescent="0.3">
      <c r="A358" s="13" t="str">
        <f t="shared" si="20"/>
        <v>202608-S3-C5-REC</v>
      </c>
      <c r="B358" s="14">
        <v>46235</v>
      </c>
      <c r="C358" s="15">
        <f t="shared" si="21"/>
        <v>2026</v>
      </c>
      <c r="D358" s="13" t="str">
        <f t="shared" si="22"/>
        <v>2025/26</v>
      </c>
      <c r="E358" s="9" t="s">
        <v>214</v>
      </c>
      <c r="F358" s="9" t="s">
        <v>237</v>
      </c>
      <c r="G358" s="9" t="s">
        <v>238</v>
      </c>
      <c r="H358" s="9" t="s">
        <v>239</v>
      </c>
      <c r="I358" s="9" t="s">
        <v>186</v>
      </c>
      <c r="J358" s="16">
        <v>8780.2000000000007</v>
      </c>
      <c r="K358" s="9" t="s">
        <v>199</v>
      </c>
      <c r="L358" s="9" t="s">
        <v>148</v>
      </c>
      <c r="M358" s="17">
        <f>IF(L358="","",IFERROR(INDEX(tbl_fatores_emissao[Valor],MATCH(L358,tbl_fatores_emissao[ID_FE],0)),""))</f>
        <v>2.1000000000000001E-2</v>
      </c>
      <c r="N358" s="17">
        <f t="shared" si="23"/>
        <v>0.184</v>
      </c>
      <c r="O358" s="9" t="s">
        <v>188</v>
      </c>
      <c r="P358" s="9" t="s">
        <v>240</v>
      </c>
      <c r="Q358" s="9"/>
    </row>
    <row r="359" spans="1:17" ht="18" customHeight="1" x14ac:dyDescent="0.3">
      <c r="A359" s="13" t="str">
        <f t="shared" si="20"/>
        <v>202608-S3-C5-ATE</v>
      </c>
      <c r="B359" s="14">
        <v>46235</v>
      </c>
      <c r="C359" s="15">
        <f t="shared" si="21"/>
        <v>2026</v>
      </c>
      <c r="D359" s="13" t="str">
        <f t="shared" si="22"/>
        <v>2025/26</v>
      </c>
      <c r="E359" s="9" t="s">
        <v>214</v>
      </c>
      <c r="F359" s="9" t="s">
        <v>237</v>
      </c>
      <c r="G359" s="9" t="s">
        <v>241</v>
      </c>
      <c r="H359" s="9" t="s">
        <v>242</v>
      </c>
      <c r="I359" s="9" t="s">
        <v>186</v>
      </c>
      <c r="J359" s="16">
        <v>1865.2</v>
      </c>
      <c r="K359" s="9" t="s">
        <v>199</v>
      </c>
      <c r="L359" s="9" t="s">
        <v>152</v>
      </c>
      <c r="M359" s="17">
        <f>IF(L359="","",IFERROR(INDEX(tbl_fatores_emissao[Valor],MATCH(L359,tbl_fatores_emissao[ID_FE],0)),""))</f>
        <v>0.45</v>
      </c>
      <c r="N359" s="17">
        <f t="shared" si="23"/>
        <v>0.83899999999999997</v>
      </c>
      <c r="O359" s="9" t="s">
        <v>188</v>
      </c>
      <c r="P359" s="9" t="s">
        <v>243</v>
      </c>
      <c r="Q359" s="9"/>
    </row>
    <row r="360" spans="1:17" ht="18" customHeight="1" x14ac:dyDescent="0.3">
      <c r="A360" s="13" t="str">
        <f t="shared" si="20"/>
        <v>202608-S3-C5-PER</v>
      </c>
      <c r="B360" s="14">
        <v>46235</v>
      </c>
      <c r="C360" s="15">
        <f t="shared" si="21"/>
        <v>2026</v>
      </c>
      <c r="D360" s="13" t="str">
        <f t="shared" si="22"/>
        <v>2025/26</v>
      </c>
      <c r="E360" s="9" t="s">
        <v>214</v>
      </c>
      <c r="F360" s="9" t="s">
        <v>237</v>
      </c>
      <c r="G360" s="9" t="s">
        <v>244</v>
      </c>
      <c r="H360" s="9" t="s">
        <v>245</v>
      </c>
      <c r="I360" s="9" t="s">
        <v>186</v>
      </c>
      <c r="J360" s="16">
        <v>54.8</v>
      </c>
      <c r="K360" s="9" t="s">
        <v>199</v>
      </c>
      <c r="L360" s="9" t="s">
        <v>155</v>
      </c>
      <c r="M360" s="17">
        <f>IF(L360="","",IFERROR(INDEX(tbl_fatores_emissao[Valor],MATCH(L360,tbl_fatores_emissao[ID_FE],0)),""))</f>
        <v>0.9</v>
      </c>
      <c r="N360" s="17">
        <f t="shared" si="23"/>
        <v>4.9000000000000002E-2</v>
      </c>
      <c r="O360" s="9" t="s">
        <v>188</v>
      </c>
      <c r="P360" s="9" t="s">
        <v>246</v>
      </c>
      <c r="Q360" s="9"/>
    </row>
    <row r="361" spans="1:17" ht="18" customHeight="1" x14ac:dyDescent="0.3">
      <c r="A361" s="13" t="str">
        <f t="shared" si="20"/>
        <v>202608-S3-C6</v>
      </c>
      <c r="B361" s="14">
        <v>46235</v>
      </c>
      <c r="C361" s="15">
        <f t="shared" si="21"/>
        <v>2026</v>
      </c>
      <c r="D361" s="13" t="str">
        <f t="shared" si="22"/>
        <v>2025/26</v>
      </c>
      <c r="E361" s="9" t="s">
        <v>214</v>
      </c>
      <c r="F361" s="9" t="s">
        <v>247</v>
      </c>
      <c r="G361" s="9" t="s">
        <v>248</v>
      </c>
      <c r="H361" s="9" t="s">
        <v>249</v>
      </c>
      <c r="I361" s="9" t="s">
        <v>186</v>
      </c>
      <c r="J361" s="16">
        <v>2955.03</v>
      </c>
      <c r="K361" s="9" t="s">
        <v>250</v>
      </c>
      <c r="L361" s="9" t="s">
        <v>158</v>
      </c>
      <c r="M361" s="17">
        <f>IF(L361="","",IFERROR(INDEX(tbl_fatores_emissao[Valor],MATCH(L361,tbl_fatores_emissao[ID_FE],0)),""))</f>
        <v>0.17</v>
      </c>
      <c r="N361" s="17">
        <f t="shared" si="23"/>
        <v>0.502</v>
      </c>
      <c r="O361" s="9" t="s">
        <v>194</v>
      </c>
      <c r="P361" s="9" t="s">
        <v>251</v>
      </c>
      <c r="Q361" s="9" t="s">
        <v>252</v>
      </c>
    </row>
    <row r="362" spans="1:17" ht="18" customHeight="1" x14ac:dyDescent="0.3">
      <c r="A362" s="13" t="str">
        <f t="shared" si="20"/>
        <v>202608-S3-C7</v>
      </c>
      <c r="B362" s="14">
        <v>46235</v>
      </c>
      <c r="C362" s="15">
        <f t="shared" si="21"/>
        <v>2026</v>
      </c>
      <c r="D362" s="13" t="str">
        <f t="shared" si="22"/>
        <v>2025/26</v>
      </c>
      <c r="E362" s="9" t="s">
        <v>214</v>
      </c>
      <c r="F362" s="9" t="s">
        <v>253</v>
      </c>
      <c r="G362" s="9" t="s">
        <v>254</v>
      </c>
      <c r="H362" s="9" t="s">
        <v>255</v>
      </c>
      <c r="I362" s="9" t="s">
        <v>186</v>
      </c>
      <c r="J362" s="16">
        <v>35154</v>
      </c>
      <c r="K362" s="9" t="s">
        <v>250</v>
      </c>
      <c r="L362" s="9" t="s">
        <v>158</v>
      </c>
      <c r="M362" s="17">
        <f>IF(L362="","",IFERROR(INDEX(tbl_fatores_emissao[Valor],MATCH(L362,tbl_fatores_emissao[ID_FE],0)),""))</f>
        <v>0.17</v>
      </c>
      <c r="N362" s="17">
        <f t="shared" si="23"/>
        <v>5.976</v>
      </c>
      <c r="O362" s="9" t="s">
        <v>194</v>
      </c>
      <c r="P362" s="9" t="s">
        <v>256</v>
      </c>
      <c r="Q362" s="9" t="s">
        <v>257</v>
      </c>
    </row>
    <row r="363" spans="1:17" ht="18" customHeight="1" x14ac:dyDescent="0.3">
      <c r="A363" s="13" t="str">
        <f t="shared" si="20"/>
        <v>202608-S3-C9</v>
      </c>
      <c r="B363" s="14">
        <v>46235</v>
      </c>
      <c r="C363" s="15">
        <f t="shared" si="21"/>
        <v>2026</v>
      </c>
      <c r="D363" s="13" t="str">
        <f t="shared" si="22"/>
        <v>2025/26</v>
      </c>
      <c r="E363" s="9" t="s">
        <v>214</v>
      </c>
      <c r="F363" s="9" t="s">
        <v>258</v>
      </c>
      <c r="G363" s="9" t="s">
        <v>259</v>
      </c>
      <c r="H363" s="9" t="s">
        <v>260</v>
      </c>
      <c r="I363" s="9" t="s">
        <v>186</v>
      </c>
      <c r="J363" s="16">
        <v>38466.839999999997</v>
      </c>
      <c r="K363" s="9" t="s">
        <v>261</v>
      </c>
      <c r="L363" s="9" t="s">
        <v>141</v>
      </c>
      <c r="M363" s="17">
        <f>IF(L363="","",IFERROR(INDEX(tbl_fatores_emissao[Valor],MATCH(L363,tbl_fatores_emissao[ID_FE],0)),""))</f>
        <v>0.108</v>
      </c>
      <c r="N363" s="17">
        <f t="shared" si="23"/>
        <v>4.1539999999999999</v>
      </c>
      <c r="O363" s="9" t="s">
        <v>194</v>
      </c>
      <c r="P363" s="9" t="s">
        <v>262</v>
      </c>
      <c r="Q363" s="9"/>
    </row>
    <row r="364" spans="1:17" ht="18" customHeight="1" x14ac:dyDescent="0.3">
      <c r="A364" s="13" t="str">
        <f t="shared" si="20"/>
        <v>202608-S3-C12</v>
      </c>
      <c r="B364" s="14">
        <v>46235</v>
      </c>
      <c r="C364" s="15">
        <f t="shared" si="21"/>
        <v>2026</v>
      </c>
      <c r="D364" s="13" t="str">
        <f t="shared" si="22"/>
        <v>2025/26</v>
      </c>
      <c r="E364" s="9" t="s">
        <v>214</v>
      </c>
      <c r="F364" s="9" t="s">
        <v>263</v>
      </c>
      <c r="G364" s="9" t="s">
        <v>264</v>
      </c>
      <c r="H364" s="9" t="s">
        <v>265</v>
      </c>
      <c r="I364" s="9" t="s">
        <v>186</v>
      </c>
      <c r="J364" s="16">
        <v>85481.86</v>
      </c>
      <c r="K364" s="9" t="s">
        <v>199</v>
      </c>
      <c r="L364" s="9" t="s">
        <v>163</v>
      </c>
      <c r="M364" s="17">
        <f>IF(L364="","",IFERROR(INDEX(tbl_fatores_emissao[Valor],MATCH(L364,tbl_fatores_emissao[ID_FE],0)),""))</f>
        <v>1</v>
      </c>
      <c r="N364" s="17">
        <f t="shared" si="23"/>
        <v>85.481999999999999</v>
      </c>
      <c r="O364" s="9" t="s">
        <v>194</v>
      </c>
      <c r="P364" s="9" t="s">
        <v>266</v>
      </c>
      <c r="Q364" s="9"/>
    </row>
    <row r="365" spans="1:17" ht="18" customHeight="1" x14ac:dyDescent="0.3">
      <c r="A365" s="13" t="str">
        <f t="shared" si="20"/>
        <v>202609-S1-01</v>
      </c>
      <c r="B365" s="14">
        <v>46266</v>
      </c>
      <c r="C365" s="15">
        <f t="shared" si="21"/>
        <v>2026</v>
      </c>
      <c r="D365" s="13" t="str">
        <f t="shared" si="22"/>
        <v>Fora</v>
      </c>
      <c r="E365" s="9" t="s">
        <v>182</v>
      </c>
      <c r="F365" s="9" t="s">
        <v>183</v>
      </c>
      <c r="G365" s="9" t="s">
        <v>184</v>
      </c>
      <c r="H365" s="9" t="s">
        <v>185</v>
      </c>
      <c r="I365" s="9" t="s">
        <v>186</v>
      </c>
      <c r="J365" s="16">
        <v>292.33999999999997</v>
      </c>
      <c r="K365" s="9" t="s">
        <v>187</v>
      </c>
      <c r="L365" s="9" t="s">
        <v>96</v>
      </c>
      <c r="M365" s="17">
        <f>IF(L365="","",IFERROR(INDEX(tbl_fatores_emissao[Valor],MATCH(L365,tbl_fatores_emissao[ID_FE],0)),""))</f>
        <v>2.66</v>
      </c>
      <c r="N365" s="17">
        <f t="shared" si="23"/>
        <v>0.77800000000000002</v>
      </c>
      <c r="O365" s="9" t="s">
        <v>188</v>
      </c>
      <c r="P365" s="9" t="s">
        <v>189</v>
      </c>
      <c r="Q365" s="9" t="s">
        <v>190</v>
      </c>
    </row>
    <row r="366" spans="1:17" ht="18" customHeight="1" x14ac:dyDescent="0.3">
      <c r="A366" s="13" t="str">
        <f t="shared" si="20"/>
        <v>202609-S1-02</v>
      </c>
      <c r="B366" s="14">
        <v>46266</v>
      </c>
      <c r="C366" s="15">
        <f t="shared" si="21"/>
        <v>2026</v>
      </c>
      <c r="D366" s="13" t="str">
        <f t="shared" si="22"/>
        <v>Fora</v>
      </c>
      <c r="E366" s="9" t="s">
        <v>182</v>
      </c>
      <c r="F366" s="9" t="s">
        <v>191</v>
      </c>
      <c r="G366" s="9" t="s">
        <v>192</v>
      </c>
      <c r="H366" s="9" t="s">
        <v>193</v>
      </c>
      <c r="I366" s="9" t="s">
        <v>186</v>
      </c>
      <c r="J366" s="16">
        <v>20.100000000000001</v>
      </c>
      <c r="K366" s="9" t="s">
        <v>187</v>
      </c>
      <c r="L366" s="9" t="s">
        <v>96</v>
      </c>
      <c r="M366" s="17">
        <f>IF(L366="","",IFERROR(INDEX(tbl_fatores_emissao[Valor],MATCH(L366,tbl_fatores_emissao[ID_FE],0)),""))</f>
        <v>2.66</v>
      </c>
      <c r="N366" s="17">
        <f t="shared" si="23"/>
        <v>5.2999999999999999E-2</v>
      </c>
      <c r="O366" s="9" t="s">
        <v>194</v>
      </c>
      <c r="P366" s="9" t="s">
        <v>195</v>
      </c>
      <c r="Q366" s="9" t="s">
        <v>190</v>
      </c>
    </row>
    <row r="367" spans="1:17" ht="18" customHeight="1" x14ac:dyDescent="0.3">
      <c r="A367" s="13" t="str">
        <f t="shared" si="20"/>
        <v>202609-S1-03</v>
      </c>
      <c r="B367" s="14">
        <v>46266</v>
      </c>
      <c r="C367" s="15">
        <f t="shared" si="21"/>
        <v>2026</v>
      </c>
      <c r="D367" s="13" t="str">
        <f t="shared" si="22"/>
        <v>Fora</v>
      </c>
      <c r="E367" s="9" t="s">
        <v>182</v>
      </c>
      <c r="F367" s="9" t="s">
        <v>196</v>
      </c>
      <c r="G367" s="9" t="s">
        <v>197</v>
      </c>
      <c r="H367" s="9" t="s">
        <v>198</v>
      </c>
      <c r="I367" s="9" t="s">
        <v>186</v>
      </c>
      <c r="J367" s="16"/>
      <c r="K367" s="9" t="s">
        <v>199</v>
      </c>
      <c r="L367" s="9" t="s">
        <v>101</v>
      </c>
      <c r="M367" s="17">
        <f>IF(L367="","",IFERROR(INDEX(tbl_fatores_emissao[Valor],MATCH(L367,tbl_fatores_emissao[ID_FE],0)),""))</f>
        <v>2088</v>
      </c>
      <c r="N367" s="17" t="str">
        <f t="shared" si="23"/>
        <v/>
      </c>
      <c r="O367" s="9" t="s">
        <v>188</v>
      </c>
      <c r="P367" s="9" t="s">
        <v>200</v>
      </c>
      <c r="Q367" s="9"/>
    </row>
    <row r="368" spans="1:17" ht="18" customHeight="1" x14ac:dyDescent="0.3">
      <c r="A368" s="13" t="str">
        <f t="shared" si="20"/>
        <v>202609-S2-LB</v>
      </c>
      <c r="B368" s="14">
        <v>46266</v>
      </c>
      <c r="C368" s="15">
        <f t="shared" si="21"/>
        <v>2026</v>
      </c>
      <c r="D368" s="13" t="str">
        <f t="shared" si="22"/>
        <v>Fora</v>
      </c>
      <c r="E368" s="9" t="s">
        <v>201</v>
      </c>
      <c r="F368" s="9" t="s">
        <v>202</v>
      </c>
      <c r="G368" s="9" t="s">
        <v>203</v>
      </c>
      <c r="H368" s="9" t="s">
        <v>204</v>
      </c>
      <c r="I368" s="9" t="s">
        <v>205</v>
      </c>
      <c r="J368" s="16">
        <v>736636.48</v>
      </c>
      <c r="K368" s="9" t="s">
        <v>206</v>
      </c>
      <c r="L368" s="9" t="s">
        <v>82</v>
      </c>
      <c r="M368" s="17">
        <f>IF(L368="","",IFERROR(INDEX(tbl_fatores_emissao[Valor],MATCH(L368,tbl_fatores_emissao[ID_FE],0)),""))</f>
        <v>0.11</v>
      </c>
      <c r="N368" s="17">
        <f t="shared" si="23"/>
        <v>81.03</v>
      </c>
      <c r="O368" s="9" t="s">
        <v>188</v>
      </c>
      <c r="P368" s="9" t="s">
        <v>207</v>
      </c>
      <c r="Q368" s="9"/>
    </row>
    <row r="369" spans="1:17" ht="18" customHeight="1" x14ac:dyDescent="0.3">
      <c r="A369" s="13" t="str">
        <f t="shared" si="20"/>
        <v>202609-S2-MB-GO</v>
      </c>
      <c r="B369" s="14">
        <v>46266</v>
      </c>
      <c r="C369" s="15">
        <f t="shared" si="21"/>
        <v>2026</v>
      </c>
      <c r="D369" s="13" t="str">
        <f t="shared" si="22"/>
        <v>Fora</v>
      </c>
      <c r="E369" s="9" t="s">
        <v>201</v>
      </c>
      <c r="F369" s="9" t="s">
        <v>202</v>
      </c>
      <c r="G369" s="9" t="s">
        <v>208</v>
      </c>
      <c r="H369" s="9" t="s">
        <v>209</v>
      </c>
      <c r="I369" s="9" t="s">
        <v>210</v>
      </c>
      <c r="J369" s="16">
        <v>405150.06</v>
      </c>
      <c r="K369" s="9" t="s">
        <v>206</v>
      </c>
      <c r="L369" s="9" t="s">
        <v>92</v>
      </c>
      <c r="M369" s="17">
        <f>IF(L369="","",IFERROR(INDEX(tbl_fatores_emissao[Valor],MATCH(L369,tbl_fatores_emissao[ID_FE],0)),""))</f>
        <v>0</v>
      </c>
      <c r="N369" s="17">
        <f t="shared" si="23"/>
        <v>0</v>
      </c>
      <c r="O369" s="9" t="s">
        <v>188</v>
      </c>
      <c r="P369" s="9" t="s">
        <v>211</v>
      </c>
      <c r="Q369" s="9"/>
    </row>
    <row r="370" spans="1:17" ht="18" customHeight="1" x14ac:dyDescent="0.3">
      <c r="A370" s="13" t="str">
        <f t="shared" si="20"/>
        <v>202609-S2-MB-RES</v>
      </c>
      <c r="B370" s="14">
        <v>46266</v>
      </c>
      <c r="C370" s="15">
        <f t="shared" si="21"/>
        <v>2026</v>
      </c>
      <c r="D370" s="13" t="str">
        <f t="shared" si="22"/>
        <v>Fora</v>
      </c>
      <c r="E370" s="9" t="s">
        <v>201</v>
      </c>
      <c r="F370" s="9" t="s">
        <v>202</v>
      </c>
      <c r="G370" s="9" t="s">
        <v>212</v>
      </c>
      <c r="H370" s="9" t="s">
        <v>213</v>
      </c>
      <c r="I370" s="9" t="s">
        <v>210</v>
      </c>
      <c r="J370" s="16">
        <v>331486.42</v>
      </c>
      <c r="K370" s="9" t="s">
        <v>206</v>
      </c>
      <c r="L370" s="9" t="s">
        <v>88</v>
      </c>
      <c r="M370" s="17">
        <f>IF(L370="","",IFERROR(INDEX(tbl_fatores_emissao[Valor],MATCH(L370,tbl_fatores_emissao[ID_FE],0)),""))</f>
        <v>0.25</v>
      </c>
      <c r="N370" s="17">
        <f t="shared" si="23"/>
        <v>82.872</v>
      </c>
      <c r="O370" s="9" t="s">
        <v>188</v>
      </c>
      <c r="P370" s="9" t="s">
        <v>211</v>
      </c>
      <c r="Q370" s="9"/>
    </row>
    <row r="371" spans="1:17" ht="18" customHeight="1" x14ac:dyDescent="0.3">
      <c r="A371" s="13" t="str">
        <f t="shared" si="20"/>
        <v>202609-S3-C1-VIR</v>
      </c>
      <c r="B371" s="14">
        <v>46266</v>
      </c>
      <c r="C371" s="15">
        <f t="shared" si="21"/>
        <v>2026</v>
      </c>
      <c r="D371" s="13" t="str">
        <f t="shared" si="22"/>
        <v>Fora</v>
      </c>
      <c r="E371" s="9" t="s">
        <v>214</v>
      </c>
      <c r="F371" s="9" t="s">
        <v>215</v>
      </c>
      <c r="G371" s="9" t="s">
        <v>216</v>
      </c>
      <c r="H371" s="9" t="s">
        <v>217</v>
      </c>
      <c r="I371" s="9" t="s">
        <v>186</v>
      </c>
      <c r="J371" s="16">
        <v>72685.009999999995</v>
      </c>
      <c r="K371" s="9" t="s">
        <v>199</v>
      </c>
      <c r="L371" s="9" t="s">
        <v>119</v>
      </c>
      <c r="M371" s="17">
        <f>IF(L371="","",IFERROR(INDEX(tbl_fatores_emissao[Valor],MATCH(L371,tbl_fatores_emissao[ID_FE],0)),""))</f>
        <v>1.9</v>
      </c>
      <c r="N371" s="17">
        <f t="shared" si="23"/>
        <v>138.102</v>
      </c>
      <c r="O371" s="9" t="s">
        <v>218</v>
      </c>
      <c r="P371" s="9" t="s">
        <v>219</v>
      </c>
      <c r="Q371" s="9"/>
    </row>
    <row r="372" spans="1:17" ht="18" customHeight="1" x14ac:dyDescent="0.3">
      <c r="A372" s="13" t="str">
        <f t="shared" si="20"/>
        <v>202609-S3-C1-PCR</v>
      </c>
      <c r="B372" s="14">
        <v>46266</v>
      </c>
      <c r="C372" s="15">
        <f t="shared" si="21"/>
        <v>2026</v>
      </c>
      <c r="D372" s="13" t="str">
        <f t="shared" si="22"/>
        <v>Fora</v>
      </c>
      <c r="E372" s="9" t="s">
        <v>214</v>
      </c>
      <c r="F372" s="9" t="s">
        <v>215</v>
      </c>
      <c r="G372" s="9" t="s">
        <v>220</v>
      </c>
      <c r="H372" s="9" t="s">
        <v>221</v>
      </c>
      <c r="I372" s="9" t="s">
        <v>186</v>
      </c>
      <c r="J372" s="16">
        <v>10024.709999999999</v>
      </c>
      <c r="K372" s="9" t="s">
        <v>199</v>
      </c>
      <c r="L372" s="9" t="s">
        <v>116</v>
      </c>
      <c r="M372" s="17">
        <f>IF(L372="","",IFERROR(INDEX(tbl_fatores_emissao[Valor],MATCH(L372,tbl_fatores_emissao[ID_FE],0)),""))</f>
        <v>0.5</v>
      </c>
      <c r="N372" s="17">
        <f t="shared" si="23"/>
        <v>5.0119999999999996</v>
      </c>
      <c r="O372" s="9" t="s">
        <v>218</v>
      </c>
      <c r="P372" s="9" t="s">
        <v>222</v>
      </c>
      <c r="Q372" s="9"/>
    </row>
    <row r="373" spans="1:17" ht="18" customHeight="1" x14ac:dyDescent="0.3">
      <c r="A373" s="13" t="str">
        <f t="shared" si="20"/>
        <v>202609-S3-C1-TIN</v>
      </c>
      <c r="B373" s="14">
        <v>46266</v>
      </c>
      <c r="C373" s="15">
        <f t="shared" si="21"/>
        <v>2026</v>
      </c>
      <c r="D373" s="13" t="str">
        <f t="shared" si="22"/>
        <v>Fora</v>
      </c>
      <c r="E373" s="9" t="s">
        <v>214</v>
      </c>
      <c r="F373" s="9" t="s">
        <v>215</v>
      </c>
      <c r="G373" s="9" t="s">
        <v>223</v>
      </c>
      <c r="H373" s="9" t="s">
        <v>123</v>
      </c>
      <c r="I373" s="9" t="s">
        <v>186</v>
      </c>
      <c r="J373" s="16">
        <v>112.86</v>
      </c>
      <c r="K373" s="9" t="s">
        <v>199</v>
      </c>
      <c r="L373" s="9" t="s">
        <v>122</v>
      </c>
      <c r="M373" s="17">
        <f>IF(L373="","",IFERROR(INDEX(tbl_fatores_emissao[Valor],MATCH(L373,tbl_fatores_emissao[ID_FE],0)),""))</f>
        <v>3</v>
      </c>
      <c r="N373" s="17">
        <f t="shared" si="23"/>
        <v>0.33900000000000002</v>
      </c>
      <c r="O373" s="9" t="s">
        <v>218</v>
      </c>
      <c r="P373" s="9" t="s">
        <v>224</v>
      </c>
      <c r="Q373" s="9"/>
    </row>
    <row r="374" spans="1:17" ht="18" customHeight="1" x14ac:dyDescent="0.3">
      <c r="A374" s="13" t="str">
        <f t="shared" si="20"/>
        <v>202609-S3-C1-SOL</v>
      </c>
      <c r="B374" s="14">
        <v>46266</v>
      </c>
      <c r="C374" s="15">
        <f t="shared" si="21"/>
        <v>2026</v>
      </c>
      <c r="D374" s="13" t="str">
        <f t="shared" si="22"/>
        <v>Fora</v>
      </c>
      <c r="E374" s="9" t="s">
        <v>214</v>
      </c>
      <c r="F374" s="9" t="s">
        <v>215</v>
      </c>
      <c r="G374" s="9" t="s">
        <v>225</v>
      </c>
      <c r="H374" s="9" t="s">
        <v>126</v>
      </c>
      <c r="I374" s="9" t="s">
        <v>186</v>
      </c>
      <c r="J374" s="16">
        <v>78.78</v>
      </c>
      <c r="K374" s="9" t="s">
        <v>199</v>
      </c>
      <c r="L374" s="9" t="s">
        <v>125</v>
      </c>
      <c r="M374" s="17">
        <f>IF(L374="","",IFERROR(INDEX(tbl_fatores_emissao[Valor],MATCH(L374,tbl_fatores_emissao[ID_FE],0)),""))</f>
        <v>1.8</v>
      </c>
      <c r="N374" s="17">
        <f t="shared" si="23"/>
        <v>0.14199999999999999</v>
      </c>
      <c r="O374" s="9" t="s">
        <v>188</v>
      </c>
      <c r="P374" s="9" t="s">
        <v>226</v>
      </c>
      <c r="Q374" s="9"/>
    </row>
    <row r="375" spans="1:17" ht="18" customHeight="1" x14ac:dyDescent="0.3">
      <c r="A375" s="13" t="str">
        <f t="shared" si="20"/>
        <v>202609-S3-C1-FOI</v>
      </c>
      <c r="B375" s="14">
        <v>46266</v>
      </c>
      <c r="C375" s="15">
        <f t="shared" si="21"/>
        <v>2026</v>
      </c>
      <c r="D375" s="13" t="str">
        <f t="shared" si="22"/>
        <v>Fora</v>
      </c>
      <c r="E375" s="9" t="s">
        <v>214</v>
      </c>
      <c r="F375" s="9" t="s">
        <v>215</v>
      </c>
      <c r="G375" s="9" t="s">
        <v>227</v>
      </c>
      <c r="H375" s="9" t="s">
        <v>129</v>
      </c>
      <c r="I375" s="9" t="s">
        <v>186</v>
      </c>
      <c r="J375" s="16">
        <v>990.54</v>
      </c>
      <c r="K375" s="9" t="s">
        <v>199</v>
      </c>
      <c r="L375" s="9" t="s">
        <v>128</v>
      </c>
      <c r="M375" s="17">
        <f>IF(L375="","",IFERROR(INDEX(tbl_fatores_emissao[Valor],MATCH(L375,tbl_fatores_emissao[ID_FE],0)),""))</f>
        <v>3.5</v>
      </c>
      <c r="N375" s="17">
        <f t="shared" si="23"/>
        <v>3.4670000000000001</v>
      </c>
      <c r="O375" s="9" t="s">
        <v>218</v>
      </c>
      <c r="P375" s="9" t="s">
        <v>228</v>
      </c>
      <c r="Q375" s="9"/>
    </row>
    <row r="376" spans="1:17" ht="18" customHeight="1" x14ac:dyDescent="0.3">
      <c r="A376" s="13" t="str">
        <f t="shared" si="20"/>
        <v>202609-S3-C3</v>
      </c>
      <c r="B376" s="14">
        <v>46266</v>
      </c>
      <c r="C376" s="15">
        <f t="shared" si="21"/>
        <v>2026</v>
      </c>
      <c r="D376" s="13" t="str">
        <f t="shared" si="22"/>
        <v>Fora</v>
      </c>
      <c r="E376" s="9" t="s">
        <v>214</v>
      </c>
      <c r="F376" s="9" t="s">
        <v>229</v>
      </c>
      <c r="G376" s="9" t="s">
        <v>230</v>
      </c>
      <c r="H376" s="9" t="s">
        <v>231</v>
      </c>
      <c r="I376" s="9" t="s">
        <v>186</v>
      </c>
      <c r="J376" s="16">
        <v>736636.48</v>
      </c>
      <c r="K376" s="9" t="s">
        <v>206</v>
      </c>
      <c r="L376" s="9" t="s">
        <v>133</v>
      </c>
      <c r="M376" s="17">
        <f>IF(L376="","",IFERROR(INDEX(tbl_fatores_emissao[Valor],MATCH(L376,tbl_fatores_emissao[ID_FE],0)),""))</f>
        <v>0.02</v>
      </c>
      <c r="N376" s="17">
        <f t="shared" si="23"/>
        <v>14.733000000000001</v>
      </c>
      <c r="O376" s="9" t="s">
        <v>194</v>
      </c>
      <c r="P376" s="9" t="s">
        <v>232</v>
      </c>
      <c r="Q376" s="9"/>
    </row>
    <row r="377" spans="1:17" ht="18" customHeight="1" x14ac:dyDescent="0.3">
      <c r="A377" s="13" t="str">
        <f t="shared" si="20"/>
        <v>202609-S3-C4</v>
      </c>
      <c r="B377" s="14">
        <v>46266</v>
      </c>
      <c r="C377" s="15">
        <f t="shared" si="21"/>
        <v>2026</v>
      </c>
      <c r="D377" s="13" t="str">
        <f t="shared" si="22"/>
        <v>Fora</v>
      </c>
      <c r="E377" s="9" t="s">
        <v>214</v>
      </c>
      <c r="F377" s="9" t="s">
        <v>233</v>
      </c>
      <c r="G377" s="9" t="s">
        <v>234</v>
      </c>
      <c r="H377" s="9" t="s">
        <v>235</v>
      </c>
      <c r="I377" s="9" t="s">
        <v>186</v>
      </c>
      <c r="J377" s="16">
        <v>82709.72</v>
      </c>
      <c r="K377" s="9" t="s">
        <v>199</v>
      </c>
      <c r="L377" s="9" t="s">
        <v>137</v>
      </c>
      <c r="M377" s="17">
        <f>IF(L377="","",IFERROR(INDEX(tbl_fatores_emissao[Valor],MATCH(L377,tbl_fatores_emissao[ID_FE],0)),""))</f>
        <v>0.1178</v>
      </c>
      <c r="N377" s="17">
        <f t="shared" si="23"/>
        <v>9.7430000000000003</v>
      </c>
      <c r="O377" s="9" t="s">
        <v>194</v>
      </c>
      <c r="P377" s="9" t="s">
        <v>236</v>
      </c>
      <c r="Q377" s="9"/>
    </row>
    <row r="378" spans="1:17" ht="18" customHeight="1" x14ac:dyDescent="0.3">
      <c r="A378" s="13" t="str">
        <f t="shared" si="20"/>
        <v>202609-S3-C5-REC</v>
      </c>
      <c r="B378" s="14">
        <v>46266</v>
      </c>
      <c r="C378" s="15">
        <f t="shared" si="21"/>
        <v>2026</v>
      </c>
      <c r="D378" s="13" t="str">
        <f t="shared" si="22"/>
        <v>Fora</v>
      </c>
      <c r="E378" s="9" t="s">
        <v>214</v>
      </c>
      <c r="F378" s="9" t="s">
        <v>237</v>
      </c>
      <c r="G378" s="9" t="s">
        <v>238</v>
      </c>
      <c r="H378" s="9" t="s">
        <v>239</v>
      </c>
      <c r="I378" s="9" t="s">
        <v>186</v>
      </c>
      <c r="J378" s="16">
        <v>9190.2000000000007</v>
      </c>
      <c r="K378" s="9" t="s">
        <v>199</v>
      </c>
      <c r="L378" s="9" t="s">
        <v>148</v>
      </c>
      <c r="M378" s="17">
        <f>IF(L378="","",IFERROR(INDEX(tbl_fatores_emissao[Valor],MATCH(L378,tbl_fatores_emissao[ID_FE],0)),""))</f>
        <v>2.1000000000000001E-2</v>
      </c>
      <c r="N378" s="17">
        <f t="shared" si="23"/>
        <v>0.193</v>
      </c>
      <c r="O378" s="9" t="s">
        <v>188</v>
      </c>
      <c r="P378" s="9" t="s">
        <v>240</v>
      </c>
      <c r="Q378" s="9"/>
    </row>
    <row r="379" spans="1:17" ht="18" customHeight="1" x14ac:dyDescent="0.3">
      <c r="A379" s="13" t="str">
        <f t="shared" si="20"/>
        <v>202609-S3-C5-ATE</v>
      </c>
      <c r="B379" s="14">
        <v>46266</v>
      </c>
      <c r="C379" s="15">
        <f t="shared" si="21"/>
        <v>2026</v>
      </c>
      <c r="D379" s="13" t="str">
        <f t="shared" si="22"/>
        <v>Fora</v>
      </c>
      <c r="E379" s="9" t="s">
        <v>214</v>
      </c>
      <c r="F379" s="9" t="s">
        <v>237</v>
      </c>
      <c r="G379" s="9" t="s">
        <v>241</v>
      </c>
      <c r="H379" s="9" t="s">
        <v>242</v>
      </c>
      <c r="I379" s="9" t="s">
        <v>186</v>
      </c>
      <c r="J379" s="16">
        <v>2093.5</v>
      </c>
      <c r="K379" s="9" t="s">
        <v>199</v>
      </c>
      <c r="L379" s="9" t="s">
        <v>152</v>
      </c>
      <c r="M379" s="17">
        <f>IF(L379="","",IFERROR(INDEX(tbl_fatores_emissao[Valor],MATCH(L379,tbl_fatores_emissao[ID_FE],0)),""))</f>
        <v>0.45</v>
      </c>
      <c r="N379" s="17">
        <f t="shared" si="23"/>
        <v>0.94199999999999995</v>
      </c>
      <c r="O379" s="9" t="s">
        <v>188</v>
      </c>
      <c r="P379" s="9" t="s">
        <v>243</v>
      </c>
      <c r="Q379" s="9"/>
    </row>
    <row r="380" spans="1:17" ht="18" customHeight="1" x14ac:dyDescent="0.3">
      <c r="A380" s="13" t="str">
        <f t="shared" si="20"/>
        <v>202609-S3-C5-PER</v>
      </c>
      <c r="B380" s="14">
        <v>46266</v>
      </c>
      <c r="C380" s="15">
        <f t="shared" si="21"/>
        <v>2026</v>
      </c>
      <c r="D380" s="13" t="str">
        <f t="shared" si="22"/>
        <v>Fora</v>
      </c>
      <c r="E380" s="9" t="s">
        <v>214</v>
      </c>
      <c r="F380" s="9" t="s">
        <v>237</v>
      </c>
      <c r="G380" s="9" t="s">
        <v>244</v>
      </c>
      <c r="H380" s="9" t="s">
        <v>245</v>
      </c>
      <c r="I380" s="9" t="s">
        <v>186</v>
      </c>
      <c r="J380" s="16">
        <v>55.8</v>
      </c>
      <c r="K380" s="9" t="s">
        <v>199</v>
      </c>
      <c r="L380" s="9" t="s">
        <v>155</v>
      </c>
      <c r="M380" s="17">
        <f>IF(L380="","",IFERROR(INDEX(tbl_fatores_emissao[Valor],MATCH(L380,tbl_fatores_emissao[ID_FE],0)),""))</f>
        <v>0.9</v>
      </c>
      <c r="N380" s="17">
        <f t="shared" si="23"/>
        <v>0.05</v>
      </c>
      <c r="O380" s="9" t="s">
        <v>188</v>
      </c>
      <c r="P380" s="9" t="s">
        <v>246</v>
      </c>
      <c r="Q380" s="9"/>
    </row>
    <row r="381" spans="1:17" ht="18" customHeight="1" x14ac:dyDescent="0.3">
      <c r="A381" s="13" t="str">
        <f t="shared" si="20"/>
        <v>202609-S3-C6</v>
      </c>
      <c r="B381" s="14">
        <v>46266</v>
      </c>
      <c r="C381" s="15">
        <f t="shared" si="21"/>
        <v>2026</v>
      </c>
      <c r="D381" s="13" t="str">
        <f t="shared" si="22"/>
        <v>Fora</v>
      </c>
      <c r="E381" s="9" t="s">
        <v>214</v>
      </c>
      <c r="F381" s="9" t="s">
        <v>247</v>
      </c>
      <c r="G381" s="9" t="s">
        <v>248</v>
      </c>
      <c r="H381" s="9" t="s">
        <v>249</v>
      </c>
      <c r="I381" s="9" t="s">
        <v>186</v>
      </c>
      <c r="J381" s="16">
        <v>2832.44</v>
      </c>
      <c r="K381" s="9" t="s">
        <v>250</v>
      </c>
      <c r="L381" s="9" t="s">
        <v>158</v>
      </c>
      <c r="M381" s="17">
        <f>IF(L381="","",IFERROR(INDEX(tbl_fatores_emissao[Valor],MATCH(L381,tbl_fatores_emissao[ID_FE],0)),""))</f>
        <v>0.17</v>
      </c>
      <c r="N381" s="17">
        <f t="shared" si="23"/>
        <v>0.48199999999999998</v>
      </c>
      <c r="O381" s="9" t="s">
        <v>194</v>
      </c>
      <c r="P381" s="9" t="s">
        <v>251</v>
      </c>
      <c r="Q381" s="9" t="s">
        <v>252</v>
      </c>
    </row>
    <row r="382" spans="1:17" ht="18" customHeight="1" x14ac:dyDescent="0.3">
      <c r="A382" s="13" t="str">
        <f t="shared" si="20"/>
        <v>202609-S3-C7</v>
      </c>
      <c r="B382" s="14">
        <v>46266</v>
      </c>
      <c r="C382" s="15">
        <f t="shared" si="21"/>
        <v>2026</v>
      </c>
      <c r="D382" s="13" t="str">
        <f t="shared" si="22"/>
        <v>Fora</v>
      </c>
      <c r="E382" s="9" t="s">
        <v>214</v>
      </c>
      <c r="F382" s="9" t="s">
        <v>253</v>
      </c>
      <c r="G382" s="9" t="s">
        <v>254</v>
      </c>
      <c r="H382" s="9" t="s">
        <v>255</v>
      </c>
      <c r="I382" s="9" t="s">
        <v>186</v>
      </c>
      <c r="J382" s="16">
        <v>36828</v>
      </c>
      <c r="K382" s="9" t="s">
        <v>250</v>
      </c>
      <c r="L382" s="9" t="s">
        <v>158</v>
      </c>
      <c r="M382" s="17">
        <f>IF(L382="","",IFERROR(INDEX(tbl_fatores_emissao[Valor],MATCH(L382,tbl_fatores_emissao[ID_FE],0)),""))</f>
        <v>0.17</v>
      </c>
      <c r="N382" s="17">
        <f t="shared" si="23"/>
        <v>6.2610000000000001</v>
      </c>
      <c r="O382" s="9" t="s">
        <v>194</v>
      </c>
      <c r="P382" s="9" t="s">
        <v>256</v>
      </c>
      <c r="Q382" s="9" t="s">
        <v>257</v>
      </c>
    </row>
    <row r="383" spans="1:17" ht="18" customHeight="1" x14ac:dyDescent="0.3">
      <c r="A383" s="13" t="str">
        <f t="shared" si="20"/>
        <v>202609-S3-C9</v>
      </c>
      <c r="B383" s="14">
        <v>46266</v>
      </c>
      <c r="C383" s="15">
        <f t="shared" si="21"/>
        <v>2026</v>
      </c>
      <c r="D383" s="13" t="str">
        <f t="shared" si="22"/>
        <v>Fora</v>
      </c>
      <c r="E383" s="9" t="s">
        <v>214</v>
      </c>
      <c r="F383" s="9" t="s">
        <v>258</v>
      </c>
      <c r="G383" s="9" t="s">
        <v>259</v>
      </c>
      <c r="H383" s="9" t="s">
        <v>260</v>
      </c>
      <c r="I383" s="9" t="s">
        <v>186</v>
      </c>
      <c r="J383" s="16">
        <v>36302.51</v>
      </c>
      <c r="K383" s="9" t="s">
        <v>261</v>
      </c>
      <c r="L383" s="9" t="s">
        <v>141</v>
      </c>
      <c r="M383" s="17">
        <f>IF(L383="","",IFERROR(INDEX(tbl_fatores_emissao[Valor],MATCH(L383,tbl_fatores_emissao[ID_FE],0)),""))</f>
        <v>0.108</v>
      </c>
      <c r="N383" s="17">
        <f t="shared" si="23"/>
        <v>3.9209999999999998</v>
      </c>
      <c r="O383" s="9" t="s">
        <v>194</v>
      </c>
      <c r="P383" s="9" t="s">
        <v>262</v>
      </c>
      <c r="Q383" s="9"/>
    </row>
    <row r="384" spans="1:17" ht="18" customHeight="1" x14ac:dyDescent="0.3">
      <c r="A384" s="13" t="str">
        <f t="shared" si="20"/>
        <v>202609-S3-C12</v>
      </c>
      <c r="B384" s="14">
        <v>46266</v>
      </c>
      <c r="C384" s="15">
        <f t="shared" si="21"/>
        <v>2026</v>
      </c>
      <c r="D384" s="13" t="str">
        <f t="shared" si="22"/>
        <v>Fora</v>
      </c>
      <c r="E384" s="9" t="s">
        <v>214</v>
      </c>
      <c r="F384" s="9" t="s">
        <v>263</v>
      </c>
      <c r="G384" s="9" t="s">
        <v>264</v>
      </c>
      <c r="H384" s="9" t="s">
        <v>265</v>
      </c>
      <c r="I384" s="9" t="s">
        <v>186</v>
      </c>
      <c r="J384" s="16">
        <v>80672.25</v>
      </c>
      <c r="K384" s="9" t="s">
        <v>199</v>
      </c>
      <c r="L384" s="9" t="s">
        <v>163</v>
      </c>
      <c r="M384" s="17">
        <f>IF(L384="","",IFERROR(INDEX(tbl_fatores_emissao[Valor],MATCH(L384,tbl_fatores_emissao[ID_FE],0)),""))</f>
        <v>1</v>
      </c>
      <c r="N384" s="17">
        <f t="shared" si="23"/>
        <v>80.671999999999997</v>
      </c>
      <c r="O384" s="9" t="s">
        <v>194</v>
      </c>
      <c r="P384" s="9" t="s">
        <v>266</v>
      </c>
      <c r="Q384" s="9"/>
    </row>
    <row r="385" spans="1:17" ht="18" customHeight="1" x14ac:dyDescent="0.3">
      <c r="A385" s="13" t="str">
        <f t="shared" si="20"/>
        <v>202610-S1-01</v>
      </c>
      <c r="B385" s="14">
        <v>46296</v>
      </c>
      <c r="C385" s="15">
        <f t="shared" si="21"/>
        <v>2026</v>
      </c>
      <c r="D385" s="13" t="str">
        <f t="shared" si="22"/>
        <v>Fora</v>
      </c>
      <c r="E385" s="9" t="s">
        <v>182</v>
      </c>
      <c r="F385" s="9" t="s">
        <v>183</v>
      </c>
      <c r="G385" s="9" t="s">
        <v>184</v>
      </c>
      <c r="H385" s="9" t="s">
        <v>185</v>
      </c>
      <c r="I385" s="9" t="s">
        <v>186</v>
      </c>
      <c r="J385" s="16">
        <v>283.60000000000002</v>
      </c>
      <c r="K385" s="9" t="s">
        <v>187</v>
      </c>
      <c r="L385" s="9" t="s">
        <v>96</v>
      </c>
      <c r="M385" s="17">
        <f>IF(L385="","",IFERROR(INDEX(tbl_fatores_emissao[Valor],MATCH(L385,tbl_fatores_emissao[ID_FE],0)),""))</f>
        <v>2.66</v>
      </c>
      <c r="N385" s="17">
        <f t="shared" si="23"/>
        <v>0.754</v>
      </c>
      <c r="O385" s="9" t="s">
        <v>188</v>
      </c>
      <c r="P385" s="9" t="s">
        <v>189</v>
      </c>
      <c r="Q385" s="9" t="s">
        <v>190</v>
      </c>
    </row>
    <row r="386" spans="1:17" ht="18" customHeight="1" x14ac:dyDescent="0.3">
      <c r="A386" s="13" t="str">
        <f t="shared" si="20"/>
        <v>202610-S1-02</v>
      </c>
      <c r="B386" s="14">
        <v>46296</v>
      </c>
      <c r="C386" s="15">
        <f t="shared" si="21"/>
        <v>2026</v>
      </c>
      <c r="D386" s="13" t="str">
        <f t="shared" si="22"/>
        <v>Fora</v>
      </c>
      <c r="E386" s="9" t="s">
        <v>182</v>
      </c>
      <c r="F386" s="9" t="s">
        <v>191</v>
      </c>
      <c r="G386" s="9" t="s">
        <v>192</v>
      </c>
      <c r="H386" s="9" t="s">
        <v>193</v>
      </c>
      <c r="I386" s="9" t="s">
        <v>186</v>
      </c>
      <c r="J386" s="16">
        <v>16.04</v>
      </c>
      <c r="K386" s="9" t="s">
        <v>187</v>
      </c>
      <c r="L386" s="9" t="s">
        <v>96</v>
      </c>
      <c r="M386" s="17">
        <f>IF(L386="","",IFERROR(INDEX(tbl_fatores_emissao[Valor],MATCH(L386,tbl_fatores_emissao[ID_FE],0)),""))</f>
        <v>2.66</v>
      </c>
      <c r="N386" s="17">
        <f t="shared" si="23"/>
        <v>4.2999999999999997E-2</v>
      </c>
      <c r="O386" s="9" t="s">
        <v>194</v>
      </c>
      <c r="P386" s="9" t="s">
        <v>195</v>
      </c>
      <c r="Q386" s="9" t="s">
        <v>190</v>
      </c>
    </row>
    <row r="387" spans="1:17" ht="18" customHeight="1" x14ac:dyDescent="0.3">
      <c r="A387" s="13" t="str">
        <f t="shared" si="20"/>
        <v>202610-S1-03</v>
      </c>
      <c r="B387" s="14">
        <v>46296</v>
      </c>
      <c r="C387" s="15">
        <f t="shared" si="21"/>
        <v>2026</v>
      </c>
      <c r="D387" s="13" t="str">
        <f t="shared" si="22"/>
        <v>Fora</v>
      </c>
      <c r="E387" s="9" t="s">
        <v>182</v>
      </c>
      <c r="F387" s="9" t="s">
        <v>196</v>
      </c>
      <c r="G387" s="9" t="s">
        <v>197</v>
      </c>
      <c r="H387" s="9" t="s">
        <v>198</v>
      </c>
      <c r="I387" s="9" t="s">
        <v>186</v>
      </c>
      <c r="J387" s="16"/>
      <c r="K387" s="9" t="s">
        <v>199</v>
      </c>
      <c r="L387" s="9" t="s">
        <v>101</v>
      </c>
      <c r="M387" s="17">
        <f>IF(L387="","",IFERROR(INDEX(tbl_fatores_emissao[Valor],MATCH(L387,tbl_fatores_emissao[ID_FE],0)),""))</f>
        <v>2088</v>
      </c>
      <c r="N387" s="17" t="str">
        <f t="shared" si="23"/>
        <v/>
      </c>
      <c r="O387" s="9" t="s">
        <v>188</v>
      </c>
      <c r="P387" s="9" t="s">
        <v>200</v>
      </c>
      <c r="Q387" s="9"/>
    </row>
    <row r="388" spans="1:17" ht="18" customHeight="1" x14ac:dyDescent="0.3">
      <c r="A388" s="13" t="str">
        <f t="shared" si="20"/>
        <v>202610-S2-LB</v>
      </c>
      <c r="B388" s="14">
        <v>46296</v>
      </c>
      <c r="C388" s="15">
        <f t="shared" si="21"/>
        <v>2026</v>
      </c>
      <c r="D388" s="13" t="str">
        <f t="shared" si="22"/>
        <v>Fora</v>
      </c>
      <c r="E388" s="9" t="s">
        <v>201</v>
      </c>
      <c r="F388" s="9" t="s">
        <v>202</v>
      </c>
      <c r="G388" s="9" t="s">
        <v>203</v>
      </c>
      <c r="H388" s="9" t="s">
        <v>204</v>
      </c>
      <c r="I388" s="9" t="s">
        <v>205</v>
      </c>
      <c r="J388" s="16">
        <v>741702.88</v>
      </c>
      <c r="K388" s="9" t="s">
        <v>206</v>
      </c>
      <c r="L388" s="9" t="s">
        <v>82</v>
      </c>
      <c r="M388" s="17">
        <f>IF(L388="","",IFERROR(INDEX(tbl_fatores_emissao[Valor],MATCH(L388,tbl_fatores_emissao[ID_FE],0)),""))</f>
        <v>0.11</v>
      </c>
      <c r="N388" s="17">
        <f t="shared" si="23"/>
        <v>81.587000000000003</v>
      </c>
      <c r="O388" s="9" t="s">
        <v>188</v>
      </c>
      <c r="P388" s="9" t="s">
        <v>207</v>
      </c>
      <c r="Q388" s="9"/>
    </row>
    <row r="389" spans="1:17" ht="18" customHeight="1" x14ac:dyDescent="0.3">
      <c r="A389" s="13" t="str">
        <f t="shared" ref="A389:A452" si="24">IF(B389="","",(YEAR(B389)*100+MONTH(B389))&amp;"-"&amp;G389)</f>
        <v>202610-S2-MB-GO</v>
      </c>
      <c r="B389" s="14">
        <v>46296</v>
      </c>
      <c r="C389" s="15">
        <f t="shared" ref="C389:C452" si="25">IF(B389="","",YEAR(B389))</f>
        <v>2026</v>
      </c>
      <c r="D389" s="13" t="str">
        <f t="shared" ref="D389:D452" si="26">IF(B389="","",IF(AND(B389&gt;=DATE(2025,9,1),B389&lt;=DATE(2026,8,1)),"2025/26","Fora"))</f>
        <v>Fora</v>
      </c>
      <c r="E389" s="9" t="s">
        <v>201</v>
      </c>
      <c r="F389" s="9" t="s">
        <v>202</v>
      </c>
      <c r="G389" s="9" t="s">
        <v>208</v>
      </c>
      <c r="H389" s="9" t="s">
        <v>209</v>
      </c>
      <c r="I389" s="9" t="s">
        <v>210</v>
      </c>
      <c r="J389" s="16">
        <v>407936.58</v>
      </c>
      <c r="K389" s="9" t="s">
        <v>206</v>
      </c>
      <c r="L389" s="9" t="s">
        <v>92</v>
      </c>
      <c r="M389" s="17">
        <f>IF(L389="","",IFERROR(INDEX(tbl_fatores_emissao[Valor],MATCH(L389,tbl_fatores_emissao[ID_FE],0)),""))</f>
        <v>0</v>
      </c>
      <c r="N389" s="17">
        <f t="shared" ref="N389:N452" si="27">IF(OR(J389="",M389=""),"",ROUND(J389*M389/1000,3))</f>
        <v>0</v>
      </c>
      <c r="O389" s="9" t="s">
        <v>188</v>
      </c>
      <c r="P389" s="9" t="s">
        <v>211</v>
      </c>
      <c r="Q389" s="9"/>
    </row>
    <row r="390" spans="1:17" ht="18" customHeight="1" x14ac:dyDescent="0.3">
      <c r="A390" s="13" t="str">
        <f t="shared" si="24"/>
        <v>202610-S2-MB-RES</v>
      </c>
      <c r="B390" s="14">
        <v>46296</v>
      </c>
      <c r="C390" s="15">
        <f t="shared" si="25"/>
        <v>2026</v>
      </c>
      <c r="D390" s="13" t="str">
        <f t="shared" si="26"/>
        <v>Fora</v>
      </c>
      <c r="E390" s="9" t="s">
        <v>201</v>
      </c>
      <c r="F390" s="9" t="s">
        <v>202</v>
      </c>
      <c r="G390" s="9" t="s">
        <v>212</v>
      </c>
      <c r="H390" s="9" t="s">
        <v>213</v>
      </c>
      <c r="I390" s="9" t="s">
        <v>210</v>
      </c>
      <c r="J390" s="16">
        <v>333766.3</v>
      </c>
      <c r="K390" s="9" t="s">
        <v>206</v>
      </c>
      <c r="L390" s="9" t="s">
        <v>88</v>
      </c>
      <c r="M390" s="17">
        <f>IF(L390="","",IFERROR(INDEX(tbl_fatores_emissao[Valor],MATCH(L390,tbl_fatores_emissao[ID_FE],0)),""))</f>
        <v>0.25</v>
      </c>
      <c r="N390" s="17">
        <f t="shared" si="27"/>
        <v>83.441999999999993</v>
      </c>
      <c r="O390" s="9" t="s">
        <v>188</v>
      </c>
      <c r="P390" s="9" t="s">
        <v>211</v>
      </c>
      <c r="Q390" s="9"/>
    </row>
    <row r="391" spans="1:17" ht="18" customHeight="1" x14ac:dyDescent="0.3">
      <c r="A391" s="13" t="str">
        <f t="shared" si="24"/>
        <v>202610-S3-C1-VIR</v>
      </c>
      <c r="B391" s="14">
        <v>46296</v>
      </c>
      <c r="C391" s="15">
        <f t="shared" si="25"/>
        <v>2026</v>
      </c>
      <c r="D391" s="13" t="str">
        <f t="shared" si="26"/>
        <v>Fora</v>
      </c>
      <c r="E391" s="9" t="s">
        <v>214</v>
      </c>
      <c r="F391" s="9" t="s">
        <v>215</v>
      </c>
      <c r="G391" s="9" t="s">
        <v>216</v>
      </c>
      <c r="H391" s="9" t="s">
        <v>217</v>
      </c>
      <c r="I391" s="9" t="s">
        <v>186</v>
      </c>
      <c r="J391" s="16">
        <v>76301.77</v>
      </c>
      <c r="K391" s="9" t="s">
        <v>199</v>
      </c>
      <c r="L391" s="9" t="s">
        <v>119</v>
      </c>
      <c r="M391" s="17">
        <f>IF(L391="","",IFERROR(INDEX(tbl_fatores_emissao[Valor],MATCH(L391,tbl_fatores_emissao[ID_FE],0)),""))</f>
        <v>1.9</v>
      </c>
      <c r="N391" s="17">
        <f t="shared" si="27"/>
        <v>144.97300000000001</v>
      </c>
      <c r="O391" s="9" t="s">
        <v>218</v>
      </c>
      <c r="P391" s="9" t="s">
        <v>219</v>
      </c>
      <c r="Q391" s="9"/>
    </row>
    <row r="392" spans="1:17" ht="18" customHeight="1" x14ac:dyDescent="0.3">
      <c r="A392" s="13" t="str">
        <f t="shared" si="24"/>
        <v>202610-S3-C1-PCR</v>
      </c>
      <c r="B392" s="14">
        <v>46296</v>
      </c>
      <c r="C392" s="15">
        <f t="shared" si="25"/>
        <v>2026</v>
      </c>
      <c r="D392" s="13" t="str">
        <f t="shared" si="26"/>
        <v>Fora</v>
      </c>
      <c r="E392" s="9" t="s">
        <v>214</v>
      </c>
      <c r="F392" s="9" t="s">
        <v>215</v>
      </c>
      <c r="G392" s="9" t="s">
        <v>220</v>
      </c>
      <c r="H392" s="9" t="s">
        <v>221</v>
      </c>
      <c r="I392" s="9" t="s">
        <v>186</v>
      </c>
      <c r="J392" s="16">
        <v>10414.15</v>
      </c>
      <c r="K392" s="9" t="s">
        <v>199</v>
      </c>
      <c r="L392" s="9" t="s">
        <v>116</v>
      </c>
      <c r="M392" s="17">
        <f>IF(L392="","",IFERROR(INDEX(tbl_fatores_emissao[Valor],MATCH(L392,tbl_fatores_emissao[ID_FE],0)),""))</f>
        <v>0.5</v>
      </c>
      <c r="N392" s="17">
        <f t="shared" si="27"/>
        <v>5.2069999999999999</v>
      </c>
      <c r="O392" s="9" t="s">
        <v>218</v>
      </c>
      <c r="P392" s="9" t="s">
        <v>222</v>
      </c>
      <c r="Q392" s="9"/>
    </row>
    <row r="393" spans="1:17" ht="18" customHeight="1" x14ac:dyDescent="0.3">
      <c r="A393" s="13" t="str">
        <f t="shared" si="24"/>
        <v>202610-S3-C1-TIN</v>
      </c>
      <c r="B393" s="14">
        <v>46296</v>
      </c>
      <c r="C393" s="15">
        <f t="shared" si="25"/>
        <v>2026</v>
      </c>
      <c r="D393" s="13" t="str">
        <f t="shared" si="26"/>
        <v>Fora</v>
      </c>
      <c r="E393" s="9" t="s">
        <v>214</v>
      </c>
      <c r="F393" s="9" t="s">
        <v>215</v>
      </c>
      <c r="G393" s="9" t="s">
        <v>223</v>
      </c>
      <c r="H393" s="9" t="s">
        <v>123</v>
      </c>
      <c r="I393" s="9" t="s">
        <v>186</v>
      </c>
      <c r="J393" s="16">
        <v>111.79</v>
      </c>
      <c r="K393" s="9" t="s">
        <v>199</v>
      </c>
      <c r="L393" s="9" t="s">
        <v>122</v>
      </c>
      <c r="M393" s="17">
        <f>IF(L393="","",IFERROR(INDEX(tbl_fatores_emissao[Valor],MATCH(L393,tbl_fatores_emissao[ID_FE],0)),""))</f>
        <v>3</v>
      </c>
      <c r="N393" s="17">
        <f t="shared" si="27"/>
        <v>0.33500000000000002</v>
      </c>
      <c r="O393" s="9" t="s">
        <v>218</v>
      </c>
      <c r="P393" s="9" t="s">
        <v>224</v>
      </c>
      <c r="Q393" s="9"/>
    </row>
    <row r="394" spans="1:17" ht="18" customHeight="1" x14ac:dyDescent="0.3">
      <c r="A394" s="13" t="str">
        <f t="shared" si="24"/>
        <v>202610-S3-C1-SOL</v>
      </c>
      <c r="B394" s="14">
        <v>46296</v>
      </c>
      <c r="C394" s="15">
        <f t="shared" si="25"/>
        <v>2026</v>
      </c>
      <c r="D394" s="13" t="str">
        <f t="shared" si="26"/>
        <v>Fora</v>
      </c>
      <c r="E394" s="9" t="s">
        <v>214</v>
      </c>
      <c r="F394" s="9" t="s">
        <v>215</v>
      </c>
      <c r="G394" s="9" t="s">
        <v>225</v>
      </c>
      <c r="H394" s="9" t="s">
        <v>126</v>
      </c>
      <c r="I394" s="9" t="s">
        <v>186</v>
      </c>
      <c r="J394" s="16">
        <v>76.709999999999994</v>
      </c>
      <c r="K394" s="9" t="s">
        <v>199</v>
      </c>
      <c r="L394" s="9" t="s">
        <v>125</v>
      </c>
      <c r="M394" s="17">
        <f>IF(L394="","",IFERROR(INDEX(tbl_fatores_emissao[Valor],MATCH(L394,tbl_fatores_emissao[ID_FE],0)),""))</f>
        <v>1.8</v>
      </c>
      <c r="N394" s="17">
        <f t="shared" si="27"/>
        <v>0.13800000000000001</v>
      </c>
      <c r="O394" s="9" t="s">
        <v>188</v>
      </c>
      <c r="P394" s="9" t="s">
        <v>226</v>
      </c>
      <c r="Q394" s="9"/>
    </row>
    <row r="395" spans="1:17" ht="18" customHeight="1" x14ac:dyDescent="0.3">
      <c r="A395" s="13" t="str">
        <f t="shared" si="24"/>
        <v>202610-S3-C1-FOI</v>
      </c>
      <c r="B395" s="14">
        <v>46296</v>
      </c>
      <c r="C395" s="15">
        <f t="shared" si="25"/>
        <v>2026</v>
      </c>
      <c r="D395" s="13" t="str">
        <f t="shared" si="26"/>
        <v>Fora</v>
      </c>
      <c r="E395" s="9" t="s">
        <v>214</v>
      </c>
      <c r="F395" s="9" t="s">
        <v>215</v>
      </c>
      <c r="G395" s="9" t="s">
        <v>227</v>
      </c>
      <c r="H395" s="9" t="s">
        <v>129</v>
      </c>
      <c r="I395" s="9" t="s">
        <v>186</v>
      </c>
      <c r="J395" s="16">
        <v>1101.68</v>
      </c>
      <c r="K395" s="9" t="s">
        <v>199</v>
      </c>
      <c r="L395" s="9" t="s">
        <v>128</v>
      </c>
      <c r="M395" s="17">
        <f>IF(L395="","",IFERROR(INDEX(tbl_fatores_emissao[Valor],MATCH(L395,tbl_fatores_emissao[ID_FE],0)),""))</f>
        <v>3.5</v>
      </c>
      <c r="N395" s="17">
        <f t="shared" si="27"/>
        <v>3.8559999999999999</v>
      </c>
      <c r="O395" s="9" t="s">
        <v>218</v>
      </c>
      <c r="P395" s="9" t="s">
        <v>228</v>
      </c>
      <c r="Q395" s="9"/>
    </row>
    <row r="396" spans="1:17" ht="18" customHeight="1" x14ac:dyDescent="0.3">
      <c r="A396" s="13" t="str">
        <f t="shared" si="24"/>
        <v>202610-S3-C3</v>
      </c>
      <c r="B396" s="14">
        <v>46296</v>
      </c>
      <c r="C396" s="15">
        <f t="shared" si="25"/>
        <v>2026</v>
      </c>
      <c r="D396" s="13" t="str">
        <f t="shared" si="26"/>
        <v>Fora</v>
      </c>
      <c r="E396" s="9" t="s">
        <v>214</v>
      </c>
      <c r="F396" s="9" t="s">
        <v>229</v>
      </c>
      <c r="G396" s="9" t="s">
        <v>230</v>
      </c>
      <c r="H396" s="9" t="s">
        <v>231</v>
      </c>
      <c r="I396" s="9" t="s">
        <v>186</v>
      </c>
      <c r="J396" s="16">
        <v>741702.88</v>
      </c>
      <c r="K396" s="9" t="s">
        <v>206</v>
      </c>
      <c r="L396" s="9" t="s">
        <v>133</v>
      </c>
      <c r="M396" s="17">
        <f>IF(L396="","",IFERROR(INDEX(tbl_fatores_emissao[Valor],MATCH(L396,tbl_fatores_emissao[ID_FE],0)),""))</f>
        <v>0.02</v>
      </c>
      <c r="N396" s="17">
        <f t="shared" si="27"/>
        <v>14.834</v>
      </c>
      <c r="O396" s="9" t="s">
        <v>194</v>
      </c>
      <c r="P396" s="9" t="s">
        <v>232</v>
      </c>
      <c r="Q396" s="9"/>
    </row>
    <row r="397" spans="1:17" ht="18" customHeight="1" x14ac:dyDescent="0.3">
      <c r="A397" s="13" t="str">
        <f t="shared" si="24"/>
        <v>202610-S3-C4</v>
      </c>
      <c r="B397" s="14">
        <v>46296</v>
      </c>
      <c r="C397" s="15">
        <f t="shared" si="25"/>
        <v>2026</v>
      </c>
      <c r="D397" s="13" t="str">
        <f t="shared" si="26"/>
        <v>Fora</v>
      </c>
      <c r="E397" s="9" t="s">
        <v>214</v>
      </c>
      <c r="F397" s="9" t="s">
        <v>233</v>
      </c>
      <c r="G397" s="9" t="s">
        <v>234</v>
      </c>
      <c r="H397" s="9" t="s">
        <v>235</v>
      </c>
      <c r="I397" s="9" t="s">
        <v>186</v>
      </c>
      <c r="J397" s="16">
        <v>86715.92</v>
      </c>
      <c r="K397" s="9" t="s">
        <v>199</v>
      </c>
      <c r="L397" s="9" t="s">
        <v>137</v>
      </c>
      <c r="M397" s="17">
        <f>IF(L397="","",IFERROR(INDEX(tbl_fatores_emissao[Valor],MATCH(L397,tbl_fatores_emissao[ID_FE],0)),""))</f>
        <v>0.1178</v>
      </c>
      <c r="N397" s="17">
        <f t="shared" si="27"/>
        <v>10.215</v>
      </c>
      <c r="O397" s="9" t="s">
        <v>194</v>
      </c>
      <c r="P397" s="9" t="s">
        <v>236</v>
      </c>
      <c r="Q397" s="9"/>
    </row>
    <row r="398" spans="1:17" ht="18" customHeight="1" x14ac:dyDescent="0.3">
      <c r="A398" s="13" t="str">
        <f t="shared" si="24"/>
        <v>202610-S3-C5-REC</v>
      </c>
      <c r="B398" s="14">
        <v>46296</v>
      </c>
      <c r="C398" s="15">
        <f t="shared" si="25"/>
        <v>2026</v>
      </c>
      <c r="D398" s="13" t="str">
        <f t="shared" si="26"/>
        <v>Fora</v>
      </c>
      <c r="E398" s="9" t="s">
        <v>214</v>
      </c>
      <c r="F398" s="9" t="s">
        <v>237</v>
      </c>
      <c r="G398" s="9" t="s">
        <v>238</v>
      </c>
      <c r="H398" s="9" t="s">
        <v>239</v>
      </c>
      <c r="I398" s="9" t="s">
        <v>186</v>
      </c>
      <c r="J398" s="16">
        <v>8859.6</v>
      </c>
      <c r="K398" s="9" t="s">
        <v>199</v>
      </c>
      <c r="L398" s="9" t="s">
        <v>148</v>
      </c>
      <c r="M398" s="17">
        <f>IF(L398="","",IFERROR(INDEX(tbl_fatores_emissao[Valor],MATCH(L398,tbl_fatores_emissao[ID_FE],0)),""))</f>
        <v>2.1000000000000001E-2</v>
      </c>
      <c r="N398" s="17">
        <f t="shared" si="27"/>
        <v>0.186</v>
      </c>
      <c r="O398" s="9" t="s">
        <v>188</v>
      </c>
      <c r="P398" s="9" t="s">
        <v>240</v>
      </c>
      <c r="Q398" s="9"/>
    </row>
    <row r="399" spans="1:17" ht="18" customHeight="1" x14ac:dyDescent="0.3">
      <c r="A399" s="13" t="str">
        <f t="shared" si="24"/>
        <v>202610-S3-C5-ATE</v>
      </c>
      <c r="B399" s="14">
        <v>46296</v>
      </c>
      <c r="C399" s="15">
        <f t="shared" si="25"/>
        <v>2026</v>
      </c>
      <c r="D399" s="13" t="str">
        <f t="shared" si="26"/>
        <v>Fora</v>
      </c>
      <c r="E399" s="9" t="s">
        <v>214</v>
      </c>
      <c r="F399" s="9" t="s">
        <v>237</v>
      </c>
      <c r="G399" s="9" t="s">
        <v>241</v>
      </c>
      <c r="H399" s="9" t="s">
        <v>242</v>
      </c>
      <c r="I399" s="9" t="s">
        <v>186</v>
      </c>
      <c r="J399" s="16">
        <v>2503.5</v>
      </c>
      <c r="K399" s="9" t="s">
        <v>199</v>
      </c>
      <c r="L399" s="9" t="s">
        <v>152</v>
      </c>
      <c r="M399" s="17">
        <f>IF(L399="","",IFERROR(INDEX(tbl_fatores_emissao[Valor],MATCH(L399,tbl_fatores_emissao[ID_FE],0)),""))</f>
        <v>0.45</v>
      </c>
      <c r="N399" s="17">
        <f t="shared" si="27"/>
        <v>1.127</v>
      </c>
      <c r="O399" s="9" t="s">
        <v>188</v>
      </c>
      <c r="P399" s="9" t="s">
        <v>243</v>
      </c>
      <c r="Q399" s="9"/>
    </row>
    <row r="400" spans="1:17" ht="18" customHeight="1" x14ac:dyDescent="0.3">
      <c r="A400" s="13" t="str">
        <f t="shared" si="24"/>
        <v>202610-S3-C5-PER</v>
      </c>
      <c r="B400" s="14">
        <v>46296</v>
      </c>
      <c r="C400" s="15">
        <f t="shared" si="25"/>
        <v>2026</v>
      </c>
      <c r="D400" s="13" t="str">
        <f t="shared" si="26"/>
        <v>Fora</v>
      </c>
      <c r="E400" s="9" t="s">
        <v>214</v>
      </c>
      <c r="F400" s="9" t="s">
        <v>237</v>
      </c>
      <c r="G400" s="9" t="s">
        <v>244</v>
      </c>
      <c r="H400" s="9" t="s">
        <v>245</v>
      </c>
      <c r="I400" s="9" t="s">
        <v>186</v>
      </c>
      <c r="J400" s="16">
        <v>57</v>
      </c>
      <c r="K400" s="9" t="s">
        <v>199</v>
      </c>
      <c r="L400" s="9" t="s">
        <v>155</v>
      </c>
      <c r="M400" s="17">
        <f>IF(L400="","",IFERROR(INDEX(tbl_fatores_emissao[Valor],MATCH(L400,tbl_fatores_emissao[ID_FE],0)),""))</f>
        <v>0.9</v>
      </c>
      <c r="N400" s="17">
        <f t="shared" si="27"/>
        <v>5.0999999999999997E-2</v>
      </c>
      <c r="O400" s="9" t="s">
        <v>188</v>
      </c>
      <c r="P400" s="9" t="s">
        <v>246</v>
      </c>
      <c r="Q400" s="9"/>
    </row>
    <row r="401" spans="1:17" ht="18" customHeight="1" x14ac:dyDescent="0.3">
      <c r="A401" s="13" t="str">
        <f t="shared" si="24"/>
        <v>202610-S3-C6</v>
      </c>
      <c r="B401" s="14">
        <v>46296</v>
      </c>
      <c r="C401" s="15">
        <f t="shared" si="25"/>
        <v>2026</v>
      </c>
      <c r="D401" s="13" t="str">
        <f t="shared" si="26"/>
        <v>Fora</v>
      </c>
      <c r="E401" s="9" t="s">
        <v>214</v>
      </c>
      <c r="F401" s="9" t="s">
        <v>247</v>
      </c>
      <c r="G401" s="9" t="s">
        <v>248</v>
      </c>
      <c r="H401" s="9" t="s">
        <v>249</v>
      </c>
      <c r="I401" s="9" t="s">
        <v>186</v>
      </c>
      <c r="J401" s="16">
        <v>2307.2800000000002</v>
      </c>
      <c r="K401" s="9" t="s">
        <v>250</v>
      </c>
      <c r="L401" s="9" t="s">
        <v>158</v>
      </c>
      <c r="M401" s="17">
        <f>IF(L401="","",IFERROR(INDEX(tbl_fatores_emissao[Valor],MATCH(L401,tbl_fatores_emissao[ID_FE],0)),""))</f>
        <v>0.17</v>
      </c>
      <c r="N401" s="17">
        <f t="shared" si="27"/>
        <v>0.39200000000000002</v>
      </c>
      <c r="O401" s="9" t="s">
        <v>194</v>
      </c>
      <c r="P401" s="9" t="s">
        <v>251</v>
      </c>
      <c r="Q401" s="9" t="s">
        <v>252</v>
      </c>
    </row>
    <row r="402" spans="1:17" ht="18" customHeight="1" x14ac:dyDescent="0.3">
      <c r="A402" s="13" t="str">
        <f t="shared" si="24"/>
        <v>202610-S3-C7</v>
      </c>
      <c r="B402" s="14">
        <v>46296</v>
      </c>
      <c r="C402" s="15">
        <f t="shared" si="25"/>
        <v>2026</v>
      </c>
      <c r="D402" s="13" t="str">
        <f t="shared" si="26"/>
        <v>Fora</v>
      </c>
      <c r="E402" s="9" t="s">
        <v>214</v>
      </c>
      <c r="F402" s="9" t="s">
        <v>253</v>
      </c>
      <c r="G402" s="9" t="s">
        <v>254</v>
      </c>
      <c r="H402" s="9" t="s">
        <v>255</v>
      </c>
      <c r="I402" s="9" t="s">
        <v>186</v>
      </c>
      <c r="J402" s="16">
        <v>35154</v>
      </c>
      <c r="K402" s="9" t="s">
        <v>250</v>
      </c>
      <c r="L402" s="9" t="s">
        <v>158</v>
      </c>
      <c r="M402" s="17">
        <f>IF(L402="","",IFERROR(INDEX(tbl_fatores_emissao[Valor],MATCH(L402,tbl_fatores_emissao[ID_FE],0)),""))</f>
        <v>0.17</v>
      </c>
      <c r="N402" s="17">
        <f t="shared" si="27"/>
        <v>5.976</v>
      </c>
      <c r="O402" s="9" t="s">
        <v>194</v>
      </c>
      <c r="P402" s="9" t="s">
        <v>256</v>
      </c>
      <c r="Q402" s="9" t="s">
        <v>257</v>
      </c>
    </row>
    <row r="403" spans="1:17" ht="18" customHeight="1" x14ac:dyDescent="0.3">
      <c r="A403" s="13" t="str">
        <f t="shared" si="24"/>
        <v>202610-S3-C9</v>
      </c>
      <c r="B403" s="14">
        <v>46296</v>
      </c>
      <c r="C403" s="15">
        <f t="shared" si="25"/>
        <v>2026</v>
      </c>
      <c r="D403" s="13" t="str">
        <f t="shared" si="26"/>
        <v>Fora</v>
      </c>
      <c r="E403" s="9" t="s">
        <v>214</v>
      </c>
      <c r="F403" s="9" t="s">
        <v>258</v>
      </c>
      <c r="G403" s="9" t="s">
        <v>259</v>
      </c>
      <c r="H403" s="9" t="s">
        <v>260</v>
      </c>
      <c r="I403" s="9" t="s">
        <v>186</v>
      </c>
      <c r="J403" s="16">
        <v>38139.440000000002</v>
      </c>
      <c r="K403" s="9" t="s">
        <v>261</v>
      </c>
      <c r="L403" s="9" t="s">
        <v>141</v>
      </c>
      <c r="M403" s="17">
        <f>IF(L403="","",IFERROR(INDEX(tbl_fatores_emissao[Valor],MATCH(L403,tbl_fatores_emissao[ID_FE],0)),""))</f>
        <v>0.108</v>
      </c>
      <c r="N403" s="17">
        <f t="shared" si="27"/>
        <v>4.1189999999999998</v>
      </c>
      <c r="O403" s="9" t="s">
        <v>194</v>
      </c>
      <c r="P403" s="9" t="s">
        <v>262</v>
      </c>
      <c r="Q403" s="9"/>
    </row>
    <row r="404" spans="1:17" ht="18" customHeight="1" x14ac:dyDescent="0.3">
      <c r="A404" s="13" t="str">
        <f t="shared" si="24"/>
        <v>202610-S3-C12</v>
      </c>
      <c r="B404" s="14">
        <v>46296</v>
      </c>
      <c r="C404" s="15">
        <f t="shared" si="25"/>
        <v>2026</v>
      </c>
      <c r="D404" s="13" t="str">
        <f t="shared" si="26"/>
        <v>Fora</v>
      </c>
      <c r="E404" s="9" t="s">
        <v>214</v>
      </c>
      <c r="F404" s="9" t="s">
        <v>263</v>
      </c>
      <c r="G404" s="9" t="s">
        <v>264</v>
      </c>
      <c r="H404" s="9" t="s">
        <v>265</v>
      </c>
      <c r="I404" s="9" t="s">
        <v>186</v>
      </c>
      <c r="J404" s="16">
        <v>84754.31</v>
      </c>
      <c r="K404" s="9" t="s">
        <v>199</v>
      </c>
      <c r="L404" s="9" t="s">
        <v>163</v>
      </c>
      <c r="M404" s="17">
        <f>IF(L404="","",IFERROR(INDEX(tbl_fatores_emissao[Valor],MATCH(L404,tbl_fatores_emissao[ID_FE],0)),""))</f>
        <v>1</v>
      </c>
      <c r="N404" s="17">
        <f t="shared" si="27"/>
        <v>84.754000000000005</v>
      </c>
      <c r="O404" s="9" t="s">
        <v>194</v>
      </c>
      <c r="P404" s="9" t="s">
        <v>266</v>
      </c>
      <c r="Q404" s="9"/>
    </row>
    <row r="405" spans="1:17" ht="18" customHeight="1" x14ac:dyDescent="0.3">
      <c r="A405" s="13" t="str">
        <f t="shared" si="24"/>
        <v>202611-S1-01</v>
      </c>
      <c r="B405" s="14">
        <v>46327</v>
      </c>
      <c r="C405" s="15">
        <f t="shared" si="25"/>
        <v>2026</v>
      </c>
      <c r="D405" s="13" t="str">
        <f t="shared" si="26"/>
        <v>Fora</v>
      </c>
      <c r="E405" s="9" t="s">
        <v>182</v>
      </c>
      <c r="F405" s="9" t="s">
        <v>183</v>
      </c>
      <c r="G405" s="9" t="s">
        <v>184</v>
      </c>
      <c r="H405" s="9" t="s">
        <v>185</v>
      </c>
      <c r="I405" s="9" t="s">
        <v>186</v>
      </c>
      <c r="J405" s="16">
        <v>232.83</v>
      </c>
      <c r="K405" s="9" t="s">
        <v>187</v>
      </c>
      <c r="L405" s="9" t="s">
        <v>96</v>
      </c>
      <c r="M405" s="17">
        <f>IF(L405="","",IFERROR(INDEX(tbl_fatores_emissao[Valor],MATCH(L405,tbl_fatores_emissao[ID_FE],0)),""))</f>
        <v>2.66</v>
      </c>
      <c r="N405" s="17">
        <f t="shared" si="27"/>
        <v>0.61899999999999999</v>
      </c>
      <c r="O405" s="9" t="s">
        <v>188</v>
      </c>
      <c r="P405" s="9" t="s">
        <v>189</v>
      </c>
      <c r="Q405" s="9" t="s">
        <v>190</v>
      </c>
    </row>
    <row r="406" spans="1:17" ht="18" customHeight="1" x14ac:dyDescent="0.3">
      <c r="A406" s="13" t="str">
        <f t="shared" si="24"/>
        <v>202611-S1-02</v>
      </c>
      <c r="B406" s="14">
        <v>46327</v>
      </c>
      <c r="C406" s="15">
        <f t="shared" si="25"/>
        <v>2026</v>
      </c>
      <c r="D406" s="13" t="str">
        <f t="shared" si="26"/>
        <v>Fora</v>
      </c>
      <c r="E406" s="9" t="s">
        <v>182</v>
      </c>
      <c r="F406" s="9" t="s">
        <v>191</v>
      </c>
      <c r="G406" s="9" t="s">
        <v>192</v>
      </c>
      <c r="H406" s="9" t="s">
        <v>193</v>
      </c>
      <c r="I406" s="9" t="s">
        <v>186</v>
      </c>
      <c r="J406" s="16">
        <v>17.600000000000001</v>
      </c>
      <c r="K406" s="9" t="s">
        <v>187</v>
      </c>
      <c r="L406" s="9" t="s">
        <v>96</v>
      </c>
      <c r="M406" s="17">
        <f>IF(L406="","",IFERROR(INDEX(tbl_fatores_emissao[Valor],MATCH(L406,tbl_fatores_emissao[ID_FE],0)),""))</f>
        <v>2.66</v>
      </c>
      <c r="N406" s="17">
        <f t="shared" si="27"/>
        <v>4.7E-2</v>
      </c>
      <c r="O406" s="9" t="s">
        <v>194</v>
      </c>
      <c r="P406" s="9" t="s">
        <v>195</v>
      </c>
      <c r="Q406" s="9" t="s">
        <v>190</v>
      </c>
    </row>
    <row r="407" spans="1:17" ht="18" customHeight="1" x14ac:dyDescent="0.3">
      <c r="A407" s="13" t="str">
        <f t="shared" si="24"/>
        <v>202611-S1-03</v>
      </c>
      <c r="B407" s="14">
        <v>46327</v>
      </c>
      <c r="C407" s="15">
        <f t="shared" si="25"/>
        <v>2026</v>
      </c>
      <c r="D407" s="13" t="str">
        <f t="shared" si="26"/>
        <v>Fora</v>
      </c>
      <c r="E407" s="9" t="s">
        <v>182</v>
      </c>
      <c r="F407" s="9" t="s">
        <v>196</v>
      </c>
      <c r="G407" s="9" t="s">
        <v>197</v>
      </c>
      <c r="H407" s="9" t="s">
        <v>198</v>
      </c>
      <c r="I407" s="9" t="s">
        <v>186</v>
      </c>
      <c r="J407" s="16"/>
      <c r="K407" s="9" t="s">
        <v>199</v>
      </c>
      <c r="L407" s="9" t="s">
        <v>101</v>
      </c>
      <c r="M407" s="17">
        <f>IF(L407="","",IFERROR(INDEX(tbl_fatores_emissao[Valor],MATCH(L407,tbl_fatores_emissao[ID_FE],0)),""))</f>
        <v>2088</v>
      </c>
      <c r="N407" s="17" t="str">
        <f t="shared" si="27"/>
        <v/>
      </c>
      <c r="O407" s="9" t="s">
        <v>188</v>
      </c>
      <c r="P407" s="9" t="s">
        <v>200</v>
      </c>
      <c r="Q407" s="9"/>
    </row>
    <row r="408" spans="1:17" ht="18" customHeight="1" x14ac:dyDescent="0.3">
      <c r="A408" s="13" t="str">
        <f t="shared" si="24"/>
        <v>202611-S2-LB</v>
      </c>
      <c r="B408" s="14">
        <v>46327</v>
      </c>
      <c r="C408" s="15">
        <f t="shared" si="25"/>
        <v>2026</v>
      </c>
      <c r="D408" s="13" t="str">
        <f t="shared" si="26"/>
        <v>Fora</v>
      </c>
      <c r="E408" s="9" t="s">
        <v>201</v>
      </c>
      <c r="F408" s="9" t="s">
        <v>202</v>
      </c>
      <c r="G408" s="9" t="s">
        <v>203</v>
      </c>
      <c r="H408" s="9" t="s">
        <v>204</v>
      </c>
      <c r="I408" s="9" t="s">
        <v>205</v>
      </c>
      <c r="J408" s="16">
        <v>697660.72</v>
      </c>
      <c r="K408" s="9" t="s">
        <v>206</v>
      </c>
      <c r="L408" s="9" t="s">
        <v>82</v>
      </c>
      <c r="M408" s="17">
        <f>IF(L408="","",IFERROR(INDEX(tbl_fatores_emissao[Valor],MATCH(L408,tbl_fatores_emissao[ID_FE],0)),""))</f>
        <v>0.11</v>
      </c>
      <c r="N408" s="17">
        <f t="shared" si="27"/>
        <v>76.742999999999995</v>
      </c>
      <c r="O408" s="9" t="s">
        <v>188</v>
      </c>
      <c r="P408" s="9" t="s">
        <v>207</v>
      </c>
      <c r="Q408" s="9"/>
    </row>
    <row r="409" spans="1:17" ht="18" customHeight="1" x14ac:dyDescent="0.3">
      <c r="A409" s="13" t="str">
        <f t="shared" si="24"/>
        <v>202611-S2-MB-GO</v>
      </c>
      <c r="B409" s="14">
        <v>46327</v>
      </c>
      <c r="C409" s="15">
        <f t="shared" si="25"/>
        <v>2026</v>
      </c>
      <c r="D409" s="13" t="str">
        <f t="shared" si="26"/>
        <v>Fora</v>
      </c>
      <c r="E409" s="9" t="s">
        <v>201</v>
      </c>
      <c r="F409" s="9" t="s">
        <v>202</v>
      </c>
      <c r="G409" s="9" t="s">
        <v>208</v>
      </c>
      <c r="H409" s="9" t="s">
        <v>209</v>
      </c>
      <c r="I409" s="9" t="s">
        <v>210</v>
      </c>
      <c r="J409" s="16">
        <v>383713.4</v>
      </c>
      <c r="K409" s="9" t="s">
        <v>206</v>
      </c>
      <c r="L409" s="9" t="s">
        <v>92</v>
      </c>
      <c r="M409" s="17">
        <f>IF(L409="","",IFERROR(INDEX(tbl_fatores_emissao[Valor],MATCH(L409,tbl_fatores_emissao[ID_FE],0)),""))</f>
        <v>0</v>
      </c>
      <c r="N409" s="17">
        <f t="shared" si="27"/>
        <v>0</v>
      </c>
      <c r="O409" s="9" t="s">
        <v>188</v>
      </c>
      <c r="P409" s="9" t="s">
        <v>211</v>
      </c>
      <c r="Q409" s="9"/>
    </row>
    <row r="410" spans="1:17" ht="18" customHeight="1" x14ac:dyDescent="0.3">
      <c r="A410" s="13" t="str">
        <f t="shared" si="24"/>
        <v>202611-S2-MB-RES</v>
      </c>
      <c r="B410" s="14">
        <v>46327</v>
      </c>
      <c r="C410" s="15">
        <f t="shared" si="25"/>
        <v>2026</v>
      </c>
      <c r="D410" s="13" t="str">
        <f t="shared" si="26"/>
        <v>Fora</v>
      </c>
      <c r="E410" s="9" t="s">
        <v>201</v>
      </c>
      <c r="F410" s="9" t="s">
        <v>202</v>
      </c>
      <c r="G410" s="9" t="s">
        <v>212</v>
      </c>
      <c r="H410" s="9" t="s">
        <v>213</v>
      </c>
      <c r="I410" s="9" t="s">
        <v>210</v>
      </c>
      <c r="J410" s="16">
        <v>313947.32</v>
      </c>
      <c r="K410" s="9" t="s">
        <v>206</v>
      </c>
      <c r="L410" s="9" t="s">
        <v>88</v>
      </c>
      <c r="M410" s="17">
        <f>IF(L410="","",IFERROR(INDEX(tbl_fatores_emissao[Valor],MATCH(L410,tbl_fatores_emissao[ID_FE],0)),""))</f>
        <v>0.25</v>
      </c>
      <c r="N410" s="17">
        <f t="shared" si="27"/>
        <v>78.486999999999995</v>
      </c>
      <c r="O410" s="9" t="s">
        <v>188</v>
      </c>
      <c r="P410" s="9" t="s">
        <v>211</v>
      </c>
      <c r="Q410" s="9"/>
    </row>
    <row r="411" spans="1:17" ht="18" customHeight="1" x14ac:dyDescent="0.3">
      <c r="A411" s="13" t="str">
        <f t="shared" si="24"/>
        <v>202611-S3-C1-VIR</v>
      </c>
      <c r="B411" s="14">
        <v>46327</v>
      </c>
      <c r="C411" s="15">
        <f t="shared" si="25"/>
        <v>2026</v>
      </c>
      <c r="D411" s="13" t="str">
        <f t="shared" si="26"/>
        <v>Fora</v>
      </c>
      <c r="E411" s="9" t="s">
        <v>214</v>
      </c>
      <c r="F411" s="9" t="s">
        <v>215</v>
      </c>
      <c r="G411" s="9" t="s">
        <v>216</v>
      </c>
      <c r="H411" s="9" t="s">
        <v>217</v>
      </c>
      <c r="I411" s="9" t="s">
        <v>186</v>
      </c>
      <c r="J411" s="16">
        <v>71789.2</v>
      </c>
      <c r="K411" s="9" t="s">
        <v>199</v>
      </c>
      <c r="L411" s="9" t="s">
        <v>119</v>
      </c>
      <c r="M411" s="17">
        <f>IF(L411="","",IFERROR(INDEX(tbl_fatores_emissao[Valor],MATCH(L411,tbl_fatores_emissao[ID_FE],0)),""))</f>
        <v>1.9</v>
      </c>
      <c r="N411" s="17">
        <f t="shared" si="27"/>
        <v>136.399</v>
      </c>
      <c r="O411" s="9" t="s">
        <v>218</v>
      </c>
      <c r="P411" s="9" t="s">
        <v>219</v>
      </c>
      <c r="Q411" s="9"/>
    </row>
    <row r="412" spans="1:17" ht="18" customHeight="1" x14ac:dyDescent="0.3">
      <c r="A412" s="13" t="str">
        <f t="shared" si="24"/>
        <v>202611-S3-C1-PCR</v>
      </c>
      <c r="B412" s="14">
        <v>46327</v>
      </c>
      <c r="C412" s="15">
        <f t="shared" si="25"/>
        <v>2026</v>
      </c>
      <c r="D412" s="13" t="str">
        <f t="shared" si="26"/>
        <v>Fora</v>
      </c>
      <c r="E412" s="9" t="s">
        <v>214</v>
      </c>
      <c r="F412" s="9" t="s">
        <v>215</v>
      </c>
      <c r="G412" s="9" t="s">
        <v>220</v>
      </c>
      <c r="H412" s="9" t="s">
        <v>221</v>
      </c>
      <c r="I412" s="9" t="s">
        <v>186</v>
      </c>
      <c r="J412" s="16">
        <v>9246.1200000000008</v>
      </c>
      <c r="K412" s="9" t="s">
        <v>199</v>
      </c>
      <c r="L412" s="9" t="s">
        <v>116</v>
      </c>
      <c r="M412" s="17">
        <f>IF(L412="","",IFERROR(INDEX(tbl_fatores_emissao[Valor],MATCH(L412,tbl_fatores_emissao[ID_FE],0)),""))</f>
        <v>0.5</v>
      </c>
      <c r="N412" s="17">
        <f t="shared" si="27"/>
        <v>4.6230000000000002</v>
      </c>
      <c r="O412" s="9" t="s">
        <v>218</v>
      </c>
      <c r="P412" s="9" t="s">
        <v>222</v>
      </c>
      <c r="Q412" s="9"/>
    </row>
    <row r="413" spans="1:17" ht="18" customHeight="1" x14ac:dyDescent="0.3">
      <c r="A413" s="13" t="str">
        <f t="shared" si="24"/>
        <v>202611-S3-C1-TIN</v>
      </c>
      <c r="B413" s="14">
        <v>46327</v>
      </c>
      <c r="C413" s="15">
        <f t="shared" si="25"/>
        <v>2026</v>
      </c>
      <c r="D413" s="13" t="str">
        <f t="shared" si="26"/>
        <v>Fora</v>
      </c>
      <c r="E413" s="9" t="s">
        <v>214</v>
      </c>
      <c r="F413" s="9" t="s">
        <v>215</v>
      </c>
      <c r="G413" s="9" t="s">
        <v>223</v>
      </c>
      <c r="H413" s="9" t="s">
        <v>123</v>
      </c>
      <c r="I413" s="9" t="s">
        <v>186</v>
      </c>
      <c r="J413" s="16">
        <v>91.14</v>
      </c>
      <c r="K413" s="9" t="s">
        <v>199</v>
      </c>
      <c r="L413" s="9" t="s">
        <v>122</v>
      </c>
      <c r="M413" s="17">
        <f>IF(L413="","",IFERROR(INDEX(tbl_fatores_emissao[Valor],MATCH(L413,tbl_fatores_emissao[ID_FE],0)),""))</f>
        <v>3</v>
      </c>
      <c r="N413" s="17">
        <f t="shared" si="27"/>
        <v>0.27300000000000002</v>
      </c>
      <c r="O413" s="9" t="s">
        <v>218</v>
      </c>
      <c r="P413" s="9" t="s">
        <v>224</v>
      </c>
      <c r="Q413" s="9"/>
    </row>
    <row r="414" spans="1:17" ht="18" customHeight="1" x14ac:dyDescent="0.3">
      <c r="A414" s="13" t="str">
        <f t="shared" si="24"/>
        <v>202611-S3-C1-SOL</v>
      </c>
      <c r="B414" s="14">
        <v>46327</v>
      </c>
      <c r="C414" s="15">
        <f t="shared" si="25"/>
        <v>2026</v>
      </c>
      <c r="D414" s="13" t="str">
        <f t="shared" si="26"/>
        <v>Fora</v>
      </c>
      <c r="E414" s="9" t="s">
        <v>214</v>
      </c>
      <c r="F414" s="9" t="s">
        <v>215</v>
      </c>
      <c r="G414" s="9" t="s">
        <v>225</v>
      </c>
      <c r="H414" s="9" t="s">
        <v>126</v>
      </c>
      <c r="I414" s="9" t="s">
        <v>186</v>
      </c>
      <c r="J414" s="16">
        <v>62.82</v>
      </c>
      <c r="K414" s="9" t="s">
        <v>199</v>
      </c>
      <c r="L414" s="9" t="s">
        <v>125</v>
      </c>
      <c r="M414" s="17">
        <f>IF(L414="","",IFERROR(INDEX(tbl_fatores_emissao[Valor],MATCH(L414,tbl_fatores_emissao[ID_FE],0)),""))</f>
        <v>1.8</v>
      </c>
      <c r="N414" s="17">
        <f t="shared" si="27"/>
        <v>0.113</v>
      </c>
      <c r="O414" s="9" t="s">
        <v>188</v>
      </c>
      <c r="P414" s="9" t="s">
        <v>226</v>
      </c>
      <c r="Q414" s="9"/>
    </row>
    <row r="415" spans="1:17" ht="18" customHeight="1" x14ac:dyDescent="0.3">
      <c r="A415" s="13" t="str">
        <f t="shared" si="24"/>
        <v>202611-S3-C1-FOI</v>
      </c>
      <c r="B415" s="14">
        <v>46327</v>
      </c>
      <c r="C415" s="15">
        <f t="shared" si="25"/>
        <v>2026</v>
      </c>
      <c r="D415" s="13" t="str">
        <f t="shared" si="26"/>
        <v>Fora</v>
      </c>
      <c r="E415" s="9" t="s">
        <v>214</v>
      </c>
      <c r="F415" s="9" t="s">
        <v>215</v>
      </c>
      <c r="G415" s="9" t="s">
        <v>227</v>
      </c>
      <c r="H415" s="9" t="s">
        <v>129</v>
      </c>
      <c r="I415" s="9" t="s">
        <v>186</v>
      </c>
      <c r="J415" s="16">
        <v>988.85</v>
      </c>
      <c r="K415" s="9" t="s">
        <v>199</v>
      </c>
      <c r="L415" s="9" t="s">
        <v>128</v>
      </c>
      <c r="M415" s="17">
        <f>IF(L415="","",IFERROR(INDEX(tbl_fatores_emissao[Valor],MATCH(L415,tbl_fatores_emissao[ID_FE],0)),""))</f>
        <v>3.5</v>
      </c>
      <c r="N415" s="17">
        <f t="shared" si="27"/>
        <v>3.4609999999999999</v>
      </c>
      <c r="O415" s="9" t="s">
        <v>218</v>
      </c>
      <c r="P415" s="9" t="s">
        <v>228</v>
      </c>
      <c r="Q415" s="9"/>
    </row>
    <row r="416" spans="1:17" ht="18" customHeight="1" x14ac:dyDescent="0.3">
      <c r="A416" s="13" t="str">
        <f t="shared" si="24"/>
        <v>202611-S3-C3</v>
      </c>
      <c r="B416" s="14">
        <v>46327</v>
      </c>
      <c r="C416" s="15">
        <f t="shared" si="25"/>
        <v>2026</v>
      </c>
      <c r="D416" s="13" t="str">
        <f t="shared" si="26"/>
        <v>Fora</v>
      </c>
      <c r="E416" s="9" t="s">
        <v>214</v>
      </c>
      <c r="F416" s="9" t="s">
        <v>229</v>
      </c>
      <c r="G416" s="9" t="s">
        <v>230</v>
      </c>
      <c r="H416" s="9" t="s">
        <v>231</v>
      </c>
      <c r="I416" s="9" t="s">
        <v>186</v>
      </c>
      <c r="J416" s="16">
        <v>697660.72</v>
      </c>
      <c r="K416" s="9" t="s">
        <v>206</v>
      </c>
      <c r="L416" s="9" t="s">
        <v>133</v>
      </c>
      <c r="M416" s="17">
        <f>IF(L416="","",IFERROR(INDEX(tbl_fatores_emissao[Valor],MATCH(L416,tbl_fatores_emissao[ID_FE],0)),""))</f>
        <v>0.02</v>
      </c>
      <c r="N416" s="17">
        <f t="shared" si="27"/>
        <v>13.952999999999999</v>
      </c>
      <c r="O416" s="9" t="s">
        <v>194</v>
      </c>
      <c r="P416" s="9" t="s">
        <v>232</v>
      </c>
      <c r="Q416" s="9"/>
    </row>
    <row r="417" spans="1:17" ht="18" customHeight="1" x14ac:dyDescent="0.3">
      <c r="A417" s="13" t="str">
        <f t="shared" si="24"/>
        <v>202611-S3-C4</v>
      </c>
      <c r="B417" s="14">
        <v>46327</v>
      </c>
      <c r="C417" s="15">
        <f t="shared" si="25"/>
        <v>2026</v>
      </c>
      <c r="D417" s="13" t="str">
        <f t="shared" si="26"/>
        <v>Fora</v>
      </c>
      <c r="E417" s="9" t="s">
        <v>214</v>
      </c>
      <c r="F417" s="9" t="s">
        <v>233</v>
      </c>
      <c r="G417" s="9" t="s">
        <v>234</v>
      </c>
      <c r="H417" s="9" t="s">
        <v>235</v>
      </c>
      <c r="I417" s="9" t="s">
        <v>186</v>
      </c>
      <c r="J417" s="16">
        <v>81035.320000000007</v>
      </c>
      <c r="K417" s="9" t="s">
        <v>199</v>
      </c>
      <c r="L417" s="9" t="s">
        <v>137</v>
      </c>
      <c r="M417" s="17">
        <f>IF(L417="","",IFERROR(INDEX(tbl_fatores_emissao[Valor],MATCH(L417,tbl_fatores_emissao[ID_FE],0)),""))</f>
        <v>0.1178</v>
      </c>
      <c r="N417" s="17">
        <f t="shared" si="27"/>
        <v>9.5459999999999994</v>
      </c>
      <c r="O417" s="9" t="s">
        <v>194</v>
      </c>
      <c r="P417" s="9" t="s">
        <v>236</v>
      </c>
      <c r="Q417" s="9"/>
    </row>
    <row r="418" spans="1:17" ht="18" customHeight="1" x14ac:dyDescent="0.3">
      <c r="A418" s="13" t="str">
        <f t="shared" si="24"/>
        <v>202611-S3-C5-REC</v>
      </c>
      <c r="B418" s="14">
        <v>46327</v>
      </c>
      <c r="C418" s="15">
        <f t="shared" si="25"/>
        <v>2026</v>
      </c>
      <c r="D418" s="13" t="str">
        <f t="shared" si="26"/>
        <v>Fora</v>
      </c>
      <c r="E418" s="9" t="s">
        <v>214</v>
      </c>
      <c r="F418" s="9" t="s">
        <v>237</v>
      </c>
      <c r="G418" s="9" t="s">
        <v>238</v>
      </c>
      <c r="H418" s="9" t="s">
        <v>239</v>
      </c>
      <c r="I418" s="9" t="s">
        <v>186</v>
      </c>
      <c r="J418" s="16">
        <v>8708.6</v>
      </c>
      <c r="K418" s="9" t="s">
        <v>199</v>
      </c>
      <c r="L418" s="9" t="s">
        <v>148</v>
      </c>
      <c r="M418" s="17">
        <f>IF(L418="","",IFERROR(INDEX(tbl_fatores_emissao[Valor],MATCH(L418,tbl_fatores_emissao[ID_FE],0)),""))</f>
        <v>2.1000000000000001E-2</v>
      </c>
      <c r="N418" s="17">
        <f t="shared" si="27"/>
        <v>0.183</v>
      </c>
      <c r="O418" s="9" t="s">
        <v>188</v>
      </c>
      <c r="P418" s="9" t="s">
        <v>240</v>
      </c>
      <c r="Q418" s="9"/>
    </row>
    <row r="419" spans="1:17" ht="18" customHeight="1" x14ac:dyDescent="0.3">
      <c r="A419" s="13" t="str">
        <f t="shared" si="24"/>
        <v>202611-S3-C5-ATE</v>
      </c>
      <c r="B419" s="14">
        <v>46327</v>
      </c>
      <c r="C419" s="15">
        <f t="shared" si="25"/>
        <v>2026</v>
      </c>
      <c r="D419" s="13" t="str">
        <f t="shared" si="26"/>
        <v>Fora</v>
      </c>
      <c r="E419" s="9" t="s">
        <v>214</v>
      </c>
      <c r="F419" s="9" t="s">
        <v>237</v>
      </c>
      <c r="G419" s="9" t="s">
        <v>241</v>
      </c>
      <c r="H419" s="9" t="s">
        <v>242</v>
      </c>
      <c r="I419" s="9" t="s">
        <v>186</v>
      </c>
      <c r="J419" s="16">
        <v>2073</v>
      </c>
      <c r="K419" s="9" t="s">
        <v>199</v>
      </c>
      <c r="L419" s="9" t="s">
        <v>152</v>
      </c>
      <c r="M419" s="17">
        <f>IF(L419="","",IFERROR(INDEX(tbl_fatores_emissao[Valor],MATCH(L419,tbl_fatores_emissao[ID_FE],0)),""))</f>
        <v>0.45</v>
      </c>
      <c r="N419" s="17">
        <f t="shared" si="27"/>
        <v>0.93300000000000005</v>
      </c>
      <c r="O419" s="9" t="s">
        <v>188</v>
      </c>
      <c r="P419" s="9" t="s">
        <v>243</v>
      </c>
      <c r="Q419" s="9"/>
    </row>
    <row r="420" spans="1:17" ht="18" customHeight="1" x14ac:dyDescent="0.3">
      <c r="A420" s="13" t="str">
        <f t="shared" si="24"/>
        <v>202611-S3-C5-PER</v>
      </c>
      <c r="B420" s="14">
        <v>46327</v>
      </c>
      <c r="C420" s="15">
        <f t="shared" si="25"/>
        <v>2026</v>
      </c>
      <c r="D420" s="13" t="str">
        <f t="shared" si="26"/>
        <v>Fora</v>
      </c>
      <c r="E420" s="9" t="s">
        <v>214</v>
      </c>
      <c r="F420" s="9" t="s">
        <v>237</v>
      </c>
      <c r="G420" s="9" t="s">
        <v>244</v>
      </c>
      <c r="H420" s="9" t="s">
        <v>245</v>
      </c>
      <c r="I420" s="9" t="s">
        <v>186</v>
      </c>
      <c r="J420" s="16">
        <v>41.5</v>
      </c>
      <c r="K420" s="9" t="s">
        <v>199</v>
      </c>
      <c r="L420" s="9" t="s">
        <v>155</v>
      </c>
      <c r="M420" s="17">
        <f>IF(L420="","",IFERROR(INDEX(tbl_fatores_emissao[Valor],MATCH(L420,tbl_fatores_emissao[ID_FE],0)),""))</f>
        <v>0.9</v>
      </c>
      <c r="N420" s="17">
        <f t="shared" si="27"/>
        <v>3.6999999999999998E-2</v>
      </c>
      <c r="O420" s="9" t="s">
        <v>188</v>
      </c>
      <c r="P420" s="9" t="s">
        <v>246</v>
      </c>
      <c r="Q420" s="9"/>
    </row>
    <row r="421" spans="1:17" ht="18" customHeight="1" x14ac:dyDescent="0.3">
      <c r="A421" s="13" t="str">
        <f t="shared" si="24"/>
        <v>202611-S3-C6</v>
      </c>
      <c r="B421" s="14">
        <v>46327</v>
      </c>
      <c r="C421" s="15">
        <f t="shared" si="25"/>
        <v>2026</v>
      </c>
      <c r="D421" s="13" t="str">
        <f t="shared" si="26"/>
        <v>Fora</v>
      </c>
      <c r="E421" s="9" t="s">
        <v>214</v>
      </c>
      <c r="F421" s="9" t="s">
        <v>247</v>
      </c>
      <c r="G421" s="9" t="s">
        <v>248</v>
      </c>
      <c r="H421" s="9" t="s">
        <v>249</v>
      </c>
      <c r="I421" s="9" t="s">
        <v>186</v>
      </c>
      <c r="J421" s="16">
        <v>2127.1999999999998</v>
      </c>
      <c r="K421" s="9" t="s">
        <v>250</v>
      </c>
      <c r="L421" s="9" t="s">
        <v>158</v>
      </c>
      <c r="M421" s="17">
        <f>IF(L421="","",IFERROR(INDEX(tbl_fatores_emissao[Valor],MATCH(L421,tbl_fatores_emissao[ID_FE],0)),""))</f>
        <v>0.17</v>
      </c>
      <c r="N421" s="17">
        <f t="shared" si="27"/>
        <v>0.36199999999999999</v>
      </c>
      <c r="O421" s="9" t="s">
        <v>194</v>
      </c>
      <c r="P421" s="9" t="s">
        <v>251</v>
      </c>
      <c r="Q421" s="9" t="s">
        <v>252</v>
      </c>
    </row>
    <row r="422" spans="1:17" ht="18" customHeight="1" x14ac:dyDescent="0.3">
      <c r="A422" s="13" t="str">
        <f t="shared" si="24"/>
        <v>202611-S3-C7</v>
      </c>
      <c r="B422" s="14">
        <v>46327</v>
      </c>
      <c r="C422" s="15">
        <f t="shared" si="25"/>
        <v>2026</v>
      </c>
      <c r="D422" s="13" t="str">
        <f t="shared" si="26"/>
        <v>Fora</v>
      </c>
      <c r="E422" s="9" t="s">
        <v>214</v>
      </c>
      <c r="F422" s="9" t="s">
        <v>253</v>
      </c>
      <c r="G422" s="9" t="s">
        <v>254</v>
      </c>
      <c r="H422" s="9" t="s">
        <v>255</v>
      </c>
      <c r="I422" s="9" t="s">
        <v>186</v>
      </c>
      <c r="J422" s="16">
        <v>35154</v>
      </c>
      <c r="K422" s="9" t="s">
        <v>250</v>
      </c>
      <c r="L422" s="9" t="s">
        <v>158</v>
      </c>
      <c r="M422" s="17">
        <f>IF(L422="","",IFERROR(INDEX(tbl_fatores_emissao[Valor],MATCH(L422,tbl_fatores_emissao[ID_FE],0)),""))</f>
        <v>0.17</v>
      </c>
      <c r="N422" s="17">
        <f t="shared" si="27"/>
        <v>5.976</v>
      </c>
      <c r="O422" s="9" t="s">
        <v>194</v>
      </c>
      <c r="P422" s="9" t="s">
        <v>256</v>
      </c>
      <c r="Q422" s="9" t="s">
        <v>257</v>
      </c>
    </row>
    <row r="423" spans="1:17" ht="18" customHeight="1" x14ac:dyDescent="0.3">
      <c r="A423" s="13" t="str">
        <f t="shared" si="24"/>
        <v>202611-S3-C9</v>
      </c>
      <c r="B423" s="14">
        <v>46327</v>
      </c>
      <c r="C423" s="15">
        <f t="shared" si="25"/>
        <v>2026</v>
      </c>
      <c r="D423" s="13" t="str">
        <f t="shared" si="26"/>
        <v>Fora</v>
      </c>
      <c r="E423" s="9" t="s">
        <v>214</v>
      </c>
      <c r="F423" s="9" t="s">
        <v>258</v>
      </c>
      <c r="G423" s="9" t="s">
        <v>259</v>
      </c>
      <c r="H423" s="9" t="s">
        <v>260</v>
      </c>
      <c r="I423" s="9" t="s">
        <v>186</v>
      </c>
      <c r="J423" s="16">
        <v>35599.379999999997</v>
      </c>
      <c r="K423" s="9" t="s">
        <v>261</v>
      </c>
      <c r="L423" s="9" t="s">
        <v>141</v>
      </c>
      <c r="M423" s="17">
        <f>IF(L423="","",IFERROR(INDEX(tbl_fatores_emissao[Valor],MATCH(L423,tbl_fatores_emissao[ID_FE],0)),""))</f>
        <v>0.108</v>
      </c>
      <c r="N423" s="17">
        <f t="shared" si="27"/>
        <v>3.8450000000000002</v>
      </c>
      <c r="O423" s="9" t="s">
        <v>194</v>
      </c>
      <c r="P423" s="9" t="s">
        <v>262</v>
      </c>
      <c r="Q423" s="9"/>
    </row>
    <row r="424" spans="1:17" ht="18" customHeight="1" x14ac:dyDescent="0.3">
      <c r="A424" s="13" t="str">
        <f t="shared" si="24"/>
        <v>202611-S3-C12</v>
      </c>
      <c r="B424" s="14">
        <v>46327</v>
      </c>
      <c r="C424" s="15">
        <f t="shared" si="25"/>
        <v>2026</v>
      </c>
      <c r="D424" s="13" t="str">
        <f t="shared" si="26"/>
        <v>Fora</v>
      </c>
      <c r="E424" s="9" t="s">
        <v>214</v>
      </c>
      <c r="F424" s="9" t="s">
        <v>263</v>
      </c>
      <c r="G424" s="9" t="s">
        <v>264</v>
      </c>
      <c r="H424" s="9" t="s">
        <v>265</v>
      </c>
      <c r="I424" s="9" t="s">
        <v>186</v>
      </c>
      <c r="J424" s="16">
        <v>79109.73</v>
      </c>
      <c r="K424" s="9" t="s">
        <v>199</v>
      </c>
      <c r="L424" s="9" t="s">
        <v>163</v>
      </c>
      <c r="M424" s="17">
        <f>IF(L424="","",IFERROR(INDEX(tbl_fatores_emissao[Valor],MATCH(L424,tbl_fatores_emissao[ID_FE],0)),""))</f>
        <v>1</v>
      </c>
      <c r="N424" s="17">
        <f t="shared" si="27"/>
        <v>79.11</v>
      </c>
      <c r="O424" s="9" t="s">
        <v>194</v>
      </c>
      <c r="P424" s="9" t="s">
        <v>266</v>
      </c>
      <c r="Q424" s="9"/>
    </row>
    <row r="425" spans="1:17" ht="18" customHeight="1" x14ac:dyDescent="0.3">
      <c r="A425" s="13" t="str">
        <f t="shared" si="24"/>
        <v>202612-S1-01</v>
      </c>
      <c r="B425" s="14">
        <v>46357</v>
      </c>
      <c r="C425" s="15">
        <f t="shared" si="25"/>
        <v>2026</v>
      </c>
      <c r="D425" s="13" t="str">
        <f t="shared" si="26"/>
        <v>Fora</v>
      </c>
      <c r="E425" s="9" t="s">
        <v>182</v>
      </c>
      <c r="F425" s="9" t="s">
        <v>183</v>
      </c>
      <c r="G425" s="9" t="s">
        <v>184</v>
      </c>
      <c r="H425" s="9" t="s">
        <v>185</v>
      </c>
      <c r="I425" s="9" t="s">
        <v>186</v>
      </c>
      <c r="J425" s="16">
        <v>234.85</v>
      </c>
      <c r="K425" s="9" t="s">
        <v>187</v>
      </c>
      <c r="L425" s="9" t="s">
        <v>96</v>
      </c>
      <c r="M425" s="17">
        <f>IF(L425="","",IFERROR(INDEX(tbl_fatores_emissao[Valor],MATCH(L425,tbl_fatores_emissao[ID_FE],0)),""))</f>
        <v>2.66</v>
      </c>
      <c r="N425" s="17">
        <f t="shared" si="27"/>
        <v>0.625</v>
      </c>
      <c r="O425" s="9" t="s">
        <v>188</v>
      </c>
      <c r="P425" s="9" t="s">
        <v>189</v>
      </c>
      <c r="Q425" s="9" t="s">
        <v>190</v>
      </c>
    </row>
    <row r="426" spans="1:17" ht="18" customHeight="1" x14ac:dyDescent="0.3">
      <c r="A426" s="13" t="str">
        <f t="shared" si="24"/>
        <v>202612-S1-02</v>
      </c>
      <c r="B426" s="14">
        <v>46357</v>
      </c>
      <c r="C426" s="15">
        <f t="shared" si="25"/>
        <v>2026</v>
      </c>
      <c r="D426" s="13" t="str">
        <f t="shared" si="26"/>
        <v>Fora</v>
      </c>
      <c r="E426" s="9" t="s">
        <v>182</v>
      </c>
      <c r="F426" s="9" t="s">
        <v>191</v>
      </c>
      <c r="G426" s="9" t="s">
        <v>192</v>
      </c>
      <c r="H426" s="9" t="s">
        <v>193</v>
      </c>
      <c r="I426" s="9" t="s">
        <v>186</v>
      </c>
      <c r="J426" s="16">
        <v>18.93</v>
      </c>
      <c r="K426" s="9" t="s">
        <v>187</v>
      </c>
      <c r="L426" s="9" t="s">
        <v>96</v>
      </c>
      <c r="M426" s="17">
        <f>IF(L426="","",IFERROR(INDEX(tbl_fatores_emissao[Valor],MATCH(L426,tbl_fatores_emissao[ID_FE],0)),""))</f>
        <v>2.66</v>
      </c>
      <c r="N426" s="17">
        <f t="shared" si="27"/>
        <v>0.05</v>
      </c>
      <c r="O426" s="9" t="s">
        <v>194</v>
      </c>
      <c r="P426" s="9" t="s">
        <v>195</v>
      </c>
      <c r="Q426" s="9" t="s">
        <v>190</v>
      </c>
    </row>
    <row r="427" spans="1:17" ht="18" customHeight="1" x14ac:dyDescent="0.3">
      <c r="A427" s="13" t="str">
        <f t="shared" si="24"/>
        <v>202612-S1-03</v>
      </c>
      <c r="B427" s="14">
        <v>46357</v>
      </c>
      <c r="C427" s="15">
        <f t="shared" si="25"/>
        <v>2026</v>
      </c>
      <c r="D427" s="13" t="str">
        <f t="shared" si="26"/>
        <v>Fora</v>
      </c>
      <c r="E427" s="9" t="s">
        <v>182</v>
      </c>
      <c r="F427" s="9" t="s">
        <v>196</v>
      </c>
      <c r="G427" s="9" t="s">
        <v>197</v>
      </c>
      <c r="H427" s="9" t="s">
        <v>198</v>
      </c>
      <c r="I427" s="9" t="s">
        <v>186</v>
      </c>
      <c r="J427" s="16"/>
      <c r="K427" s="9" t="s">
        <v>199</v>
      </c>
      <c r="L427" s="9" t="s">
        <v>101</v>
      </c>
      <c r="M427" s="17">
        <f>IF(L427="","",IFERROR(INDEX(tbl_fatores_emissao[Valor],MATCH(L427,tbl_fatores_emissao[ID_FE],0)),""))</f>
        <v>2088</v>
      </c>
      <c r="N427" s="17" t="str">
        <f t="shared" si="27"/>
        <v/>
      </c>
      <c r="O427" s="9" t="s">
        <v>188</v>
      </c>
      <c r="P427" s="9" t="s">
        <v>200</v>
      </c>
      <c r="Q427" s="9"/>
    </row>
    <row r="428" spans="1:17" ht="18" customHeight="1" x14ac:dyDescent="0.3">
      <c r="A428" s="13" t="str">
        <f t="shared" si="24"/>
        <v>202612-S2-LB</v>
      </c>
      <c r="B428" s="14">
        <v>46357</v>
      </c>
      <c r="C428" s="15">
        <f t="shared" si="25"/>
        <v>2026</v>
      </c>
      <c r="D428" s="13" t="str">
        <f t="shared" si="26"/>
        <v>Fora</v>
      </c>
      <c r="E428" s="9" t="s">
        <v>201</v>
      </c>
      <c r="F428" s="9" t="s">
        <v>202</v>
      </c>
      <c r="G428" s="9" t="s">
        <v>203</v>
      </c>
      <c r="H428" s="9" t="s">
        <v>204</v>
      </c>
      <c r="I428" s="9" t="s">
        <v>205</v>
      </c>
      <c r="J428" s="16">
        <v>675973.18</v>
      </c>
      <c r="K428" s="9" t="s">
        <v>206</v>
      </c>
      <c r="L428" s="9" t="s">
        <v>82</v>
      </c>
      <c r="M428" s="17">
        <f>IF(L428="","",IFERROR(INDEX(tbl_fatores_emissao[Valor],MATCH(L428,tbl_fatores_emissao[ID_FE],0)),""))</f>
        <v>0.11</v>
      </c>
      <c r="N428" s="17">
        <f t="shared" si="27"/>
        <v>74.356999999999999</v>
      </c>
      <c r="O428" s="9" t="s">
        <v>188</v>
      </c>
      <c r="P428" s="9" t="s">
        <v>207</v>
      </c>
      <c r="Q428" s="9"/>
    </row>
    <row r="429" spans="1:17" ht="18" customHeight="1" x14ac:dyDescent="0.3">
      <c r="A429" s="13" t="str">
        <f t="shared" si="24"/>
        <v>202612-S2-MB-GO</v>
      </c>
      <c r="B429" s="14">
        <v>46357</v>
      </c>
      <c r="C429" s="15">
        <f t="shared" si="25"/>
        <v>2026</v>
      </c>
      <c r="D429" s="13" t="str">
        <f t="shared" si="26"/>
        <v>Fora</v>
      </c>
      <c r="E429" s="9" t="s">
        <v>201</v>
      </c>
      <c r="F429" s="9" t="s">
        <v>202</v>
      </c>
      <c r="G429" s="9" t="s">
        <v>208</v>
      </c>
      <c r="H429" s="9" t="s">
        <v>209</v>
      </c>
      <c r="I429" s="9" t="s">
        <v>210</v>
      </c>
      <c r="J429" s="16">
        <v>371785.25</v>
      </c>
      <c r="K429" s="9" t="s">
        <v>206</v>
      </c>
      <c r="L429" s="9" t="s">
        <v>92</v>
      </c>
      <c r="M429" s="17">
        <f>IF(L429="","",IFERROR(INDEX(tbl_fatores_emissao[Valor],MATCH(L429,tbl_fatores_emissao[ID_FE],0)),""))</f>
        <v>0</v>
      </c>
      <c r="N429" s="17">
        <f t="shared" si="27"/>
        <v>0</v>
      </c>
      <c r="O429" s="9" t="s">
        <v>188</v>
      </c>
      <c r="P429" s="9" t="s">
        <v>211</v>
      </c>
      <c r="Q429" s="9"/>
    </row>
    <row r="430" spans="1:17" ht="18" customHeight="1" x14ac:dyDescent="0.3">
      <c r="A430" s="13" t="str">
        <f t="shared" si="24"/>
        <v>202612-S2-MB-RES</v>
      </c>
      <c r="B430" s="14">
        <v>46357</v>
      </c>
      <c r="C430" s="15">
        <f t="shared" si="25"/>
        <v>2026</v>
      </c>
      <c r="D430" s="13" t="str">
        <f t="shared" si="26"/>
        <v>Fora</v>
      </c>
      <c r="E430" s="9" t="s">
        <v>201</v>
      </c>
      <c r="F430" s="9" t="s">
        <v>202</v>
      </c>
      <c r="G430" s="9" t="s">
        <v>212</v>
      </c>
      <c r="H430" s="9" t="s">
        <v>213</v>
      </c>
      <c r="I430" s="9" t="s">
        <v>210</v>
      </c>
      <c r="J430" s="16">
        <v>304187.93</v>
      </c>
      <c r="K430" s="9" t="s">
        <v>206</v>
      </c>
      <c r="L430" s="9" t="s">
        <v>88</v>
      </c>
      <c r="M430" s="17">
        <f>IF(L430="","",IFERROR(INDEX(tbl_fatores_emissao[Valor],MATCH(L430,tbl_fatores_emissao[ID_FE],0)),""))</f>
        <v>0.25</v>
      </c>
      <c r="N430" s="17">
        <f t="shared" si="27"/>
        <v>76.046999999999997</v>
      </c>
      <c r="O430" s="9" t="s">
        <v>188</v>
      </c>
      <c r="P430" s="9" t="s">
        <v>211</v>
      </c>
      <c r="Q430" s="9"/>
    </row>
    <row r="431" spans="1:17" ht="18" customHeight="1" x14ac:dyDescent="0.3">
      <c r="A431" s="13" t="str">
        <f t="shared" si="24"/>
        <v>202612-S3-C1-VIR</v>
      </c>
      <c r="B431" s="14">
        <v>46357</v>
      </c>
      <c r="C431" s="15">
        <f t="shared" si="25"/>
        <v>2026</v>
      </c>
      <c r="D431" s="13" t="str">
        <f t="shared" si="26"/>
        <v>Fora</v>
      </c>
      <c r="E431" s="9" t="s">
        <v>214</v>
      </c>
      <c r="F431" s="9" t="s">
        <v>215</v>
      </c>
      <c r="G431" s="9" t="s">
        <v>216</v>
      </c>
      <c r="H431" s="9" t="s">
        <v>217</v>
      </c>
      <c r="I431" s="9" t="s">
        <v>186</v>
      </c>
      <c r="J431" s="16">
        <v>75166.039999999994</v>
      </c>
      <c r="K431" s="9" t="s">
        <v>199</v>
      </c>
      <c r="L431" s="9" t="s">
        <v>119</v>
      </c>
      <c r="M431" s="17">
        <f>IF(L431="","",IFERROR(INDEX(tbl_fatores_emissao[Valor],MATCH(L431,tbl_fatores_emissao[ID_FE],0)),""))</f>
        <v>1.9</v>
      </c>
      <c r="N431" s="17">
        <f t="shared" si="27"/>
        <v>142.815</v>
      </c>
      <c r="O431" s="9" t="s">
        <v>218</v>
      </c>
      <c r="P431" s="9" t="s">
        <v>219</v>
      </c>
      <c r="Q431" s="9"/>
    </row>
    <row r="432" spans="1:17" ht="18" customHeight="1" x14ac:dyDescent="0.3">
      <c r="A432" s="13" t="str">
        <f t="shared" si="24"/>
        <v>202612-S3-C1-PCR</v>
      </c>
      <c r="B432" s="14">
        <v>46357</v>
      </c>
      <c r="C432" s="15">
        <f t="shared" si="25"/>
        <v>2026</v>
      </c>
      <c r="D432" s="13" t="str">
        <f t="shared" si="26"/>
        <v>Fora</v>
      </c>
      <c r="E432" s="9" t="s">
        <v>214</v>
      </c>
      <c r="F432" s="9" t="s">
        <v>215</v>
      </c>
      <c r="G432" s="9" t="s">
        <v>220</v>
      </c>
      <c r="H432" s="9" t="s">
        <v>221</v>
      </c>
      <c r="I432" s="9" t="s">
        <v>186</v>
      </c>
      <c r="J432" s="16">
        <v>9111.06</v>
      </c>
      <c r="K432" s="9" t="s">
        <v>199</v>
      </c>
      <c r="L432" s="9" t="s">
        <v>116</v>
      </c>
      <c r="M432" s="17">
        <f>IF(L432="","",IFERROR(INDEX(tbl_fatores_emissao[Valor],MATCH(L432,tbl_fatores_emissao[ID_FE],0)),""))</f>
        <v>0.5</v>
      </c>
      <c r="N432" s="17">
        <f t="shared" si="27"/>
        <v>4.556</v>
      </c>
      <c r="O432" s="9" t="s">
        <v>218</v>
      </c>
      <c r="P432" s="9" t="s">
        <v>222</v>
      </c>
      <c r="Q432" s="9"/>
    </row>
    <row r="433" spans="1:17" ht="18" customHeight="1" x14ac:dyDescent="0.3">
      <c r="A433" s="13" t="str">
        <f t="shared" si="24"/>
        <v>202612-S3-C1-TIN</v>
      </c>
      <c r="B433" s="14">
        <v>46357</v>
      </c>
      <c r="C433" s="15">
        <f t="shared" si="25"/>
        <v>2026</v>
      </c>
      <c r="D433" s="13" t="str">
        <f t="shared" si="26"/>
        <v>Fora</v>
      </c>
      <c r="E433" s="9" t="s">
        <v>214</v>
      </c>
      <c r="F433" s="9" t="s">
        <v>215</v>
      </c>
      <c r="G433" s="9" t="s">
        <v>223</v>
      </c>
      <c r="H433" s="9" t="s">
        <v>123</v>
      </c>
      <c r="I433" s="9" t="s">
        <v>186</v>
      </c>
      <c r="J433" s="16">
        <v>89.05</v>
      </c>
      <c r="K433" s="9" t="s">
        <v>199</v>
      </c>
      <c r="L433" s="9" t="s">
        <v>122</v>
      </c>
      <c r="M433" s="17">
        <f>IF(L433="","",IFERROR(INDEX(tbl_fatores_emissao[Valor],MATCH(L433,tbl_fatores_emissao[ID_FE],0)),""))</f>
        <v>3</v>
      </c>
      <c r="N433" s="17">
        <f t="shared" si="27"/>
        <v>0.26700000000000002</v>
      </c>
      <c r="O433" s="9" t="s">
        <v>218</v>
      </c>
      <c r="P433" s="9" t="s">
        <v>224</v>
      </c>
      <c r="Q433" s="9"/>
    </row>
    <row r="434" spans="1:17" ht="18" customHeight="1" x14ac:dyDescent="0.3">
      <c r="A434" s="13" t="str">
        <f t="shared" si="24"/>
        <v>202612-S3-C1-SOL</v>
      </c>
      <c r="B434" s="14">
        <v>46357</v>
      </c>
      <c r="C434" s="15">
        <f t="shared" si="25"/>
        <v>2026</v>
      </c>
      <c r="D434" s="13" t="str">
        <f t="shared" si="26"/>
        <v>Fora</v>
      </c>
      <c r="E434" s="9" t="s">
        <v>214</v>
      </c>
      <c r="F434" s="9" t="s">
        <v>215</v>
      </c>
      <c r="G434" s="9" t="s">
        <v>225</v>
      </c>
      <c r="H434" s="9" t="s">
        <v>126</v>
      </c>
      <c r="I434" s="9" t="s">
        <v>186</v>
      </c>
      <c r="J434" s="16">
        <v>57.56</v>
      </c>
      <c r="K434" s="9" t="s">
        <v>199</v>
      </c>
      <c r="L434" s="9" t="s">
        <v>125</v>
      </c>
      <c r="M434" s="17">
        <f>IF(L434="","",IFERROR(INDEX(tbl_fatores_emissao[Valor],MATCH(L434,tbl_fatores_emissao[ID_FE],0)),""))</f>
        <v>1.8</v>
      </c>
      <c r="N434" s="17">
        <f t="shared" si="27"/>
        <v>0.104</v>
      </c>
      <c r="O434" s="9" t="s">
        <v>188</v>
      </c>
      <c r="P434" s="9" t="s">
        <v>226</v>
      </c>
      <c r="Q434" s="9"/>
    </row>
    <row r="435" spans="1:17" ht="18" customHeight="1" x14ac:dyDescent="0.3">
      <c r="A435" s="13" t="str">
        <f t="shared" si="24"/>
        <v>202612-S3-C1-FOI</v>
      </c>
      <c r="B435" s="14">
        <v>46357</v>
      </c>
      <c r="C435" s="15">
        <f t="shared" si="25"/>
        <v>2026</v>
      </c>
      <c r="D435" s="13" t="str">
        <f t="shared" si="26"/>
        <v>Fora</v>
      </c>
      <c r="E435" s="9" t="s">
        <v>214</v>
      </c>
      <c r="F435" s="9" t="s">
        <v>215</v>
      </c>
      <c r="G435" s="9" t="s">
        <v>227</v>
      </c>
      <c r="H435" s="9" t="s">
        <v>129</v>
      </c>
      <c r="I435" s="9" t="s">
        <v>186</v>
      </c>
      <c r="J435" s="16">
        <v>1110.67</v>
      </c>
      <c r="K435" s="9" t="s">
        <v>199</v>
      </c>
      <c r="L435" s="9" t="s">
        <v>128</v>
      </c>
      <c r="M435" s="17">
        <f>IF(L435="","",IFERROR(INDEX(tbl_fatores_emissao[Valor],MATCH(L435,tbl_fatores_emissao[ID_FE],0)),""))</f>
        <v>3.5</v>
      </c>
      <c r="N435" s="17">
        <f t="shared" si="27"/>
        <v>3.887</v>
      </c>
      <c r="O435" s="9" t="s">
        <v>218</v>
      </c>
      <c r="P435" s="9" t="s">
        <v>228</v>
      </c>
      <c r="Q435" s="9"/>
    </row>
    <row r="436" spans="1:17" ht="18" customHeight="1" x14ac:dyDescent="0.3">
      <c r="A436" s="13" t="str">
        <f t="shared" si="24"/>
        <v>202612-S3-C3</v>
      </c>
      <c r="B436" s="14">
        <v>46357</v>
      </c>
      <c r="C436" s="15">
        <f t="shared" si="25"/>
        <v>2026</v>
      </c>
      <c r="D436" s="13" t="str">
        <f t="shared" si="26"/>
        <v>Fora</v>
      </c>
      <c r="E436" s="9" t="s">
        <v>214</v>
      </c>
      <c r="F436" s="9" t="s">
        <v>229</v>
      </c>
      <c r="G436" s="9" t="s">
        <v>230</v>
      </c>
      <c r="H436" s="9" t="s">
        <v>231</v>
      </c>
      <c r="I436" s="9" t="s">
        <v>186</v>
      </c>
      <c r="J436" s="16">
        <v>675973.18</v>
      </c>
      <c r="K436" s="9" t="s">
        <v>206</v>
      </c>
      <c r="L436" s="9" t="s">
        <v>133</v>
      </c>
      <c r="M436" s="17">
        <f>IF(L436="","",IFERROR(INDEX(tbl_fatores_emissao[Valor],MATCH(L436,tbl_fatores_emissao[ID_FE],0)),""))</f>
        <v>0.02</v>
      </c>
      <c r="N436" s="17">
        <f t="shared" si="27"/>
        <v>13.519</v>
      </c>
      <c r="O436" s="9" t="s">
        <v>194</v>
      </c>
      <c r="P436" s="9" t="s">
        <v>232</v>
      </c>
      <c r="Q436" s="9"/>
    </row>
    <row r="437" spans="1:17" ht="18" customHeight="1" x14ac:dyDescent="0.3">
      <c r="A437" s="13" t="str">
        <f t="shared" si="24"/>
        <v>202612-S3-C4</v>
      </c>
      <c r="B437" s="14">
        <v>46357</v>
      </c>
      <c r="C437" s="15">
        <f t="shared" si="25"/>
        <v>2026</v>
      </c>
      <c r="D437" s="13" t="str">
        <f t="shared" si="26"/>
        <v>Fora</v>
      </c>
      <c r="E437" s="9" t="s">
        <v>214</v>
      </c>
      <c r="F437" s="9" t="s">
        <v>233</v>
      </c>
      <c r="G437" s="9" t="s">
        <v>234</v>
      </c>
      <c r="H437" s="9" t="s">
        <v>235</v>
      </c>
      <c r="I437" s="9" t="s">
        <v>186</v>
      </c>
      <c r="J437" s="16">
        <v>84277.1</v>
      </c>
      <c r="K437" s="9" t="s">
        <v>199</v>
      </c>
      <c r="L437" s="9" t="s">
        <v>137</v>
      </c>
      <c r="M437" s="17">
        <f>IF(L437="","",IFERROR(INDEX(tbl_fatores_emissao[Valor],MATCH(L437,tbl_fatores_emissao[ID_FE],0)),""))</f>
        <v>0.1178</v>
      </c>
      <c r="N437" s="17">
        <f t="shared" si="27"/>
        <v>9.9280000000000008</v>
      </c>
      <c r="O437" s="9" t="s">
        <v>194</v>
      </c>
      <c r="P437" s="9" t="s">
        <v>236</v>
      </c>
      <c r="Q437" s="9"/>
    </row>
    <row r="438" spans="1:17" ht="18" customHeight="1" x14ac:dyDescent="0.3">
      <c r="A438" s="13" t="str">
        <f t="shared" si="24"/>
        <v>202612-S3-C5-REC</v>
      </c>
      <c r="B438" s="14">
        <v>46357</v>
      </c>
      <c r="C438" s="15">
        <f t="shared" si="25"/>
        <v>2026</v>
      </c>
      <c r="D438" s="13" t="str">
        <f t="shared" si="26"/>
        <v>Fora</v>
      </c>
      <c r="E438" s="9" t="s">
        <v>214</v>
      </c>
      <c r="F438" s="9" t="s">
        <v>237</v>
      </c>
      <c r="G438" s="9" t="s">
        <v>238</v>
      </c>
      <c r="H438" s="9" t="s">
        <v>239</v>
      </c>
      <c r="I438" s="9" t="s">
        <v>186</v>
      </c>
      <c r="J438" s="16">
        <v>8671.2999999999993</v>
      </c>
      <c r="K438" s="9" t="s">
        <v>199</v>
      </c>
      <c r="L438" s="9" t="s">
        <v>148</v>
      </c>
      <c r="M438" s="17">
        <f>IF(L438="","",IFERROR(INDEX(tbl_fatores_emissao[Valor],MATCH(L438,tbl_fatores_emissao[ID_FE],0)),""))</f>
        <v>2.1000000000000001E-2</v>
      </c>
      <c r="N438" s="17">
        <f t="shared" si="27"/>
        <v>0.182</v>
      </c>
      <c r="O438" s="9" t="s">
        <v>188</v>
      </c>
      <c r="P438" s="9" t="s">
        <v>240</v>
      </c>
      <c r="Q438" s="9"/>
    </row>
    <row r="439" spans="1:17" ht="18" customHeight="1" x14ac:dyDescent="0.3">
      <c r="A439" s="13" t="str">
        <f t="shared" si="24"/>
        <v>202612-S3-C5-ATE</v>
      </c>
      <c r="B439" s="14">
        <v>46357</v>
      </c>
      <c r="C439" s="15">
        <f t="shared" si="25"/>
        <v>2026</v>
      </c>
      <c r="D439" s="13" t="str">
        <f t="shared" si="26"/>
        <v>Fora</v>
      </c>
      <c r="E439" s="9" t="s">
        <v>214</v>
      </c>
      <c r="F439" s="9" t="s">
        <v>237</v>
      </c>
      <c r="G439" s="9" t="s">
        <v>241</v>
      </c>
      <c r="H439" s="9" t="s">
        <v>242</v>
      </c>
      <c r="I439" s="9" t="s">
        <v>186</v>
      </c>
      <c r="J439" s="16">
        <v>1783.3</v>
      </c>
      <c r="K439" s="9" t="s">
        <v>199</v>
      </c>
      <c r="L439" s="9" t="s">
        <v>152</v>
      </c>
      <c r="M439" s="17">
        <f>IF(L439="","",IFERROR(INDEX(tbl_fatores_emissao[Valor],MATCH(L439,tbl_fatores_emissao[ID_FE],0)),""))</f>
        <v>0.45</v>
      </c>
      <c r="N439" s="17">
        <f t="shared" si="27"/>
        <v>0.80200000000000005</v>
      </c>
      <c r="O439" s="9" t="s">
        <v>188</v>
      </c>
      <c r="P439" s="9" t="s">
        <v>243</v>
      </c>
      <c r="Q439" s="9"/>
    </row>
    <row r="440" spans="1:17" ht="18" customHeight="1" x14ac:dyDescent="0.3">
      <c r="A440" s="13" t="str">
        <f t="shared" si="24"/>
        <v>202612-S3-C5-PER</v>
      </c>
      <c r="B440" s="14">
        <v>46357</v>
      </c>
      <c r="C440" s="15">
        <f t="shared" si="25"/>
        <v>2026</v>
      </c>
      <c r="D440" s="13" t="str">
        <f t="shared" si="26"/>
        <v>Fora</v>
      </c>
      <c r="E440" s="9" t="s">
        <v>214</v>
      </c>
      <c r="F440" s="9" t="s">
        <v>237</v>
      </c>
      <c r="G440" s="9" t="s">
        <v>244</v>
      </c>
      <c r="H440" s="9" t="s">
        <v>245</v>
      </c>
      <c r="I440" s="9" t="s">
        <v>186</v>
      </c>
      <c r="J440" s="16">
        <v>50.1</v>
      </c>
      <c r="K440" s="9" t="s">
        <v>199</v>
      </c>
      <c r="L440" s="9" t="s">
        <v>155</v>
      </c>
      <c r="M440" s="17">
        <f>IF(L440="","",IFERROR(INDEX(tbl_fatores_emissao[Valor],MATCH(L440,tbl_fatores_emissao[ID_FE],0)),""))</f>
        <v>0.9</v>
      </c>
      <c r="N440" s="17">
        <f t="shared" si="27"/>
        <v>4.4999999999999998E-2</v>
      </c>
      <c r="O440" s="9" t="s">
        <v>188</v>
      </c>
      <c r="P440" s="9" t="s">
        <v>246</v>
      </c>
      <c r="Q440" s="9"/>
    </row>
    <row r="441" spans="1:17" ht="18" customHeight="1" x14ac:dyDescent="0.3">
      <c r="A441" s="13" t="str">
        <f t="shared" si="24"/>
        <v>202612-S3-C6</v>
      </c>
      <c r="B441" s="14">
        <v>46357</v>
      </c>
      <c r="C441" s="15">
        <f t="shared" si="25"/>
        <v>2026</v>
      </c>
      <c r="D441" s="13" t="str">
        <f t="shared" si="26"/>
        <v>Fora</v>
      </c>
      <c r="E441" s="9" t="s">
        <v>214</v>
      </c>
      <c r="F441" s="9" t="s">
        <v>247</v>
      </c>
      <c r="G441" s="9" t="s">
        <v>248</v>
      </c>
      <c r="H441" s="9" t="s">
        <v>249</v>
      </c>
      <c r="I441" s="9" t="s">
        <v>186</v>
      </c>
      <c r="J441" s="16">
        <v>2437.62</v>
      </c>
      <c r="K441" s="9" t="s">
        <v>250</v>
      </c>
      <c r="L441" s="9" t="s">
        <v>158</v>
      </c>
      <c r="M441" s="17">
        <f>IF(L441="","",IFERROR(INDEX(tbl_fatores_emissao[Valor],MATCH(L441,tbl_fatores_emissao[ID_FE],0)),""))</f>
        <v>0.17</v>
      </c>
      <c r="N441" s="17">
        <f t="shared" si="27"/>
        <v>0.41399999999999998</v>
      </c>
      <c r="O441" s="9" t="s">
        <v>194</v>
      </c>
      <c r="P441" s="9" t="s">
        <v>251</v>
      </c>
      <c r="Q441" s="9" t="s">
        <v>252</v>
      </c>
    </row>
    <row r="442" spans="1:17" ht="18" customHeight="1" x14ac:dyDescent="0.3">
      <c r="A442" s="13" t="str">
        <f t="shared" si="24"/>
        <v>202612-S3-C7</v>
      </c>
      <c r="B442" s="14">
        <v>46357</v>
      </c>
      <c r="C442" s="15">
        <f t="shared" si="25"/>
        <v>2026</v>
      </c>
      <c r="D442" s="13" t="str">
        <f t="shared" si="26"/>
        <v>Fora</v>
      </c>
      <c r="E442" s="9" t="s">
        <v>214</v>
      </c>
      <c r="F442" s="9" t="s">
        <v>253</v>
      </c>
      <c r="G442" s="9" t="s">
        <v>254</v>
      </c>
      <c r="H442" s="9" t="s">
        <v>255</v>
      </c>
      <c r="I442" s="9" t="s">
        <v>186</v>
      </c>
      <c r="J442" s="16">
        <v>33480</v>
      </c>
      <c r="K442" s="9" t="s">
        <v>250</v>
      </c>
      <c r="L442" s="9" t="s">
        <v>158</v>
      </c>
      <c r="M442" s="17">
        <f>IF(L442="","",IFERROR(INDEX(tbl_fatores_emissao[Valor],MATCH(L442,tbl_fatores_emissao[ID_FE],0)),""))</f>
        <v>0.17</v>
      </c>
      <c r="N442" s="17">
        <f t="shared" si="27"/>
        <v>5.6920000000000002</v>
      </c>
      <c r="O442" s="9" t="s">
        <v>194</v>
      </c>
      <c r="P442" s="9" t="s">
        <v>256</v>
      </c>
      <c r="Q442" s="9" t="s">
        <v>257</v>
      </c>
    </row>
    <row r="443" spans="1:17" ht="18" customHeight="1" x14ac:dyDescent="0.3">
      <c r="A443" s="13" t="str">
        <f t="shared" si="24"/>
        <v>202612-S3-C9</v>
      </c>
      <c r="B443" s="14">
        <v>46357</v>
      </c>
      <c r="C443" s="15">
        <f t="shared" si="25"/>
        <v>2026</v>
      </c>
      <c r="D443" s="13" t="str">
        <f t="shared" si="26"/>
        <v>Fora</v>
      </c>
      <c r="E443" s="9" t="s">
        <v>214</v>
      </c>
      <c r="F443" s="9" t="s">
        <v>258</v>
      </c>
      <c r="G443" s="9" t="s">
        <v>259</v>
      </c>
      <c r="H443" s="9" t="s">
        <v>260</v>
      </c>
      <c r="I443" s="9" t="s">
        <v>186</v>
      </c>
      <c r="J443" s="16">
        <v>37078.21</v>
      </c>
      <c r="K443" s="9" t="s">
        <v>261</v>
      </c>
      <c r="L443" s="9" t="s">
        <v>141</v>
      </c>
      <c r="M443" s="17">
        <f>IF(L443="","",IFERROR(INDEX(tbl_fatores_emissao[Valor],MATCH(L443,tbl_fatores_emissao[ID_FE],0)),""))</f>
        <v>0.108</v>
      </c>
      <c r="N443" s="17">
        <f t="shared" si="27"/>
        <v>4.0039999999999996</v>
      </c>
      <c r="O443" s="9" t="s">
        <v>194</v>
      </c>
      <c r="P443" s="9" t="s">
        <v>262</v>
      </c>
      <c r="Q443" s="9"/>
    </row>
    <row r="444" spans="1:17" ht="18" customHeight="1" x14ac:dyDescent="0.3">
      <c r="A444" s="13" t="str">
        <f t="shared" si="24"/>
        <v>202612-S3-C12</v>
      </c>
      <c r="B444" s="14">
        <v>46357</v>
      </c>
      <c r="C444" s="15">
        <f t="shared" si="25"/>
        <v>2026</v>
      </c>
      <c r="D444" s="13" t="str">
        <f t="shared" si="26"/>
        <v>Fora</v>
      </c>
      <c r="E444" s="9" t="s">
        <v>214</v>
      </c>
      <c r="F444" s="9" t="s">
        <v>263</v>
      </c>
      <c r="G444" s="9" t="s">
        <v>264</v>
      </c>
      <c r="H444" s="9" t="s">
        <v>265</v>
      </c>
      <c r="I444" s="9" t="s">
        <v>186</v>
      </c>
      <c r="J444" s="16">
        <v>82396.02</v>
      </c>
      <c r="K444" s="9" t="s">
        <v>199</v>
      </c>
      <c r="L444" s="9" t="s">
        <v>163</v>
      </c>
      <c r="M444" s="17">
        <f>IF(L444="","",IFERROR(INDEX(tbl_fatores_emissao[Valor],MATCH(L444,tbl_fatores_emissao[ID_FE],0)),""))</f>
        <v>1</v>
      </c>
      <c r="N444" s="17">
        <f t="shared" si="27"/>
        <v>82.396000000000001</v>
      </c>
      <c r="O444" s="9" t="s">
        <v>194</v>
      </c>
      <c r="P444" s="9" t="s">
        <v>266</v>
      </c>
      <c r="Q444" s="9"/>
    </row>
    <row r="445" spans="1:17" ht="18" customHeight="1" x14ac:dyDescent="0.3">
      <c r="A445" s="13" t="str">
        <f t="shared" si="24"/>
        <v/>
      </c>
      <c r="B445" s="14"/>
      <c r="C445" s="15" t="str">
        <f t="shared" si="25"/>
        <v/>
      </c>
      <c r="D445" s="13" t="str">
        <f t="shared" si="26"/>
        <v/>
      </c>
      <c r="E445" s="9"/>
      <c r="F445" s="9"/>
      <c r="G445" s="9"/>
      <c r="H445" s="9"/>
      <c r="I445" s="9"/>
      <c r="J445" s="16"/>
      <c r="K445" s="9"/>
      <c r="L445" s="9"/>
      <c r="M445" s="17" t="str">
        <f>IF(L445="","",IFERROR(INDEX(tbl_fatores_emissao[Valor],MATCH(L445,tbl_fatores_emissao[ID_FE],0)),""))</f>
        <v/>
      </c>
      <c r="N445" s="17" t="str">
        <f t="shared" si="27"/>
        <v/>
      </c>
      <c r="O445" s="9"/>
      <c r="P445" s="9"/>
      <c r="Q445" s="9"/>
    </row>
    <row r="446" spans="1:17" ht="18" customHeight="1" x14ac:dyDescent="0.3">
      <c r="A446" s="13" t="str">
        <f t="shared" si="24"/>
        <v/>
      </c>
      <c r="B446" s="14"/>
      <c r="C446" s="15" t="str">
        <f t="shared" si="25"/>
        <v/>
      </c>
      <c r="D446" s="13" t="str">
        <f t="shared" si="26"/>
        <v/>
      </c>
      <c r="E446" s="9"/>
      <c r="F446" s="9"/>
      <c r="G446" s="9"/>
      <c r="H446" s="9"/>
      <c r="I446" s="9"/>
      <c r="J446" s="16"/>
      <c r="K446" s="9"/>
      <c r="L446" s="9"/>
      <c r="M446" s="17" t="str">
        <f>IF(L446="","",IFERROR(INDEX(tbl_fatores_emissao[Valor],MATCH(L446,tbl_fatores_emissao[ID_FE],0)),""))</f>
        <v/>
      </c>
      <c r="N446" s="17" t="str">
        <f t="shared" si="27"/>
        <v/>
      </c>
      <c r="O446" s="9"/>
      <c r="P446" s="9"/>
      <c r="Q446" s="9"/>
    </row>
    <row r="447" spans="1:17" ht="18" customHeight="1" x14ac:dyDescent="0.3">
      <c r="A447" s="13" t="str">
        <f t="shared" si="24"/>
        <v/>
      </c>
      <c r="B447" s="14"/>
      <c r="C447" s="15" t="str">
        <f t="shared" si="25"/>
        <v/>
      </c>
      <c r="D447" s="13" t="str">
        <f t="shared" si="26"/>
        <v/>
      </c>
      <c r="E447" s="9"/>
      <c r="F447" s="9"/>
      <c r="G447" s="9"/>
      <c r="H447" s="9"/>
      <c r="I447" s="9"/>
      <c r="J447" s="16"/>
      <c r="K447" s="9"/>
      <c r="L447" s="9"/>
      <c r="M447" s="17" t="str">
        <f>IF(L447="","",IFERROR(INDEX(tbl_fatores_emissao[Valor],MATCH(L447,tbl_fatores_emissao[ID_FE],0)),""))</f>
        <v/>
      </c>
      <c r="N447" s="17" t="str">
        <f t="shared" si="27"/>
        <v/>
      </c>
      <c r="O447" s="9"/>
      <c r="P447" s="9"/>
      <c r="Q447" s="9"/>
    </row>
    <row r="448" spans="1:17" ht="18" customHeight="1" x14ac:dyDescent="0.3">
      <c r="A448" s="13" t="str">
        <f t="shared" si="24"/>
        <v/>
      </c>
      <c r="B448" s="14"/>
      <c r="C448" s="15" t="str">
        <f t="shared" si="25"/>
        <v/>
      </c>
      <c r="D448" s="13" t="str">
        <f t="shared" si="26"/>
        <v/>
      </c>
      <c r="E448" s="9"/>
      <c r="F448" s="9"/>
      <c r="G448" s="9"/>
      <c r="H448" s="9"/>
      <c r="I448" s="9"/>
      <c r="J448" s="16"/>
      <c r="K448" s="9"/>
      <c r="L448" s="9"/>
      <c r="M448" s="17" t="str">
        <f>IF(L448="","",IFERROR(INDEX(tbl_fatores_emissao[Valor],MATCH(L448,tbl_fatores_emissao[ID_FE],0)),""))</f>
        <v/>
      </c>
      <c r="N448" s="17" t="str">
        <f t="shared" si="27"/>
        <v/>
      </c>
      <c r="O448" s="9"/>
      <c r="P448" s="9"/>
      <c r="Q448" s="9"/>
    </row>
    <row r="449" spans="1:17" ht="18" customHeight="1" x14ac:dyDescent="0.3">
      <c r="A449" s="13" t="str">
        <f t="shared" si="24"/>
        <v/>
      </c>
      <c r="B449" s="14"/>
      <c r="C449" s="15" t="str">
        <f t="shared" si="25"/>
        <v/>
      </c>
      <c r="D449" s="13" t="str">
        <f t="shared" si="26"/>
        <v/>
      </c>
      <c r="E449" s="9"/>
      <c r="F449" s="9"/>
      <c r="G449" s="9"/>
      <c r="H449" s="9"/>
      <c r="I449" s="9"/>
      <c r="J449" s="16"/>
      <c r="K449" s="9"/>
      <c r="L449" s="9"/>
      <c r="M449" s="17" t="str">
        <f>IF(L449="","",IFERROR(INDEX(tbl_fatores_emissao[Valor],MATCH(L449,tbl_fatores_emissao[ID_FE],0)),""))</f>
        <v/>
      </c>
      <c r="N449" s="17" t="str">
        <f t="shared" si="27"/>
        <v/>
      </c>
      <c r="O449" s="9"/>
      <c r="P449" s="9"/>
      <c r="Q449" s="9"/>
    </row>
    <row r="450" spans="1:17" ht="18" customHeight="1" x14ac:dyDescent="0.3">
      <c r="A450" s="13" t="str">
        <f t="shared" si="24"/>
        <v/>
      </c>
      <c r="B450" s="14"/>
      <c r="C450" s="15" t="str">
        <f t="shared" si="25"/>
        <v/>
      </c>
      <c r="D450" s="13" t="str">
        <f t="shared" si="26"/>
        <v/>
      </c>
      <c r="E450" s="9"/>
      <c r="F450" s="9"/>
      <c r="G450" s="9"/>
      <c r="H450" s="9"/>
      <c r="I450" s="9"/>
      <c r="J450" s="16"/>
      <c r="K450" s="9"/>
      <c r="L450" s="9"/>
      <c r="M450" s="17" t="str">
        <f>IF(L450="","",IFERROR(INDEX(tbl_fatores_emissao[Valor],MATCH(L450,tbl_fatores_emissao[ID_FE],0)),""))</f>
        <v/>
      </c>
      <c r="N450" s="17" t="str">
        <f t="shared" si="27"/>
        <v/>
      </c>
      <c r="O450" s="9"/>
      <c r="P450" s="9"/>
      <c r="Q450" s="9"/>
    </row>
    <row r="451" spans="1:17" ht="18" customHeight="1" x14ac:dyDescent="0.3">
      <c r="A451" s="13" t="str">
        <f t="shared" si="24"/>
        <v/>
      </c>
      <c r="B451" s="14"/>
      <c r="C451" s="15" t="str">
        <f t="shared" si="25"/>
        <v/>
      </c>
      <c r="D451" s="13" t="str">
        <f t="shared" si="26"/>
        <v/>
      </c>
      <c r="E451" s="9"/>
      <c r="F451" s="9"/>
      <c r="G451" s="9"/>
      <c r="H451" s="9"/>
      <c r="I451" s="9"/>
      <c r="J451" s="16"/>
      <c r="K451" s="9"/>
      <c r="L451" s="9"/>
      <c r="M451" s="17" t="str">
        <f>IF(L451="","",IFERROR(INDEX(tbl_fatores_emissao[Valor],MATCH(L451,tbl_fatores_emissao[ID_FE],0)),""))</f>
        <v/>
      </c>
      <c r="N451" s="17" t="str">
        <f t="shared" si="27"/>
        <v/>
      </c>
      <c r="O451" s="9"/>
      <c r="P451" s="9"/>
      <c r="Q451" s="9"/>
    </row>
    <row r="452" spans="1:17" ht="18" customHeight="1" x14ac:dyDescent="0.3">
      <c r="A452" s="13" t="str">
        <f t="shared" si="24"/>
        <v/>
      </c>
      <c r="B452" s="14"/>
      <c r="C452" s="15" t="str">
        <f t="shared" si="25"/>
        <v/>
      </c>
      <c r="D452" s="13" t="str">
        <f t="shared" si="26"/>
        <v/>
      </c>
      <c r="E452" s="9"/>
      <c r="F452" s="9"/>
      <c r="G452" s="9"/>
      <c r="H452" s="9"/>
      <c r="I452" s="9"/>
      <c r="J452" s="16"/>
      <c r="K452" s="9"/>
      <c r="L452" s="9"/>
      <c r="M452" s="17" t="str">
        <f>IF(L452="","",IFERROR(INDEX(tbl_fatores_emissao[Valor],MATCH(L452,tbl_fatores_emissao[ID_FE],0)),""))</f>
        <v/>
      </c>
      <c r="N452" s="17" t="str">
        <f t="shared" si="27"/>
        <v/>
      </c>
      <c r="O452" s="9"/>
      <c r="P452" s="9"/>
      <c r="Q452" s="9"/>
    </row>
    <row r="453" spans="1:17" ht="18" customHeight="1" x14ac:dyDescent="0.3">
      <c r="A453" s="13" t="str">
        <f t="shared" ref="A453:A516" si="28">IF(B453="","",(YEAR(B453)*100+MONTH(B453))&amp;"-"&amp;G453)</f>
        <v/>
      </c>
      <c r="B453" s="14"/>
      <c r="C453" s="15" t="str">
        <f t="shared" ref="C453:C516" si="29">IF(B453="","",YEAR(B453))</f>
        <v/>
      </c>
      <c r="D453" s="13" t="str">
        <f t="shared" ref="D453:D516" si="30">IF(B453="","",IF(AND(B453&gt;=DATE(2025,9,1),B453&lt;=DATE(2026,8,1)),"2025/26","Fora"))</f>
        <v/>
      </c>
      <c r="E453" s="9"/>
      <c r="F453" s="9"/>
      <c r="G453" s="9"/>
      <c r="H453" s="9"/>
      <c r="I453" s="9"/>
      <c r="J453" s="16"/>
      <c r="K453" s="9"/>
      <c r="L453" s="9"/>
      <c r="M453" s="17" t="str">
        <f>IF(L453="","",IFERROR(INDEX(tbl_fatores_emissao[Valor],MATCH(L453,tbl_fatores_emissao[ID_FE],0)),""))</f>
        <v/>
      </c>
      <c r="N453" s="17" t="str">
        <f t="shared" ref="N453:N516" si="31">IF(OR(J453="",M453=""),"",ROUND(J453*M453/1000,3))</f>
        <v/>
      </c>
      <c r="O453" s="9"/>
      <c r="P453" s="9"/>
      <c r="Q453" s="9"/>
    </row>
    <row r="454" spans="1:17" ht="18" customHeight="1" x14ac:dyDescent="0.3">
      <c r="A454" s="13" t="str">
        <f t="shared" si="28"/>
        <v/>
      </c>
      <c r="B454" s="14"/>
      <c r="C454" s="15" t="str">
        <f t="shared" si="29"/>
        <v/>
      </c>
      <c r="D454" s="13" t="str">
        <f t="shared" si="30"/>
        <v/>
      </c>
      <c r="E454" s="9"/>
      <c r="F454" s="9"/>
      <c r="G454" s="9"/>
      <c r="H454" s="9"/>
      <c r="I454" s="9"/>
      <c r="J454" s="16"/>
      <c r="K454" s="9"/>
      <c r="L454" s="9"/>
      <c r="M454" s="17" t="str">
        <f>IF(L454="","",IFERROR(INDEX(tbl_fatores_emissao[Valor],MATCH(L454,tbl_fatores_emissao[ID_FE],0)),""))</f>
        <v/>
      </c>
      <c r="N454" s="17" t="str">
        <f t="shared" si="31"/>
        <v/>
      </c>
      <c r="O454" s="9"/>
      <c r="P454" s="9"/>
      <c r="Q454" s="9"/>
    </row>
    <row r="455" spans="1:17" ht="18" customHeight="1" x14ac:dyDescent="0.3">
      <c r="A455" s="13" t="str">
        <f t="shared" si="28"/>
        <v/>
      </c>
      <c r="B455" s="14"/>
      <c r="C455" s="15" t="str">
        <f t="shared" si="29"/>
        <v/>
      </c>
      <c r="D455" s="13" t="str">
        <f t="shared" si="30"/>
        <v/>
      </c>
      <c r="E455" s="9"/>
      <c r="F455" s="9"/>
      <c r="G455" s="9"/>
      <c r="H455" s="9"/>
      <c r="I455" s="9"/>
      <c r="J455" s="16"/>
      <c r="K455" s="9"/>
      <c r="L455" s="9"/>
      <c r="M455" s="17" t="str">
        <f>IF(L455="","",IFERROR(INDEX(tbl_fatores_emissao[Valor],MATCH(L455,tbl_fatores_emissao[ID_FE],0)),""))</f>
        <v/>
      </c>
      <c r="N455" s="17" t="str">
        <f t="shared" si="31"/>
        <v/>
      </c>
      <c r="O455" s="9"/>
      <c r="P455" s="9"/>
      <c r="Q455" s="9"/>
    </row>
    <row r="456" spans="1:17" ht="18" customHeight="1" x14ac:dyDescent="0.3">
      <c r="A456" s="13" t="str">
        <f t="shared" si="28"/>
        <v/>
      </c>
      <c r="B456" s="14"/>
      <c r="C456" s="15" t="str">
        <f t="shared" si="29"/>
        <v/>
      </c>
      <c r="D456" s="13" t="str">
        <f t="shared" si="30"/>
        <v/>
      </c>
      <c r="E456" s="9"/>
      <c r="F456" s="9"/>
      <c r="G456" s="9"/>
      <c r="H456" s="9"/>
      <c r="I456" s="9"/>
      <c r="J456" s="16"/>
      <c r="K456" s="9"/>
      <c r="L456" s="9"/>
      <c r="M456" s="17" t="str">
        <f>IF(L456="","",IFERROR(INDEX(tbl_fatores_emissao[Valor],MATCH(L456,tbl_fatores_emissao[ID_FE],0)),""))</f>
        <v/>
      </c>
      <c r="N456" s="17" t="str">
        <f t="shared" si="31"/>
        <v/>
      </c>
      <c r="O456" s="9"/>
      <c r="P456" s="9"/>
      <c r="Q456" s="9"/>
    </row>
    <row r="457" spans="1:17" ht="18" customHeight="1" x14ac:dyDescent="0.3">
      <c r="A457" s="13" t="str">
        <f t="shared" si="28"/>
        <v/>
      </c>
      <c r="B457" s="14"/>
      <c r="C457" s="15" t="str">
        <f t="shared" si="29"/>
        <v/>
      </c>
      <c r="D457" s="13" t="str">
        <f t="shared" si="30"/>
        <v/>
      </c>
      <c r="E457" s="9"/>
      <c r="F457" s="9"/>
      <c r="G457" s="9"/>
      <c r="H457" s="9"/>
      <c r="I457" s="9"/>
      <c r="J457" s="16"/>
      <c r="K457" s="9"/>
      <c r="L457" s="9"/>
      <c r="M457" s="17" t="str">
        <f>IF(L457="","",IFERROR(INDEX(tbl_fatores_emissao[Valor],MATCH(L457,tbl_fatores_emissao[ID_FE],0)),""))</f>
        <v/>
      </c>
      <c r="N457" s="17" t="str">
        <f t="shared" si="31"/>
        <v/>
      </c>
      <c r="O457" s="9"/>
      <c r="P457" s="9"/>
      <c r="Q457" s="9"/>
    </row>
    <row r="458" spans="1:17" ht="18" customHeight="1" x14ac:dyDescent="0.3">
      <c r="A458" s="13" t="str">
        <f t="shared" si="28"/>
        <v/>
      </c>
      <c r="B458" s="14"/>
      <c r="C458" s="15" t="str">
        <f t="shared" si="29"/>
        <v/>
      </c>
      <c r="D458" s="13" t="str">
        <f t="shared" si="30"/>
        <v/>
      </c>
      <c r="E458" s="9"/>
      <c r="F458" s="9"/>
      <c r="G458" s="9"/>
      <c r="H458" s="9"/>
      <c r="I458" s="9"/>
      <c r="J458" s="16"/>
      <c r="K458" s="9"/>
      <c r="L458" s="9"/>
      <c r="M458" s="17" t="str">
        <f>IF(L458="","",IFERROR(INDEX(tbl_fatores_emissao[Valor],MATCH(L458,tbl_fatores_emissao[ID_FE],0)),""))</f>
        <v/>
      </c>
      <c r="N458" s="17" t="str">
        <f t="shared" si="31"/>
        <v/>
      </c>
      <c r="O458" s="9"/>
      <c r="P458" s="9"/>
      <c r="Q458" s="9"/>
    </row>
    <row r="459" spans="1:17" ht="18" customHeight="1" x14ac:dyDescent="0.3">
      <c r="A459" s="13" t="str">
        <f t="shared" si="28"/>
        <v/>
      </c>
      <c r="B459" s="14"/>
      <c r="C459" s="15" t="str">
        <f t="shared" si="29"/>
        <v/>
      </c>
      <c r="D459" s="13" t="str">
        <f t="shared" si="30"/>
        <v/>
      </c>
      <c r="E459" s="9"/>
      <c r="F459" s="9"/>
      <c r="G459" s="9"/>
      <c r="H459" s="9"/>
      <c r="I459" s="9"/>
      <c r="J459" s="16"/>
      <c r="K459" s="9"/>
      <c r="L459" s="9"/>
      <c r="M459" s="17" t="str">
        <f>IF(L459="","",IFERROR(INDEX(tbl_fatores_emissao[Valor],MATCH(L459,tbl_fatores_emissao[ID_FE],0)),""))</f>
        <v/>
      </c>
      <c r="N459" s="17" t="str">
        <f t="shared" si="31"/>
        <v/>
      </c>
      <c r="O459" s="9"/>
      <c r="P459" s="9"/>
      <c r="Q459" s="9"/>
    </row>
    <row r="460" spans="1:17" ht="18" customHeight="1" x14ac:dyDescent="0.3">
      <c r="A460" s="13" t="str">
        <f t="shared" si="28"/>
        <v/>
      </c>
      <c r="B460" s="14"/>
      <c r="C460" s="15" t="str">
        <f t="shared" si="29"/>
        <v/>
      </c>
      <c r="D460" s="13" t="str">
        <f t="shared" si="30"/>
        <v/>
      </c>
      <c r="E460" s="9"/>
      <c r="F460" s="9"/>
      <c r="G460" s="9"/>
      <c r="H460" s="9"/>
      <c r="I460" s="9"/>
      <c r="J460" s="16"/>
      <c r="K460" s="9"/>
      <c r="L460" s="9"/>
      <c r="M460" s="17" t="str">
        <f>IF(L460="","",IFERROR(INDEX(tbl_fatores_emissao[Valor],MATCH(L460,tbl_fatores_emissao[ID_FE],0)),""))</f>
        <v/>
      </c>
      <c r="N460" s="17" t="str">
        <f t="shared" si="31"/>
        <v/>
      </c>
      <c r="O460" s="9"/>
      <c r="P460" s="9"/>
      <c r="Q460" s="9"/>
    </row>
    <row r="461" spans="1:17" ht="18" customHeight="1" x14ac:dyDescent="0.3">
      <c r="A461" s="13" t="str">
        <f t="shared" si="28"/>
        <v/>
      </c>
      <c r="B461" s="14"/>
      <c r="C461" s="15" t="str">
        <f t="shared" si="29"/>
        <v/>
      </c>
      <c r="D461" s="13" t="str">
        <f t="shared" si="30"/>
        <v/>
      </c>
      <c r="E461" s="9"/>
      <c r="F461" s="9"/>
      <c r="G461" s="9"/>
      <c r="H461" s="9"/>
      <c r="I461" s="9"/>
      <c r="J461" s="16"/>
      <c r="K461" s="9"/>
      <c r="L461" s="9"/>
      <c r="M461" s="17" t="str">
        <f>IF(L461="","",IFERROR(INDEX(tbl_fatores_emissao[Valor],MATCH(L461,tbl_fatores_emissao[ID_FE],0)),""))</f>
        <v/>
      </c>
      <c r="N461" s="17" t="str">
        <f t="shared" si="31"/>
        <v/>
      </c>
      <c r="O461" s="9"/>
      <c r="P461" s="9"/>
      <c r="Q461" s="9"/>
    </row>
    <row r="462" spans="1:17" ht="18" customHeight="1" x14ac:dyDescent="0.3">
      <c r="A462" s="13" t="str">
        <f t="shared" si="28"/>
        <v/>
      </c>
      <c r="B462" s="14"/>
      <c r="C462" s="15" t="str">
        <f t="shared" si="29"/>
        <v/>
      </c>
      <c r="D462" s="13" t="str">
        <f t="shared" si="30"/>
        <v/>
      </c>
      <c r="E462" s="9"/>
      <c r="F462" s="9"/>
      <c r="G462" s="9"/>
      <c r="H462" s="9"/>
      <c r="I462" s="9"/>
      <c r="J462" s="16"/>
      <c r="K462" s="9"/>
      <c r="L462" s="9"/>
      <c r="M462" s="17" t="str">
        <f>IF(L462="","",IFERROR(INDEX(tbl_fatores_emissao[Valor],MATCH(L462,tbl_fatores_emissao[ID_FE],0)),""))</f>
        <v/>
      </c>
      <c r="N462" s="17" t="str">
        <f t="shared" si="31"/>
        <v/>
      </c>
      <c r="O462" s="9"/>
      <c r="P462" s="9"/>
      <c r="Q462" s="9"/>
    </row>
    <row r="463" spans="1:17" ht="18" customHeight="1" x14ac:dyDescent="0.3">
      <c r="A463" s="13" t="str">
        <f t="shared" si="28"/>
        <v/>
      </c>
      <c r="B463" s="14"/>
      <c r="C463" s="15" t="str">
        <f t="shared" si="29"/>
        <v/>
      </c>
      <c r="D463" s="13" t="str">
        <f t="shared" si="30"/>
        <v/>
      </c>
      <c r="E463" s="9"/>
      <c r="F463" s="9"/>
      <c r="G463" s="9"/>
      <c r="H463" s="9"/>
      <c r="I463" s="9"/>
      <c r="J463" s="16"/>
      <c r="K463" s="9"/>
      <c r="L463" s="9"/>
      <c r="M463" s="17" t="str">
        <f>IF(L463="","",IFERROR(INDEX(tbl_fatores_emissao[Valor],MATCH(L463,tbl_fatores_emissao[ID_FE],0)),""))</f>
        <v/>
      </c>
      <c r="N463" s="17" t="str">
        <f t="shared" si="31"/>
        <v/>
      </c>
      <c r="O463" s="9"/>
      <c r="P463" s="9"/>
      <c r="Q463" s="9"/>
    </row>
    <row r="464" spans="1:17" ht="18" customHeight="1" x14ac:dyDescent="0.3">
      <c r="A464" s="13" t="str">
        <f t="shared" si="28"/>
        <v/>
      </c>
      <c r="B464" s="14"/>
      <c r="C464" s="15" t="str">
        <f t="shared" si="29"/>
        <v/>
      </c>
      <c r="D464" s="13" t="str">
        <f t="shared" si="30"/>
        <v/>
      </c>
      <c r="E464" s="9"/>
      <c r="F464" s="9"/>
      <c r="G464" s="9"/>
      <c r="H464" s="9"/>
      <c r="I464" s="9"/>
      <c r="J464" s="16"/>
      <c r="K464" s="9"/>
      <c r="L464" s="9"/>
      <c r="M464" s="17" t="str">
        <f>IF(L464="","",IFERROR(INDEX(tbl_fatores_emissao[Valor],MATCH(L464,tbl_fatores_emissao[ID_FE],0)),""))</f>
        <v/>
      </c>
      <c r="N464" s="17" t="str">
        <f t="shared" si="31"/>
        <v/>
      </c>
      <c r="O464" s="9"/>
      <c r="P464" s="9"/>
      <c r="Q464" s="9"/>
    </row>
    <row r="465" spans="1:17" ht="18" customHeight="1" x14ac:dyDescent="0.3">
      <c r="A465" s="13" t="str">
        <f t="shared" si="28"/>
        <v/>
      </c>
      <c r="B465" s="14"/>
      <c r="C465" s="15" t="str">
        <f t="shared" si="29"/>
        <v/>
      </c>
      <c r="D465" s="13" t="str">
        <f t="shared" si="30"/>
        <v/>
      </c>
      <c r="E465" s="9"/>
      <c r="F465" s="9"/>
      <c r="G465" s="9"/>
      <c r="H465" s="9"/>
      <c r="I465" s="9"/>
      <c r="J465" s="16"/>
      <c r="K465" s="9"/>
      <c r="L465" s="9"/>
      <c r="M465" s="17" t="str">
        <f>IF(L465="","",IFERROR(INDEX(tbl_fatores_emissao[Valor],MATCH(L465,tbl_fatores_emissao[ID_FE],0)),""))</f>
        <v/>
      </c>
      <c r="N465" s="17" t="str">
        <f t="shared" si="31"/>
        <v/>
      </c>
      <c r="O465" s="9"/>
      <c r="P465" s="9"/>
      <c r="Q465" s="9"/>
    </row>
    <row r="466" spans="1:17" ht="18" customHeight="1" x14ac:dyDescent="0.3">
      <c r="A466" s="13" t="str">
        <f t="shared" si="28"/>
        <v/>
      </c>
      <c r="B466" s="14"/>
      <c r="C466" s="15" t="str">
        <f t="shared" si="29"/>
        <v/>
      </c>
      <c r="D466" s="13" t="str">
        <f t="shared" si="30"/>
        <v/>
      </c>
      <c r="E466" s="9"/>
      <c r="F466" s="9"/>
      <c r="G466" s="9"/>
      <c r="H466" s="9"/>
      <c r="I466" s="9"/>
      <c r="J466" s="16"/>
      <c r="K466" s="9"/>
      <c r="L466" s="9"/>
      <c r="M466" s="17" t="str">
        <f>IF(L466="","",IFERROR(INDEX(tbl_fatores_emissao[Valor],MATCH(L466,tbl_fatores_emissao[ID_FE],0)),""))</f>
        <v/>
      </c>
      <c r="N466" s="17" t="str">
        <f t="shared" si="31"/>
        <v/>
      </c>
      <c r="O466" s="9"/>
      <c r="P466" s="9"/>
      <c r="Q466" s="9"/>
    </row>
    <row r="467" spans="1:17" ht="18" customHeight="1" x14ac:dyDescent="0.3">
      <c r="A467" s="13" t="str">
        <f t="shared" si="28"/>
        <v/>
      </c>
      <c r="B467" s="14"/>
      <c r="C467" s="15" t="str">
        <f t="shared" si="29"/>
        <v/>
      </c>
      <c r="D467" s="13" t="str">
        <f t="shared" si="30"/>
        <v/>
      </c>
      <c r="E467" s="9"/>
      <c r="F467" s="9"/>
      <c r="G467" s="9"/>
      <c r="H467" s="9"/>
      <c r="I467" s="9"/>
      <c r="J467" s="16"/>
      <c r="K467" s="9"/>
      <c r="L467" s="9"/>
      <c r="M467" s="17" t="str">
        <f>IF(L467="","",IFERROR(INDEX(tbl_fatores_emissao[Valor],MATCH(L467,tbl_fatores_emissao[ID_FE],0)),""))</f>
        <v/>
      </c>
      <c r="N467" s="17" t="str">
        <f t="shared" si="31"/>
        <v/>
      </c>
      <c r="O467" s="9"/>
      <c r="P467" s="9"/>
      <c r="Q467" s="9"/>
    </row>
    <row r="468" spans="1:17" ht="18" customHeight="1" x14ac:dyDescent="0.3">
      <c r="A468" s="13" t="str">
        <f t="shared" si="28"/>
        <v/>
      </c>
      <c r="B468" s="14"/>
      <c r="C468" s="15" t="str">
        <f t="shared" si="29"/>
        <v/>
      </c>
      <c r="D468" s="13" t="str">
        <f t="shared" si="30"/>
        <v/>
      </c>
      <c r="E468" s="9"/>
      <c r="F468" s="9"/>
      <c r="G468" s="9"/>
      <c r="H468" s="9"/>
      <c r="I468" s="9"/>
      <c r="J468" s="16"/>
      <c r="K468" s="9"/>
      <c r="L468" s="9"/>
      <c r="M468" s="17" t="str">
        <f>IF(L468="","",IFERROR(INDEX(tbl_fatores_emissao[Valor],MATCH(L468,tbl_fatores_emissao[ID_FE],0)),""))</f>
        <v/>
      </c>
      <c r="N468" s="17" t="str">
        <f t="shared" si="31"/>
        <v/>
      </c>
      <c r="O468" s="9"/>
      <c r="P468" s="9"/>
      <c r="Q468" s="9"/>
    </row>
    <row r="469" spans="1:17" ht="18" customHeight="1" x14ac:dyDescent="0.3">
      <c r="A469" s="13" t="str">
        <f t="shared" si="28"/>
        <v/>
      </c>
      <c r="B469" s="14"/>
      <c r="C469" s="15" t="str">
        <f t="shared" si="29"/>
        <v/>
      </c>
      <c r="D469" s="13" t="str">
        <f t="shared" si="30"/>
        <v/>
      </c>
      <c r="E469" s="9"/>
      <c r="F469" s="9"/>
      <c r="G469" s="9"/>
      <c r="H469" s="9"/>
      <c r="I469" s="9"/>
      <c r="J469" s="16"/>
      <c r="K469" s="9"/>
      <c r="L469" s="9"/>
      <c r="M469" s="17" t="str">
        <f>IF(L469="","",IFERROR(INDEX(tbl_fatores_emissao[Valor],MATCH(L469,tbl_fatores_emissao[ID_FE],0)),""))</f>
        <v/>
      </c>
      <c r="N469" s="17" t="str">
        <f t="shared" si="31"/>
        <v/>
      </c>
      <c r="O469" s="9"/>
      <c r="P469" s="9"/>
      <c r="Q469" s="9"/>
    </row>
    <row r="470" spans="1:17" ht="18" customHeight="1" x14ac:dyDescent="0.3">
      <c r="A470" s="13" t="str">
        <f t="shared" si="28"/>
        <v/>
      </c>
      <c r="B470" s="14"/>
      <c r="C470" s="15" t="str">
        <f t="shared" si="29"/>
        <v/>
      </c>
      <c r="D470" s="13" t="str">
        <f t="shared" si="30"/>
        <v/>
      </c>
      <c r="E470" s="9"/>
      <c r="F470" s="9"/>
      <c r="G470" s="9"/>
      <c r="H470" s="9"/>
      <c r="I470" s="9"/>
      <c r="J470" s="16"/>
      <c r="K470" s="9"/>
      <c r="L470" s="9"/>
      <c r="M470" s="17" t="str">
        <f>IF(L470="","",IFERROR(INDEX(tbl_fatores_emissao[Valor],MATCH(L470,tbl_fatores_emissao[ID_FE],0)),""))</f>
        <v/>
      </c>
      <c r="N470" s="17" t="str">
        <f t="shared" si="31"/>
        <v/>
      </c>
      <c r="O470" s="9"/>
      <c r="P470" s="9"/>
      <c r="Q470" s="9"/>
    </row>
    <row r="471" spans="1:17" ht="18" customHeight="1" x14ac:dyDescent="0.3">
      <c r="A471" s="13" t="str">
        <f t="shared" si="28"/>
        <v/>
      </c>
      <c r="B471" s="14"/>
      <c r="C471" s="15" t="str">
        <f t="shared" si="29"/>
        <v/>
      </c>
      <c r="D471" s="13" t="str">
        <f t="shared" si="30"/>
        <v/>
      </c>
      <c r="E471" s="9"/>
      <c r="F471" s="9"/>
      <c r="G471" s="9"/>
      <c r="H471" s="9"/>
      <c r="I471" s="9"/>
      <c r="J471" s="16"/>
      <c r="K471" s="9"/>
      <c r="L471" s="9"/>
      <c r="M471" s="17" t="str">
        <f>IF(L471="","",IFERROR(INDEX(tbl_fatores_emissao[Valor],MATCH(L471,tbl_fatores_emissao[ID_FE],0)),""))</f>
        <v/>
      </c>
      <c r="N471" s="17" t="str">
        <f t="shared" si="31"/>
        <v/>
      </c>
      <c r="O471" s="9"/>
      <c r="P471" s="9"/>
      <c r="Q471" s="9"/>
    </row>
    <row r="472" spans="1:17" ht="18" customHeight="1" x14ac:dyDescent="0.3">
      <c r="A472" s="13" t="str">
        <f t="shared" si="28"/>
        <v/>
      </c>
      <c r="B472" s="14"/>
      <c r="C472" s="15" t="str">
        <f t="shared" si="29"/>
        <v/>
      </c>
      <c r="D472" s="13" t="str">
        <f t="shared" si="30"/>
        <v/>
      </c>
      <c r="E472" s="9"/>
      <c r="F472" s="9"/>
      <c r="G472" s="9"/>
      <c r="H472" s="9"/>
      <c r="I472" s="9"/>
      <c r="J472" s="16"/>
      <c r="K472" s="9"/>
      <c r="L472" s="9"/>
      <c r="M472" s="17" t="str">
        <f>IF(L472="","",IFERROR(INDEX(tbl_fatores_emissao[Valor],MATCH(L472,tbl_fatores_emissao[ID_FE],0)),""))</f>
        <v/>
      </c>
      <c r="N472" s="17" t="str">
        <f t="shared" si="31"/>
        <v/>
      </c>
      <c r="O472" s="9"/>
      <c r="P472" s="9"/>
      <c r="Q472" s="9"/>
    </row>
    <row r="473" spans="1:17" ht="18" customHeight="1" x14ac:dyDescent="0.3">
      <c r="A473" s="13" t="str">
        <f t="shared" si="28"/>
        <v/>
      </c>
      <c r="B473" s="14"/>
      <c r="C473" s="15" t="str">
        <f t="shared" si="29"/>
        <v/>
      </c>
      <c r="D473" s="13" t="str">
        <f t="shared" si="30"/>
        <v/>
      </c>
      <c r="E473" s="9"/>
      <c r="F473" s="9"/>
      <c r="G473" s="9"/>
      <c r="H473" s="9"/>
      <c r="I473" s="9"/>
      <c r="J473" s="16"/>
      <c r="K473" s="9"/>
      <c r="L473" s="9"/>
      <c r="M473" s="17" t="str">
        <f>IF(L473="","",IFERROR(INDEX(tbl_fatores_emissao[Valor],MATCH(L473,tbl_fatores_emissao[ID_FE],0)),""))</f>
        <v/>
      </c>
      <c r="N473" s="17" t="str">
        <f t="shared" si="31"/>
        <v/>
      </c>
      <c r="O473" s="9"/>
      <c r="P473" s="9"/>
      <c r="Q473" s="9"/>
    </row>
    <row r="474" spans="1:17" ht="18" customHeight="1" x14ac:dyDescent="0.3">
      <c r="A474" s="13" t="str">
        <f t="shared" si="28"/>
        <v/>
      </c>
      <c r="B474" s="14"/>
      <c r="C474" s="15" t="str">
        <f t="shared" si="29"/>
        <v/>
      </c>
      <c r="D474" s="13" t="str">
        <f t="shared" si="30"/>
        <v/>
      </c>
      <c r="E474" s="9"/>
      <c r="F474" s="9"/>
      <c r="G474" s="9"/>
      <c r="H474" s="9"/>
      <c r="I474" s="9"/>
      <c r="J474" s="16"/>
      <c r="K474" s="9"/>
      <c r="L474" s="9"/>
      <c r="M474" s="17" t="str">
        <f>IF(L474="","",IFERROR(INDEX(tbl_fatores_emissao[Valor],MATCH(L474,tbl_fatores_emissao[ID_FE],0)),""))</f>
        <v/>
      </c>
      <c r="N474" s="17" t="str">
        <f t="shared" si="31"/>
        <v/>
      </c>
      <c r="O474" s="9"/>
      <c r="P474" s="9"/>
      <c r="Q474" s="9"/>
    </row>
    <row r="475" spans="1:17" ht="18" customHeight="1" x14ac:dyDescent="0.3">
      <c r="A475" s="13" t="str">
        <f t="shared" si="28"/>
        <v/>
      </c>
      <c r="B475" s="14"/>
      <c r="C475" s="15" t="str">
        <f t="shared" si="29"/>
        <v/>
      </c>
      <c r="D475" s="13" t="str">
        <f t="shared" si="30"/>
        <v/>
      </c>
      <c r="E475" s="9"/>
      <c r="F475" s="9"/>
      <c r="G475" s="9"/>
      <c r="H475" s="9"/>
      <c r="I475" s="9"/>
      <c r="J475" s="16"/>
      <c r="K475" s="9"/>
      <c r="L475" s="9"/>
      <c r="M475" s="17" t="str">
        <f>IF(L475="","",IFERROR(INDEX(tbl_fatores_emissao[Valor],MATCH(L475,tbl_fatores_emissao[ID_FE],0)),""))</f>
        <v/>
      </c>
      <c r="N475" s="17" t="str">
        <f t="shared" si="31"/>
        <v/>
      </c>
      <c r="O475" s="9"/>
      <c r="P475" s="9"/>
      <c r="Q475" s="9"/>
    </row>
    <row r="476" spans="1:17" ht="18" customHeight="1" x14ac:dyDescent="0.3">
      <c r="A476" s="13" t="str">
        <f t="shared" si="28"/>
        <v/>
      </c>
      <c r="B476" s="14"/>
      <c r="C476" s="15" t="str">
        <f t="shared" si="29"/>
        <v/>
      </c>
      <c r="D476" s="13" t="str">
        <f t="shared" si="30"/>
        <v/>
      </c>
      <c r="E476" s="9"/>
      <c r="F476" s="9"/>
      <c r="G476" s="9"/>
      <c r="H476" s="9"/>
      <c r="I476" s="9"/>
      <c r="J476" s="16"/>
      <c r="K476" s="9"/>
      <c r="L476" s="9"/>
      <c r="M476" s="17" t="str">
        <f>IF(L476="","",IFERROR(INDEX(tbl_fatores_emissao[Valor],MATCH(L476,tbl_fatores_emissao[ID_FE],0)),""))</f>
        <v/>
      </c>
      <c r="N476" s="17" t="str">
        <f t="shared" si="31"/>
        <v/>
      </c>
      <c r="O476" s="9"/>
      <c r="P476" s="9"/>
      <c r="Q476" s="9"/>
    </row>
    <row r="477" spans="1:17" ht="18" customHeight="1" x14ac:dyDescent="0.3">
      <c r="A477" s="13" t="str">
        <f t="shared" si="28"/>
        <v/>
      </c>
      <c r="B477" s="14"/>
      <c r="C477" s="15" t="str">
        <f t="shared" si="29"/>
        <v/>
      </c>
      <c r="D477" s="13" t="str">
        <f t="shared" si="30"/>
        <v/>
      </c>
      <c r="E477" s="9"/>
      <c r="F477" s="9"/>
      <c r="G477" s="9"/>
      <c r="H477" s="9"/>
      <c r="I477" s="9"/>
      <c r="J477" s="16"/>
      <c r="K477" s="9"/>
      <c r="L477" s="9"/>
      <c r="M477" s="17" t="str">
        <f>IF(L477="","",IFERROR(INDEX(tbl_fatores_emissao[Valor],MATCH(L477,tbl_fatores_emissao[ID_FE],0)),""))</f>
        <v/>
      </c>
      <c r="N477" s="17" t="str">
        <f t="shared" si="31"/>
        <v/>
      </c>
      <c r="O477" s="9"/>
      <c r="P477" s="9"/>
      <c r="Q477" s="9"/>
    </row>
    <row r="478" spans="1:17" ht="18" customHeight="1" x14ac:dyDescent="0.3">
      <c r="A478" s="13" t="str">
        <f t="shared" si="28"/>
        <v/>
      </c>
      <c r="B478" s="14"/>
      <c r="C478" s="15" t="str">
        <f t="shared" si="29"/>
        <v/>
      </c>
      <c r="D478" s="13" t="str">
        <f t="shared" si="30"/>
        <v/>
      </c>
      <c r="E478" s="9"/>
      <c r="F478" s="9"/>
      <c r="G478" s="9"/>
      <c r="H478" s="9"/>
      <c r="I478" s="9"/>
      <c r="J478" s="16"/>
      <c r="K478" s="9"/>
      <c r="L478" s="9"/>
      <c r="M478" s="17" t="str">
        <f>IF(L478="","",IFERROR(INDEX(tbl_fatores_emissao[Valor],MATCH(L478,tbl_fatores_emissao[ID_FE],0)),""))</f>
        <v/>
      </c>
      <c r="N478" s="17" t="str">
        <f t="shared" si="31"/>
        <v/>
      </c>
      <c r="O478" s="9"/>
      <c r="P478" s="9"/>
      <c r="Q478" s="9"/>
    </row>
    <row r="479" spans="1:17" ht="18" customHeight="1" x14ac:dyDescent="0.3">
      <c r="A479" s="13" t="str">
        <f t="shared" si="28"/>
        <v/>
      </c>
      <c r="B479" s="14"/>
      <c r="C479" s="15" t="str">
        <f t="shared" si="29"/>
        <v/>
      </c>
      <c r="D479" s="13" t="str">
        <f t="shared" si="30"/>
        <v/>
      </c>
      <c r="E479" s="9"/>
      <c r="F479" s="9"/>
      <c r="G479" s="9"/>
      <c r="H479" s="9"/>
      <c r="I479" s="9"/>
      <c r="J479" s="16"/>
      <c r="K479" s="9"/>
      <c r="L479" s="9"/>
      <c r="M479" s="17" t="str">
        <f>IF(L479="","",IFERROR(INDEX(tbl_fatores_emissao[Valor],MATCH(L479,tbl_fatores_emissao[ID_FE],0)),""))</f>
        <v/>
      </c>
      <c r="N479" s="17" t="str">
        <f t="shared" si="31"/>
        <v/>
      </c>
      <c r="O479" s="9"/>
      <c r="P479" s="9"/>
      <c r="Q479" s="9"/>
    </row>
    <row r="480" spans="1:17" ht="18" customHeight="1" x14ac:dyDescent="0.3">
      <c r="A480" s="13" t="str">
        <f t="shared" si="28"/>
        <v/>
      </c>
      <c r="B480" s="14"/>
      <c r="C480" s="15" t="str">
        <f t="shared" si="29"/>
        <v/>
      </c>
      <c r="D480" s="13" t="str">
        <f t="shared" si="30"/>
        <v/>
      </c>
      <c r="E480" s="9"/>
      <c r="F480" s="9"/>
      <c r="G480" s="9"/>
      <c r="H480" s="9"/>
      <c r="I480" s="9"/>
      <c r="J480" s="16"/>
      <c r="K480" s="9"/>
      <c r="L480" s="9"/>
      <c r="M480" s="17" t="str">
        <f>IF(L480="","",IFERROR(INDEX(tbl_fatores_emissao[Valor],MATCH(L480,tbl_fatores_emissao[ID_FE],0)),""))</f>
        <v/>
      </c>
      <c r="N480" s="17" t="str">
        <f t="shared" si="31"/>
        <v/>
      </c>
      <c r="O480" s="9"/>
      <c r="P480" s="9"/>
      <c r="Q480" s="9"/>
    </row>
    <row r="481" spans="1:17" ht="18" customHeight="1" x14ac:dyDescent="0.3">
      <c r="A481" s="13" t="str">
        <f t="shared" si="28"/>
        <v/>
      </c>
      <c r="B481" s="14"/>
      <c r="C481" s="15" t="str">
        <f t="shared" si="29"/>
        <v/>
      </c>
      <c r="D481" s="13" t="str">
        <f t="shared" si="30"/>
        <v/>
      </c>
      <c r="E481" s="9"/>
      <c r="F481" s="9"/>
      <c r="G481" s="9"/>
      <c r="H481" s="9"/>
      <c r="I481" s="9"/>
      <c r="J481" s="16"/>
      <c r="K481" s="9"/>
      <c r="L481" s="9"/>
      <c r="M481" s="17" t="str">
        <f>IF(L481="","",IFERROR(INDEX(tbl_fatores_emissao[Valor],MATCH(L481,tbl_fatores_emissao[ID_FE],0)),""))</f>
        <v/>
      </c>
      <c r="N481" s="17" t="str">
        <f t="shared" si="31"/>
        <v/>
      </c>
      <c r="O481" s="9"/>
      <c r="P481" s="9"/>
      <c r="Q481" s="9"/>
    </row>
    <row r="482" spans="1:17" ht="18" customHeight="1" x14ac:dyDescent="0.3">
      <c r="A482" s="13" t="str">
        <f t="shared" si="28"/>
        <v/>
      </c>
      <c r="B482" s="14"/>
      <c r="C482" s="15" t="str">
        <f t="shared" si="29"/>
        <v/>
      </c>
      <c r="D482" s="13" t="str">
        <f t="shared" si="30"/>
        <v/>
      </c>
      <c r="E482" s="9"/>
      <c r="F482" s="9"/>
      <c r="G482" s="9"/>
      <c r="H482" s="9"/>
      <c r="I482" s="9"/>
      <c r="J482" s="16"/>
      <c r="K482" s="9"/>
      <c r="L482" s="9"/>
      <c r="M482" s="17" t="str">
        <f>IF(L482="","",IFERROR(INDEX(tbl_fatores_emissao[Valor],MATCH(L482,tbl_fatores_emissao[ID_FE],0)),""))</f>
        <v/>
      </c>
      <c r="N482" s="17" t="str">
        <f t="shared" si="31"/>
        <v/>
      </c>
      <c r="O482" s="9"/>
      <c r="P482" s="9"/>
      <c r="Q482" s="9"/>
    </row>
    <row r="483" spans="1:17" ht="18" customHeight="1" x14ac:dyDescent="0.3">
      <c r="A483" s="13" t="str">
        <f t="shared" si="28"/>
        <v/>
      </c>
      <c r="B483" s="14"/>
      <c r="C483" s="15" t="str">
        <f t="shared" si="29"/>
        <v/>
      </c>
      <c r="D483" s="13" t="str">
        <f t="shared" si="30"/>
        <v/>
      </c>
      <c r="E483" s="9"/>
      <c r="F483" s="9"/>
      <c r="G483" s="9"/>
      <c r="H483" s="9"/>
      <c r="I483" s="9"/>
      <c r="J483" s="16"/>
      <c r="K483" s="9"/>
      <c r="L483" s="9"/>
      <c r="M483" s="17" t="str">
        <f>IF(L483="","",IFERROR(INDEX(tbl_fatores_emissao[Valor],MATCH(L483,tbl_fatores_emissao[ID_FE],0)),""))</f>
        <v/>
      </c>
      <c r="N483" s="17" t="str">
        <f t="shared" si="31"/>
        <v/>
      </c>
      <c r="O483" s="9"/>
      <c r="P483" s="9"/>
      <c r="Q483" s="9"/>
    </row>
    <row r="484" spans="1:17" ht="18" customHeight="1" x14ac:dyDescent="0.3">
      <c r="A484" s="13" t="str">
        <f t="shared" si="28"/>
        <v/>
      </c>
      <c r="B484" s="14"/>
      <c r="C484" s="15" t="str">
        <f t="shared" si="29"/>
        <v/>
      </c>
      <c r="D484" s="13" t="str">
        <f t="shared" si="30"/>
        <v/>
      </c>
      <c r="E484" s="9"/>
      <c r="F484" s="9"/>
      <c r="G484" s="9"/>
      <c r="H484" s="9"/>
      <c r="I484" s="9"/>
      <c r="J484" s="16"/>
      <c r="K484" s="9"/>
      <c r="L484" s="9"/>
      <c r="M484" s="17" t="str">
        <f>IF(L484="","",IFERROR(INDEX(tbl_fatores_emissao[Valor],MATCH(L484,tbl_fatores_emissao[ID_FE],0)),""))</f>
        <v/>
      </c>
      <c r="N484" s="17" t="str">
        <f t="shared" si="31"/>
        <v/>
      </c>
      <c r="O484" s="9"/>
      <c r="P484" s="9"/>
      <c r="Q484" s="9"/>
    </row>
    <row r="485" spans="1:17" ht="18" customHeight="1" x14ac:dyDescent="0.3">
      <c r="A485" s="13" t="str">
        <f t="shared" si="28"/>
        <v/>
      </c>
      <c r="B485" s="14"/>
      <c r="C485" s="15" t="str">
        <f t="shared" si="29"/>
        <v/>
      </c>
      <c r="D485" s="13" t="str">
        <f t="shared" si="30"/>
        <v/>
      </c>
      <c r="E485" s="9"/>
      <c r="F485" s="9"/>
      <c r="G485" s="9"/>
      <c r="H485" s="9"/>
      <c r="I485" s="9"/>
      <c r="J485" s="16"/>
      <c r="K485" s="9"/>
      <c r="L485" s="9"/>
      <c r="M485" s="17" t="str">
        <f>IF(L485="","",IFERROR(INDEX(tbl_fatores_emissao[Valor],MATCH(L485,tbl_fatores_emissao[ID_FE],0)),""))</f>
        <v/>
      </c>
      <c r="N485" s="17" t="str">
        <f t="shared" si="31"/>
        <v/>
      </c>
      <c r="O485" s="9"/>
      <c r="P485" s="9"/>
      <c r="Q485" s="9"/>
    </row>
    <row r="486" spans="1:17" ht="18" customHeight="1" x14ac:dyDescent="0.3">
      <c r="A486" s="13" t="str">
        <f t="shared" si="28"/>
        <v/>
      </c>
      <c r="B486" s="14"/>
      <c r="C486" s="15" t="str">
        <f t="shared" si="29"/>
        <v/>
      </c>
      <c r="D486" s="13" t="str">
        <f t="shared" si="30"/>
        <v/>
      </c>
      <c r="E486" s="9"/>
      <c r="F486" s="9"/>
      <c r="G486" s="9"/>
      <c r="H486" s="9"/>
      <c r="I486" s="9"/>
      <c r="J486" s="16"/>
      <c r="K486" s="9"/>
      <c r="L486" s="9"/>
      <c r="M486" s="17" t="str">
        <f>IF(L486="","",IFERROR(INDEX(tbl_fatores_emissao[Valor],MATCH(L486,tbl_fatores_emissao[ID_FE],0)),""))</f>
        <v/>
      </c>
      <c r="N486" s="17" t="str">
        <f t="shared" si="31"/>
        <v/>
      </c>
      <c r="O486" s="9"/>
      <c r="P486" s="9"/>
      <c r="Q486" s="9"/>
    </row>
    <row r="487" spans="1:17" ht="18" customHeight="1" x14ac:dyDescent="0.3">
      <c r="A487" s="13" t="str">
        <f t="shared" si="28"/>
        <v/>
      </c>
      <c r="B487" s="14"/>
      <c r="C487" s="15" t="str">
        <f t="shared" si="29"/>
        <v/>
      </c>
      <c r="D487" s="13" t="str">
        <f t="shared" si="30"/>
        <v/>
      </c>
      <c r="E487" s="9"/>
      <c r="F487" s="9"/>
      <c r="G487" s="9"/>
      <c r="H487" s="9"/>
      <c r="I487" s="9"/>
      <c r="J487" s="16"/>
      <c r="K487" s="9"/>
      <c r="L487" s="9"/>
      <c r="M487" s="17" t="str">
        <f>IF(L487="","",IFERROR(INDEX(tbl_fatores_emissao[Valor],MATCH(L487,tbl_fatores_emissao[ID_FE],0)),""))</f>
        <v/>
      </c>
      <c r="N487" s="17" t="str">
        <f t="shared" si="31"/>
        <v/>
      </c>
      <c r="O487" s="9"/>
      <c r="P487" s="9"/>
      <c r="Q487" s="9"/>
    </row>
    <row r="488" spans="1:17" ht="18" customHeight="1" x14ac:dyDescent="0.3">
      <c r="A488" s="13" t="str">
        <f t="shared" si="28"/>
        <v/>
      </c>
      <c r="B488" s="14"/>
      <c r="C488" s="15" t="str">
        <f t="shared" si="29"/>
        <v/>
      </c>
      <c r="D488" s="13" t="str">
        <f t="shared" si="30"/>
        <v/>
      </c>
      <c r="E488" s="9"/>
      <c r="F488" s="9"/>
      <c r="G488" s="9"/>
      <c r="H488" s="9"/>
      <c r="I488" s="9"/>
      <c r="J488" s="16"/>
      <c r="K488" s="9"/>
      <c r="L488" s="9"/>
      <c r="M488" s="17" t="str">
        <f>IF(L488="","",IFERROR(INDEX(tbl_fatores_emissao[Valor],MATCH(L488,tbl_fatores_emissao[ID_FE],0)),""))</f>
        <v/>
      </c>
      <c r="N488" s="17" t="str">
        <f t="shared" si="31"/>
        <v/>
      </c>
      <c r="O488" s="9"/>
      <c r="P488" s="9"/>
      <c r="Q488" s="9"/>
    </row>
    <row r="489" spans="1:17" ht="18" customHeight="1" x14ac:dyDescent="0.3">
      <c r="A489" s="13" t="str">
        <f t="shared" si="28"/>
        <v/>
      </c>
      <c r="B489" s="14"/>
      <c r="C489" s="15" t="str">
        <f t="shared" si="29"/>
        <v/>
      </c>
      <c r="D489" s="13" t="str">
        <f t="shared" si="30"/>
        <v/>
      </c>
      <c r="E489" s="9"/>
      <c r="F489" s="9"/>
      <c r="G489" s="9"/>
      <c r="H489" s="9"/>
      <c r="I489" s="9"/>
      <c r="J489" s="16"/>
      <c r="K489" s="9"/>
      <c r="L489" s="9"/>
      <c r="M489" s="17" t="str">
        <f>IF(L489="","",IFERROR(INDEX(tbl_fatores_emissao[Valor],MATCH(L489,tbl_fatores_emissao[ID_FE],0)),""))</f>
        <v/>
      </c>
      <c r="N489" s="17" t="str">
        <f t="shared" si="31"/>
        <v/>
      </c>
      <c r="O489" s="9"/>
      <c r="P489" s="9"/>
      <c r="Q489" s="9"/>
    </row>
    <row r="490" spans="1:17" ht="18" customHeight="1" x14ac:dyDescent="0.3">
      <c r="A490" s="13" t="str">
        <f t="shared" si="28"/>
        <v/>
      </c>
      <c r="B490" s="14"/>
      <c r="C490" s="15" t="str">
        <f t="shared" si="29"/>
        <v/>
      </c>
      <c r="D490" s="13" t="str">
        <f t="shared" si="30"/>
        <v/>
      </c>
      <c r="E490" s="9"/>
      <c r="F490" s="9"/>
      <c r="G490" s="9"/>
      <c r="H490" s="9"/>
      <c r="I490" s="9"/>
      <c r="J490" s="16"/>
      <c r="K490" s="9"/>
      <c r="L490" s="9"/>
      <c r="M490" s="17" t="str">
        <f>IF(L490="","",IFERROR(INDEX(tbl_fatores_emissao[Valor],MATCH(L490,tbl_fatores_emissao[ID_FE],0)),""))</f>
        <v/>
      </c>
      <c r="N490" s="17" t="str">
        <f t="shared" si="31"/>
        <v/>
      </c>
      <c r="O490" s="9"/>
      <c r="P490" s="9"/>
      <c r="Q490" s="9"/>
    </row>
    <row r="491" spans="1:17" ht="18" customHeight="1" x14ac:dyDescent="0.3">
      <c r="A491" s="13" t="str">
        <f t="shared" si="28"/>
        <v/>
      </c>
      <c r="B491" s="14"/>
      <c r="C491" s="15" t="str">
        <f t="shared" si="29"/>
        <v/>
      </c>
      <c r="D491" s="13" t="str">
        <f t="shared" si="30"/>
        <v/>
      </c>
      <c r="E491" s="9"/>
      <c r="F491" s="9"/>
      <c r="G491" s="9"/>
      <c r="H491" s="9"/>
      <c r="I491" s="9"/>
      <c r="J491" s="16"/>
      <c r="K491" s="9"/>
      <c r="L491" s="9"/>
      <c r="M491" s="17" t="str">
        <f>IF(L491="","",IFERROR(INDEX(tbl_fatores_emissao[Valor],MATCH(L491,tbl_fatores_emissao[ID_FE],0)),""))</f>
        <v/>
      </c>
      <c r="N491" s="17" t="str">
        <f t="shared" si="31"/>
        <v/>
      </c>
      <c r="O491" s="9"/>
      <c r="P491" s="9"/>
      <c r="Q491" s="9"/>
    </row>
    <row r="492" spans="1:17" ht="18" customHeight="1" x14ac:dyDescent="0.3">
      <c r="A492" s="13" t="str">
        <f t="shared" si="28"/>
        <v/>
      </c>
      <c r="B492" s="14"/>
      <c r="C492" s="15" t="str">
        <f t="shared" si="29"/>
        <v/>
      </c>
      <c r="D492" s="13" t="str">
        <f t="shared" si="30"/>
        <v/>
      </c>
      <c r="E492" s="9"/>
      <c r="F492" s="9"/>
      <c r="G492" s="9"/>
      <c r="H492" s="9"/>
      <c r="I492" s="9"/>
      <c r="J492" s="16"/>
      <c r="K492" s="9"/>
      <c r="L492" s="9"/>
      <c r="M492" s="17" t="str">
        <f>IF(L492="","",IFERROR(INDEX(tbl_fatores_emissao[Valor],MATCH(L492,tbl_fatores_emissao[ID_FE],0)),""))</f>
        <v/>
      </c>
      <c r="N492" s="17" t="str">
        <f t="shared" si="31"/>
        <v/>
      </c>
      <c r="O492" s="9"/>
      <c r="P492" s="9"/>
      <c r="Q492" s="9"/>
    </row>
    <row r="493" spans="1:17" ht="18" customHeight="1" x14ac:dyDescent="0.3">
      <c r="A493" s="13" t="str">
        <f t="shared" si="28"/>
        <v/>
      </c>
      <c r="B493" s="14"/>
      <c r="C493" s="15" t="str">
        <f t="shared" si="29"/>
        <v/>
      </c>
      <c r="D493" s="13" t="str">
        <f t="shared" si="30"/>
        <v/>
      </c>
      <c r="E493" s="9"/>
      <c r="F493" s="9"/>
      <c r="G493" s="9"/>
      <c r="H493" s="9"/>
      <c r="I493" s="9"/>
      <c r="J493" s="16"/>
      <c r="K493" s="9"/>
      <c r="L493" s="9"/>
      <c r="M493" s="17" t="str">
        <f>IF(L493="","",IFERROR(INDEX(tbl_fatores_emissao[Valor],MATCH(L493,tbl_fatores_emissao[ID_FE],0)),""))</f>
        <v/>
      </c>
      <c r="N493" s="17" t="str">
        <f t="shared" si="31"/>
        <v/>
      </c>
      <c r="O493" s="9"/>
      <c r="P493" s="9"/>
      <c r="Q493" s="9"/>
    </row>
    <row r="494" spans="1:17" ht="18" customHeight="1" x14ac:dyDescent="0.3">
      <c r="A494" s="13" t="str">
        <f t="shared" si="28"/>
        <v/>
      </c>
      <c r="B494" s="14"/>
      <c r="C494" s="15" t="str">
        <f t="shared" si="29"/>
        <v/>
      </c>
      <c r="D494" s="13" t="str">
        <f t="shared" si="30"/>
        <v/>
      </c>
      <c r="E494" s="9"/>
      <c r="F494" s="9"/>
      <c r="G494" s="9"/>
      <c r="H494" s="9"/>
      <c r="I494" s="9"/>
      <c r="J494" s="16"/>
      <c r="K494" s="9"/>
      <c r="L494" s="9"/>
      <c r="M494" s="17" t="str">
        <f>IF(L494="","",IFERROR(INDEX(tbl_fatores_emissao[Valor],MATCH(L494,tbl_fatores_emissao[ID_FE],0)),""))</f>
        <v/>
      </c>
      <c r="N494" s="17" t="str">
        <f t="shared" si="31"/>
        <v/>
      </c>
      <c r="O494" s="9"/>
      <c r="P494" s="9"/>
      <c r="Q494" s="9"/>
    </row>
    <row r="495" spans="1:17" ht="18" customHeight="1" x14ac:dyDescent="0.3">
      <c r="A495" s="13" t="str">
        <f t="shared" si="28"/>
        <v/>
      </c>
      <c r="B495" s="14"/>
      <c r="C495" s="15" t="str">
        <f t="shared" si="29"/>
        <v/>
      </c>
      <c r="D495" s="13" t="str">
        <f t="shared" si="30"/>
        <v/>
      </c>
      <c r="E495" s="9"/>
      <c r="F495" s="9"/>
      <c r="G495" s="9"/>
      <c r="H495" s="9"/>
      <c r="I495" s="9"/>
      <c r="J495" s="16"/>
      <c r="K495" s="9"/>
      <c r="L495" s="9"/>
      <c r="M495" s="17" t="str">
        <f>IF(L495="","",IFERROR(INDEX(tbl_fatores_emissao[Valor],MATCH(L495,tbl_fatores_emissao[ID_FE],0)),""))</f>
        <v/>
      </c>
      <c r="N495" s="17" t="str">
        <f t="shared" si="31"/>
        <v/>
      </c>
      <c r="O495" s="9"/>
      <c r="P495" s="9"/>
      <c r="Q495" s="9"/>
    </row>
    <row r="496" spans="1:17" ht="18" customHeight="1" x14ac:dyDescent="0.3">
      <c r="A496" s="13" t="str">
        <f t="shared" si="28"/>
        <v/>
      </c>
      <c r="B496" s="14"/>
      <c r="C496" s="15" t="str">
        <f t="shared" si="29"/>
        <v/>
      </c>
      <c r="D496" s="13" t="str">
        <f t="shared" si="30"/>
        <v/>
      </c>
      <c r="E496" s="9"/>
      <c r="F496" s="9"/>
      <c r="G496" s="9"/>
      <c r="H496" s="9"/>
      <c r="I496" s="9"/>
      <c r="J496" s="16"/>
      <c r="K496" s="9"/>
      <c r="L496" s="9"/>
      <c r="M496" s="17" t="str">
        <f>IF(L496="","",IFERROR(INDEX(tbl_fatores_emissao[Valor],MATCH(L496,tbl_fatores_emissao[ID_FE],0)),""))</f>
        <v/>
      </c>
      <c r="N496" s="17" t="str">
        <f t="shared" si="31"/>
        <v/>
      </c>
      <c r="O496" s="9"/>
      <c r="P496" s="9"/>
      <c r="Q496" s="9"/>
    </row>
    <row r="497" spans="1:17" ht="18" customHeight="1" x14ac:dyDescent="0.3">
      <c r="A497" s="13" t="str">
        <f t="shared" si="28"/>
        <v/>
      </c>
      <c r="B497" s="14"/>
      <c r="C497" s="15" t="str">
        <f t="shared" si="29"/>
        <v/>
      </c>
      <c r="D497" s="13" t="str">
        <f t="shared" si="30"/>
        <v/>
      </c>
      <c r="E497" s="9"/>
      <c r="F497" s="9"/>
      <c r="G497" s="9"/>
      <c r="H497" s="9"/>
      <c r="I497" s="9"/>
      <c r="J497" s="16"/>
      <c r="K497" s="9"/>
      <c r="L497" s="9"/>
      <c r="M497" s="17" t="str">
        <f>IF(L497="","",IFERROR(INDEX(tbl_fatores_emissao[Valor],MATCH(L497,tbl_fatores_emissao[ID_FE],0)),""))</f>
        <v/>
      </c>
      <c r="N497" s="17" t="str">
        <f t="shared" si="31"/>
        <v/>
      </c>
      <c r="O497" s="9"/>
      <c r="P497" s="9"/>
      <c r="Q497" s="9"/>
    </row>
    <row r="498" spans="1:17" ht="18" customHeight="1" x14ac:dyDescent="0.3">
      <c r="A498" s="13" t="str">
        <f t="shared" si="28"/>
        <v/>
      </c>
      <c r="B498" s="14"/>
      <c r="C498" s="15" t="str">
        <f t="shared" si="29"/>
        <v/>
      </c>
      <c r="D498" s="13" t="str">
        <f t="shared" si="30"/>
        <v/>
      </c>
      <c r="E498" s="9"/>
      <c r="F498" s="9"/>
      <c r="G498" s="9"/>
      <c r="H498" s="9"/>
      <c r="I498" s="9"/>
      <c r="J498" s="16"/>
      <c r="K498" s="9"/>
      <c r="L498" s="9"/>
      <c r="M498" s="17" t="str">
        <f>IF(L498="","",IFERROR(INDEX(tbl_fatores_emissao[Valor],MATCH(L498,tbl_fatores_emissao[ID_FE],0)),""))</f>
        <v/>
      </c>
      <c r="N498" s="17" t="str">
        <f t="shared" si="31"/>
        <v/>
      </c>
      <c r="O498" s="9"/>
      <c r="P498" s="9"/>
      <c r="Q498" s="9"/>
    </row>
    <row r="499" spans="1:17" ht="18" customHeight="1" x14ac:dyDescent="0.3">
      <c r="A499" s="13" t="str">
        <f t="shared" si="28"/>
        <v/>
      </c>
      <c r="B499" s="14"/>
      <c r="C499" s="15" t="str">
        <f t="shared" si="29"/>
        <v/>
      </c>
      <c r="D499" s="13" t="str">
        <f t="shared" si="30"/>
        <v/>
      </c>
      <c r="E499" s="9"/>
      <c r="F499" s="9"/>
      <c r="G499" s="9"/>
      <c r="H499" s="9"/>
      <c r="I499" s="9"/>
      <c r="J499" s="16"/>
      <c r="K499" s="9"/>
      <c r="L499" s="9"/>
      <c r="M499" s="17" t="str">
        <f>IF(L499="","",IFERROR(INDEX(tbl_fatores_emissao[Valor],MATCH(L499,tbl_fatores_emissao[ID_FE],0)),""))</f>
        <v/>
      </c>
      <c r="N499" s="17" t="str">
        <f t="shared" si="31"/>
        <v/>
      </c>
      <c r="O499" s="9"/>
      <c r="P499" s="9"/>
      <c r="Q499" s="9"/>
    </row>
    <row r="500" spans="1:17" ht="18" customHeight="1" x14ac:dyDescent="0.3">
      <c r="A500" s="13" t="str">
        <f t="shared" si="28"/>
        <v/>
      </c>
      <c r="B500" s="14"/>
      <c r="C500" s="15" t="str">
        <f t="shared" si="29"/>
        <v/>
      </c>
      <c r="D500" s="13" t="str">
        <f t="shared" si="30"/>
        <v/>
      </c>
      <c r="E500" s="9"/>
      <c r="F500" s="9"/>
      <c r="G500" s="9"/>
      <c r="H500" s="9"/>
      <c r="I500" s="9"/>
      <c r="J500" s="16"/>
      <c r="K500" s="9"/>
      <c r="L500" s="9"/>
      <c r="M500" s="17" t="str">
        <f>IF(L500="","",IFERROR(INDEX(tbl_fatores_emissao[Valor],MATCH(L500,tbl_fatores_emissao[ID_FE],0)),""))</f>
        <v/>
      </c>
      <c r="N500" s="17" t="str">
        <f t="shared" si="31"/>
        <v/>
      </c>
      <c r="O500" s="9"/>
      <c r="P500" s="9"/>
      <c r="Q500" s="9"/>
    </row>
    <row r="501" spans="1:17" ht="18" customHeight="1" x14ac:dyDescent="0.3">
      <c r="A501" s="13" t="str">
        <f t="shared" si="28"/>
        <v/>
      </c>
      <c r="B501" s="14"/>
      <c r="C501" s="15" t="str">
        <f t="shared" si="29"/>
        <v/>
      </c>
      <c r="D501" s="13" t="str">
        <f t="shared" si="30"/>
        <v/>
      </c>
      <c r="E501" s="9"/>
      <c r="F501" s="9"/>
      <c r="G501" s="9"/>
      <c r="H501" s="9"/>
      <c r="I501" s="9"/>
      <c r="J501" s="16"/>
      <c r="K501" s="9"/>
      <c r="L501" s="9"/>
      <c r="M501" s="17" t="str">
        <f>IF(L501="","",IFERROR(INDEX(tbl_fatores_emissao[Valor],MATCH(L501,tbl_fatores_emissao[ID_FE],0)),""))</f>
        <v/>
      </c>
      <c r="N501" s="17" t="str">
        <f t="shared" si="31"/>
        <v/>
      </c>
      <c r="O501" s="9"/>
      <c r="P501" s="9"/>
      <c r="Q501" s="9"/>
    </row>
    <row r="502" spans="1:17" ht="18" customHeight="1" x14ac:dyDescent="0.3">
      <c r="A502" s="13" t="str">
        <f t="shared" si="28"/>
        <v/>
      </c>
      <c r="B502" s="14"/>
      <c r="C502" s="15" t="str">
        <f t="shared" si="29"/>
        <v/>
      </c>
      <c r="D502" s="13" t="str">
        <f t="shared" si="30"/>
        <v/>
      </c>
      <c r="E502" s="9"/>
      <c r="F502" s="9"/>
      <c r="G502" s="9"/>
      <c r="H502" s="9"/>
      <c r="I502" s="9"/>
      <c r="J502" s="16"/>
      <c r="K502" s="9"/>
      <c r="L502" s="9"/>
      <c r="M502" s="17" t="str">
        <f>IF(L502="","",IFERROR(INDEX(tbl_fatores_emissao[Valor],MATCH(L502,tbl_fatores_emissao[ID_FE],0)),""))</f>
        <v/>
      </c>
      <c r="N502" s="17" t="str">
        <f t="shared" si="31"/>
        <v/>
      </c>
      <c r="O502" s="9"/>
      <c r="P502" s="9"/>
      <c r="Q502" s="9"/>
    </row>
    <row r="503" spans="1:17" ht="18" customHeight="1" x14ac:dyDescent="0.3">
      <c r="A503" s="13" t="str">
        <f t="shared" si="28"/>
        <v/>
      </c>
      <c r="B503" s="14"/>
      <c r="C503" s="15" t="str">
        <f t="shared" si="29"/>
        <v/>
      </c>
      <c r="D503" s="13" t="str">
        <f t="shared" si="30"/>
        <v/>
      </c>
      <c r="E503" s="9"/>
      <c r="F503" s="9"/>
      <c r="G503" s="9"/>
      <c r="H503" s="9"/>
      <c r="I503" s="9"/>
      <c r="J503" s="16"/>
      <c r="K503" s="9"/>
      <c r="L503" s="9"/>
      <c r="M503" s="17" t="str">
        <f>IF(L503="","",IFERROR(INDEX(tbl_fatores_emissao[Valor],MATCH(L503,tbl_fatores_emissao[ID_FE],0)),""))</f>
        <v/>
      </c>
      <c r="N503" s="17" t="str">
        <f t="shared" si="31"/>
        <v/>
      </c>
      <c r="O503" s="9"/>
      <c r="P503" s="9"/>
      <c r="Q503" s="9"/>
    </row>
    <row r="504" spans="1:17" ht="18" customHeight="1" x14ac:dyDescent="0.3">
      <c r="A504" s="13" t="str">
        <f t="shared" si="28"/>
        <v/>
      </c>
      <c r="B504" s="14"/>
      <c r="C504" s="15" t="str">
        <f t="shared" si="29"/>
        <v/>
      </c>
      <c r="D504" s="13" t="str">
        <f t="shared" si="30"/>
        <v/>
      </c>
      <c r="E504" s="9"/>
      <c r="F504" s="9"/>
      <c r="G504" s="9"/>
      <c r="H504" s="9"/>
      <c r="I504" s="9"/>
      <c r="J504" s="16"/>
      <c r="K504" s="9"/>
      <c r="L504" s="9"/>
      <c r="M504" s="17" t="str">
        <f>IF(L504="","",IFERROR(INDEX(tbl_fatores_emissao[Valor],MATCH(L504,tbl_fatores_emissao[ID_FE],0)),""))</f>
        <v/>
      </c>
      <c r="N504" s="17" t="str">
        <f t="shared" si="31"/>
        <v/>
      </c>
      <c r="O504" s="9"/>
      <c r="P504" s="9"/>
      <c r="Q504" s="9"/>
    </row>
    <row r="505" spans="1:17" ht="18" customHeight="1" x14ac:dyDescent="0.3">
      <c r="A505" s="13" t="str">
        <f t="shared" si="28"/>
        <v/>
      </c>
      <c r="B505" s="14"/>
      <c r="C505" s="15" t="str">
        <f t="shared" si="29"/>
        <v/>
      </c>
      <c r="D505" s="13" t="str">
        <f t="shared" si="30"/>
        <v/>
      </c>
      <c r="E505" s="9"/>
      <c r="F505" s="9"/>
      <c r="G505" s="9"/>
      <c r="H505" s="9"/>
      <c r="I505" s="9"/>
      <c r="J505" s="16"/>
      <c r="K505" s="9"/>
      <c r="L505" s="9"/>
      <c r="M505" s="17" t="str">
        <f>IF(L505="","",IFERROR(INDEX(tbl_fatores_emissao[Valor],MATCH(L505,tbl_fatores_emissao[ID_FE],0)),""))</f>
        <v/>
      </c>
      <c r="N505" s="17" t="str">
        <f t="shared" si="31"/>
        <v/>
      </c>
      <c r="O505" s="9"/>
      <c r="P505" s="9"/>
      <c r="Q505" s="9"/>
    </row>
    <row r="506" spans="1:17" ht="18" customHeight="1" x14ac:dyDescent="0.3">
      <c r="A506" s="13" t="str">
        <f t="shared" si="28"/>
        <v/>
      </c>
      <c r="B506" s="14"/>
      <c r="C506" s="15" t="str">
        <f t="shared" si="29"/>
        <v/>
      </c>
      <c r="D506" s="13" t="str">
        <f t="shared" si="30"/>
        <v/>
      </c>
      <c r="E506" s="9"/>
      <c r="F506" s="9"/>
      <c r="G506" s="9"/>
      <c r="H506" s="9"/>
      <c r="I506" s="9"/>
      <c r="J506" s="16"/>
      <c r="K506" s="9"/>
      <c r="L506" s="9"/>
      <c r="M506" s="17" t="str">
        <f>IF(L506="","",IFERROR(INDEX(tbl_fatores_emissao[Valor],MATCH(L506,tbl_fatores_emissao[ID_FE],0)),""))</f>
        <v/>
      </c>
      <c r="N506" s="17" t="str">
        <f t="shared" si="31"/>
        <v/>
      </c>
      <c r="O506" s="9"/>
      <c r="P506" s="9"/>
      <c r="Q506" s="9"/>
    </row>
    <row r="507" spans="1:17" ht="18" customHeight="1" x14ac:dyDescent="0.3">
      <c r="A507" s="13" t="str">
        <f t="shared" si="28"/>
        <v/>
      </c>
      <c r="B507" s="14"/>
      <c r="C507" s="15" t="str">
        <f t="shared" si="29"/>
        <v/>
      </c>
      <c r="D507" s="13" t="str">
        <f t="shared" si="30"/>
        <v/>
      </c>
      <c r="E507" s="9"/>
      <c r="F507" s="9"/>
      <c r="G507" s="9"/>
      <c r="H507" s="9"/>
      <c r="I507" s="9"/>
      <c r="J507" s="16"/>
      <c r="K507" s="9"/>
      <c r="L507" s="9"/>
      <c r="M507" s="17" t="str">
        <f>IF(L507="","",IFERROR(INDEX(tbl_fatores_emissao[Valor],MATCH(L507,tbl_fatores_emissao[ID_FE],0)),""))</f>
        <v/>
      </c>
      <c r="N507" s="17" t="str">
        <f t="shared" si="31"/>
        <v/>
      </c>
      <c r="O507" s="9"/>
      <c r="P507" s="9"/>
      <c r="Q507" s="9"/>
    </row>
    <row r="508" spans="1:17" ht="18" customHeight="1" x14ac:dyDescent="0.3">
      <c r="A508" s="13" t="str">
        <f t="shared" si="28"/>
        <v/>
      </c>
      <c r="B508" s="14"/>
      <c r="C508" s="15" t="str">
        <f t="shared" si="29"/>
        <v/>
      </c>
      <c r="D508" s="13" t="str">
        <f t="shared" si="30"/>
        <v/>
      </c>
      <c r="E508" s="9"/>
      <c r="F508" s="9"/>
      <c r="G508" s="9"/>
      <c r="H508" s="9"/>
      <c r="I508" s="9"/>
      <c r="J508" s="16"/>
      <c r="K508" s="9"/>
      <c r="L508" s="9"/>
      <c r="M508" s="17" t="str">
        <f>IF(L508="","",IFERROR(INDEX(tbl_fatores_emissao[Valor],MATCH(L508,tbl_fatores_emissao[ID_FE],0)),""))</f>
        <v/>
      </c>
      <c r="N508" s="17" t="str">
        <f t="shared" si="31"/>
        <v/>
      </c>
      <c r="O508" s="9"/>
      <c r="P508" s="9"/>
      <c r="Q508" s="9"/>
    </row>
    <row r="509" spans="1:17" ht="18" customHeight="1" x14ac:dyDescent="0.3">
      <c r="A509" s="13" t="str">
        <f t="shared" si="28"/>
        <v/>
      </c>
      <c r="B509" s="14"/>
      <c r="C509" s="15" t="str">
        <f t="shared" si="29"/>
        <v/>
      </c>
      <c r="D509" s="13" t="str">
        <f t="shared" si="30"/>
        <v/>
      </c>
      <c r="E509" s="9"/>
      <c r="F509" s="9"/>
      <c r="G509" s="9"/>
      <c r="H509" s="9"/>
      <c r="I509" s="9"/>
      <c r="J509" s="16"/>
      <c r="K509" s="9"/>
      <c r="L509" s="9"/>
      <c r="M509" s="17" t="str">
        <f>IF(L509="","",IFERROR(INDEX(tbl_fatores_emissao[Valor],MATCH(L509,tbl_fatores_emissao[ID_FE],0)),""))</f>
        <v/>
      </c>
      <c r="N509" s="17" t="str">
        <f t="shared" si="31"/>
        <v/>
      </c>
      <c r="O509" s="9"/>
      <c r="P509" s="9"/>
      <c r="Q509" s="9"/>
    </row>
    <row r="510" spans="1:17" ht="18" customHeight="1" x14ac:dyDescent="0.3">
      <c r="A510" s="13" t="str">
        <f t="shared" si="28"/>
        <v/>
      </c>
      <c r="B510" s="14"/>
      <c r="C510" s="15" t="str">
        <f t="shared" si="29"/>
        <v/>
      </c>
      <c r="D510" s="13" t="str">
        <f t="shared" si="30"/>
        <v/>
      </c>
      <c r="E510" s="9"/>
      <c r="F510" s="9"/>
      <c r="G510" s="9"/>
      <c r="H510" s="9"/>
      <c r="I510" s="9"/>
      <c r="J510" s="16"/>
      <c r="K510" s="9"/>
      <c r="L510" s="9"/>
      <c r="M510" s="17" t="str">
        <f>IF(L510="","",IFERROR(INDEX(tbl_fatores_emissao[Valor],MATCH(L510,tbl_fatores_emissao[ID_FE],0)),""))</f>
        <v/>
      </c>
      <c r="N510" s="17" t="str">
        <f t="shared" si="31"/>
        <v/>
      </c>
      <c r="O510" s="9"/>
      <c r="P510" s="9"/>
      <c r="Q510" s="9"/>
    </row>
    <row r="511" spans="1:17" ht="18" customHeight="1" x14ac:dyDescent="0.3">
      <c r="A511" s="13" t="str">
        <f t="shared" si="28"/>
        <v/>
      </c>
      <c r="B511" s="14"/>
      <c r="C511" s="15" t="str">
        <f t="shared" si="29"/>
        <v/>
      </c>
      <c r="D511" s="13" t="str">
        <f t="shared" si="30"/>
        <v/>
      </c>
      <c r="E511" s="9"/>
      <c r="F511" s="9"/>
      <c r="G511" s="9"/>
      <c r="H511" s="9"/>
      <c r="I511" s="9"/>
      <c r="J511" s="16"/>
      <c r="K511" s="9"/>
      <c r="L511" s="9"/>
      <c r="M511" s="17" t="str">
        <f>IF(L511="","",IFERROR(INDEX(tbl_fatores_emissao[Valor],MATCH(L511,tbl_fatores_emissao[ID_FE],0)),""))</f>
        <v/>
      </c>
      <c r="N511" s="17" t="str">
        <f t="shared" si="31"/>
        <v/>
      </c>
      <c r="O511" s="9"/>
      <c r="P511" s="9"/>
      <c r="Q511" s="9"/>
    </row>
    <row r="512" spans="1:17" ht="18" customHeight="1" x14ac:dyDescent="0.3">
      <c r="A512" s="13" t="str">
        <f t="shared" si="28"/>
        <v/>
      </c>
      <c r="B512" s="14"/>
      <c r="C512" s="15" t="str">
        <f t="shared" si="29"/>
        <v/>
      </c>
      <c r="D512" s="13" t="str">
        <f t="shared" si="30"/>
        <v/>
      </c>
      <c r="E512" s="9"/>
      <c r="F512" s="9"/>
      <c r="G512" s="9"/>
      <c r="H512" s="9"/>
      <c r="I512" s="9"/>
      <c r="J512" s="16"/>
      <c r="K512" s="9"/>
      <c r="L512" s="9"/>
      <c r="M512" s="17" t="str">
        <f>IF(L512="","",IFERROR(INDEX(tbl_fatores_emissao[Valor],MATCH(L512,tbl_fatores_emissao[ID_FE],0)),""))</f>
        <v/>
      </c>
      <c r="N512" s="17" t="str">
        <f t="shared" si="31"/>
        <v/>
      </c>
      <c r="O512" s="9"/>
      <c r="P512" s="9"/>
      <c r="Q512" s="9"/>
    </row>
    <row r="513" spans="1:17" ht="18" customHeight="1" x14ac:dyDescent="0.3">
      <c r="A513" s="13" t="str">
        <f t="shared" si="28"/>
        <v/>
      </c>
      <c r="B513" s="14"/>
      <c r="C513" s="15" t="str">
        <f t="shared" si="29"/>
        <v/>
      </c>
      <c r="D513" s="13" t="str">
        <f t="shared" si="30"/>
        <v/>
      </c>
      <c r="E513" s="9"/>
      <c r="F513" s="9"/>
      <c r="G513" s="9"/>
      <c r="H513" s="9"/>
      <c r="I513" s="9"/>
      <c r="J513" s="16"/>
      <c r="K513" s="9"/>
      <c r="L513" s="9"/>
      <c r="M513" s="17" t="str">
        <f>IF(L513="","",IFERROR(INDEX(tbl_fatores_emissao[Valor],MATCH(L513,tbl_fatores_emissao[ID_FE],0)),""))</f>
        <v/>
      </c>
      <c r="N513" s="17" t="str">
        <f t="shared" si="31"/>
        <v/>
      </c>
      <c r="O513" s="9"/>
      <c r="P513" s="9"/>
      <c r="Q513" s="9"/>
    </row>
    <row r="514" spans="1:17" ht="18" customHeight="1" x14ac:dyDescent="0.3">
      <c r="A514" s="13" t="str">
        <f t="shared" si="28"/>
        <v/>
      </c>
      <c r="B514" s="14"/>
      <c r="C514" s="15" t="str">
        <f t="shared" si="29"/>
        <v/>
      </c>
      <c r="D514" s="13" t="str">
        <f t="shared" si="30"/>
        <v/>
      </c>
      <c r="E514" s="9"/>
      <c r="F514" s="9"/>
      <c r="G514" s="9"/>
      <c r="H514" s="9"/>
      <c r="I514" s="9"/>
      <c r="J514" s="16"/>
      <c r="K514" s="9"/>
      <c r="L514" s="9"/>
      <c r="M514" s="17" t="str">
        <f>IF(L514="","",IFERROR(INDEX(tbl_fatores_emissao[Valor],MATCH(L514,tbl_fatores_emissao[ID_FE],0)),""))</f>
        <v/>
      </c>
      <c r="N514" s="17" t="str">
        <f t="shared" si="31"/>
        <v/>
      </c>
      <c r="O514" s="9"/>
      <c r="P514" s="9"/>
      <c r="Q514" s="9"/>
    </row>
    <row r="515" spans="1:17" ht="18" customHeight="1" x14ac:dyDescent="0.3">
      <c r="A515" s="13" t="str">
        <f t="shared" si="28"/>
        <v/>
      </c>
      <c r="B515" s="14"/>
      <c r="C515" s="15" t="str">
        <f t="shared" si="29"/>
        <v/>
      </c>
      <c r="D515" s="13" t="str">
        <f t="shared" si="30"/>
        <v/>
      </c>
      <c r="E515" s="9"/>
      <c r="F515" s="9"/>
      <c r="G515" s="9"/>
      <c r="H515" s="9"/>
      <c r="I515" s="9"/>
      <c r="J515" s="16"/>
      <c r="K515" s="9"/>
      <c r="L515" s="9"/>
      <c r="M515" s="17" t="str">
        <f>IF(L515="","",IFERROR(INDEX(tbl_fatores_emissao[Valor],MATCH(L515,tbl_fatores_emissao[ID_FE],0)),""))</f>
        <v/>
      </c>
      <c r="N515" s="17" t="str">
        <f t="shared" si="31"/>
        <v/>
      </c>
      <c r="O515" s="9"/>
      <c r="P515" s="9"/>
      <c r="Q515" s="9"/>
    </row>
    <row r="516" spans="1:17" ht="18" customHeight="1" x14ac:dyDescent="0.3">
      <c r="A516" s="13" t="str">
        <f t="shared" si="28"/>
        <v/>
      </c>
      <c r="B516" s="14"/>
      <c r="C516" s="15" t="str">
        <f t="shared" si="29"/>
        <v/>
      </c>
      <c r="D516" s="13" t="str">
        <f t="shared" si="30"/>
        <v/>
      </c>
      <c r="E516" s="9"/>
      <c r="F516" s="9"/>
      <c r="G516" s="9"/>
      <c r="H516" s="9"/>
      <c r="I516" s="9"/>
      <c r="J516" s="16"/>
      <c r="K516" s="9"/>
      <c r="L516" s="9"/>
      <c r="M516" s="17" t="str">
        <f>IF(L516="","",IFERROR(INDEX(tbl_fatores_emissao[Valor],MATCH(L516,tbl_fatores_emissao[ID_FE],0)),""))</f>
        <v/>
      </c>
      <c r="N516" s="17" t="str">
        <f t="shared" si="31"/>
        <v/>
      </c>
      <c r="O516" s="9"/>
      <c r="P516" s="9"/>
      <c r="Q516" s="9"/>
    </row>
    <row r="517" spans="1:17" ht="18" customHeight="1" x14ac:dyDescent="0.3">
      <c r="A517" s="13" t="str">
        <f t="shared" ref="A517:A580" si="32">IF(B517="","",(YEAR(B517)*100+MONTH(B517))&amp;"-"&amp;G517)</f>
        <v/>
      </c>
      <c r="B517" s="14"/>
      <c r="C517" s="15" t="str">
        <f t="shared" ref="C517:C580" si="33">IF(B517="","",YEAR(B517))</f>
        <v/>
      </c>
      <c r="D517" s="13" t="str">
        <f t="shared" ref="D517:D580" si="34">IF(B517="","",IF(AND(B517&gt;=DATE(2025,9,1),B517&lt;=DATE(2026,8,1)),"2025/26","Fora"))</f>
        <v/>
      </c>
      <c r="E517" s="9"/>
      <c r="F517" s="9"/>
      <c r="G517" s="9"/>
      <c r="H517" s="9"/>
      <c r="I517" s="9"/>
      <c r="J517" s="16"/>
      <c r="K517" s="9"/>
      <c r="L517" s="9"/>
      <c r="M517" s="17" t="str">
        <f>IF(L517="","",IFERROR(INDEX(tbl_fatores_emissao[Valor],MATCH(L517,tbl_fatores_emissao[ID_FE],0)),""))</f>
        <v/>
      </c>
      <c r="N517" s="17" t="str">
        <f t="shared" ref="N517:N580" si="35">IF(OR(J517="",M517=""),"",ROUND(J517*M517/1000,3))</f>
        <v/>
      </c>
      <c r="O517" s="9"/>
      <c r="P517" s="9"/>
      <c r="Q517" s="9"/>
    </row>
    <row r="518" spans="1:17" ht="18" customHeight="1" x14ac:dyDescent="0.3">
      <c r="A518" s="13" t="str">
        <f t="shared" si="32"/>
        <v/>
      </c>
      <c r="B518" s="14"/>
      <c r="C518" s="15" t="str">
        <f t="shared" si="33"/>
        <v/>
      </c>
      <c r="D518" s="13" t="str">
        <f t="shared" si="34"/>
        <v/>
      </c>
      <c r="E518" s="9"/>
      <c r="F518" s="9"/>
      <c r="G518" s="9"/>
      <c r="H518" s="9"/>
      <c r="I518" s="9"/>
      <c r="J518" s="16"/>
      <c r="K518" s="9"/>
      <c r="L518" s="9"/>
      <c r="M518" s="17" t="str">
        <f>IF(L518="","",IFERROR(INDEX(tbl_fatores_emissao[Valor],MATCH(L518,tbl_fatores_emissao[ID_FE],0)),""))</f>
        <v/>
      </c>
      <c r="N518" s="17" t="str">
        <f t="shared" si="35"/>
        <v/>
      </c>
      <c r="O518" s="9"/>
      <c r="P518" s="9"/>
      <c r="Q518" s="9"/>
    </row>
    <row r="519" spans="1:17" ht="18" customHeight="1" x14ac:dyDescent="0.3">
      <c r="A519" s="13" t="str">
        <f t="shared" si="32"/>
        <v/>
      </c>
      <c r="B519" s="14"/>
      <c r="C519" s="15" t="str">
        <f t="shared" si="33"/>
        <v/>
      </c>
      <c r="D519" s="13" t="str">
        <f t="shared" si="34"/>
        <v/>
      </c>
      <c r="E519" s="9"/>
      <c r="F519" s="9"/>
      <c r="G519" s="9"/>
      <c r="H519" s="9"/>
      <c r="I519" s="9"/>
      <c r="J519" s="16"/>
      <c r="K519" s="9"/>
      <c r="L519" s="9"/>
      <c r="M519" s="17" t="str">
        <f>IF(L519="","",IFERROR(INDEX(tbl_fatores_emissao[Valor],MATCH(L519,tbl_fatores_emissao[ID_FE],0)),""))</f>
        <v/>
      </c>
      <c r="N519" s="17" t="str">
        <f t="shared" si="35"/>
        <v/>
      </c>
      <c r="O519" s="9"/>
      <c r="P519" s="9"/>
      <c r="Q519" s="9"/>
    </row>
    <row r="520" spans="1:17" ht="18" customHeight="1" x14ac:dyDescent="0.3">
      <c r="A520" s="13" t="str">
        <f t="shared" si="32"/>
        <v/>
      </c>
      <c r="B520" s="14"/>
      <c r="C520" s="15" t="str">
        <f t="shared" si="33"/>
        <v/>
      </c>
      <c r="D520" s="13" t="str">
        <f t="shared" si="34"/>
        <v/>
      </c>
      <c r="E520" s="9"/>
      <c r="F520" s="9"/>
      <c r="G520" s="9"/>
      <c r="H520" s="9"/>
      <c r="I520" s="9"/>
      <c r="J520" s="16"/>
      <c r="K520" s="9"/>
      <c r="L520" s="9"/>
      <c r="M520" s="17" t="str">
        <f>IF(L520="","",IFERROR(INDEX(tbl_fatores_emissao[Valor],MATCH(L520,tbl_fatores_emissao[ID_FE],0)),""))</f>
        <v/>
      </c>
      <c r="N520" s="17" t="str">
        <f t="shared" si="35"/>
        <v/>
      </c>
      <c r="O520" s="9"/>
      <c r="P520" s="9"/>
      <c r="Q520" s="9"/>
    </row>
    <row r="521" spans="1:17" ht="18" customHeight="1" x14ac:dyDescent="0.3">
      <c r="A521" s="13" t="str">
        <f t="shared" si="32"/>
        <v/>
      </c>
      <c r="B521" s="14"/>
      <c r="C521" s="15" t="str">
        <f t="shared" si="33"/>
        <v/>
      </c>
      <c r="D521" s="13" t="str">
        <f t="shared" si="34"/>
        <v/>
      </c>
      <c r="E521" s="9"/>
      <c r="F521" s="9"/>
      <c r="G521" s="9"/>
      <c r="H521" s="9"/>
      <c r="I521" s="9"/>
      <c r="J521" s="16"/>
      <c r="K521" s="9"/>
      <c r="L521" s="9"/>
      <c r="M521" s="17" t="str">
        <f>IF(L521="","",IFERROR(INDEX(tbl_fatores_emissao[Valor],MATCH(L521,tbl_fatores_emissao[ID_FE],0)),""))</f>
        <v/>
      </c>
      <c r="N521" s="17" t="str">
        <f t="shared" si="35"/>
        <v/>
      </c>
      <c r="O521" s="9"/>
      <c r="P521" s="9"/>
      <c r="Q521" s="9"/>
    </row>
    <row r="522" spans="1:17" ht="18" customHeight="1" x14ac:dyDescent="0.3">
      <c r="A522" s="13" t="str">
        <f t="shared" si="32"/>
        <v/>
      </c>
      <c r="B522" s="14"/>
      <c r="C522" s="15" t="str">
        <f t="shared" si="33"/>
        <v/>
      </c>
      <c r="D522" s="13" t="str">
        <f t="shared" si="34"/>
        <v/>
      </c>
      <c r="E522" s="9"/>
      <c r="F522" s="9"/>
      <c r="G522" s="9"/>
      <c r="H522" s="9"/>
      <c r="I522" s="9"/>
      <c r="J522" s="16"/>
      <c r="K522" s="9"/>
      <c r="L522" s="9"/>
      <c r="M522" s="17" t="str">
        <f>IF(L522="","",IFERROR(INDEX(tbl_fatores_emissao[Valor],MATCH(L522,tbl_fatores_emissao[ID_FE],0)),""))</f>
        <v/>
      </c>
      <c r="N522" s="17" t="str">
        <f t="shared" si="35"/>
        <v/>
      </c>
      <c r="O522" s="9"/>
      <c r="P522" s="9"/>
      <c r="Q522" s="9"/>
    </row>
    <row r="523" spans="1:17" ht="18" customHeight="1" x14ac:dyDescent="0.3">
      <c r="A523" s="13" t="str">
        <f t="shared" si="32"/>
        <v/>
      </c>
      <c r="B523" s="14"/>
      <c r="C523" s="15" t="str">
        <f t="shared" si="33"/>
        <v/>
      </c>
      <c r="D523" s="13" t="str">
        <f t="shared" si="34"/>
        <v/>
      </c>
      <c r="E523" s="9"/>
      <c r="F523" s="9"/>
      <c r="G523" s="9"/>
      <c r="H523" s="9"/>
      <c r="I523" s="9"/>
      <c r="J523" s="16"/>
      <c r="K523" s="9"/>
      <c r="L523" s="9"/>
      <c r="M523" s="17" t="str">
        <f>IF(L523="","",IFERROR(INDEX(tbl_fatores_emissao[Valor],MATCH(L523,tbl_fatores_emissao[ID_FE],0)),""))</f>
        <v/>
      </c>
      <c r="N523" s="17" t="str">
        <f t="shared" si="35"/>
        <v/>
      </c>
      <c r="O523" s="9"/>
      <c r="P523" s="9"/>
      <c r="Q523" s="9"/>
    </row>
    <row r="524" spans="1:17" ht="18" customHeight="1" x14ac:dyDescent="0.3">
      <c r="A524" s="13" t="str">
        <f t="shared" si="32"/>
        <v/>
      </c>
      <c r="B524" s="14"/>
      <c r="C524" s="15" t="str">
        <f t="shared" si="33"/>
        <v/>
      </c>
      <c r="D524" s="13" t="str">
        <f t="shared" si="34"/>
        <v/>
      </c>
      <c r="E524" s="9"/>
      <c r="F524" s="9"/>
      <c r="G524" s="9"/>
      <c r="H524" s="9"/>
      <c r="I524" s="9"/>
      <c r="J524" s="16"/>
      <c r="K524" s="9"/>
      <c r="L524" s="9"/>
      <c r="M524" s="17" t="str">
        <f>IF(L524="","",IFERROR(INDEX(tbl_fatores_emissao[Valor],MATCH(L524,tbl_fatores_emissao[ID_FE],0)),""))</f>
        <v/>
      </c>
      <c r="N524" s="17" t="str">
        <f t="shared" si="35"/>
        <v/>
      </c>
      <c r="O524" s="9"/>
      <c r="P524" s="9"/>
      <c r="Q524" s="9"/>
    </row>
    <row r="525" spans="1:17" ht="18" customHeight="1" x14ac:dyDescent="0.3">
      <c r="A525" s="13" t="str">
        <f t="shared" si="32"/>
        <v/>
      </c>
      <c r="B525" s="14"/>
      <c r="C525" s="15" t="str">
        <f t="shared" si="33"/>
        <v/>
      </c>
      <c r="D525" s="13" t="str">
        <f t="shared" si="34"/>
        <v/>
      </c>
      <c r="E525" s="9"/>
      <c r="F525" s="9"/>
      <c r="G525" s="9"/>
      <c r="H525" s="9"/>
      <c r="I525" s="9"/>
      <c r="J525" s="16"/>
      <c r="K525" s="9"/>
      <c r="L525" s="9"/>
      <c r="M525" s="17" t="str">
        <f>IF(L525="","",IFERROR(INDEX(tbl_fatores_emissao[Valor],MATCH(L525,tbl_fatores_emissao[ID_FE],0)),""))</f>
        <v/>
      </c>
      <c r="N525" s="17" t="str">
        <f t="shared" si="35"/>
        <v/>
      </c>
      <c r="O525" s="9"/>
      <c r="P525" s="9"/>
      <c r="Q525" s="9"/>
    </row>
    <row r="526" spans="1:17" ht="18" customHeight="1" x14ac:dyDescent="0.3">
      <c r="A526" s="13" t="str">
        <f t="shared" si="32"/>
        <v/>
      </c>
      <c r="B526" s="14"/>
      <c r="C526" s="15" t="str">
        <f t="shared" si="33"/>
        <v/>
      </c>
      <c r="D526" s="13" t="str">
        <f t="shared" si="34"/>
        <v/>
      </c>
      <c r="E526" s="9"/>
      <c r="F526" s="9"/>
      <c r="G526" s="9"/>
      <c r="H526" s="9"/>
      <c r="I526" s="9"/>
      <c r="J526" s="16"/>
      <c r="K526" s="9"/>
      <c r="L526" s="9"/>
      <c r="M526" s="17" t="str">
        <f>IF(L526="","",IFERROR(INDEX(tbl_fatores_emissao[Valor],MATCH(L526,tbl_fatores_emissao[ID_FE],0)),""))</f>
        <v/>
      </c>
      <c r="N526" s="17" t="str">
        <f t="shared" si="35"/>
        <v/>
      </c>
      <c r="O526" s="9"/>
      <c r="P526" s="9"/>
      <c r="Q526" s="9"/>
    </row>
    <row r="527" spans="1:17" ht="18" customHeight="1" x14ac:dyDescent="0.3">
      <c r="A527" s="13" t="str">
        <f t="shared" si="32"/>
        <v/>
      </c>
      <c r="B527" s="14"/>
      <c r="C527" s="15" t="str">
        <f t="shared" si="33"/>
        <v/>
      </c>
      <c r="D527" s="13" t="str">
        <f t="shared" si="34"/>
        <v/>
      </c>
      <c r="E527" s="9"/>
      <c r="F527" s="9"/>
      <c r="G527" s="9"/>
      <c r="H527" s="9"/>
      <c r="I527" s="9"/>
      <c r="J527" s="16"/>
      <c r="K527" s="9"/>
      <c r="L527" s="9"/>
      <c r="M527" s="17" t="str">
        <f>IF(L527="","",IFERROR(INDEX(tbl_fatores_emissao[Valor],MATCH(L527,tbl_fatores_emissao[ID_FE],0)),""))</f>
        <v/>
      </c>
      <c r="N527" s="17" t="str">
        <f t="shared" si="35"/>
        <v/>
      </c>
      <c r="O527" s="9"/>
      <c r="P527" s="9"/>
      <c r="Q527" s="9"/>
    </row>
    <row r="528" spans="1:17" ht="18" customHeight="1" x14ac:dyDescent="0.3">
      <c r="A528" s="13" t="str">
        <f t="shared" si="32"/>
        <v/>
      </c>
      <c r="B528" s="14"/>
      <c r="C528" s="15" t="str">
        <f t="shared" si="33"/>
        <v/>
      </c>
      <c r="D528" s="13" t="str">
        <f t="shared" si="34"/>
        <v/>
      </c>
      <c r="E528" s="9"/>
      <c r="F528" s="9"/>
      <c r="G528" s="9"/>
      <c r="H528" s="9"/>
      <c r="I528" s="9"/>
      <c r="J528" s="16"/>
      <c r="K528" s="9"/>
      <c r="L528" s="9"/>
      <c r="M528" s="17" t="str">
        <f>IF(L528="","",IFERROR(INDEX(tbl_fatores_emissao[Valor],MATCH(L528,tbl_fatores_emissao[ID_FE],0)),""))</f>
        <v/>
      </c>
      <c r="N528" s="17" t="str">
        <f t="shared" si="35"/>
        <v/>
      </c>
      <c r="O528" s="9"/>
      <c r="P528" s="9"/>
      <c r="Q528" s="9"/>
    </row>
    <row r="529" spans="1:17" ht="18" customHeight="1" x14ac:dyDescent="0.3">
      <c r="A529" s="13" t="str">
        <f t="shared" si="32"/>
        <v/>
      </c>
      <c r="B529" s="14"/>
      <c r="C529" s="15" t="str">
        <f t="shared" si="33"/>
        <v/>
      </c>
      <c r="D529" s="13" t="str">
        <f t="shared" si="34"/>
        <v/>
      </c>
      <c r="E529" s="9"/>
      <c r="F529" s="9"/>
      <c r="G529" s="9"/>
      <c r="H529" s="9"/>
      <c r="I529" s="9"/>
      <c r="J529" s="16"/>
      <c r="K529" s="9"/>
      <c r="L529" s="9"/>
      <c r="M529" s="17" t="str">
        <f>IF(L529="","",IFERROR(INDEX(tbl_fatores_emissao[Valor],MATCH(L529,tbl_fatores_emissao[ID_FE],0)),""))</f>
        <v/>
      </c>
      <c r="N529" s="17" t="str">
        <f t="shared" si="35"/>
        <v/>
      </c>
      <c r="O529" s="9"/>
      <c r="P529" s="9"/>
      <c r="Q529" s="9"/>
    </row>
    <row r="530" spans="1:17" ht="18" customHeight="1" x14ac:dyDescent="0.3">
      <c r="A530" s="13" t="str">
        <f t="shared" si="32"/>
        <v/>
      </c>
      <c r="B530" s="14"/>
      <c r="C530" s="15" t="str">
        <f t="shared" si="33"/>
        <v/>
      </c>
      <c r="D530" s="13" t="str">
        <f t="shared" si="34"/>
        <v/>
      </c>
      <c r="E530" s="9"/>
      <c r="F530" s="9"/>
      <c r="G530" s="9"/>
      <c r="H530" s="9"/>
      <c r="I530" s="9"/>
      <c r="J530" s="16"/>
      <c r="K530" s="9"/>
      <c r="L530" s="9"/>
      <c r="M530" s="17" t="str">
        <f>IF(L530="","",IFERROR(INDEX(tbl_fatores_emissao[Valor],MATCH(L530,tbl_fatores_emissao[ID_FE],0)),""))</f>
        <v/>
      </c>
      <c r="N530" s="17" t="str">
        <f t="shared" si="35"/>
        <v/>
      </c>
      <c r="O530" s="9"/>
      <c r="P530" s="9"/>
      <c r="Q530" s="9"/>
    </row>
    <row r="531" spans="1:17" ht="18" customHeight="1" x14ac:dyDescent="0.3">
      <c r="A531" s="13" t="str">
        <f t="shared" si="32"/>
        <v/>
      </c>
      <c r="B531" s="14"/>
      <c r="C531" s="15" t="str">
        <f t="shared" si="33"/>
        <v/>
      </c>
      <c r="D531" s="13" t="str">
        <f t="shared" si="34"/>
        <v/>
      </c>
      <c r="E531" s="9"/>
      <c r="F531" s="9"/>
      <c r="G531" s="9"/>
      <c r="H531" s="9"/>
      <c r="I531" s="9"/>
      <c r="J531" s="16"/>
      <c r="K531" s="9"/>
      <c r="L531" s="9"/>
      <c r="M531" s="17" t="str">
        <f>IF(L531="","",IFERROR(INDEX(tbl_fatores_emissao[Valor],MATCH(L531,tbl_fatores_emissao[ID_FE],0)),""))</f>
        <v/>
      </c>
      <c r="N531" s="17" t="str">
        <f t="shared" si="35"/>
        <v/>
      </c>
      <c r="O531" s="9"/>
      <c r="P531" s="9"/>
      <c r="Q531" s="9"/>
    </row>
    <row r="532" spans="1:17" ht="18" customHeight="1" x14ac:dyDescent="0.3">
      <c r="A532" s="13" t="str">
        <f t="shared" si="32"/>
        <v/>
      </c>
      <c r="B532" s="14"/>
      <c r="C532" s="15" t="str">
        <f t="shared" si="33"/>
        <v/>
      </c>
      <c r="D532" s="13" t="str">
        <f t="shared" si="34"/>
        <v/>
      </c>
      <c r="E532" s="9"/>
      <c r="F532" s="9"/>
      <c r="G532" s="9"/>
      <c r="H532" s="9"/>
      <c r="I532" s="9"/>
      <c r="J532" s="16"/>
      <c r="K532" s="9"/>
      <c r="L532" s="9"/>
      <c r="M532" s="17" t="str">
        <f>IF(L532="","",IFERROR(INDEX(tbl_fatores_emissao[Valor],MATCH(L532,tbl_fatores_emissao[ID_FE],0)),""))</f>
        <v/>
      </c>
      <c r="N532" s="17" t="str">
        <f t="shared" si="35"/>
        <v/>
      </c>
      <c r="O532" s="9"/>
      <c r="P532" s="9"/>
      <c r="Q532" s="9"/>
    </row>
    <row r="533" spans="1:17" ht="18" customHeight="1" x14ac:dyDescent="0.3">
      <c r="A533" s="13" t="str">
        <f t="shared" si="32"/>
        <v/>
      </c>
      <c r="B533" s="14"/>
      <c r="C533" s="15" t="str">
        <f t="shared" si="33"/>
        <v/>
      </c>
      <c r="D533" s="13" t="str">
        <f t="shared" si="34"/>
        <v/>
      </c>
      <c r="E533" s="9"/>
      <c r="F533" s="9"/>
      <c r="G533" s="9"/>
      <c r="H533" s="9"/>
      <c r="I533" s="9"/>
      <c r="J533" s="16"/>
      <c r="K533" s="9"/>
      <c r="L533" s="9"/>
      <c r="M533" s="17" t="str">
        <f>IF(L533="","",IFERROR(INDEX(tbl_fatores_emissao[Valor],MATCH(L533,tbl_fatores_emissao[ID_FE],0)),""))</f>
        <v/>
      </c>
      <c r="N533" s="17" t="str">
        <f t="shared" si="35"/>
        <v/>
      </c>
      <c r="O533" s="9"/>
      <c r="P533" s="9"/>
      <c r="Q533" s="9"/>
    </row>
    <row r="534" spans="1:17" ht="18" customHeight="1" x14ac:dyDescent="0.3">
      <c r="A534" s="13" t="str">
        <f t="shared" si="32"/>
        <v/>
      </c>
      <c r="B534" s="14"/>
      <c r="C534" s="15" t="str">
        <f t="shared" si="33"/>
        <v/>
      </c>
      <c r="D534" s="13" t="str">
        <f t="shared" si="34"/>
        <v/>
      </c>
      <c r="E534" s="9"/>
      <c r="F534" s="9"/>
      <c r="G534" s="9"/>
      <c r="H534" s="9"/>
      <c r="I534" s="9"/>
      <c r="J534" s="16"/>
      <c r="K534" s="9"/>
      <c r="L534" s="9"/>
      <c r="M534" s="17" t="str">
        <f>IF(L534="","",IFERROR(INDEX(tbl_fatores_emissao[Valor],MATCH(L534,tbl_fatores_emissao[ID_FE],0)),""))</f>
        <v/>
      </c>
      <c r="N534" s="17" t="str">
        <f t="shared" si="35"/>
        <v/>
      </c>
      <c r="O534" s="9"/>
      <c r="P534" s="9"/>
      <c r="Q534" s="9"/>
    </row>
    <row r="535" spans="1:17" ht="18" customHeight="1" x14ac:dyDescent="0.3">
      <c r="A535" s="13" t="str">
        <f t="shared" si="32"/>
        <v/>
      </c>
      <c r="B535" s="14"/>
      <c r="C535" s="15" t="str">
        <f t="shared" si="33"/>
        <v/>
      </c>
      <c r="D535" s="13" t="str">
        <f t="shared" si="34"/>
        <v/>
      </c>
      <c r="E535" s="9"/>
      <c r="F535" s="9"/>
      <c r="G535" s="9"/>
      <c r="H535" s="9"/>
      <c r="I535" s="9"/>
      <c r="J535" s="16"/>
      <c r="K535" s="9"/>
      <c r="L535" s="9"/>
      <c r="M535" s="17" t="str">
        <f>IF(L535="","",IFERROR(INDEX(tbl_fatores_emissao[Valor],MATCH(L535,tbl_fatores_emissao[ID_FE],0)),""))</f>
        <v/>
      </c>
      <c r="N535" s="17" t="str">
        <f t="shared" si="35"/>
        <v/>
      </c>
      <c r="O535" s="9"/>
      <c r="P535" s="9"/>
      <c r="Q535" s="9"/>
    </row>
    <row r="536" spans="1:17" ht="18" customHeight="1" x14ac:dyDescent="0.3">
      <c r="A536" s="13" t="str">
        <f t="shared" si="32"/>
        <v/>
      </c>
      <c r="B536" s="14"/>
      <c r="C536" s="15" t="str">
        <f t="shared" si="33"/>
        <v/>
      </c>
      <c r="D536" s="13" t="str">
        <f t="shared" si="34"/>
        <v/>
      </c>
      <c r="E536" s="9"/>
      <c r="F536" s="9"/>
      <c r="G536" s="9"/>
      <c r="H536" s="9"/>
      <c r="I536" s="9"/>
      <c r="J536" s="16"/>
      <c r="K536" s="9"/>
      <c r="L536" s="9"/>
      <c r="M536" s="17" t="str">
        <f>IF(L536="","",IFERROR(INDEX(tbl_fatores_emissao[Valor],MATCH(L536,tbl_fatores_emissao[ID_FE],0)),""))</f>
        <v/>
      </c>
      <c r="N536" s="17" t="str">
        <f t="shared" si="35"/>
        <v/>
      </c>
      <c r="O536" s="9"/>
      <c r="P536" s="9"/>
      <c r="Q536" s="9"/>
    </row>
    <row r="537" spans="1:17" ht="18" customHeight="1" x14ac:dyDescent="0.3">
      <c r="A537" s="13" t="str">
        <f t="shared" si="32"/>
        <v/>
      </c>
      <c r="B537" s="14"/>
      <c r="C537" s="15" t="str">
        <f t="shared" si="33"/>
        <v/>
      </c>
      <c r="D537" s="13" t="str">
        <f t="shared" si="34"/>
        <v/>
      </c>
      <c r="E537" s="9"/>
      <c r="F537" s="9"/>
      <c r="G537" s="9"/>
      <c r="H537" s="9"/>
      <c r="I537" s="9"/>
      <c r="J537" s="16"/>
      <c r="K537" s="9"/>
      <c r="L537" s="9"/>
      <c r="M537" s="17" t="str">
        <f>IF(L537="","",IFERROR(INDEX(tbl_fatores_emissao[Valor],MATCH(L537,tbl_fatores_emissao[ID_FE],0)),""))</f>
        <v/>
      </c>
      <c r="N537" s="17" t="str">
        <f t="shared" si="35"/>
        <v/>
      </c>
      <c r="O537" s="9"/>
      <c r="P537" s="9"/>
      <c r="Q537" s="9"/>
    </row>
    <row r="538" spans="1:17" ht="18" customHeight="1" x14ac:dyDescent="0.3">
      <c r="A538" s="13" t="str">
        <f t="shared" si="32"/>
        <v/>
      </c>
      <c r="B538" s="14"/>
      <c r="C538" s="15" t="str">
        <f t="shared" si="33"/>
        <v/>
      </c>
      <c r="D538" s="13" t="str">
        <f t="shared" si="34"/>
        <v/>
      </c>
      <c r="E538" s="9"/>
      <c r="F538" s="9"/>
      <c r="G538" s="9"/>
      <c r="H538" s="9"/>
      <c r="I538" s="9"/>
      <c r="J538" s="16"/>
      <c r="K538" s="9"/>
      <c r="L538" s="9"/>
      <c r="M538" s="17" t="str">
        <f>IF(L538="","",IFERROR(INDEX(tbl_fatores_emissao[Valor],MATCH(L538,tbl_fatores_emissao[ID_FE],0)),""))</f>
        <v/>
      </c>
      <c r="N538" s="17" t="str">
        <f t="shared" si="35"/>
        <v/>
      </c>
      <c r="O538" s="9"/>
      <c r="P538" s="9"/>
      <c r="Q538" s="9"/>
    </row>
    <row r="539" spans="1:17" ht="18" customHeight="1" x14ac:dyDescent="0.3">
      <c r="A539" s="13" t="str">
        <f t="shared" si="32"/>
        <v/>
      </c>
      <c r="B539" s="14"/>
      <c r="C539" s="15" t="str">
        <f t="shared" si="33"/>
        <v/>
      </c>
      <c r="D539" s="13" t="str">
        <f t="shared" si="34"/>
        <v/>
      </c>
      <c r="E539" s="9"/>
      <c r="F539" s="9"/>
      <c r="G539" s="9"/>
      <c r="H539" s="9"/>
      <c r="I539" s="9"/>
      <c r="J539" s="16"/>
      <c r="K539" s="9"/>
      <c r="L539" s="9"/>
      <c r="M539" s="17" t="str">
        <f>IF(L539="","",IFERROR(INDEX(tbl_fatores_emissao[Valor],MATCH(L539,tbl_fatores_emissao[ID_FE],0)),""))</f>
        <v/>
      </c>
      <c r="N539" s="17" t="str">
        <f t="shared" si="35"/>
        <v/>
      </c>
      <c r="O539" s="9"/>
      <c r="P539" s="9"/>
      <c r="Q539" s="9"/>
    </row>
    <row r="540" spans="1:17" ht="18" customHeight="1" x14ac:dyDescent="0.3">
      <c r="A540" s="13" t="str">
        <f t="shared" si="32"/>
        <v/>
      </c>
      <c r="B540" s="14"/>
      <c r="C540" s="15" t="str">
        <f t="shared" si="33"/>
        <v/>
      </c>
      <c r="D540" s="13" t="str">
        <f t="shared" si="34"/>
        <v/>
      </c>
      <c r="E540" s="9"/>
      <c r="F540" s="9"/>
      <c r="G540" s="9"/>
      <c r="H540" s="9"/>
      <c r="I540" s="9"/>
      <c r="J540" s="16"/>
      <c r="K540" s="9"/>
      <c r="L540" s="9"/>
      <c r="M540" s="17" t="str">
        <f>IF(L540="","",IFERROR(INDEX(tbl_fatores_emissao[Valor],MATCH(L540,tbl_fatores_emissao[ID_FE],0)),""))</f>
        <v/>
      </c>
      <c r="N540" s="17" t="str">
        <f t="shared" si="35"/>
        <v/>
      </c>
      <c r="O540" s="9"/>
      <c r="P540" s="9"/>
      <c r="Q540" s="9"/>
    </row>
    <row r="541" spans="1:17" ht="18" customHeight="1" x14ac:dyDescent="0.3">
      <c r="A541" s="13" t="str">
        <f t="shared" si="32"/>
        <v/>
      </c>
      <c r="B541" s="14"/>
      <c r="C541" s="15" t="str">
        <f t="shared" si="33"/>
        <v/>
      </c>
      <c r="D541" s="13" t="str">
        <f t="shared" si="34"/>
        <v/>
      </c>
      <c r="E541" s="9"/>
      <c r="F541" s="9"/>
      <c r="G541" s="9"/>
      <c r="H541" s="9"/>
      <c r="I541" s="9"/>
      <c r="J541" s="16"/>
      <c r="K541" s="9"/>
      <c r="L541" s="9"/>
      <c r="M541" s="17" t="str">
        <f>IF(L541="","",IFERROR(INDEX(tbl_fatores_emissao[Valor],MATCH(L541,tbl_fatores_emissao[ID_FE],0)),""))</f>
        <v/>
      </c>
      <c r="N541" s="17" t="str">
        <f t="shared" si="35"/>
        <v/>
      </c>
      <c r="O541" s="9"/>
      <c r="P541" s="9"/>
      <c r="Q541" s="9"/>
    </row>
    <row r="542" spans="1:17" ht="18" customHeight="1" x14ac:dyDescent="0.3">
      <c r="A542" s="13" t="str">
        <f t="shared" si="32"/>
        <v/>
      </c>
      <c r="B542" s="14"/>
      <c r="C542" s="15" t="str">
        <f t="shared" si="33"/>
        <v/>
      </c>
      <c r="D542" s="13" t="str">
        <f t="shared" si="34"/>
        <v/>
      </c>
      <c r="E542" s="9"/>
      <c r="F542" s="9"/>
      <c r="G542" s="9"/>
      <c r="H542" s="9"/>
      <c r="I542" s="9"/>
      <c r="J542" s="16"/>
      <c r="K542" s="9"/>
      <c r="L542" s="9"/>
      <c r="M542" s="17" t="str">
        <f>IF(L542="","",IFERROR(INDEX(tbl_fatores_emissao[Valor],MATCH(L542,tbl_fatores_emissao[ID_FE],0)),""))</f>
        <v/>
      </c>
      <c r="N542" s="17" t="str">
        <f t="shared" si="35"/>
        <v/>
      </c>
      <c r="O542" s="9"/>
      <c r="P542" s="9"/>
      <c r="Q542" s="9"/>
    </row>
    <row r="543" spans="1:17" ht="18" customHeight="1" x14ac:dyDescent="0.3">
      <c r="A543" s="13" t="str">
        <f t="shared" si="32"/>
        <v/>
      </c>
      <c r="B543" s="14"/>
      <c r="C543" s="15" t="str">
        <f t="shared" si="33"/>
        <v/>
      </c>
      <c r="D543" s="13" t="str">
        <f t="shared" si="34"/>
        <v/>
      </c>
      <c r="E543" s="9"/>
      <c r="F543" s="9"/>
      <c r="G543" s="9"/>
      <c r="H543" s="9"/>
      <c r="I543" s="9"/>
      <c r="J543" s="16"/>
      <c r="K543" s="9"/>
      <c r="L543" s="9"/>
      <c r="M543" s="17" t="str">
        <f>IF(L543="","",IFERROR(INDEX(tbl_fatores_emissao[Valor],MATCH(L543,tbl_fatores_emissao[ID_FE],0)),""))</f>
        <v/>
      </c>
      <c r="N543" s="17" t="str">
        <f t="shared" si="35"/>
        <v/>
      </c>
      <c r="O543" s="9"/>
      <c r="P543" s="9"/>
      <c r="Q543" s="9"/>
    </row>
    <row r="544" spans="1:17" ht="18" customHeight="1" x14ac:dyDescent="0.3">
      <c r="A544" s="13" t="str">
        <f t="shared" si="32"/>
        <v/>
      </c>
      <c r="B544" s="14"/>
      <c r="C544" s="15" t="str">
        <f t="shared" si="33"/>
        <v/>
      </c>
      <c r="D544" s="13" t="str">
        <f t="shared" si="34"/>
        <v/>
      </c>
      <c r="E544" s="9"/>
      <c r="F544" s="9"/>
      <c r="G544" s="9"/>
      <c r="H544" s="9"/>
      <c r="I544" s="9"/>
      <c r="J544" s="16"/>
      <c r="K544" s="9"/>
      <c r="L544" s="9"/>
      <c r="M544" s="17" t="str">
        <f>IF(L544="","",IFERROR(INDEX(tbl_fatores_emissao[Valor],MATCH(L544,tbl_fatores_emissao[ID_FE],0)),""))</f>
        <v/>
      </c>
      <c r="N544" s="17" t="str">
        <f t="shared" si="35"/>
        <v/>
      </c>
      <c r="O544" s="9"/>
      <c r="P544" s="9"/>
      <c r="Q544" s="9"/>
    </row>
    <row r="545" spans="1:17" ht="18" customHeight="1" x14ac:dyDescent="0.3">
      <c r="A545" s="13" t="str">
        <f t="shared" si="32"/>
        <v/>
      </c>
      <c r="B545" s="14"/>
      <c r="C545" s="15" t="str">
        <f t="shared" si="33"/>
        <v/>
      </c>
      <c r="D545" s="13" t="str">
        <f t="shared" si="34"/>
        <v/>
      </c>
      <c r="E545" s="9"/>
      <c r="F545" s="9"/>
      <c r="G545" s="9"/>
      <c r="H545" s="9"/>
      <c r="I545" s="9"/>
      <c r="J545" s="16"/>
      <c r="K545" s="9"/>
      <c r="L545" s="9"/>
      <c r="M545" s="17" t="str">
        <f>IF(L545="","",IFERROR(INDEX(tbl_fatores_emissao[Valor],MATCH(L545,tbl_fatores_emissao[ID_FE],0)),""))</f>
        <v/>
      </c>
      <c r="N545" s="17" t="str">
        <f t="shared" si="35"/>
        <v/>
      </c>
      <c r="O545" s="9"/>
      <c r="P545" s="9"/>
      <c r="Q545" s="9"/>
    </row>
    <row r="546" spans="1:17" ht="18" customHeight="1" x14ac:dyDescent="0.3">
      <c r="A546" s="13" t="str">
        <f t="shared" si="32"/>
        <v/>
      </c>
      <c r="B546" s="14"/>
      <c r="C546" s="15" t="str">
        <f t="shared" si="33"/>
        <v/>
      </c>
      <c r="D546" s="13" t="str">
        <f t="shared" si="34"/>
        <v/>
      </c>
      <c r="E546" s="9"/>
      <c r="F546" s="9"/>
      <c r="G546" s="9"/>
      <c r="H546" s="9"/>
      <c r="I546" s="9"/>
      <c r="J546" s="16"/>
      <c r="K546" s="9"/>
      <c r="L546" s="9"/>
      <c r="M546" s="17" t="str">
        <f>IF(L546="","",IFERROR(INDEX(tbl_fatores_emissao[Valor],MATCH(L546,tbl_fatores_emissao[ID_FE],0)),""))</f>
        <v/>
      </c>
      <c r="N546" s="17" t="str">
        <f t="shared" si="35"/>
        <v/>
      </c>
      <c r="O546" s="9"/>
      <c r="P546" s="9"/>
      <c r="Q546" s="9"/>
    </row>
    <row r="547" spans="1:17" ht="18" customHeight="1" x14ac:dyDescent="0.3">
      <c r="A547" s="13" t="str">
        <f t="shared" si="32"/>
        <v/>
      </c>
      <c r="B547" s="14"/>
      <c r="C547" s="15" t="str">
        <f t="shared" si="33"/>
        <v/>
      </c>
      <c r="D547" s="13" t="str">
        <f t="shared" si="34"/>
        <v/>
      </c>
      <c r="E547" s="9"/>
      <c r="F547" s="9"/>
      <c r="G547" s="9"/>
      <c r="H547" s="9"/>
      <c r="I547" s="9"/>
      <c r="J547" s="16"/>
      <c r="K547" s="9"/>
      <c r="L547" s="9"/>
      <c r="M547" s="17" t="str">
        <f>IF(L547="","",IFERROR(INDEX(tbl_fatores_emissao[Valor],MATCH(L547,tbl_fatores_emissao[ID_FE],0)),""))</f>
        <v/>
      </c>
      <c r="N547" s="17" t="str">
        <f t="shared" si="35"/>
        <v/>
      </c>
      <c r="O547" s="9"/>
      <c r="P547" s="9"/>
      <c r="Q547" s="9"/>
    </row>
    <row r="548" spans="1:17" ht="18" customHeight="1" x14ac:dyDescent="0.3">
      <c r="A548" s="13" t="str">
        <f t="shared" si="32"/>
        <v/>
      </c>
      <c r="B548" s="14"/>
      <c r="C548" s="15" t="str">
        <f t="shared" si="33"/>
        <v/>
      </c>
      <c r="D548" s="13" t="str">
        <f t="shared" si="34"/>
        <v/>
      </c>
      <c r="E548" s="9"/>
      <c r="F548" s="9"/>
      <c r="G548" s="9"/>
      <c r="H548" s="9"/>
      <c r="I548" s="9"/>
      <c r="J548" s="16"/>
      <c r="K548" s="9"/>
      <c r="L548" s="9"/>
      <c r="M548" s="17" t="str">
        <f>IF(L548="","",IFERROR(INDEX(tbl_fatores_emissao[Valor],MATCH(L548,tbl_fatores_emissao[ID_FE],0)),""))</f>
        <v/>
      </c>
      <c r="N548" s="17" t="str">
        <f t="shared" si="35"/>
        <v/>
      </c>
      <c r="O548" s="9"/>
      <c r="P548" s="9"/>
      <c r="Q548" s="9"/>
    </row>
    <row r="549" spans="1:17" ht="18" customHeight="1" x14ac:dyDescent="0.3">
      <c r="A549" s="13" t="str">
        <f t="shared" si="32"/>
        <v/>
      </c>
      <c r="B549" s="14"/>
      <c r="C549" s="15" t="str">
        <f t="shared" si="33"/>
        <v/>
      </c>
      <c r="D549" s="13" t="str">
        <f t="shared" si="34"/>
        <v/>
      </c>
      <c r="E549" s="9"/>
      <c r="F549" s="9"/>
      <c r="G549" s="9"/>
      <c r="H549" s="9"/>
      <c r="I549" s="9"/>
      <c r="J549" s="16"/>
      <c r="K549" s="9"/>
      <c r="L549" s="9"/>
      <c r="M549" s="17" t="str">
        <f>IF(L549="","",IFERROR(INDEX(tbl_fatores_emissao[Valor],MATCH(L549,tbl_fatores_emissao[ID_FE],0)),""))</f>
        <v/>
      </c>
      <c r="N549" s="17" t="str">
        <f t="shared" si="35"/>
        <v/>
      </c>
      <c r="O549" s="9"/>
      <c r="P549" s="9"/>
      <c r="Q549" s="9"/>
    </row>
    <row r="550" spans="1:17" ht="18" customHeight="1" x14ac:dyDescent="0.3">
      <c r="A550" s="13" t="str">
        <f t="shared" si="32"/>
        <v/>
      </c>
      <c r="B550" s="14"/>
      <c r="C550" s="15" t="str">
        <f t="shared" si="33"/>
        <v/>
      </c>
      <c r="D550" s="13" t="str">
        <f t="shared" si="34"/>
        <v/>
      </c>
      <c r="E550" s="9"/>
      <c r="F550" s="9"/>
      <c r="G550" s="9"/>
      <c r="H550" s="9"/>
      <c r="I550" s="9"/>
      <c r="J550" s="16"/>
      <c r="K550" s="9"/>
      <c r="L550" s="9"/>
      <c r="M550" s="17" t="str">
        <f>IF(L550="","",IFERROR(INDEX(tbl_fatores_emissao[Valor],MATCH(L550,tbl_fatores_emissao[ID_FE],0)),""))</f>
        <v/>
      </c>
      <c r="N550" s="17" t="str">
        <f t="shared" si="35"/>
        <v/>
      </c>
      <c r="O550" s="9"/>
      <c r="P550" s="9"/>
      <c r="Q550" s="9"/>
    </row>
    <row r="551" spans="1:17" ht="18" customHeight="1" x14ac:dyDescent="0.3">
      <c r="A551" s="13" t="str">
        <f t="shared" si="32"/>
        <v/>
      </c>
      <c r="B551" s="14"/>
      <c r="C551" s="15" t="str">
        <f t="shared" si="33"/>
        <v/>
      </c>
      <c r="D551" s="13" t="str">
        <f t="shared" si="34"/>
        <v/>
      </c>
      <c r="E551" s="9"/>
      <c r="F551" s="9"/>
      <c r="G551" s="9"/>
      <c r="H551" s="9"/>
      <c r="I551" s="9"/>
      <c r="J551" s="16"/>
      <c r="K551" s="9"/>
      <c r="L551" s="9"/>
      <c r="M551" s="17" t="str">
        <f>IF(L551="","",IFERROR(INDEX(tbl_fatores_emissao[Valor],MATCH(L551,tbl_fatores_emissao[ID_FE],0)),""))</f>
        <v/>
      </c>
      <c r="N551" s="17" t="str">
        <f t="shared" si="35"/>
        <v/>
      </c>
      <c r="O551" s="9"/>
      <c r="P551" s="9"/>
      <c r="Q551" s="9"/>
    </row>
    <row r="552" spans="1:17" ht="18" customHeight="1" x14ac:dyDescent="0.3">
      <c r="A552" s="13" t="str">
        <f t="shared" si="32"/>
        <v/>
      </c>
      <c r="B552" s="14"/>
      <c r="C552" s="15" t="str">
        <f t="shared" si="33"/>
        <v/>
      </c>
      <c r="D552" s="13" t="str">
        <f t="shared" si="34"/>
        <v/>
      </c>
      <c r="E552" s="9"/>
      <c r="F552" s="9"/>
      <c r="G552" s="9"/>
      <c r="H552" s="9"/>
      <c r="I552" s="9"/>
      <c r="J552" s="16"/>
      <c r="K552" s="9"/>
      <c r="L552" s="9"/>
      <c r="M552" s="17" t="str">
        <f>IF(L552="","",IFERROR(INDEX(tbl_fatores_emissao[Valor],MATCH(L552,tbl_fatores_emissao[ID_FE],0)),""))</f>
        <v/>
      </c>
      <c r="N552" s="17" t="str">
        <f t="shared" si="35"/>
        <v/>
      </c>
      <c r="O552" s="9"/>
      <c r="P552" s="9"/>
      <c r="Q552" s="9"/>
    </row>
    <row r="553" spans="1:17" ht="18" customHeight="1" x14ac:dyDescent="0.3">
      <c r="A553" s="13" t="str">
        <f t="shared" si="32"/>
        <v/>
      </c>
      <c r="B553" s="14"/>
      <c r="C553" s="15" t="str">
        <f t="shared" si="33"/>
        <v/>
      </c>
      <c r="D553" s="13" t="str">
        <f t="shared" si="34"/>
        <v/>
      </c>
      <c r="E553" s="9"/>
      <c r="F553" s="9"/>
      <c r="G553" s="9"/>
      <c r="H553" s="9"/>
      <c r="I553" s="9"/>
      <c r="J553" s="16"/>
      <c r="K553" s="9"/>
      <c r="L553" s="9"/>
      <c r="M553" s="17" t="str">
        <f>IF(L553="","",IFERROR(INDEX(tbl_fatores_emissao[Valor],MATCH(L553,tbl_fatores_emissao[ID_FE],0)),""))</f>
        <v/>
      </c>
      <c r="N553" s="17" t="str">
        <f t="shared" si="35"/>
        <v/>
      </c>
      <c r="O553" s="9"/>
      <c r="P553" s="9"/>
      <c r="Q553" s="9"/>
    </row>
    <row r="554" spans="1:17" ht="18" customHeight="1" x14ac:dyDescent="0.3">
      <c r="A554" s="13" t="str">
        <f t="shared" si="32"/>
        <v/>
      </c>
      <c r="B554" s="14"/>
      <c r="C554" s="15" t="str">
        <f t="shared" si="33"/>
        <v/>
      </c>
      <c r="D554" s="13" t="str">
        <f t="shared" si="34"/>
        <v/>
      </c>
      <c r="E554" s="9"/>
      <c r="F554" s="9"/>
      <c r="G554" s="9"/>
      <c r="H554" s="9"/>
      <c r="I554" s="9"/>
      <c r="J554" s="16"/>
      <c r="K554" s="9"/>
      <c r="L554" s="9"/>
      <c r="M554" s="17" t="str">
        <f>IF(L554="","",IFERROR(INDEX(tbl_fatores_emissao[Valor],MATCH(L554,tbl_fatores_emissao[ID_FE],0)),""))</f>
        <v/>
      </c>
      <c r="N554" s="17" t="str">
        <f t="shared" si="35"/>
        <v/>
      </c>
      <c r="O554" s="9"/>
      <c r="P554" s="9"/>
      <c r="Q554" s="9"/>
    </row>
    <row r="555" spans="1:17" ht="18" customHeight="1" x14ac:dyDescent="0.3">
      <c r="A555" s="13" t="str">
        <f t="shared" si="32"/>
        <v/>
      </c>
      <c r="B555" s="14"/>
      <c r="C555" s="15" t="str">
        <f t="shared" si="33"/>
        <v/>
      </c>
      <c r="D555" s="13" t="str">
        <f t="shared" si="34"/>
        <v/>
      </c>
      <c r="E555" s="9"/>
      <c r="F555" s="9"/>
      <c r="G555" s="9"/>
      <c r="H555" s="9"/>
      <c r="I555" s="9"/>
      <c r="J555" s="16"/>
      <c r="K555" s="9"/>
      <c r="L555" s="9"/>
      <c r="M555" s="17" t="str">
        <f>IF(L555="","",IFERROR(INDEX(tbl_fatores_emissao[Valor],MATCH(L555,tbl_fatores_emissao[ID_FE],0)),""))</f>
        <v/>
      </c>
      <c r="N555" s="17" t="str">
        <f t="shared" si="35"/>
        <v/>
      </c>
      <c r="O555" s="9"/>
      <c r="P555" s="9"/>
      <c r="Q555" s="9"/>
    </row>
    <row r="556" spans="1:17" ht="18" customHeight="1" x14ac:dyDescent="0.3">
      <c r="A556" s="13" t="str">
        <f t="shared" si="32"/>
        <v/>
      </c>
      <c r="B556" s="14"/>
      <c r="C556" s="15" t="str">
        <f t="shared" si="33"/>
        <v/>
      </c>
      <c r="D556" s="13" t="str">
        <f t="shared" si="34"/>
        <v/>
      </c>
      <c r="E556" s="9"/>
      <c r="F556" s="9"/>
      <c r="G556" s="9"/>
      <c r="H556" s="9"/>
      <c r="I556" s="9"/>
      <c r="J556" s="16"/>
      <c r="K556" s="9"/>
      <c r="L556" s="9"/>
      <c r="M556" s="17" t="str">
        <f>IF(L556="","",IFERROR(INDEX(tbl_fatores_emissao[Valor],MATCH(L556,tbl_fatores_emissao[ID_FE],0)),""))</f>
        <v/>
      </c>
      <c r="N556" s="17" t="str">
        <f t="shared" si="35"/>
        <v/>
      </c>
      <c r="O556" s="9"/>
      <c r="P556" s="9"/>
      <c r="Q556" s="9"/>
    </row>
    <row r="557" spans="1:17" ht="18" customHeight="1" x14ac:dyDescent="0.3">
      <c r="A557" s="13" t="str">
        <f t="shared" si="32"/>
        <v/>
      </c>
      <c r="B557" s="14"/>
      <c r="C557" s="15" t="str">
        <f t="shared" si="33"/>
        <v/>
      </c>
      <c r="D557" s="13" t="str">
        <f t="shared" si="34"/>
        <v/>
      </c>
      <c r="E557" s="9"/>
      <c r="F557" s="9"/>
      <c r="G557" s="9"/>
      <c r="H557" s="9"/>
      <c r="I557" s="9"/>
      <c r="J557" s="16"/>
      <c r="K557" s="9"/>
      <c r="L557" s="9"/>
      <c r="M557" s="17" t="str">
        <f>IF(L557="","",IFERROR(INDEX(tbl_fatores_emissao[Valor],MATCH(L557,tbl_fatores_emissao[ID_FE],0)),""))</f>
        <v/>
      </c>
      <c r="N557" s="17" t="str">
        <f t="shared" si="35"/>
        <v/>
      </c>
      <c r="O557" s="9"/>
      <c r="P557" s="9"/>
      <c r="Q557" s="9"/>
    </row>
    <row r="558" spans="1:17" ht="18" customHeight="1" x14ac:dyDescent="0.3">
      <c r="A558" s="13" t="str">
        <f t="shared" si="32"/>
        <v/>
      </c>
      <c r="B558" s="14"/>
      <c r="C558" s="15" t="str">
        <f t="shared" si="33"/>
        <v/>
      </c>
      <c r="D558" s="13" t="str">
        <f t="shared" si="34"/>
        <v/>
      </c>
      <c r="E558" s="9"/>
      <c r="F558" s="9"/>
      <c r="G558" s="9"/>
      <c r="H558" s="9"/>
      <c r="I558" s="9"/>
      <c r="J558" s="16"/>
      <c r="K558" s="9"/>
      <c r="L558" s="9"/>
      <c r="M558" s="17" t="str">
        <f>IF(L558="","",IFERROR(INDEX(tbl_fatores_emissao[Valor],MATCH(L558,tbl_fatores_emissao[ID_FE],0)),""))</f>
        <v/>
      </c>
      <c r="N558" s="17" t="str">
        <f t="shared" si="35"/>
        <v/>
      </c>
      <c r="O558" s="9"/>
      <c r="P558" s="9"/>
      <c r="Q558" s="9"/>
    </row>
    <row r="559" spans="1:17" ht="18" customHeight="1" x14ac:dyDescent="0.3">
      <c r="A559" s="13" t="str">
        <f t="shared" si="32"/>
        <v/>
      </c>
      <c r="B559" s="14"/>
      <c r="C559" s="15" t="str">
        <f t="shared" si="33"/>
        <v/>
      </c>
      <c r="D559" s="13" t="str">
        <f t="shared" si="34"/>
        <v/>
      </c>
      <c r="E559" s="9"/>
      <c r="F559" s="9"/>
      <c r="G559" s="9"/>
      <c r="H559" s="9"/>
      <c r="I559" s="9"/>
      <c r="J559" s="16"/>
      <c r="K559" s="9"/>
      <c r="L559" s="9"/>
      <c r="M559" s="17" t="str">
        <f>IF(L559="","",IFERROR(INDEX(tbl_fatores_emissao[Valor],MATCH(L559,tbl_fatores_emissao[ID_FE],0)),""))</f>
        <v/>
      </c>
      <c r="N559" s="17" t="str">
        <f t="shared" si="35"/>
        <v/>
      </c>
      <c r="O559" s="9"/>
      <c r="P559" s="9"/>
      <c r="Q559" s="9"/>
    </row>
    <row r="560" spans="1:17" ht="18" customHeight="1" x14ac:dyDescent="0.3">
      <c r="A560" s="13" t="str">
        <f t="shared" si="32"/>
        <v/>
      </c>
      <c r="B560" s="14"/>
      <c r="C560" s="15" t="str">
        <f t="shared" si="33"/>
        <v/>
      </c>
      <c r="D560" s="13" t="str">
        <f t="shared" si="34"/>
        <v/>
      </c>
      <c r="E560" s="9"/>
      <c r="F560" s="9"/>
      <c r="G560" s="9"/>
      <c r="H560" s="9"/>
      <c r="I560" s="9"/>
      <c r="J560" s="16"/>
      <c r="K560" s="9"/>
      <c r="L560" s="9"/>
      <c r="M560" s="17" t="str">
        <f>IF(L560="","",IFERROR(INDEX(tbl_fatores_emissao[Valor],MATCH(L560,tbl_fatores_emissao[ID_FE],0)),""))</f>
        <v/>
      </c>
      <c r="N560" s="17" t="str">
        <f t="shared" si="35"/>
        <v/>
      </c>
      <c r="O560" s="9"/>
      <c r="P560" s="9"/>
      <c r="Q560" s="9"/>
    </row>
    <row r="561" spans="1:17" ht="18" customHeight="1" x14ac:dyDescent="0.3">
      <c r="A561" s="13" t="str">
        <f t="shared" si="32"/>
        <v/>
      </c>
      <c r="B561" s="14"/>
      <c r="C561" s="15" t="str">
        <f t="shared" si="33"/>
        <v/>
      </c>
      <c r="D561" s="13" t="str">
        <f t="shared" si="34"/>
        <v/>
      </c>
      <c r="E561" s="9"/>
      <c r="F561" s="9"/>
      <c r="G561" s="9"/>
      <c r="H561" s="9"/>
      <c r="I561" s="9"/>
      <c r="J561" s="16"/>
      <c r="K561" s="9"/>
      <c r="L561" s="9"/>
      <c r="M561" s="17" t="str">
        <f>IF(L561="","",IFERROR(INDEX(tbl_fatores_emissao[Valor],MATCH(L561,tbl_fatores_emissao[ID_FE],0)),""))</f>
        <v/>
      </c>
      <c r="N561" s="17" t="str">
        <f t="shared" si="35"/>
        <v/>
      </c>
      <c r="O561" s="9"/>
      <c r="P561" s="9"/>
      <c r="Q561" s="9"/>
    </row>
    <row r="562" spans="1:17" ht="18" customHeight="1" x14ac:dyDescent="0.3">
      <c r="A562" s="13" t="str">
        <f t="shared" si="32"/>
        <v/>
      </c>
      <c r="B562" s="14"/>
      <c r="C562" s="15" t="str">
        <f t="shared" si="33"/>
        <v/>
      </c>
      <c r="D562" s="13" t="str">
        <f t="shared" si="34"/>
        <v/>
      </c>
      <c r="E562" s="9"/>
      <c r="F562" s="9"/>
      <c r="G562" s="9"/>
      <c r="H562" s="9"/>
      <c r="I562" s="9"/>
      <c r="J562" s="16"/>
      <c r="K562" s="9"/>
      <c r="L562" s="9"/>
      <c r="M562" s="17" t="str">
        <f>IF(L562="","",IFERROR(INDEX(tbl_fatores_emissao[Valor],MATCH(L562,tbl_fatores_emissao[ID_FE],0)),""))</f>
        <v/>
      </c>
      <c r="N562" s="17" t="str">
        <f t="shared" si="35"/>
        <v/>
      </c>
      <c r="O562" s="9"/>
      <c r="P562" s="9"/>
      <c r="Q562" s="9"/>
    </row>
    <row r="563" spans="1:17" ht="18" customHeight="1" x14ac:dyDescent="0.3">
      <c r="A563" s="13" t="str">
        <f t="shared" si="32"/>
        <v/>
      </c>
      <c r="B563" s="14"/>
      <c r="C563" s="15" t="str">
        <f t="shared" si="33"/>
        <v/>
      </c>
      <c r="D563" s="13" t="str">
        <f t="shared" si="34"/>
        <v/>
      </c>
      <c r="E563" s="9"/>
      <c r="F563" s="9"/>
      <c r="G563" s="9"/>
      <c r="H563" s="9"/>
      <c r="I563" s="9"/>
      <c r="J563" s="16"/>
      <c r="K563" s="9"/>
      <c r="L563" s="9"/>
      <c r="M563" s="17" t="str">
        <f>IF(L563="","",IFERROR(INDEX(tbl_fatores_emissao[Valor],MATCH(L563,tbl_fatores_emissao[ID_FE],0)),""))</f>
        <v/>
      </c>
      <c r="N563" s="17" t="str">
        <f t="shared" si="35"/>
        <v/>
      </c>
      <c r="O563" s="9"/>
      <c r="P563" s="9"/>
      <c r="Q563" s="9"/>
    </row>
    <row r="564" spans="1:17" ht="18" customHeight="1" x14ac:dyDescent="0.3">
      <c r="A564" s="13" t="str">
        <f t="shared" si="32"/>
        <v/>
      </c>
      <c r="B564" s="14"/>
      <c r="C564" s="15" t="str">
        <f t="shared" si="33"/>
        <v/>
      </c>
      <c r="D564" s="13" t="str">
        <f t="shared" si="34"/>
        <v/>
      </c>
      <c r="E564" s="9"/>
      <c r="F564" s="9"/>
      <c r="G564" s="9"/>
      <c r="H564" s="9"/>
      <c r="I564" s="9"/>
      <c r="J564" s="16"/>
      <c r="K564" s="9"/>
      <c r="L564" s="9"/>
      <c r="M564" s="17" t="str">
        <f>IF(L564="","",IFERROR(INDEX(tbl_fatores_emissao[Valor],MATCH(L564,tbl_fatores_emissao[ID_FE],0)),""))</f>
        <v/>
      </c>
      <c r="N564" s="17" t="str">
        <f t="shared" si="35"/>
        <v/>
      </c>
      <c r="O564" s="9"/>
      <c r="P564" s="9"/>
      <c r="Q564" s="9"/>
    </row>
    <row r="565" spans="1:17" ht="18" customHeight="1" x14ac:dyDescent="0.3">
      <c r="A565" s="13" t="str">
        <f t="shared" si="32"/>
        <v/>
      </c>
      <c r="B565" s="14"/>
      <c r="C565" s="15" t="str">
        <f t="shared" si="33"/>
        <v/>
      </c>
      <c r="D565" s="13" t="str">
        <f t="shared" si="34"/>
        <v/>
      </c>
      <c r="E565" s="9"/>
      <c r="F565" s="9"/>
      <c r="G565" s="9"/>
      <c r="H565" s="9"/>
      <c r="I565" s="9"/>
      <c r="J565" s="16"/>
      <c r="K565" s="9"/>
      <c r="L565" s="9"/>
      <c r="M565" s="17" t="str">
        <f>IF(L565="","",IFERROR(INDEX(tbl_fatores_emissao[Valor],MATCH(L565,tbl_fatores_emissao[ID_FE],0)),""))</f>
        <v/>
      </c>
      <c r="N565" s="17" t="str">
        <f t="shared" si="35"/>
        <v/>
      </c>
      <c r="O565" s="9"/>
      <c r="P565" s="9"/>
      <c r="Q565" s="9"/>
    </row>
    <row r="566" spans="1:17" ht="18" customHeight="1" x14ac:dyDescent="0.3">
      <c r="A566" s="13" t="str">
        <f t="shared" si="32"/>
        <v/>
      </c>
      <c r="B566" s="14"/>
      <c r="C566" s="15" t="str">
        <f t="shared" si="33"/>
        <v/>
      </c>
      <c r="D566" s="13" t="str">
        <f t="shared" si="34"/>
        <v/>
      </c>
      <c r="E566" s="9"/>
      <c r="F566" s="9"/>
      <c r="G566" s="9"/>
      <c r="H566" s="9"/>
      <c r="I566" s="9"/>
      <c r="J566" s="16"/>
      <c r="K566" s="9"/>
      <c r="L566" s="9"/>
      <c r="M566" s="17" t="str">
        <f>IF(L566="","",IFERROR(INDEX(tbl_fatores_emissao[Valor],MATCH(L566,tbl_fatores_emissao[ID_FE],0)),""))</f>
        <v/>
      </c>
      <c r="N566" s="17" t="str">
        <f t="shared" si="35"/>
        <v/>
      </c>
      <c r="O566" s="9"/>
      <c r="P566" s="9"/>
      <c r="Q566" s="9"/>
    </row>
    <row r="567" spans="1:17" ht="18" customHeight="1" x14ac:dyDescent="0.3">
      <c r="A567" s="13" t="str">
        <f t="shared" si="32"/>
        <v/>
      </c>
      <c r="B567" s="14"/>
      <c r="C567" s="15" t="str">
        <f t="shared" si="33"/>
        <v/>
      </c>
      <c r="D567" s="13" t="str">
        <f t="shared" si="34"/>
        <v/>
      </c>
      <c r="E567" s="9"/>
      <c r="F567" s="9"/>
      <c r="G567" s="9"/>
      <c r="H567" s="9"/>
      <c r="I567" s="9"/>
      <c r="J567" s="16"/>
      <c r="K567" s="9"/>
      <c r="L567" s="9"/>
      <c r="M567" s="17" t="str">
        <f>IF(L567="","",IFERROR(INDEX(tbl_fatores_emissao[Valor],MATCH(L567,tbl_fatores_emissao[ID_FE],0)),""))</f>
        <v/>
      </c>
      <c r="N567" s="17" t="str">
        <f t="shared" si="35"/>
        <v/>
      </c>
      <c r="O567" s="9"/>
      <c r="P567" s="9"/>
      <c r="Q567" s="9"/>
    </row>
    <row r="568" spans="1:17" ht="18" customHeight="1" x14ac:dyDescent="0.3">
      <c r="A568" s="13" t="str">
        <f t="shared" si="32"/>
        <v/>
      </c>
      <c r="B568" s="14"/>
      <c r="C568" s="15" t="str">
        <f t="shared" si="33"/>
        <v/>
      </c>
      <c r="D568" s="13" t="str">
        <f t="shared" si="34"/>
        <v/>
      </c>
      <c r="E568" s="9"/>
      <c r="F568" s="9"/>
      <c r="G568" s="9"/>
      <c r="H568" s="9"/>
      <c r="I568" s="9"/>
      <c r="J568" s="16"/>
      <c r="K568" s="9"/>
      <c r="L568" s="9"/>
      <c r="M568" s="17" t="str">
        <f>IF(L568="","",IFERROR(INDEX(tbl_fatores_emissao[Valor],MATCH(L568,tbl_fatores_emissao[ID_FE],0)),""))</f>
        <v/>
      </c>
      <c r="N568" s="17" t="str">
        <f t="shared" si="35"/>
        <v/>
      </c>
      <c r="O568" s="9"/>
      <c r="P568" s="9"/>
      <c r="Q568" s="9"/>
    </row>
    <row r="569" spans="1:17" ht="18" customHeight="1" x14ac:dyDescent="0.3">
      <c r="A569" s="13" t="str">
        <f t="shared" si="32"/>
        <v/>
      </c>
      <c r="B569" s="14"/>
      <c r="C569" s="15" t="str">
        <f t="shared" si="33"/>
        <v/>
      </c>
      <c r="D569" s="13" t="str">
        <f t="shared" si="34"/>
        <v/>
      </c>
      <c r="E569" s="9"/>
      <c r="F569" s="9"/>
      <c r="G569" s="9"/>
      <c r="H569" s="9"/>
      <c r="I569" s="9"/>
      <c r="J569" s="16"/>
      <c r="K569" s="9"/>
      <c r="L569" s="9"/>
      <c r="M569" s="17" t="str">
        <f>IF(L569="","",IFERROR(INDEX(tbl_fatores_emissao[Valor],MATCH(L569,tbl_fatores_emissao[ID_FE],0)),""))</f>
        <v/>
      </c>
      <c r="N569" s="17" t="str">
        <f t="shared" si="35"/>
        <v/>
      </c>
      <c r="O569" s="9"/>
      <c r="P569" s="9"/>
      <c r="Q569" s="9"/>
    </row>
    <row r="570" spans="1:17" ht="18" customHeight="1" x14ac:dyDescent="0.3">
      <c r="A570" s="13" t="str">
        <f t="shared" si="32"/>
        <v/>
      </c>
      <c r="B570" s="14"/>
      <c r="C570" s="15" t="str">
        <f t="shared" si="33"/>
        <v/>
      </c>
      <c r="D570" s="13" t="str">
        <f t="shared" si="34"/>
        <v/>
      </c>
      <c r="E570" s="9"/>
      <c r="F570" s="9"/>
      <c r="G570" s="9"/>
      <c r="H570" s="9"/>
      <c r="I570" s="9"/>
      <c r="J570" s="16"/>
      <c r="K570" s="9"/>
      <c r="L570" s="9"/>
      <c r="M570" s="17" t="str">
        <f>IF(L570="","",IFERROR(INDEX(tbl_fatores_emissao[Valor],MATCH(L570,tbl_fatores_emissao[ID_FE],0)),""))</f>
        <v/>
      </c>
      <c r="N570" s="17" t="str">
        <f t="shared" si="35"/>
        <v/>
      </c>
      <c r="O570" s="9"/>
      <c r="P570" s="9"/>
      <c r="Q570" s="9"/>
    </row>
    <row r="571" spans="1:17" ht="18" customHeight="1" x14ac:dyDescent="0.3">
      <c r="A571" s="13" t="str">
        <f t="shared" si="32"/>
        <v/>
      </c>
      <c r="B571" s="14"/>
      <c r="C571" s="15" t="str">
        <f t="shared" si="33"/>
        <v/>
      </c>
      <c r="D571" s="13" t="str">
        <f t="shared" si="34"/>
        <v/>
      </c>
      <c r="E571" s="9"/>
      <c r="F571" s="9"/>
      <c r="G571" s="9"/>
      <c r="H571" s="9"/>
      <c r="I571" s="9"/>
      <c r="J571" s="16"/>
      <c r="K571" s="9"/>
      <c r="L571" s="9"/>
      <c r="M571" s="17" t="str">
        <f>IF(L571="","",IFERROR(INDEX(tbl_fatores_emissao[Valor],MATCH(L571,tbl_fatores_emissao[ID_FE],0)),""))</f>
        <v/>
      </c>
      <c r="N571" s="17" t="str">
        <f t="shared" si="35"/>
        <v/>
      </c>
      <c r="O571" s="9"/>
      <c r="P571" s="9"/>
      <c r="Q571" s="9"/>
    </row>
    <row r="572" spans="1:17" ht="18" customHeight="1" x14ac:dyDescent="0.3">
      <c r="A572" s="13" t="str">
        <f t="shared" si="32"/>
        <v/>
      </c>
      <c r="B572" s="14"/>
      <c r="C572" s="15" t="str">
        <f t="shared" si="33"/>
        <v/>
      </c>
      <c r="D572" s="13" t="str">
        <f t="shared" si="34"/>
        <v/>
      </c>
      <c r="E572" s="9"/>
      <c r="F572" s="9"/>
      <c r="G572" s="9"/>
      <c r="H572" s="9"/>
      <c r="I572" s="9"/>
      <c r="J572" s="16"/>
      <c r="K572" s="9"/>
      <c r="L572" s="9"/>
      <c r="M572" s="17" t="str">
        <f>IF(L572="","",IFERROR(INDEX(tbl_fatores_emissao[Valor],MATCH(L572,tbl_fatores_emissao[ID_FE],0)),""))</f>
        <v/>
      </c>
      <c r="N572" s="17" t="str">
        <f t="shared" si="35"/>
        <v/>
      </c>
      <c r="O572" s="9"/>
      <c r="P572" s="9"/>
      <c r="Q572" s="9"/>
    </row>
    <row r="573" spans="1:17" ht="18" customHeight="1" x14ac:dyDescent="0.3">
      <c r="A573" s="13" t="str">
        <f t="shared" si="32"/>
        <v/>
      </c>
      <c r="B573" s="14"/>
      <c r="C573" s="15" t="str">
        <f t="shared" si="33"/>
        <v/>
      </c>
      <c r="D573" s="13" t="str">
        <f t="shared" si="34"/>
        <v/>
      </c>
      <c r="E573" s="9"/>
      <c r="F573" s="9"/>
      <c r="G573" s="9"/>
      <c r="H573" s="9"/>
      <c r="I573" s="9"/>
      <c r="J573" s="16"/>
      <c r="K573" s="9"/>
      <c r="L573" s="9"/>
      <c r="M573" s="17" t="str">
        <f>IF(L573="","",IFERROR(INDEX(tbl_fatores_emissao[Valor],MATCH(L573,tbl_fatores_emissao[ID_FE],0)),""))</f>
        <v/>
      </c>
      <c r="N573" s="17" t="str">
        <f t="shared" si="35"/>
        <v/>
      </c>
      <c r="O573" s="9"/>
      <c r="P573" s="9"/>
      <c r="Q573" s="9"/>
    </row>
    <row r="574" spans="1:17" ht="18" customHeight="1" x14ac:dyDescent="0.3">
      <c r="A574" s="13" t="str">
        <f t="shared" si="32"/>
        <v/>
      </c>
      <c r="B574" s="14"/>
      <c r="C574" s="15" t="str">
        <f t="shared" si="33"/>
        <v/>
      </c>
      <c r="D574" s="13" t="str">
        <f t="shared" si="34"/>
        <v/>
      </c>
      <c r="E574" s="9"/>
      <c r="F574" s="9"/>
      <c r="G574" s="9"/>
      <c r="H574" s="9"/>
      <c r="I574" s="9"/>
      <c r="J574" s="16"/>
      <c r="K574" s="9"/>
      <c r="L574" s="9"/>
      <c r="M574" s="17" t="str">
        <f>IF(L574="","",IFERROR(INDEX(tbl_fatores_emissao[Valor],MATCH(L574,tbl_fatores_emissao[ID_FE],0)),""))</f>
        <v/>
      </c>
      <c r="N574" s="17" t="str">
        <f t="shared" si="35"/>
        <v/>
      </c>
      <c r="O574" s="9"/>
      <c r="P574" s="9"/>
      <c r="Q574" s="9"/>
    </row>
    <row r="575" spans="1:17" ht="18" customHeight="1" x14ac:dyDescent="0.3">
      <c r="A575" s="13" t="str">
        <f t="shared" si="32"/>
        <v/>
      </c>
      <c r="B575" s="14"/>
      <c r="C575" s="15" t="str">
        <f t="shared" si="33"/>
        <v/>
      </c>
      <c r="D575" s="13" t="str">
        <f t="shared" si="34"/>
        <v/>
      </c>
      <c r="E575" s="9"/>
      <c r="F575" s="9"/>
      <c r="G575" s="9"/>
      <c r="H575" s="9"/>
      <c r="I575" s="9"/>
      <c r="J575" s="16"/>
      <c r="K575" s="9"/>
      <c r="L575" s="9"/>
      <c r="M575" s="17" t="str">
        <f>IF(L575="","",IFERROR(INDEX(tbl_fatores_emissao[Valor],MATCH(L575,tbl_fatores_emissao[ID_FE],0)),""))</f>
        <v/>
      </c>
      <c r="N575" s="17" t="str">
        <f t="shared" si="35"/>
        <v/>
      </c>
      <c r="O575" s="9"/>
      <c r="P575" s="9"/>
      <c r="Q575" s="9"/>
    </row>
    <row r="576" spans="1:17" ht="18" customHeight="1" x14ac:dyDescent="0.3">
      <c r="A576" s="13" t="str">
        <f t="shared" si="32"/>
        <v/>
      </c>
      <c r="B576" s="14"/>
      <c r="C576" s="15" t="str">
        <f t="shared" si="33"/>
        <v/>
      </c>
      <c r="D576" s="13" t="str">
        <f t="shared" si="34"/>
        <v/>
      </c>
      <c r="E576" s="9"/>
      <c r="F576" s="9"/>
      <c r="G576" s="9"/>
      <c r="H576" s="9"/>
      <c r="I576" s="9"/>
      <c r="J576" s="16"/>
      <c r="K576" s="9"/>
      <c r="L576" s="9"/>
      <c r="M576" s="17" t="str">
        <f>IF(L576="","",IFERROR(INDEX(tbl_fatores_emissao[Valor],MATCH(L576,tbl_fatores_emissao[ID_FE],0)),""))</f>
        <v/>
      </c>
      <c r="N576" s="17" t="str">
        <f t="shared" si="35"/>
        <v/>
      </c>
      <c r="O576" s="9"/>
      <c r="P576" s="9"/>
      <c r="Q576" s="9"/>
    </row>
    <row r="577" spans="1:17" ht="18" customHeight="1" x14ac:dyDescent="0.3">
      <c r="A577" s="13" t="str">
        <f t="shared" si="32"/>
        <v/>
      </c>
      <c r="B577" s="14"/>
      <c r="C577" s="15" t="str">
        <f t="shared" si="33"/>
        <v/>
      </c>
      <c r="D577" s="13" t="str">
        <f t="shared" si="34"/>
        <v/>
      </c>
      <c r="E577" s="9"/>
      <c r="F577" s="9"/>
      <c r="G577" s="9"/>
      <c r="H577" s="9"/>
      <c r="I577" s="9"/>
      <c r="J577" s="16"/>
      <c r="K577" s="9"/>
      <c r="L577" s="9"/>
      <c r="M577" s="17" t="str">
        <f>IF(L577="","",IFERROR(INDEX(tbl_fatores_emissao[Valor],MATCH(L577,tbl_fatores_emissao[ID_FE],0)),""))</f>
        <v/>
      </c>
      <c r="N577" s="17" t="str">
        <f t="shared" si="35"/>
        <v/>
      </c>
      <c r="O577" s="9"/>
      <c r="P577" s="9"/>
      <c r="Q577" s="9"/>
    </row>
    <row r="578" spans="1:17" ht="18" customHeight="1" x14ac:dyDescent="0.3">
      <c r="A578" s="13" t="str">
        <f t="shared" si="32"/>
        <v/>
      </c>
      <c r="B578" s="14"/>
      <c r="C578" s="15" t="str">
        <f t="shared" si="33"/>
        <v/>
      </c>
      <c r="D578" s="13" t="str">
        <f t="shared" si="34"/>
        <v/>
      </c>
      <c r="E578" s="9"/>
      <c r="F578" s="9"/>
      <c r="G578" s="9"/>
      <c r="H578" s="9"/>
      <c r="I578" s="9"/>
      <c r="J578" s="16"/>
      <c r="K578" s="9"/>
      <c r="L578" s="9"/>
      <c r="M578" s="17" t="str">
        <f>IF(L578="","",IFERROR(INDEX(tbl_fatores_emissao[Valor],MATCH(L578,tbl_fatores_emissao[ID_FE],0)),""))</f>
        <v/>
      </c>
      <c r="N578" s="17" t="str">
        <f t="shared" si="35"/>
        <v/>
      </c>
      <c r="O578" s="9"/>
      <c r="P578" s="9"/>
      <c r="Q578" s="9"/>
    </row>
    <row r="579" spans="1:17" ht="18" customHeight="1" x14ac:dyDescent="0.3">
      <c r="A579" s="13" t="str">
        <f t="shared" si="32"/>
        <v/>
      </c>
      <c r="B579" s="14"/>
      <c r="C579" s="15" t="str">
        <f t="shared" si="33"/>
        <v/>
      </c>
      <c r="D579" s="13" t="str">
        <f t="shared" si="34"/>
        <v/>
      </c>
      <c r="E579" s="9"/>
      <c r="F579" s="9"/>
      <c r="G579" s="9"/>
      <c r="H579" s="9"/>
      <c r="I579" s="9"/>
      <c r="J579" s="16"/>
      <c r="K579" s="9"/>
      <c r="L579" s="9"/>
      <c r="M579" s="17" t="str">
        <f>IF(L579="","",IFERROR(INDEX(tbl_fatores_emissao[Valor],MATCH(L579,tbl_fatores_emissao[ID_FE],0)),""))</f>
        <v/>
      </c>
      <c r="N579" s="17" t="str">
        <f t="shared" si="35"/>
        <v/>
      </c>
      <c r="O579" s="9"/>
      <c r="P579" s="9"/>
      <c r="Q579" s="9"/>
    </row>
    <row r="580" spans="1:17" ht="18" customHeight="1" x14ac:dyDescent="0.3">
      <c r="A580" s="13" t="str">
        <f t="shared" si="32"/>
        <v/>
      </c>
      <c r="B580" s="14"/>
      <c r="C580" s="15" t="str">
        <f t="shared" si="33"/>
        <v/>
      </c>
      <c r="D580" s="13" t="str">
        <f t="shared" si="34"/>
        <v/>
      </c>
      <c r="E580" s="9"/>
      <c r="F580" s="9"/>
      <c r="G580" s="9"/>
      <c r="H580" s="9"/>
      <c r="I580" s="9"/>
      <c r="J580" s="16"/>
      <c r="K580" s="9"/>
      <c r="L580" s="9"/>
      <c r="M580" s="17" t="str">
        <f>IF(L580="","",IFERROR(INDEX(tbl_fatores_emissao[Valor],MATCH(L580,tbl_fatores_emissao[ID_FE],0)),""))</f>
        <v/>
      </c>
      <c r="N580" s="17" t="str">
        <f t="shared" si="35"/>
        <v/>
      </c>
      <c r="O580" s="9"/>
      <c r="P580" s="9"/>
      <c r="Q580" s="9"/>
    </row>
    <row r="581" spans="1:17" ht="18" customHeight="1" x14ac:dyDescent="0.3">
      <c r="A581" s="13" t="str">
        <f t="shared" ref="A581:A644" si="36">IF(B581="","",(YEAR(B581)*100+MONTH(B581))&amp;"-"&amp;G581)</f>
        <v/>
      </c>
      <c r="B581" s="14"/>
      <c r="C581" s="15" t="str">
        <f t="shared" ref="C581:C644" si="37">IF(B581="","",YEAR(B581))</f>
        <v/>
      </c>
      <c r="D581" s="13" t="str">
        <f t="shared" ref="D581:D644" si="38">IF(B581="","",IF(AND(B581&gt;=DATE(2025,9,1),B581&lt;=DATE(2026,8,1)),"2025/26","Fora"))</f>
        <v/>
      </c>
      <c r="E581" s="9"/>
      <c r="F581" s="9"/>
      <c r="G581" s="9"/>
      <c r="H581" s="9"/>
      <c r="I581" s="9"/>
      <c r="J581" s="16"/>
      <c r="K581" s="9"/>
      <c r="L581" s="9"/>
      <c r="M581" s="17" t="str">
        <f>IF(L581="","",IFERROR(INDEX(tbl_fatores_emissao[Valor],MATCH(L581,tbl_fatores_emissao[ID_FE],0)),""))</f>
        <v/>
      </c>
      <c r="N581" s="17" t="str">
        <f t="shared" ref="N581:N644" si="39">IF(OR(J581="",M581=""),"",ROUND(J581*M581/1000,3))</f>
        <v/>
      </c>
      <c r="O581" s="9"/>
      <c r="P581" s="9"/>
      <c r="Q581" s="9"/>
    </row>
    <row r="582" spans="1:17" ht="18" customHeight="1" x14ac:dyDescent="0.3">
      <c r="A582" s="13" t="str">
        <f t="shared" si="36"/>
        <v/>
      </c>
      <c r="B582" s="14"/>
      <c r="C582" s="15" t="str">
        <f t="shared" si="37"/>
        <v/>
      </c>
      <c r="D582" s="13" t="str">
        <f t="shared" si="38"/>
        <v/>
      </c>
      <c r="E582" s="9"/>
      <c r="F582" s="9"/>
      <c r="G582" s="9"/>
      <c r="H582" s="9"/>
      <c r="I582" s="9"/>
      <c r="J582" s="16"/>
      <c r="K582" s="9"/>
      <c r="L582" s="9"/>
      <c r="M582" s="17" t="str">
        <f>IF(L582="","",IFERROR(INDEX(tbl_fatores_emissao[Valor],MATCH(L582,tbl_fatores_emissao[ID_FE],0)),""))</f>
        <v/>
      </c>
      <c r="N582" s="17" t="str">
        <f t="shared" si="39"/>
        <v/>
      </c>
      <c r="O582" s="9"/>
      <c r="P582" s="9"/>
      <c r="Q582" s="9"/>
    </row>
    <row r="583" spans="1:17" ht="18" customHeight="1" x14ac:dyDescent="0.3">
      <c r="A583" s="13" t="str">
        <f t="shared" si="36"/>
        <v/>
      </c>
      <c r="B583" s="14"/>
      <c r="C583" s="15" t="str">
        <f t="shared" si="37"/>
        <v/>
      </c>
      <c r="D583" s="13" t="str">
        <f t="shared" si="38"/>
        <v/>
      </c>
      <c r="E583" s="9"/>
      <c r="F583" s="9"/>
      <c r="G583" s="9"/>
      <c r="H583" s="9"/>
      <c r="I583" s="9"/>
      <c r="J583" s="16"/>
      <c r="K583" s="9"/>
      <c r="L583" s="9"/>
      <c r="M583" s="17" t="str">
        <f>IF(L583="","",IFERROR(INDEX(tbl_fatores_emissao[Valor],MATCH(L583,tbl_fatores_emissao[ID_FE],0)),""))</f>
        <v/>
      </c>
      <c r="N583" s="17" t="str">
        <f t="shared" si="39"/>
        <v/>
      </c>
      <c r="O583" s="9"/>
      <c r="P583" s="9"/>
      <c r="Q583" s="9"/>
    </row>
    <row r="584" spans="1:17" ht="18" customHeight="1" x14ac:dyDescent="0.3">
      <c r="A584" s="13" t="str">
        <f t="shared" si="36"/>
        <v/>
      </c>
      <c r="B584" s="14"/>
      <c r="C584" s="15" t="str">
        <f t="shared" si="37"/>
        <v/>
      </c>
      <c r="D584" s="13" t="str">
        <f t="shared" si="38"/>
        <v/>
      </c>
      <c r="E584" s="9"/>
      <c r="F584" s="9"/>
      <c r="G584" s="9"/>
      <c r="H584" s="9"/>
      <c r="I584" s="9"/>
      <c r="J584" s="16"/>
      <c r="K584" s="9"/>
      <c r="L584" s="9"/>
      <c r="M584" s="17" t="str">
        <f>IF(L584="","",IFERROR(INDEX(tbl_fatores_emissao[Valor],MATCH(L584,tbl_fatores_emissao[ID_FE],0)),""))</f>
        <v/>
      </c>
      <c r="N584" s="17" t="str">
        <f t="shared" si="39"/>
        <v/>
      </c>
      <c r="O584" s="9"/>
      <c r="P584" s="9"/>
      <c r="Q584" s="9"/>
    </row>
    <row r="585" spans="1:17" ht="18" customHeight="1" x14ac:dyDescent="0.3">
      <c r="A585" s="13" t="str">
        <f t="shared" si="36"/>
        <v/>
      </c>
      <c r="B585" s="14"/>
      <c r="C585" s="15" t="str">
        <f t="shared" si="37"/>
        <v/>
      </c>
      <c r="D585" s="13" t="str">
        <f t="shared" si="38"/>
        <v/>
      </c>
      <c r="E585" s="9"/>
      <c r="F585" s="9"/>
      <c r="G585" s="9"/>
      <c r="H585" s="9"/>
      <c r="I585" s="9"/>
      <c r="J585" s="16"/>
      <c r="K585" s="9"/>
      <c r="L585" s="9"/>
      <c r="M585" s="17" t="str">
        <f>IF(L585="","",IFERROR(INDEX(tbl_fatores_emissao[Valor],MATCH(L585,tbl_fatores_emissao[ID_FE],0)),""))</f>
        <v/>
      </c>
      <c r="N585" s="17" t="str">
        <f t="shared" si="39"/>
        <v/>
      </c>
      <c r="O585" s="9"/>
      <c r="P585" s="9"/>
      <c r="Q585" s="9"/>
    </row>
    <row r="586" spans="1:17" ht="18" customHeight="1" x14ac:dyDescent="0.3">
      <c r="A586" s="13" t="str">
        <f t="shared" si="36"/>
        <v/>
      </c>
      <c r="B586" s="14"/>
      <c r="C586" s="15" t="str">
        <f t="shared" si="37"/>
        <v/>
      </c>
      <c r="D586" s="13" t="str">
        <f t="shared" si="38"/>
        <v/>
      </c>
      <c r="E586" s="9"/>
      <c r="F586" s="9"/>
      <c r="G586" s="9"/>
      <c r="H586" s="9"/>
      <c r="I586" s="9"/>
      <c r="J586" s="16"/>
      <c r="K586" s="9"/>
      <c r="L586" s="9"/>
      <c r="M586" s="17" t="str">
        <f>IF(L586="","",IFERROR(INDEX(tbl_fatores_emissao[Valor],MATCH(L586,tbl_fatores_emissao[ID_FE],0)),""))</f>
        <v/>
      </c>
      <c r="N586" s="17" t="str">
        <f t="shared" si="39"/>
        <v/>
      </c>
      <c r="O586" s="9"/>
      <c r="P586" s="9"/>
      <c r="Q586" s="9"/>
    </row>
    <row r="587" spans="1:17" ht="18" customHeight="1" x14ac:dyDescent="0.3">
      <c r="A587" s="13" t="str">
        <f t="shared" si="36"/>
        <v/>
      </c>
      <c r="B587" s="14"/>
      <c r="C587" s="15" t="str">
        <f t="shared" si="37"/>
        <v/>
      </c>
      <c r="D587" s="13" t="str">
        <f t="shared" si="38"/>
        <v/>
      </c>
      <c r="E587" s="9"/>
      <c r="F587" s="9"/>
      <c r="G587" s="9"/>
      <c r="H587" s="9"/>
      <c r="I587" s="9"/>
      <c r="J587" s="16"/>
      <c r="K587" s="9"/>
      <c r="L587" s="9"/>
      <c r="M587" s="17" t="str">
        <f>IF(L587="","",IFERROR(INDEX(tbl_fatores_emissao[Valor],MATCH(L587,tbl_fatores_emissao[ID_FE],0)),""))</f>
        <v/>
      </c>
      <c r="N587" s="17" t="str">
        <f t="shared" si="39"/>
        <v/>
      </c>
      <c r="O587" s="9"/>
      <c r="P587" s="9"/>
      <c r="Q587" s="9"/>
    </row>
    <row r="588" spans="1:17" ht="18" customHeight="1" x14ac:dyDescent="0.3">
      <c r="A588" s="13" t="str">
        <f t="shared" si="36"/>
        <v/>
      </c>
      <c r="B588" s="14"/>
      <c r="C588" s="15" t="str">
        <f t="shared" si="37"/>
        <v/>
      </c>
      <c r="D588" s="13" t="str">
        <f t="shared" si="38"/>
        <v/>
      </c>
      <c r="E588" s="9"/>
      <c r="F588" s="9"/>
      <c r="G588" s="9"/>
      <c r="H588" s="9"/>
      <c r="I588" s="9"/>
      <c r="J588" s="16"/>
      <c r="K588" s="9"/>
      <c r="L588" s="9"/>
      <c r="M588" s="17" t="str">
        <f>IF(L588="","",IFERROR(INDEX(tbl_fatores_emissao[Valor],MATCH(L588,tbl_fatores_emissao[ID_FE],0)),""))</f>
        <v/>
      </c>
      <c r="N588" s="17" t="str">
        <f t="shared" si="39"/>
        <v/>
      </c>
      <c r="O588" s="9"/>
      <c r="P588" s="9"/>
      <c r="Q588" s="9"/>
    </row>
    <row r="589" spans="1:17" ht="18" customHeight="1" x14ac:dyDescent="0.3">
      <c r="A589" s="13" t="str">
        <f t="shared" si="36"/>
        <v/>
      </c>
      <c r="B589" s="14"/>
      <c r="C589" s="15" t="str">
        <f t="shared" si="37"/>
        <v/>
      </c>
      <c r="D589" s="13" t="str">
        <f t="shared" si="38"/>
        <v/>
      </c>
      <c r="E589" s="9"/>
      <c r="F589" s="9"/>
      <c r="G589" s="9"/>
      <c r="H589" s="9"/>
      <c r="I589" s="9"/>
      <c r="J589" s="16"/>
      <c r="K589" s="9"/>
      <c r="L589" s="9"/>
      <c r="M589" s="17" t="str">
        <f>IF(L589="","",IFERROR(INDEX(tbl_fatores_emissao[Valor],MATCH(L589,tbl_fatores_emissao[ID_FE],0)),""))</f>
        <v/>
      </c>
      <c r="N589" s="17" t="str">
        <f t="shared" si="39"/>
        <v/>
      </c>
      <c r="O589" s="9"/>
      <c r="P589" s="9"/>
      <c r="Q589" s="9"/>
    </row>
    <row r="590" spans="1:17" ht="18" customHeight="1" x14ac:dyDescent="0.3">
      <c r="A590" s="13" t="str">
        <f t="shared" si="36"/>
        <v/>
      </c>
      <c r="B590" s="14"/>
      <c r="C590" s="15" t="str">
        <f t="shared" si="37"/>
        <v/>
      </c>
      <c r="D590" s="13" t="str">
        <f t="shared" si="38"/>
        <v/>
      </c>
      <c r="E590" s="9"/>
      <c r="F590" s="9"/>
      <c r="G590" s="9"/>
      <c r="H590" s="9"/>
      <c r="I590" s="9"/>
      <c r="J590" s="16"/>
      <c r="K590" s="9"/>
      <c r="L590" s="9"/>
      <c r="M590" s="17" t="str">
        <f>IF(L590="","",IFERROR(INDEX(tbl_fatores_emissao[Valor],MATCH(L590,tbl_fatores_emissao[ID_FE],0)),""))</f>
        <v/>
      </c>
      <c r="N590" s="17" t="str">
        <f t="shared" si="39"/>
        <v/>
      </c>
      <c r="O590" s="9"/>
      <c r="P590" s="9"/>
      <c r="Q590" s="9"/>
    </row>
    <row r="591" spans="1:17" ht="18" customHeight="1" x14ac:dyDescent="0.3">
      <c r="A591" s="13" t="str">
        <f t="shared" si="36"/>
        <v/>
      </c>
      <c r="B591" s="14"/>
      <c r="C591" s="15" t="str">
        <f t="shared" si="37"/>
        <v/>
      </c>
      <c r="D591" s="13" t="str">
        <f t="shared" si="38"/>
        <v/>
      </c>
      <c r="E591" s="9"/>
      <c r="F591" s="9"/>
      <c r="G591" s="9"/>
      <c r="H591" s="9"/>
      <c r="I591" s="9"/>
      <c r="J591" s="16"/>
      <c r="K591" s="9"/>
      <c r="L591" s="9"/>
      <c r="M591" s="17" t="str">
        <f>IF(L591="","",IFERROR(INDEX(tbl_fatores_emissao[Valor],MATCH(L591,tbl_fatores_emissao[ID_FE],0)),""))</f>
        <v/>
      </c>
      <c r="N591" s="17" t="str">
        <f t="shared" si="39"/>
        <v/>
      </c>
      <c r="O591" s="9"/>
      <c r="P591" s="9"/>
      <c r="Q591" s="9"/>
    </row>
    <row r="592" spans="1:17" ht="18" customHeight="1" x14ac:dyDescent="0.3">
      <c r="A592" s="13" t="str">
        <f t="shared" si="36"/>
        <v/>
      </c>
      <c r="B592" s="14"/>
      <c r="C592" s="15" t="str">
        <f t="shared" si="37"/>
        <v/>
      </c>
      <c r="D592" s="13" t="str">
        <f t="shared" si="38"/>
        <v/>
      </c>
      <c r="E592" s="9"/>
      <c r="F592" s="9"/>
      <c r="G592" s="9"/>
      <c r="H592" s="9"/>
      <c r="I592" s="9"/>
      <c r="J592" s="16"/>
      <c r="K592" s="9"/>
      <c r="L592" s="9"/>
      <c r="M592" s="17" t="str">
        <f>IF(L592="","",IFERROR(INDEX(tbl_fatores_emissao[Valor],MATCH(L592,tbl_fatores_emissao[ID_FE],0)),""))</f>
        <v/>
      </c>
      <c r="N592" s="17" t="str">
        <f t="shared" si="39"/>
        <v/>
      </c>
      <c r="O592" s="9"/>
      <c r="P592" s="9"/>
      <c r="Q592" s="9"/>
    </row>
    <row r="593" spans="1:17" ht="18" customHeight="1" x14ac:dyDescent="0.3">
      <c r="A593" s="13" t="str">
        <f t="shared" si="36"/>
        <v/>
      </c>
      <c r="B593" s="14"/>
      <c r="C593" s="15" t="str">
        <f t="shared" si="37"/>
        <v/>
      </c>
      <c r="D593" s="13" t="str">
        <f t="shared" si="38"/>
        <v/>
      </c>
      <c r="E593" s="9"/>
      <c r="F593" s="9"/>
      <c r="G593" s="9"/>
      <c r="H593" s="9"/>
      <c r="I593" s="9"/>
      <c r="J593" s="16"/>
      <c r="K593" s="9"/>
      <c r="L593" s="9"/>
      <c r="M593" s="17" t="str">
        <f>IF(L593="","",IFERROR(INDEX(tbl_fatores_emissao[Valor],MATCH(L593,tbl_fatores_emissao[ID_FE],0)),""))</f>
        <v/>
      </c>
      <c r="N593" s="17" t="str">
        <f t="shared" si="39"/>
        <v/>
      </c>
      <c r="O593" s="9"/>
      <c r="P593" s="9"/>
      <c r="Q593" s="9"/>
    </row>
    <row r="594" spans="1:17" ht="18" customHeight="1" x14ac:dyDescent="0.3">
      <c r="A594" s="13" t="str">
        <f t="shared" si="36"/>
        <v/>
      </c>
      <c r="B594" s="14"/>
      <c r="C594" s="15" t="str">
        <f t="shared" si="37"/>
        <v/>
      </c>
      <c r="D594" s="13" t="str">
        <f t="shared" si="38"/>
        <v/>
      </c>
      <c r="E594" s="9"/>
      <c r="F594" s="9"/>
      <c r="G594" s="9"/>
      <c r="H594" s="9"/>
      <c r="I594" s="9"/>
      <c r="J594" s="16"/>
      <c r="K594" s="9"/>
      <c r="L594" s="9"/>
      <c r="M594" s="17" t="str">
        <f>IF(L594="","",IFERROR(INDEX(tbl_fatores_emissao[Valor],MATCH(L594,tbl_fatores_emissao[ID_FE],0)),""))</f>
        <v/>
      </c>
      <c r="N594" s="17" t="str">
        <f t="shared" si="39"/>
        <v/>
      </c>
      <c r="O594" s="9"/>
      <c r="P594" s="9"/>
      <c r="Q594" s="9"/>
    </row>
    <row r="595" spans="1:17" ht="18" customHeight="1" x14ac:dyDescent="0.3">
      <c r="A595" s="13" t="str">
        <f t="shared" si="36"/>
        <v/>
      </c>
      <c r="B595" s="14"/>
      <c r="C595" s="15" t="str">
        <f t="shared" si="37"/>
        <v/>
      </c>
      <c r="D595" s="13" t="str">
        <f t="shared" si="38"/>
        <v/>
      </c>
      <c r="E595" s="9"/>
      <c r="F595" s="9"/>
      <c r="G595" s="9"/>
      <c r="H595" s="9"/>
      <c r="I595" s="9"/>
      <c r="J595" s="16"/>
      <c r="K595" s="9"/>
      <c r="L595" s="9"/>
      <c r="M595" s="17" t="str">
        <f>IF(L595="","",IFERROR(INDEX(tbl_fatores_emissao[Valor],MATCH(L595,tbl_fatores_emissao[ID_FE],0)),""))</f>
        <v/>
      </c>
      <c r="N595" s="17" t="str">
        <f t="shared" si="39"/>
        <v/>
      </c>
      <c r="O595" s="9"/>
      <c r="P595" s="9"/>
      <c r="Q595" s="9"/>
    </row>
    <row r="596" spans="1:17" ht="18" customHeight="1" x14ac:dyDescent="0.3">
      <c r="A596" s="13" t="str">
        <f t="shared" si="36"/>
        <v/>
      </c>
      <c r="B596" s="14"/>
      <c r="C596" s="15" t="str">
        <f t="shared" si="37"/>
        <v/>
      </c>
      <c r="D596" s="13" t="str">
        <f t="shared" si="38"/>
        <v/>
      </c>
      <c r="E596" s="9"/>
      <c r="F596" s="9"/>
      <c r="G596" s="9"/>
      <c r="H596" s="9"/>
      <c r="I596" s="9"/>
      <c r="J596" s="16"/>
      <c r="K596" s="9"/>
      <c r="L596" s="9"/>
      <c r="M596" s="17" t="str">
        <f>IF(L596="","",IFERROR(INDEX(tbl_fatores_emissao[Valor],MATCH(L596,tbl_fatores_emissao[ID_FE],0)),""))</f>
        <v/>
      </c>
      <c r="N596" s="17" t="str">
        <f t="shared" si="39"/>
        <v/>
      </c>
      <c r="O596" s="9"/>
      <c r="P596" s="9"/>
      <c r="Q596" s="9"/>
    </row>
    <row r="597" spans="1:17" ht="18" customHeight="1" x14ac:dyDescent="0.3">
      <c r="A597" s="13" t="str">
        <f t="shared" si="36"/>
        <v/>
      </c>
      <c r="B597" s="14"/>
      <c r="C597" s="15" t="str">
        <f t="shared" si="37"/>
        <v/>
      </c>
      <c r="D597" s="13" t="str">
        <f t="shared" si="38"/>
        <v/>
      </c>
      <c r="E597" s="9"/>
      <c r="F597" s="9"/>
      <c r="G597" s="9"/>
      <c r="H597" s="9"/>
      <c r="I597" s="9"/>
      <c r="J597" s="16"/>
      <c r="K597" s="9"/>
      <c r="L597" s="9"/>
      <c r="M597" s="17" t="str">
        <f>IF(L597="","",IFERROR(INDEX(tbl_fatores_emissao[Valor],MATCH(L597,tbl_fatores_emissao[ID_FE],0)),""))</f>
        <v/>
      </c>
      <c r="N597" s="17" t="str">
        <f t="shared" si="39"/>
        <v/>
      </c>
      <c r="O597" s="9"/>
      <c r="P597" s="9"/>
      <c r="Q597" s="9"/>
    </row>
    <row r="598" spans="1:17" ht="18" customHeight="1" x14ac:dyDescent="0.3">
      <c r="A598" s="13" t="str">
        <f t="shared" si="36"/>
        <v/>
      </c>
      <c r="B598" s="14"/>
      <c r="C598" s="15" t="str">
        <f t="shared" si="37"/>
        <v/>
      </c>
      <c r="D598" s="13" t="str">
        <f t="shared" si="38"/>
        <v/>
      </c>
      <c r="E598" s="9"/>
      <c r="F598" s="9"/>
      <c r="G598" s="9"/>
      <c r="H598" s="9"/>
      <c r="I598" s="9"/>
      <c r="J598" s="16"/>
      <c r="K598" s="9"/>
      <c r="L598" s="9"/>
      <c r="M598" s="17" t="str">
        <f>IF(L598="","",IFERROR(INDEX(tbl_fatores_emissao[Valor],MATCH(L598,tbl_fatores_emissao[ID_FE],0)),""))</f>
        <v/>
      </c>
      <c r="N598" s="17" t="str">
        <f t="shared" si="39"/>
        <v/>
      </c>
      <c r="O598" s="9"/>
      <c r="P598" s="9"/>
      <c r="Q598" s="9"/>
    </row>
    <row r="599" spans="1:17" ht="18" customHeight="1" x14ac:dyDescent="0.3">
      <c r="A599" s="13" t="str">
        <f t="shared" si="36"/>
        <v/>
      </c>
      <c r="B599" s="14"/>
      <c r="C599" s="15" t="str">
        <f t="shared" si="37"/>
        <v/>
      </c>
      <c r="D599" s="13" t="str">
        <f t="shared" si="38"/>
        <v/>
      </c>
      <c r="E599" s="9"/>
      <c r="F599" s="9"/>
      <c r="G599" s="9"/>
      <c r="H599" s="9"/>
      <c r="I599" s="9"/>
      <c r="J599" s="16"/>
      <c r="K599" s="9"/>
      <c r="L599" s="9"/>
      <c r="M599" s="17" t="str">
        <f>IF(L599="","",IFERROR(INDEX(tbl_fatores_emissao[Valor],MATCH(L599,tbl_fatores_emissao[ID_FE],0)),""))</f>
        <v/>
      </c>
      <c r="N599" s="17" t="str">
        <f t="shared" si="39"/>
        <v/>
      </c>
      <c r="O599" s="9"/>
      <c r="P599" s="9"/>
      <c r="Q599" s="9"/>
    </row>
    <row r="600" spans="1:17" ht="18" customHeight="1" x14ac:dyDescent="0.3">
      <c r="A600" s="13" t="str">
        <f t="shared" si="36"/>
        <v/>
      </c>
      <c r="B600" s="14"/>
      <c r="C600" s="15" t="str">
        <f t="shared" si="37"/>
        <v/>
      </c>
      <c r="D600" s="13" t="str">
        <f t="shared" si="38"/>
        <v/>
      </c>
      <c r="E600" s="9"/>
      <c r="F600" s="9"/>
      <c r="G600" s="9"/>
      <c r="H600" s="9"/>
      <c r="I600" s="9"/>
      <c r="J600" s="16"/>
      <c r="K600" s="9"/>
      <c r="L600" s="9"/>
      <c r="M600" s="17" t="str">
        <f>IF(L600="","",IFERROR(INDEX(tbl_fatores_emissao[Valor],MATCH(L600,tbl_fatores_emissao[ID_FE],0)),""))</f>
        <v/>
      </c>
      <c r="N600" s="17" t="str">
        <f t="shared" si="39"/>
        <v/>
      </c>
      <c r="O600" s="9"/>
      <c r="P600" s="9"/>
      <c r="Q600" s="9"/>
    </row>
    <row r="601" spans="1:17" ht="18" customHeight="1" x14ac:dyDescent="0.3">
      <c r="A601" s="13" t="str">
        <f t="shared" si="36"/>
        <v/>
      </c>
      <c r="B601" s="14"/>
      <c r="C601" s="15" t="str">
        <f t="shared" si="37"/>
        <v/>
      </c>
      <c r="D601" s="13" t="str">
        <f t="shared" si="38"/>
        <v/>
      </c>
      <c r="E601" s="9"/>
      <c r="F601" s="9"/>
      <c r="G601" s="9"/>
      <c r="H601" s="9"/>
      <c r="I601" s="9"/>
      <c r="J601" s="16"/>
      <c r="K601" s="9"/>
      <c r="L601" s="9"/>
      <c r="M601" s="17" t="str">
        <f>IF(L601="","",IFERROR(INDEX(tbl_fatores_emissao[Valor],MATCH(L601,tbl_fatores_emissao[ID_FE],0)),""))</f>
        <v/>
      </c>
      <c r="N601" s="17" t="str">
        <f t="shared" si="39"/>
        <v/>
      </c>
      <c r="O601" s="9"/>
      <c r="P601" s="9"/>
      <c r="Q601" s="9"/>
    </row>
    <row r="602" spans="1:17" ht="18" customHeight="1" x14ac:dyDescent="0.3">
      <c r="A602" s="13" t="str">
        <f t="shared" si="36"/>
        <v/>
      </c>
      <c r="B602" s="14"/>
      <c r="C602" s="15" t="str">
        <f t="shared" si="37"/>
        <v/>
      </c>
      <c r="D602" s="13" t="str">
        <f t="shared" si="38"/>
        <v/>
      </c>
      <c r="E602" s="9"/>
      <c r="F602" s="9"/>
      <c r="G602" s="9"/>
      <c r="H602" s="9"/>
      <c r="I602" s="9"/>
      <c r="J602" s="16"/>
      <c r="K602" s="9"/>
      <c r="L602" s="9"/>
      <c r="M602" s="17" t="str">
        <f>IF(L602="","",IFERROR(INDEX(tbl_fatores_emissao[Valor],MATCH(L602,tbl_fatores_emissao[ID_FE],0)),""))</f>
        <v/>
      </c>
      <c r="N602" s="17" t="str">
        <f t="shared" si="39"/>
        <v/>
      </c>
      <c r="O602" s="9"/>
      <c r="P602" s="9"/>
      <c r="Q602" s="9"/>
    </row>
    <row r="603" spans="1:17" ht="18" customHeight="1" x14ac:dyDescent="0.3">
      <c r="A603" s="13" t="str">
        <f t="shared" si="36"/>
        <v/>
      </c>
      <c r="B603" s="14"/>
      <c r="C603" s="15" t="str">
        <f t="shared" si="37"/>
        <v/>
      </c>
      <c r="D603" s="13" t="str">
        <f t="shared" si="38"/>
        <v/>
      </c>
      <c r="E603" s="9"/>
      <c r="F603" s="9"/>
      <c r="G603" s="9"/>
      <c r="H603" s="9"/>
      <c r="I603" s="9"/>
      <c r="J603" s="16"/>
      <c r="K603" s="9"/>
      <c r="L603" s="9"/>
      <c r="M603" s="17" t="str">
        <f>IF(L603="","",IFERROR(INDEX(tbl_fatores_emissao[Valor],MATCH(L603,tbl_fatores_emissao[ID_FE],0)),""))</f>
        <v/>
      </c>
      <c r="N603" s="17" t="str">
        <f t="shared" si="39"/>
        <v/>
      </c>
      <c r="O603" s="9"/>
      <c r="P603" s="9"/>
      <c r="Q603" s="9"/>
    </row>
    <row r="604" spans="1:17" ht="18" customHeight="1" x14ac:dyDescent="0.3">
      <c r="A604" s="13" t="str">
        <f t="shared" si="36"/>
        <v/>
      </c>
      <c r="B604" s="14"/>
      <c r="C604" s="15" t="str">
        <f t="shared" si="37"/>
        <v/>
      </c>
      <c r="D604" s="13" t="str">
        <f t="shared" si="38"/>
        <v/>
      </c>
      <c r="E604" s="9"/>
      <c r="F604" s="9"/>
      <c r="G604" s="9"/>
      <c r="H604" s="9"/>
      <c r="I604" s="9"/>
      <c r="J604" s="16"/>
      <c r="K604" s="9"/>
      <c r="L604" s="9"/>
      <c r="M604" s="17" t="str">
        <f>IF(L604="","",IFERROR(INDEX(tbl_fatores_emissao[Valor],MATCH(L604,tbl_fatores_emissao[ID_FE],0)),""))</f>
        <v/>
      </c>
      <c r="N604" s="17" t="str">
        <f t="shared" si="39"/>
        <v/>
      </c>
      <c r="O604" s="9"/>
      <c r="P604" s="9"/>
      <c r="Q604" s="9"/>
    </row>
    <row r="605" spans="1:17" ht="18" customHeight="1" x14ac:dyDescent="0.3">
      <c r="A605" s="13" t="str">
        <f t="shared" si="36"/>
        <v/>
      </c>
      <c r="B605" s="14"/>
      <c r="C605" s="15" t="str">
        <f t="shared" si="37"/>
        <v/>
      </c>
      <c r="D605" s="13" t="str">
        <f t="shared" si="38"/>
        <v/>
      </c>
      <c r="E605" s="9"/>
      <c r="F605" s="9"/>
      <c r="G605" s="9"/>
      <c r="H605" s="9"/>
      <c r="I605" s="9"/>
      <c r="J605" s="16"/>
      <c r="K605" s="9"/>
      <c r="L605" s="9"/>
      <c r="M605" s="17" t="str">
        <f>IF(L605="","",IFERROR(INDEX(tbl_fatores_emissao[Valor],MATCH(L605,tbl_fatores_emissao[ID_FE],0)),""))</f>
        <v/>
      </c>
      <c r="N605" s="17" t="str">
        <f t="shared" si="39"/>
        <v/>
      </c>
      <c r="O605" s="9"/>
      <c r="P605" s="9"/>
      <c r="Q605" s="9"/>
    </row>
    <row r="606" spans="1:17" ht="18" customHeight="1" x14ac:dyDescent="0.3">
      <c r="A606" s="13" t="str">
        <f t="shared" si="36"/>
        <v/>
      </c>
      <c r="B606" s="14"/>
      <c r="C606" s="15" t="str">
        <f t="shared" si="37"/>
        <v/>
      </c>
      <c r="D606" s="13" t="str">
        <f t="shared" si="38"/>
        <v/>
      </c>
      <c r="E606" s="9"/>
      <c r="F606" s="9"/>
      <c r="G606" s="9"/>
      <c r="H606" s="9"/>
      <c r="I606" s="9"/>
      <c r="J606" s="16"/>
      <c r="K606" s="9"/>
      <c r="L606" s="9"/>
      <c r="M606" s="17" t="str">
        <f>IF(L606="","",IFERROR(INDEX(tbl_fatores_emissao[Valor],MATCH(L606,tbl_fatores_emissao[ID_FE],0)),""))</f>
        <v/>
      </c>
      <c r="N606" s="17" t="str">
        <f t="shared" si="39"/>
        <v/>
      </c>
      <c r="O606" s="9"/>
      <c r="P606" s="9"/>
      <c r="Q606" s="9"/>
    </row>
    <row r="607" spans="1:17" ht="18" customHeight="1" x14ac:dyDescent="0.3">
      <c r="A607" s="13" t="str">
        <f t="shared" si="36"/>
        <v/>
      </c>
      <c r="B607" s="14"/>
      <c r="C607" s="15" t="str">
        <f t="shared" si="37"/>
        <v/>
      </c>
      <c r="D607" s="13" t="str">
        <f t="shared" si="38"/>
        <v/>
      </c>
      <c r="E607" s="9"/>
      <c r="F607" s="9"/>
      <c r="G607" s="9"/>
      <c r="H607" s="9"/>
      <c r="I607" s="9"/>
      <c r="J607" s="16"/>
      <c r="K607" s="9"/>
      <c r="L607" s="9"/>
      <c r="M607" s="17" t="str">
        <f>IF(L607="","",IFERROR(INDEX(tbl_fatores_emissao[Valor],MATCH(L607,tbl_fatores_emissao[ID_FE],0)),""))</f>
        <v/>
      </c>
      <c r="N607" s="17" t="str">
        <f t="shared" si="39"/>
        <v/>
      </c>
      <c r="O607" s="9"/>
      <c r="P607" s="9"/>
      <c r="Q607" s="9"/>
    </row>
    <row r="608" spans="1:17" ht="18" customHeight="1" x14ac:dyDescent="0.3">
      <c r="A608" s="13" t="str">
        <f t="shared" si="36"/>
        <v/>
      </c>
      <c r="B608" s="14"/>
      <c r="C608" s="15" t="str">
        <f t="shared" si="37"/>
        <v/>
      </c>
      <c r="D608" s="13" t="str">
        <f t="shared" si="38"/>
        <v/>
      </c>
      <c r="E608" s="9"/>
      <c r="F608" s="9"/>
      <c r="G608" s="9"/>
      <c r="H608" s="9"/>
      <c r="I608" s="9"/>
      <c r="J608" s="16"/>
      <c r="K608" s="9"/>
      <c r="L608" s="9"/>
      <c r="M608" s="17" t="str">
        <f>IF(L608="","",IFERROR(INDEX(tbl_fatores_emissao[Valor],MATCH(L608,tbl_fatores_emissao[ID_FE],0)),""))</f>
        <v/>
      </c>
      <c r="N608" s="17" t="str">
        <f t="shared" si="39"/>
        <v/>
      </c>
      <c r="O608" s="9"/>
      <c r="P608" s="9"/>
      <c r="Q608" s="9"/>
    </row>
    <row r="609" spans="1:17" ht="18" customHeight="1" x14ac:dyDescent="0.3">
      <c r="A609" s="13" t="str">
        <f t="shared" si="36"/>
        <v/>
      </c>
      <c r="B609" s="14"/>
      <c r="C609" s="15" t="str">
        <f t="shared" si="37"/>
        <v/>
      </c>
      <c r="D609" s="13" t="str">
        <f t="shared" si="38"/>
        <v/>
      </c>
      <c r="E609" s="9"/>
      <c r="F609" s="9"/>
      <c r="G609" s="9"/>
      <c r="H609" s="9"/>
      <c r="I609" s="9"/>
      <c r="J609" s="16"/>
      <c r="K609" s="9"/>
      <c r="L609" s="9"/>
      <c r="M609" s="17" t="str">
        <f>IF(L609="","",IFERROR(INDEX(tbl_fatores_emissao[Valor],MATCH(L609,tbl_fatores_emissao[ID_FE],0)),""))</f>
        <v/>
      </c>
      <c r="N609" s="17" t="str">
        <f t="shared" si="39"/>
        <v/>
      </c>
      <c r="O609" s="9"/>
      <c r="P609" s="9"/>
      <c r="Q609" s="9"/>
    </row>
    <row r="610" spans="1:17" ht="18" customHeight="1" x14ac:dyDescent="0.3">
      <c r="A610" s="13" t="str">
        <f t="shared" si="36"/>
        <v/>
      </c>
      <c r="B610" s="14"/>
      <c r="C610" s="15" t="str">
        <f t="shared" si="37"/>
        <v/>
      </c>
      <c r="D610" s="13" t="str">
        <f t="shared" si="38"/>
        <v/>
      </c>
      <c r="E610" s="9"/>
      <c r="F610" s="9"/>
      <c r="G610" s="9"/>
      <c r="H610" s="9"/>
      <c r="I610" s="9"/>
      <c r="J610" s="16"/>
      <c r="K610" s="9"/>
      <c r="L610" s="9"/>
      <c r="M610" s="17" t="str">
        <f>IF(L610="","",IFERROR(INDEX(tbl_fatores_emissao[Valor],MATCH(L610,tbl_fatores_emissao[ID_FE],0)),""))</f>
        <v/>
      </c>
      <c r="N610" s="17" t="str">
        <f t="shared" si="39"/>
        <v/>
      </c>
      <c r="O610" s="9"/>
      <c r="P610" s="9"/>
      <c r="Q610" s="9"/>
    </row>
    <row r="611" spans="1:17" ht="18" customHeight="1" x14ac:dyDescent="0.3">
      <c r="A611" s="13" t="str">
        <f t="shared" si="36"/>
        <v/>
      </c>
      <c r="B611" s="14"/>
      <c r="C611" s="15" t="str">
        <f t="shared" si="37"/>
        <v/>
      </c>
      <c r="D611" s="13" t="str">
        <f t="shared" si="38"/>
        <v/>
      </c>
      <c r="E611" s="9"/>
      <c r="F611" s="9"/>
      <c r="G611" s="9"/>
      <c r="H611" s="9"/>
      <c r="I611" s="9"/>
      <c r="J611" s="16"/>
      <c r="K611" s="9"/>
      <c r="L611" s="9"/>
      <c r="M611" s="17" t="str">
        <f>IF(L611="","",IFERROR(INDEX(tbl_fatores_emissao[Valor],MATCH(L611,tbl_fatores_emissao[ID_FE],0)),""))</f>
        <v/>
      </c>
      <c r="N611" s="17" t="str">
        <f t="shared" si="39"/>
        <v/>
      </c>
      <c r="O611" s="9"/>
      <c r="P611" s="9"/>
      <c r="Q611" s="9"/>
    </row>
    <row r="612" spans="1:17" ht="18" customHeight="1" x14ac:dyDescent="0.3">
      <c r="A612" s="13" t="str">
        <f t="shared" si="36"/>
        <v/>
      </c>
      <c r="B612" s="14"/>
      <c r="C612" s="15" t="str">
        <f t="shared" si="37"/>
        <v/>
      </c>
      <c r="D612" s="13" t="str">
        <f t="shared" si="38"/>
        <v/>
      </c>
      <c r="E612" s="9"/>
      <c r="F612" s="9"/>
      <c r="G612" s="9"/>
      <c r="H612" s="9"/>
      <c r="I612" s="9"/>
      <c r="J612" s="16"/>
      <c r="K612" s="9"/>
      <c r="L612" s="9"/>
      <c r="M612" s="17" t="str">
        <f>IF(L612="","",IFERROR(INDEX(tbl_fatores_emissao[Valor],MATCH(L612,tbl_fatores_emissao[ID_FE],0)),""))</f>
        <v/>
      </c>
      <c r="N612" s="17" t="str">
        <f t="shared" si="39"/>
        <v/>
      </c>
      <c r="O612" s="9"/>
      <c r="P612" s="9"/>
      <c r="Q612" s="9"/>
    </row>
    <row r="613" spans="1:17" ht="18" customHeight="1" x14ac:dyDescent="0.3">
      <c r="A613" s="13" t="str">
        <f t="shared" si="36"/>
        <v/>
      </c>
      <c r="B613" s="14"/>
      <c r="C613" s="15" t="str">
        <f t="shared" si="37"/>
        <v/>
      </c>
      <c r="D613" s="13" t="str">
        <f t="shared" si="38"/>
        <v/>
      </c>
      <c r="E613" s="9"/>
      <c r="F613" s="9"/>
      <c r="G613" s="9"/>
      <c r="H613" s="9"/>
      <c r="I613" s="9"/>
      <c r="J613" s="16"/>
      <c r="K613" s="9"/>
      <c r="L613" s="9"/>
      <c r="M613" s="17" t="str">
        <f>IF(L613="","",IFERROR(INDEX(tbl_fatores_emissao[Valor],MATCH(L613,tbl_fatores_emissao[ID_FE],0)),""))</f>
        <v/>
      </c>
      <c r="N613" s="17" t="str">
        <f t="shared" si="39"/>
        <v/>
      </c>
      <c r="O613" s="9"/>
      <c r="P613" s="9"/>
      <c r="Q613" s="9"/>
    </row>
    <row r="614" spans="1:17" ht="18" customHeight="1" x14ac:dyDescent="0.3">
      <c r="A614" s="13" t="str">
        <f t="shared" si="36"/>
        <v/>
      </c>
      <c r="B614" s="14"/>
      <c r="C614" s="15" t="str">
        <f t="shared" si="37"/>
        <v/>
      </c>
      <c r="D614" s="13" t="str">
        <f t="shared" si="38"/>
        <v/>
      </c>
      <c r="E614" s="9"/>
      <c r="F614" s="9"/>
      <c r="G614" s="9"/>
      <c r="H614" s="9"/>
      <c r="I614" s="9"/>
      <c r="J614" s="16"/>
      <c r="K614" s="9"/>
      <c r="L614" s="9"/>
      <c r="M614" s="17" t="str">
        <f>IF(L614="","",IFERROR(INDEX(tbl_fatores_emissao[Valor],MATCH(L614,tbl_fatores_emissao[ID_FE],0)),""))</f>
        <v/>
      </c>
      <c r="N614" s="17" t="str">
        <f t="shared" si="39"/>
        <v/>
      </c>
      <c r="O614" s="9"/>
      <c r="P614" s="9"/>
      <c r="Q614" s="9"/>
    </row>
    <row r="615" spans="1:17" ht="18" customHeight="1" x14ac:dyDescent="0.3">
      <c r="A615" s="13" t="str">
        <f t="shared" si="36"/>
        <v/>
      </c>
      <c r="B615" s="14"/>
      <c r="C615" s="15" t="str">
        <f t="shared" si="37"/>
        <v/>
      </c>
      <c r="D615" s="13" t="str">
        <f t="shared" si="38"/>
        <v/>
      </c>
      <c r="E615" s="9"/>
      <c r="F615" s="9"/>
      <c r="G615" s="9"/>
      <c r="H615" s="9"/>
      <c r="I615" s="9"/>
      <c r="J615" s="16"/>
      <c r="K615" s="9"/>
      <c r="L615" s="9"/>
      <c r="M615" s="17" t="str">
        <f>IF(L615="","",IFERROR(INDEX(tbl_fatores_emissao[Valor],MATCH(L615,tbl_fatores_emissao[ID_FE],0)),""))</f>
        <v/>
      </c>
      <c r="N615" s="17" t="str">
        <f t="shared" si="39"/>
        <v/>
      </c>
      <c r="O615" s="9"/>
      <c r="P615" s="9"/>
      <c r="Q615" s="9"/>
    </row>
    <row r="616" spans="1:17" ht="18" customHeight="1" x14ac:dyDescent="0.3">
      <c r="A616" s="13" t="str">
        <f t="shared" si="36"/>
        <v/>
      </c>
      <c r="B616" s="14"/>
      <c r="C616" s="15" t="str">
        <f t="shared" si="37"/>
        <v/>
      </c>
      <c r="D616" s="13" t="str">
        <f t="shared" si="38"/>
        <v/>
      </c>
      <c r="E616" s="9"/>
      <c r="F616" s="9"/>
      <c r="G616" s="9"/>
      <c r="H616" s="9"/>
      <c r="I616" s="9"/>
      <c r="J616" s="16"/>
      <c r="K616" s="9"/>
      <c r="L616" s="9"/>
      <c r="M616" s="17" t="str">
        <f>IF(L616="","",IFERROR(INDEX(tbl_fatores_emissao[Valor],MATCH(L616,tbl_fatores_emissao[ID_FE],0)),""))</f>
        <v/>
      </c>
      <c r="N616" s="17" t="str">
        <f t="shared" si="39"/>
        <v/>
      </c>
      <c r="O616" s="9"/>
      <c r="P616" s="9"/>
      <c r="Q616" s="9"/>
    </row>
    <row r="617" spans="1:17" ht="18" customHeight="1" x14ac:dyDescent="0.3">
      <c r="A617" s="13" t="str">
        <f t="shared" si="36"/>
        <v/>
      </c>
      <c r="B617" s="14"/>
      <c r="C617" s="15" t="str">
        <f t="shared" si="37"/>
        <v/>
      </c>
      <c r="D617" s="13" t="str">
        <f t="shared" si="38"/>
        <v/>
      </c>
      <c r="E617" s="9"/>
      <c r="F617" s="9"/>
      <c r="G617" s="9"/>
      <c r="H617" s="9"/>
      <c r="I617" s="9"/>
      <c r="J617" s="16"/>
      <c r="K617" s="9"/>
      <c r="L617" s="9"/>
      <c r="M617" s="17" t="str">
        <f>IF(L617="","",IFERROR(INDEX(tbl_fatores_emissao[Valor],MATCH(L617,tbl_fatores_emissao[ID_FE],0)),""))</f>
        <v/>
      </c>
      <c r="N617" s="17" t="str">
        <f t="shared" si="39"/>
        <v/>
      </c>
      <c r="O617" s="9"/>
      <c r="P617" s="9"/>
      <c r="Q617" s="9"/>
    </row>
    <row r="618" spans="1:17" ht="18" customHeight="1" x14ac:dyDescent="0.3">
      <c r="A618" s="13" t="str">
        <f t="shared" si="36"/>
        <v/>
      </c>
      <c r="B618" s="14"/>
      <c r="C618" s="15" t="str">
        <f t="shared" si="37"/>
        <v/>
      </c>
      <c r="D618" s="13" t="str">
        <f t="shared" si="38"/>
        <v/>
      </c>
      <c r="E618" s="9"/>
      <c r="F618" s="9"/>
      <c r="G618" s="9"/>
      <c r="H618" s="9"/>
      <c r="I618" s="9"/>
      <c r="J618" s="16"/>
      <c r="K618" s="9"/>
      <c r="L618" s="9"/>
      <c r="M618" s="17" t="str">
        <f>IF(L618="","",IFERROR(INDEX(tbl_fatores_emissao[Valor],MATCH(L618,tbl_fatores_emissao[ID_FE],0)),""))</f>
        <v/>
      </c>
      <c r="N618" s="17" t="str">
        <f t="shared" si="39"/>
        <v/>
      </c>
      <c r="O618" s="9"/>
      <c r="P618" s="9"/>
      <c r="Q618" s="9"/>
    </row>
    <row r="619" spans="1:17" ht="18" customHeight="1" x14ac:dyDescent="0.3">
      <c r="A619" s="13" t="str">
        <f t="shared" si="36"/>
        <v/>
      </c>
      <c r="B619" s="14"/>
      <c r="C619" s="15" t="str">
        <f t="shared" si="37"/>
        <v/>
      </c>
      <c r="D619" s="13" t="str">
        <f t="shared" si="38"/>
        <v/>
      </c>
      <c r="E619" s="9"/>
      <c r="F619" s="9"/>
      <c r="G619" s="9"/>
      <c r="H619" s="9"/>
      <c r="I619" s="9"/>
      <c r="J619" s="16"/>
      <c r="K619" s="9"/>
      <c r="L619" s="9"/>
      <c r="M619" s="17" t="str">
        <f>IF(L619="","",IFERROR(INDEX(tbl_fatores_emissao[Valor],MATCH(L619,tbl_fatores_emissao[ID_FE],0)),""))</f>
        <v/>
      </c>
      <c r="N619" s="17" t="str">
        <f t="shared" si="39"/>
        <v/>
      </c>
      <c r="O619" s="9"/>
      <c r="P619" s="9"/>
      <c r="Q619" s="9"/>
    </row>
    <row r="620" spans="1:17" ht="18" customHeight="1" x14ac:dyDescent="0.3">
      <c r="A620" s="13" t="str">
        <f t="shared" si="36"/>
        <v/>
      </c>
      <c r="B620" s="14"/>
      <c r="C620" s="15" t="str">
        <f t="shared" si="37"/>
        <v/>
      </c>
      <c r="D620" s="13" t="str">
        <f t="shared" si="38"/>
        <v/>
      </c>
      <c r="E620" s="9"/>
      <c r="F620" s="9"/>
      <c r="G620" s="9"/>
      <c r="H620" s="9"/>
      <c r="I620" s="9"/>
      <c r="J620" s="16"/>
      <c r="K620" s="9"/>
      <c r="L620" s="9"/>
      <c r="M620" s="17" t="str">
        <f>IF(L620="","",IFERROR(INDEX(tbl_fatores_emissao[Valor],MATCH(L620,tbl_fatores_emissao[ID_FE],0)),""))</f>
        <v/>
      </c>
      <c r="N620" s="17" t="str">
        <f t="shared" si="39"/>
        <v/>
      </c>
      <c r="O620" s="9"/>
      <c r="P620" s="9"/>
      <c r="Q620" s="9"/>
    </row>
    <row r="621" spans="1:17" ht="18" customHeight="1" x14ac:dyDescent="0.3">
      <c r="A621" s="13" t="str">
        <f t="shared" si="36"/>
        <v/>
      </c>
      <c r="B621" s="14"/>
      <c r="C621" s="15" t="str">
        <f t="shared" si="37"/>
        <v/>
      </c>
      <c r="D621" s="13" t="str">
        <f t="shared" si="38"/>
        <v/>
      </c>
      <c r="E621" s="9"/>
      <c r="F621" s="9"/>
      <c r="G621" s="9"/>
      <c r="H621" s="9"/>
      <c r="I621" s="9"/>
      <c r="J621" s="16"/>
      <c r="K621" s="9"/>
      <c r="L621" s="9"/>
      <c r="M621" s="17" t="str">
        <f>IF(L621="","",IFERROR(INDEX(tbl_fatores_emissao[Valor],MATCH(L621,tbl_fatores_emissao[ID_FE],0)),""))</f>
        <v/>
      </c>
      <c r="N621" s="17" t="str">
        <f t="shared" si="39"/>
        <v/>
      </c>
      <c r="O621" s="9"/>
      <c r="P621" s="9"/>
      <c r="Q621" s="9"/>
    </row>
    <row r="622" spans="1:17" ht="18" customHeight="1" x14ac:dyDescent="0.3">
      <c r="A622" s="13" t="str">
        <f t="shared" si="36"/>
        <v/>
      </c>
      <c r="B622" s="14"/>
      <c r="C622" s="15" t="str">
        <f t="shared" si="37"/>
        <v/>
      </c>
      <c r="D622" s="13" t="str">
        <f t="shared" si="38"/>
        <v/>
      </c>
      <c r="E622" s="9"/>
      <c r="F622" s="9"/>
      <c r="G622" s="9"/>
      <c r="H622" s="9"/>
      <c r="I622" s="9"/>
      <c r="J622" s="16"/>
      <c r="K622" s="9"/>
      <c r="L622" s="9"/>
      <c r="M622" s="17" t="str">
        <f>IF(L622="","",IFERROR(INDEX(tbl_fatores_emissao[Valor],MATCH(L622,tbl_fatores_emissao[ID_FE],0)),""))</f>
        <v/>
      </c>
      <c r="N622" s="17" t="str">
        <f t="shared" si="39"/>
        <v/>
      </c>
      <c r="O622" s="9"/>
      <c r="P622" s="9"/>
      <c r="Q622" s="9"/>
    </row>
    <row r="623" spans="1:17" ht="18" customHeight="1" x14ac:dyDescent="0.3">
      <c r="A623" s="13" t="str">
        <f t="shared" si="36"/>
        <v/>
      </c>
      <c r="B623" s="14"/>
      <c r="C623" s="15" t="str">
        <f t="shared" si="37"/>
        <v/>
      </c>
      <c r="D623" s="13" t="str">
        <f t="shared" si="38"/>
        <v/>
      </c>
      <c r="E623" s="9"/>
      <c r="F623" s="9"/>
      <c r="G623" s="9"/>
      <c r="H623" s="9"/>
      <c r="I623" s="9"/>
      <c r="J623" s="16"/>
      <c r="K623" s="9"/>
      <c r="L623" s="9"/>
      <c r="M623" s="17" t="str">
        <f>IF(L623="","",IFERROR(INDEX(tbl_fatores_emissao[Valor],MATCH(L623,tbl_fatores_emissao[ID_FE],0)),""))</f>
        <v/>
      </c>
      <c r="N623" s="17" t="str">
        <f t="shared" si="39"/>
        <v/>
      </c>
      <c r="O623" s="9"/>
      <c r="P623" s="9"/>
      <c r="Q623" s="9"/>
    </row>
    <row r="624" spans="1:17" ht="18" customHeight="1" x14ac:dyDescent="0.3">
      <c r="A624" s="13" t="str">
        <f t="shared" si="36"/>
        <v/>
      </c>
      <c r="B624" s="14"/>
      <c r="C624" s="15" t="str">
        <f t="shared" si="37"/>
        <v/>
      </c>
      <c r="D624" s="13" t="str">
        <f t="shared" si="38"/>
        <v/>
      </c>
      <c r="E624" s="9"/>
      <c r="F624" s="9"/>
      <c r="G624" s="9"/>
      <c r="H624" s="9"/>
      <c r="I624" s="9"/>
      <c r="J624" s="16"/>
      <c r="K624" s="9"/>
      <c r="L624" s="9"/>
      <c r="M624" s="17" t="str">
        <f>IF(L624="","",IFERROR(INDEX(tbl_fatores_emissao[Valor],MATCH(L624,tbl_fatores_emissao[ID_FE],0)),""))</f>
        <v/>
      </c>
      <c r="N624" s="17" t="str">
        <f t="shared" si="39"/>
        <v/>
      </c>
      <c r="O624" s="9"/>
      <c r="P624" s="9"/>
      <c r="Q624" s="9"/>
    </row>
    <row r="625" spans="1:17" ht="18" customHeight="1" x14ac:dyDescent="0.3">
      <c r="A625" s="13" t="str">
        <f t="shared" si="36"/>
        <v/>
      </c>
      <c r="B625" s="14"/>
      <c r="C625" s="15" t="str">
        <f t="shared" si="37"/>
        <v/>
      </c>
      <c r="D625" s="13" t="str">
        <f t="shared" si="38"/>
        <v/>
      </c>
      <c r="E625" s="9"/>
      <c r="F625" s="9"/>
      <c r="G625" s="9"/>
      <c r="H625" s="9"/>
      <c r="I625" s="9"/>
      <c r="J625" s="16"/>
      <c r="K625" s="9"/>
      <c r="L625" s="9"/>
      <c r="M625" s="17" t="str">
        <f>IF(L625="","",IFERROR(INDEX(tbl_fatores_emissao[Valor],MATCH(L625,tbl_fatores_emissao[ID_FE],0)),""))</f>
        <v/>
      </c>
      <c r="N625" s="17" t="str">
        <f t="shared" si="39"/>
        <v/>
      </c>
      <c r="O625" s="9"/>
      <c r="P625" s="9"/>
      <c r="Q625" s="9"/>
    </row>
    <row r="626" spans="1:17" ht="18" customHeight="1" x14ac:dyDescent="0.3">
      <c r="A626" s="13" t="str">
        <f t="shared" si="36"/>
        <v/>
      </c>
      <c r="B626" s="14"/>
      <c r="C626" s="15" t="str">
        <f t="shared" si="37"/>
        <v/>
      </c>
      <c r="D626" s="13" t="str">
        <f t="shared" si="38"/>
        <v/>
      </c>
      <c r="E626" s="9"/>
      <c r="F626" s="9"/>
      <c r="G626" s="9"/>
      <c r="H626" s="9"/>
      <c r="I626" s="9"/>
      <c r="J626" s="16"/>
      <c r="K626" s="9"/>
      <c r="L626" s="9"/>
      <c r="M626" s="17" t="str">
        <f>IF(L626="","",IFERROR(INDEX(tbl_fatores_emissao[Valor],MATCH(L626,tbl_fatores_emissao[ID_FE],0)),""))</f>
        <v/>
      </c>
      <c r="N626" s="17" t="str">
        <f t="shared" si="39"/>
        <v/>
      </c>
      <c r="O626" s="9"/>
      <c r="P626" s="9"/>
      <c r="Q626" s="9"/>
    </row>
    <row r="627" spans="1:17" ht="18" customHeight="1" x14ac:dyDescent="0.3">
      <c r="A627" s="13" t="str">
        <f t="shared" si="36"/>
        <v/>
      </c>
      <c r="B627" s="14"/>
      <c r="C627" s="15" t="str">
        <f t="shared" si="37"/>
        <v/>
      </c>
      <c r="D627" s="13" t="str">
        <f t="shared" si="38"/>
        <v/>
      </c>
      <c r="E627" s="9"/>
      <c r="F627" s="9"/>
      <c r="G627" s="9"/>
      <c r="H627" s="9"/>
      <c r="I627" s="9"/>
      <c r="J627" s="16"/>
      <c r="K627" s="9"/>
      <c r="L627" s="9"/>
      <c r="M627" s="17" t="str">
        <f>IF(L627="","",IFERROR(INDEX(tbl_fatores_emissao[Valor],MATCH(L627,tbl_fatores_emissao[ID_FE],0)),""))</f>
        <v/>
      </c>
      <c r="N627" s="17" t="str">
        <f t="shared" si="39"/>
        <v/>
      </c>
      <c r="O627" s="9"/>
      <c r="P627" s="9"/>
      <c r="Q627" s="9"/>
    </row>
    <row r="628" spans="1:17" ht="18" customHeight="1" x14ac:dyDescent="0.3">
      <c r="A628" s="13" t="str">
        <f t="shared" si="36"/>
        <v/>
      </c>
      <c r="B628" s="14"/>
      <c r="C628" s="15" t="str">
        <f t="shared" si="37"/>
        <v/>
      </c>
      <c r="D628" s="13" t="str">
        <f t="shared" si="38"/>
        <v/>
      </c>
      <c r="E628" s="9"/>
      <c r="F628" s="9"/>
      <c r="G628" s="9"/>
      <c r="H628" s="9"/>
      <c r="I628" s="9"/>
      <c r="J628" s="16"/>
      <c r="K628" s="9"/>
      <c r="L628" s="9"/>
      <c r="M628" s="17" t="str">
        <f>IF(L628="","",IFERROR(INDEX(tbl_fatores_emissao[Valor],MATCH(L628,tbl_fatores_emissao[ID_FE],0)),""))</f>
        <v/>
      </c>
      <c r="N628" s="17" t="str">
        <f t="shared" si="39"/>
        <v/>
      </c>
      <c r="O628" s="9"/>
      <c r="P628" s="9"/>
      <c r="Q628" s="9"/>
    </row>
    <row r="629" spans="1:17" ht="18" customHeight="1" x14ac:dyDescent="0.3">
      <c r="A629" s="13" t="str">
        <f t="shared" si="36"/>
        <v/>
      </c>
      <c r="B629" s="14"/>
      <c r="C629" s="15" t="str">
        <f t="shared" si="37"/>
        <v/>
      </c>
      <c r="D629" s="13" t="str">
        <f t="shared" si="38"/>
        <v/>
      </c>
      <c r="E629" s="9"/>
      <c r="F629" s="9"/>
      <c r="G629" s="9"/>
      <c r="H629" s="9"/>
      <c r="I629" s="9"/>
      <c r="J629" s="16"/>
      <c r="K629" s="9"/>
      <c r="L629" s="9"/>
      <c r="M629" s="17" t="str">
        <f>IF(L629="","",IFERROR(INDEX(tbl_fatores_emissao[Valor],MATCH(L629,tbl_fatores_emissao[ID_FE],0)),""))</f>
        <v/>
      </c>
      <c r="N629" s="17" t="str">
        <f t="shared" si="39"/>
        <v/>
      </c>
      <c r="O629" s="9"/>
      <c r="P629" s="9"/>
      <c r="Q629" s="9"/>
    </row>
    <row r="630" spans="1:17" ht="18" customHeight="1" x14ac:dyDescent="0.3">
      <c r="A630" s="13" t="str">
        <f t="shared" si="36"/>
        <v/>
      </c>
      <c r="B630" s="14"/>
      <c r="C630" s="15" t="str">
        <f t="shared" si="37"/>
        <v/>
      </c>
      <c r="D630" s="13" t="str">
        <f t="shared" si="38"/>
        <v/>
      </c>
      <c r="E630" s="9"/>
      <c r="F630" s="9"/>
      <c r="G630" s="9"/>
      <c r="H630" s="9"/>
      <c r="I630" s="9"/>
      <c r="J630" s="16"/>
      <c r="K630" s="9"/>
      <c r="L630" s="9"/>
      <c r="M630" s="17" t="str">
        <f>IF(L630="","",IFERROR(INDEX(tbl_fatores_emissao[Valor],MATCH(L630,tbl_fatores_emissao[ID_FE],0)),""))</f>
        <v/>
      </c>
      <c r="N630" s="17" t="str">
        <f t="shared" si="39"/>
        <v/>
      </c>
      <c r="O630" s="9"/>
      <c r="P630" s="9"/>
      <c r="Q630" s="9"/>
    </row>
    <row r="631" spans="1:17" ht="18" customHeight="1" x14ac:dyDescent="0.3">
      <c r="A631" s="13" t="str">
        <f t="shared" si="36"/>
        <v/>
      </c>
      <c r="B631" s="14"/>
      <c r="C631" s="15" t="str">
        <f t="shared" si="37"/>
        <v/>
      </c>
      <c r="D631" s="13" t="str">
        <f t="shared" si="38"/>
        <v/>
      </c>
      <c r="E631" s="9"/>
      <c r="F631" s="9"/>
      <c r="G631" s="9"/>
      <c r="H631" s="9"/>
      <c r="I631" s="9"/>
      <c r="J631" s="16"/>
      <c r="K631" s="9"/>
      <c r="L631" s="9"/>
      <c r="M631" s="17" t="str">
        <f>IF(L631="","",IFERROR(INDEX(tbl_fatores_emissao[Valor],MATCH(L631,tbl_fatores_emissao[ID_FE],0)),""))</f>
        <v/>
      </c>
      <c r="N631" s="17" t="str">
        <f t="shared" si="39"/>
        <v/>
      </c>
      <c r="O631" s="9"/>
      <c r="P631" s="9"/>
      <c r="Q631" s="9"/>
    </row>
    <row r="632" spans="1:17" ht="18" customHeight="1" x14ac:dyDescent="0.3">
      <c r="A632" s="13" t="str">
        <f t="shared" si="36"/>
        <v/>
      </c>
      <c r="B632" s="14"/>
      <c r="C632" s="15" t="str">
        <f t="shared" si="37"/>
        <v/>
      </c>
      <c r="D632" s="13" t="str">
        <f t="shared" si="38"/>
        <v/>
      </c>
      <c r="E632" s="9"/>
      <c r="F632" s="9"/>
      <c r="G632" s="9"/>
      <c r="H632" s="9"/>
      <c r="I632" s="9"/>
      <c r="J632" s="16"/>
      <c r="K632" s="9"/>
      <c r="L632" s="9"/>
      <c r="M632" s="17" t="str">
        <f>IF(L632="","",IFERROR(INDEX(tbl_fatores_emissao[Valor],MATCH(L632,tbl_fatores_emissao[ID_FE],0)),""))</f>
        <v/>
      </c>
      <c r="N632" s="17" t="str">
        <f t="shared" si="39"/>
        <v/>
      </c>
      <c r="O632" s="9"/>
      <c r="P632" s="9"/>
      <c r="Q632" s="9"/>
    </row>
    <row r="633" spans="1:17" ht="18" customHeight="1" x14ac:dyDescent="0.3">
      <c r="A633" s="13" t="str">
        <f t="shared" si="36"/>
        <v/>
      </c>
      <c r="B633" s="14"/>
      <c r="C633" s="15" t="str">
        <f t="shared" si="37"/>
        <v/>
      </c>
      <c r="D633" s="13" t="str">
        <f t="shared" si="38"/>
        <v/>
      </c>
      <c r="E633" s="9"/>
      <c r="F633" s="9"/>
      <c r="G633" s="9"/>
      <c r="H633" s="9"/>
      <c r="I633" s="9"/>
      <c r="J633" s="16"/>
      <c r="K633" s="9"/>
      <c r="L633" s="9"/>
      <c r="M633" s="17" t="str">
        <f>IF(L633="","",IFERROR(INDEX(tbl_fatores_emissao[Valor],MATCH(L633,tbl_fatores_emissao[ID_FE],0)),""))</f>
        <v/>
      </c>
      <c r="N633" s="17" t="str">
        <f t="shared" si="39"/>
        <v/>
      </c>
      <c r="O633" s="9"/>
      <c r="P633" s="9"/>
      <c r="Q633" s="9"/>
    </row>
    <row r="634" spans="1:17" ht="18" customHeight="1" x14ac:dyDescent="0.3">
      <c r="A634" s="13" t="str">
        <f t="shared" si="36"/>
        <v/>
      </c>
      <c r="B634" s="14"/>
      <c r="C634" s="15" t="str">
        <f t="shared" si="37"/>
        <v/>
      </c>
      <c r="D634" s="13" t="str">
        <f t="shared" si="38"/>
        <v/>
      </c>
      <c r="E634" s="9"/>
      <c r="F634" s="9"/>
      <c r="G634" s="9"/>
      <c r="H634" s="9"/>
      <c r="I634" s="9"/>
      <c r="J634" s="16"/>
      <c r="K634" s="9"/>
      <c r="L634" s="9"/>
      <c r="M634" s="17" t="str">
        <f>IF(L634="","",IFERROR(INDEX(tbl_fatores_emissao[Valor],MATCH(L634,tbl_fatores_emissao[ID_FE],0)),""))</f>
        <v/>
      </c>
      <c r="N634" s="17" t="str">
        <f t="shared" si="39"/>
        <v/>
      </c>
      <c r="O634" s="9"/>
      <c r="P634" s="9"/>
      <c r="Q634" s="9"/>
    </row>
    <row r="635" spans="1:17" ht="18" customHeight="1" x14ac:dyDescent="0.3">
      <c r="A635" s="13" t="str">
        <f t="shared" si="36"/>
        <v/>
      </c>
      <c r="B635" s="14"/>
      <c r="C635" s="15" t="str">
        <f t="shared" si="37"/>
        <v/>
      </c>
      <c r="D635" s="13" t="str">
        <f t="shared" si="38"/>
        <v/>
      </c>
      <c r="E635" s="9"/>
      <c r="F635" s="9"/>
      <c r="G635" s="9"/>
      <c r="H635" s="9"/>
      <c r="I635" s="9"/>
      <c r="J635" s="16"/>
      <c r="K635" s="9"/>
      <c r="L635" s="9"/>
      <c r="M635" s="17" t="str">
        <f>IF(L635="","",IFERROR(INDEX(tbl_fatores_emissao[Valor],MATCH(L635,tbl_fatores_emissao[ID_FE],0)),""))</f>
        <v/>
      </c>
      <c r="N635" s="17" t="str">
        <f t="shared" si="39"/>
        <v/>
      </c>
      <c r="O635" s="9"/>
      <c r="P635" s="9"/>
      <c r="Q635" s="9"/>
    </row>
    <row r="636" spans="1:17" ht="18" customHeight="1" x14ac:dyDescent="0.3">
      <c r="A636" s="13" t="str">
        <f t="shared" si="36"/>
        <v/>
      </c>
      <c r="B636" s="14"/>
      <c r="C636" s="15" t="str">
        <f t="shared" si="37"/>
        <v/>
      </c>
      <c r="D636" s="13" t="str">
        <f t="shared" si="38"/>
        <v/>
      </c>
      <c r="E636" s="9"/>
      <c r="F636" s="9"/>
      <c r="G636" s="9"/>
      <c r="H636" s="9"/>
      <c r="I636" s="9"/>
      <c r="J636" s="16"/>
      <c r="K636" s="9"/>
      <c r="L636" s="9"/>
      <c r="M636" s="17" t="str">
        <f>IF(L636="","",IFERROR(INDEX(tbl_fatores_emissao[Valor],MATCH(L636,tbl_fatores_emissao[ID_FE],0)),""))</f>
        <v/>
      </c>
      <c r="N636" s="17" t="str">
        <f t="shared" si="39"/>
        <v/>
      </c>
      <c r="O636" s="9"/>
      <c r="P636" s="9"/>
      <c r="Q636" s="9"/>
    </row>
    <row r="637" spans="1:17" ht="18" customHeight="1" x14ac:dyDescent="0.3">
      <c r="A637" s="13" t="str">
        <f t="shared" si="36"/>
        <v/>
      </c>
      <c r="B637" s="14"/>
      <c r="C637" s="15" t="str">
        <f t="shared" si="37"/>
        <v/>
      </c>
      <c r="D637" s="13" t="str">
        <f t="shared" si="38"/>
        <v/>
      </c>
      <c r="E637" s="9"/>
      <c r="F637" s="9"/>
      <c r="G637" s="9"/>
      <c r="H637" s="9"/>
      <c r="I637" s="9"/>
      <c r="J637" s="16"/>
      <c r="K637" s="9"/>
      <c r="L637" s="9"/>
      <c r="M637" s="17" t="str">
        <f>IF(L637="","",IFERROR(INDEX(tbl_fatores_emissao[Valor],MATCH(L637,tbl_fatores_emissao[ID_FE],0)),""))</f>
        <v/>
      </c>
      <c r="N637" s="17" t="str">
        <f t="shared" si="39"/>
        <v/>
      </c>
      <c r="O637" s="9"/>
      <c r="P637" s="9"/>
      <c r="Q637" s="9"/>
    </row>
    <row r="638" spans="1:17" ht="18" customHeight="1" x14ac:dyDescent="0.3">
      <c r="A638" s="13" t="str">
        <f t="shared" si="36"/>
        <v/>
      </c>
      <c r="B638" s="14"/>
      <c r="C638" s="15" t="str">
        <f t="shared" si="37"/>
        <v/>
      </c>
      <c r="D638" s="13" t="str">
        <f t="shared" si="38"/>
        <v/>
      </c>
      <c r="E638" s="9"/>
      <c r="F638" s="9"/>
      <c r="G638" s="9"/>
      <c r="H638" s="9"/>
      <c r="I638" s="9"/>
      <c r="J638" s="16"/>
      <c r="K638" s="9"/>
      <c r="L638" s="9"/>
      <c r="M638" s="17" t="str">
        <f>IF(L638="","",IFERROR(INDEX(tbl_fatores_emissao[Valor],MATCH(L638,tbl_fatores_emissao[ID_FE],0)),""))</f>
        <v/>
      </c>
      <c r="N638" s="17" t="str">
        <f t="shared" si="39"/>
        <v/>
      </c>
      <c r="O638" s="9"/>
      <c r="P638" s="9"/>
      <c r="Q638" s="9"/>
    </row>
    <row r="639" spans="1:17" ht="18" customHeight="1" x14ac:dyDescent="0.3">
      <c r="A639" s="13" t="str">
        <f t="shared" si="36"/>
        <v/>
      </c>
      <c r="B639" s="14"/>
      <c r="C639" s="15" t="str">
        <f t="shared" si="37"/>
        <v/>
      </c>
      <c r="D639" s="13" t="str">
        <f t="shared" si="38"/>
        <v/>
      </c>
      <c r="E639" s="9"/>
      <c r="F639" s="9"/>
      <c r="G639" s="9"/>
      <c r="H639" s="9"/>
      <c r="I639" s="9"/>
      <c r="J639" s="16"/>
      <c r="K639" s="9"/>
      <c r="L639" s="9"/>
      <c r="M639" s="17" t="str">
        <f>IF(L639="","",IFERROR(INDEX(tbl_fatores_emissao[Valor],MATCH(L639,tbl_fatores_emissao[ID_FE],0)),""))</f>
        <v/>
      </c>
      <c r="N639" s="17" t="str">
        <f t="shared" si="39"/>
        <v/>
      </c>
      <c r="O639" s="9"/>
      <c r="P639" s="9"/>
      <c r="Q639" s="9"/>
    </row>
    <row r="640" spans="1:17" ht="18" customHeight="1" x14ac:dyDescent="0.3">
      <c r="A640" s="13" t="str">
        <f t="shared" si="36"/>
        <v/>
      </c>
      <c r="B640" s="14"/>
      <c r="C640" s="15" t="str">
        <f t="shared" si="37"/>
        <v/>
      </c>
      <c r="D640" s="13" t="str">
        <f t="shared" si="38"/>
        <v/>
      </c>
      <c r="E640" s="9"/>
      <c r="F640" s="9"/>
      <c r="G640" s="9"/>
      <c r="H640" s="9"/>
      <c r="I640" s="9"/>
      <c r="J640" s="16"/>
      <c r="K640" s="9"/>
      <c r="L640" s="9"/>
      <c r="M640" s="17" t="str">
        <f>IF(L640="","",IFERROR(INDEX(tbl_fatores_emissao[Valor],MATCH(L640,tbl_fatores_emissao[ID_FE],0)),""))</f>
        <v/>
      </c>
      <c r="N640" s="17" t="str">
        <f t="shared" si="39"/>
        <v/>
      </c>
      <c r="O640" s="9"/>
      <c r="P640" s="9"/>
      <c r="Q640" s="9"/>
    </row>
    <row r="641" spans="1:17" ht="18" customHeight="1" x14ac:dyDescent="0.3">
      <c r="A641" s="13" t="str">
        <f t="shared" si="36"/>
        <v/>
      </c>
      <c r="B641" s="14"/>
      <c r="C641" s="15" t="str">
        <f t="shared" si="37"/>
        <v/>
      </c>
      <c r="D641" s="13" t="str">
        <f t="shared" si="38"/>
        <v/>
      </c>
      <c r="E641" s="9"/>
      <c r="F641" s="9"/>
      <c r="G641" s="9"/>
      <c r="H641" s="9"/>
      <c r="I641" s="9"/>
      <c r="J641" s="16"/>
      <c r="K641" s="9"/>
      <c r="L641" s="9"/>
      <c r="M641" s="17" t="str">
        <f>IF(L641="","",IFERROR(INDEX(tbl_fatores_emissao[Valor],MATCH(L641,tbl_fatores_emissao[ID_FE],0)),""))</f>
        <v/>
      </c>
      <c r="N641" s="17" t="str">
        <f t="shared" si="39"/>
        <v/>
      </c>
      <c r="O641" s="9"/>
      <c r="P641" s="9"/>
      <c r="Q641" s="9"/>
    </row>
    <row r="642" spans="1:17" ht="18" customHeight="1" x14ac:dyDescent="0.3">
      <c r="A642" s="13" t="str">
        <f t="shared" si="36"/>
        <v/>
      </c>
      <c r="B642" s="14"/>
      <c r="C642" s="15" t="str">
        <f t="shared" si="37"/>
        <v/>
      </c>
      <c r="D642" s="13" t="str">
        <f t="shared" si="38"/>
        <v/>
      </c>
      <c r="E642" s="9"/>
      <c r="F642" s="9"/>
      <c r="G642" s="9"/>
      <c r="H642" s="9"/>
      <c r="I642" s="9"/>
      <c r="J642" s="16"/>
      <c r="K642" s="9"/>
      <c r="L642" s="9"/>
      <c r="M642" s="17" t="str">
        <f>IF(L642="","",IFERROR(INDEX(tbl_fatores_emissao[Valor],MATCH(L642,tbl_fatores_emissao[ID_FE],0)),""))</f>
        <v/>
      </c>
      <c r="N642" s="17" t="str">
        <f t="shared" si="39"/>
        <v/>
      </c>
      <c r="O642" s="9"/>
      <c r="P642" s="9"/>
      <c r="Q642" s="9"/>
    </row>
    <row r="643" spans="1:17" ht="18" customHeight="1" x14ac:dyDescent="0.3">
      <c r="A643" s="13" t="str">
        <f t="shared" si="36"/>
        <v/>
      </c>
      <c r="B643" s="14"/>
      <c r="C643" s="15" t="str">
        <f t="shared" si="37"/>
        <v/>
      </c>
      <c r="D643" s="13" t="str">
        <f t="shared" si="38"/>
        <v/>
      </c>
      <c r="E643" s="9"/>
      <c r="F643" s="9"/>
      <c r="G643" s="9"/>
      <c r="H643" s="9"/>
      <c r="I643" s="9"/>
      <c r="J643" s="16"/>
      <c r="K643" s="9"/>
      <c r="L643" s="9"/>
      <c r="M643" s="17" t="str">
        <f>IF(L643="","",IFERROR(INDEX(tbl_fatores_emissao[Valor],MATCH(L643,tbl_fatores_emissao[ID_FE],0)),""))</f>
        <v/>
      </c>
      <c r="N643" s="17" t="str">
        <f t="shared" si="39"/>
        <v/>
      </c>
      <c r="O643" s="9"/>
      <c r="P643" s="9"/>
      <c r="Q643" s="9"/>
    </row>
    <row r="644" spans="1:17" ht="18" customHeight="1" x14ac:dyDescent="0.3">
      <c r="A644" s="13" t="str">
        <f t="shared" si="36"/>
        <v/>
      </c>
      <c r="B644" s="14"/>
      <c r="C644" s="15" t="str">
        <f t="shared" si="37"/>
        <v/>
      </c>
      <c r="D644" s="13" t="str">
        <f t="shared" si="38"/>
        <v/>
      </c>
      <c r="E644" s="9"/>
      <c r="F644" s="9"/>
      <c r="G644" s="9"/>
      <c r="H644" s="9"/>
      <c r="I644" s="9"/>
      <c r="J644" s="16"/>
      <c r="K644" s="9"/>
      <c r="L644" s="9"/>
      <c r="M644" s="17" t="str">
        <f>IF(L644="","",IFERROR(INDEX(tbl_fatores_emissao[Valor],MATCH(L644,tbl_fatores_emissao[ID_FE],0)),""))</f>
        <v/>
      </c>
      <c r="N644" s="17" t="str">
        <f t="shared" si="39"/>
        <v/>
      </c>
      <c r="O644" s="9"/>
      <c r="P644" s="9"/>
      <c r="Q644" s="9"/>
    </row>
  </sheetData>
  <conditionalFormatting sqref="E5:E844">
    <cfRule type="expression" dxfId="14" priority="3">
      <formula>ISNUMBER(SEARCH("1",E5))</formula>
    </cfRule>
    <cfRule type="expression" dxfId="13" priority="4">
      <formula>ISNUMBER(SEARCH("2",E5))</formula>
    </cfRule>
    <cfRule type="expression" dxfId="12" priority="5">
      <formula>ISNUMBER(SEARCH("3",E5))</formula>
    </cfRule>
  </conditionalFormatting>
  <conditionalFormatting sqref="O5:O844">
    <cfRule type="expression" dxfId="11" priority="1">
      <formula>ISNUMBER(SEARCH("Estimado",O5))</formula>
    </cfRule>
    <cfRule type="expression" dxfId="10" priority="2">
      <formula>ISNUMBER(SEARCH("Medido",O5))</formula>
    </cfRule>
  </conditionalFormatting>
  <dataValidations count="3">
    <dataValidation type="list" allowBlank="1" showErrorMessage="1" errorTitle="Valor inválido" error="Valor fora da lista controlada (ver folha Listas)." sqref="E5:E844" xr:uid="{00000000-0002-0000-0200-000000000000}">
      <formula1>lst_Ambito</formula1>
    </dataValidation>
    <dataValidation type="list" allowBlank="1" showErrorMessage="1" errorTitle="Valor inválido" error="Valor fora da lista controlada (ver folha Listas)." sqref="I5:I844" xr:uid="{00000000-0002-0000-0200-000001000000}">
      <formula1>lst_Metodo</formula1>
    </dataValidation>
    <dataValidation type="list" allowBlank="1" showErrorMessage="1" errorTitle="Valor inválido" error="Valor fora da lista controlada (ver folha Listas)." sqref="O5:O844" xr:uid="{00000000-0002-0000-0200-000002000000}">
      <formula1>lst_QualidadeDado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L4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44" customWidth="1"/>
    <col min="3" max="3" width="14" customWidth="1"/>
    <col min="4" max="4" width="11" customWidth="1"/>
    <col min="5" max="5" width="14" customWidth="1"/>
    <col min="6" max="6" width="3" customWidth="1"/>
    <col min="7" max="7" width="46" customWidth="1"/>
    <col min="8" max="8" width="14" customWidth="1"/>
    <col min="9" max="9" width="16" customWidth="1"/>
    <col min="10" max="10" width="3" customWidth="1"/>
    <col min="11" max="12" width="14" customWidth="1"/>
  </cols>
  <sheetData>
    <row r="1" spans="1:12" ht="17.399999999999999" x14ac:dyDescent="0.3">
      <c r="A1" s="1" t="s">
        <v>267</v>
      </c>
    </row>
    <row r="2" spans="1:12" x14ac:dyDescent="0.3">
      <c r="A2" s="2" t="s">
        <v>268</v>
      </c>
    </row>
    <row r="4" spans="1:12" x14ac:dyDescent="0.3">
      <c r="A4" s="3" t="s">
        <v>269</v>
      </c>
      <c r="B4" s="4"/>
      <c r="C4" s="4"/>
      <c r="D4" s="4"/>
      <c r="E4" s="4"/>
      <c r="G4" s="3" t="s">
        <v>270</v>
      </c>
      <c r="H4" s="4"/>
      <c r="I4" s="4"/>
      <c r="J4" s="4"/>
      <c r="K4" s="4"/>
      <c r="L4" s="4"/>
    </row>
    <row r="5" spans="1:12" x14ac:dyDescent="0.3">
      <c r="A5" s="18" t="s">
        <v>271</v>
      </c>
      <c r="B5" s="19" t="s">
        <v>272</v>
      </c>
      <c r="G5" s="20" t="s">
        <v>273</v>
      </c>
      <c r="H5" s="21">
        <v>0.1</v>
      </c>
    </row>
    <row r="6" spans="1:12" ht="26.4" x14ac:dyDescent="0.3">
      <c r="G6" s="20" t="s">
        <v>274</v>
      </c>
      <c r="H6" s="21">
        <v>0.15</v>
      </c>
    </row>
    <row r="7" spans="1:12" x14ac:dyDescent="0.3">
      <c r="A7" s="3" t="s">
        <v>275</v>
      </c>
      <c r="B7" s="4"/>
      <c r="C7" s="4"/>
      <c r="D7" s="4"/>
      <c r="E7" s="4"/>
      <c r="G7" s="20" t="s">
        <v>276</v>
      </c>
      <c r="H7" s="22">
        <v>1400</v>
      </c>
    </row>
    <row r="8" spans="1:12" ht="26.4" x14ac:dyDescent="0.3">
      <c r="A8" s="8" t="s">
        <v>277</v>
      </c>
      <c r="B8" s="8" t="s">
        <v>278</v>
      </c>
      <c r="C8" s="8" t="s">
        <v>279</v>
      </c>
      <c r="D8" s="8" t="s">
        <v>280</v>
      </c>
      <c r="E8" s="8" t="s">
        <v>281</v>
      </c>
      <c r="G8" s="20" t="s">
        <v>282</v>
      </c>
      <c r="H8" s="21">
        <v>1</v>
      </c>
    </row>
    <row r="9" spans="1:12" x14ac:dyDescent="0.3">
      <c r="A9" s="20" t="s">
        <v>182</v>
      </c>
      <c r="B9" s="20" t="s">
        <v>183</v>
      </c>
      <c r="C9" s="23">
        <f>IF($B$5="Ano-base 2025/26 (set/2025–ago/2026)",SUMIFS(tbl_inventario_gee[tCO2e],tbl_inventario_gee[Ambito],"1",tbl_inventario_gee[Categoria],"Combustão móvel (viaturas)",tbl_inventario_gee[Periodo_Reporte],"2025/26"),IF($B$5="Ano civil 2025 (mar–dez)",SUMIFS(tbl_inventario_gee[tCO2e],tbl_inventario_gee[Ambito],"1",tbl_inventario_gee[Categoria],"Combustão móvel (viaturas)",tbl_inventario_gee[Ano],2025),IF($B$5="Ano de reporte 2026 (jan–dez)",SUMIFS(tbl_inventario_gee[tCO2e],tbl_inventario_gee[Ambito],"1",tbl_inventario_gee[Categoria],"Combustão móvel (viaturas)",tbl_inventario_gee[Ano],2026),SUMIFS(tbl_inventario_gee[tCO2e],tbl_inventario_gee[Ambito],"1",tbl_inventario_gee[Categoria],"Combustão móvel (viaturas)"))))</f>
        <v>8.536999999999999</v>
      </c>
      <c r="D9" s="24">
        <f>IFERROR(C9/$C$27,"")</f>
        <v>2.2878033577138795E-3</v>
      </c>
      <c r="E9" s="23">
        <f>SUMIFS(tbl_inventario_gee[tCO2e],tbl_inventario_gee[Ambito],"1",tbl_inventario_gee[Categoria],"Combustão móvel (viaturas)",tbl_inventario_gee[Periodo_Reporte],"2025/26")</f>
        <v>8.3729999999999993</v>
      </c>
      <c r="G9" s="20" t="s">
        <v>283</v>
      </c>
      <c r="H9" s="21">
        <v>0.3</v>
      </c>
    </row>
    <row r="10" spans="1:12" x14ac:dyDescent="0.3">
      <c r="A10" s="20" t="s">
        <v>182</v>
      </c>
      <c r="B10" s="20" t="s">
        <v>191</v>
      </c>
      <c r="C10" s="23">
        <f>IF($B$5="Ano-base 2025/26 (set/2025–ago/2026)",SUMIFS(tbl_inventario_gee[tCO2e],tbl_inventario_gee[Ambito],"1",tbl_inventario_gee[Categoria],"Combustão estacionária (gerador)",tbl_inventario_gee[Periodo_Reporte],"2025/26"),IF($B$5="Ano civil 2025 (mar–dez)",SUMIFS(tbl_inventario_gee[tCO2e],tbl_inventario_gee[Ambito],"1",tbl_inventario_gee[Categoria],"Combustão estacionária (gerador)",tbl_inventario_gee[Ano],2025),IF($B$5="Ano de reporte 2026 (jan–dez)",SUMIFS(tbl_inventario_gee[tCO2e],tbl_inventario_gee[Ambito],"1",tbl_inventario_gee[Categoria],"Combustão estacionária (gerador)",tbl_inventario_gee[Ano],2026),SUMIFS(tbl_inventario_gee[tCO2e],tbl_inventario_gee[Ambito],"1",tbl_inventario_gee[Categoria],"Combustão estacionária (gerador)"))))</f>
        <v>0.58099999999999996</v>
      </c>
      <c r="D10" s="24">
        <f>IFERROR(C10/$C$27,"")</f>
        <v>1.5570033393835821E-4</v>
      </c>
      <c r="E10" s="23">
        <f>SUMIFS(tbl_inventario_gee[tCO2e],tbl_inventario_gee[Ambito],"1",tbl_inventario_gee[Categoria],"Combustão estacionária (gerador)",tbl_inventario_gee[Periodo_Reporte],"2025/26")</f>
        <v>0.57299999999999995</v>
      </c>
      <c r="G10" s="20" t="s">
        <v>284</v>
      </c>
      <c r="H10" s="21">
        <v>0.05</v>
      </c>
    </row>
    <row r="11" spans="1:12" ht="26.4" x14ac:dyDescent="0.3">
      <c r="A11" s="20" t="s">
        <v>182</v>
      </c>
      <c r="B11" s="20" t="s">
        <v>196</v>
      </c>
      <c r="C11" s="23">
        <f>IF($B$5="Ano-base 2025/26 (set/2025–ago/2026)",SUMIFS(tbl_inventario_gee[tCO2e],tbl_inventario_gee[Ambito],"1",tbl_inventario_gee[Categoria],"Emissões fugitivas (gases fluorados)",tbl_inventario_gee[Periodo_Reporte],"2025/26"),IF($B$5="Ano civil 2025 (mar–dez)",SUMIFS(tbl_inventario_gee[tCO2e],tbl_inventario_gee[Ambito],"1",tbl_inventario_gee[Categoria],"Emissões fugitivas (gases fluorados)",tbl_inventario_gee[Ano],2025),IF($B$5="Ano de reporte 2026 (jan–dez)",SUMIFS(tbl_inventario_gee[tCO2e],tbl_inventario_gee[Ambito],"1",tbl_inventario_gee[Categoria],"Emissões fugitivas (gases fluorados)",tbl_inventario_gee[Ano],2026),SUMIFS(tbl_inventario_gee[tCO2e],tbl_inventario_gee[Ambito],"1",tbl_inventario_gee[Categoria],"Emissões fugitivas (gases fluorados)"))))</f>
        <v>0</v>
      </c>
      <c r="D11" s="24">
        <f>IFERROR(C11/$C$27,"")</f>
        <v>0</v>
      </c>
      <c r="E11" s="23">
        <f>SUMIFS(tbl_inventario_gee[tCO2e],tbl_inventario_gee[Ambito],"1",tbl_inventario_gee[Categoria],"Emissões fugitivas (gases fluorados)",tbl_inventario_gee[Periodo_Reporte],"2025/26")</f>
        <v>6.6820000000000004</v>
      </c>
      <c r="G11" s="20" t="s">
        <v>285</v>
      </c>
      <c r="H11" s="22">
        <v>675</v>
      </c>
    </row>
    <row r="12" spans="1:12" x14ac:dyDescent="0.3">
      <c r="A12" s="20" t="s">
        <v>201</v>
      </c>
      <c r="B12" s="20" t="s">
        <v>286</v>
      </c>
      <c r="C12" s="23">
        <f>IF($B$5="Ano-base 2025/26 (set/2025–ago/2026)",SUMIFS(tbl_inventario_gee[tCO2e],tbl_inventario_gee[Ambito],"2",tbl_inventario_gee[Categoria],"Eletricidade adquirida",tbl_inventario_gee[Metodo_Ambito2],"Location-based",tbl_inventario_gee[Periodo_Reporte],"2025/26"),IF($B$5="Ano civil 2025 (mar–dez)",SUMIFS(tbl_inventario_gee[tCO2e],tbl_inventario_gee[Ambito],"2",tbl_inventario_gee[Categoria],"Eletricidade adquirida",tbl_inventario_gee[Metodo_Ambito2],"Location-based",tbl_inventario_gee[Ano],2025),IF($B$5="Ano de reporte 2026 (jan–dez)",SUMIFS(tbl_inventario_gee[tCO2e],tbl_inventario_gee[Ambito],"2",tbl_inventario_gee[Categoria],"Eletricidade adquirida",tbl_inventario_gee[Metodo_Ambito2],"Location-based",tbl_inventario_gee[Ano],2026),SUMIFS(tbl_inventario_gee[tCO2e],tbl_inventario_gee[Ambito],"2",tbl_inventario_gee[Categoria],"Eletricidade adquirida",tbl_inventario_gee[Metodo_Ambito2],"Location-based"))))</f>
        <v>855.95099999999979</v>
      </c>
      <c r="D12" s="20" t="s">
        <v>287</v>
      </c>
      <c r="E12" s="23">
        <f>SUMIFS(tbl_inventario_gee[tCO2e],tbl_inventario_gee[Ambito],"2",tbl_inventario_gee[Categoria],"Eletricidade adquirida",tbl_inventario_gee[Metodo_Ambito2],"Location-based",tbl_inventario_gee[Periodo_Reporte],"2025/26")</f>
        <v>793.30400000000009</v>
      </c>
      <c r="G12" s="20" t="s">
        <v>288</v>
      </c>
      <c r="H12" s="25">
        <v>1.5</v>
      </c>
    </row>
    <row r="13" spans="1:12" x14ac:dyDescent="0.3">
      <c r="A13" s="20" t="s">
        <v>201</v>
      </c>
      <c r="B13" s="20" t="s">
        <v>289</v>
      </c>
      <c r="C13" s="23">
        <f>IF($B$5="Ano-base 2025/26 (set/2025–ago/2026)",SUMIFS(tbl_inventario_gee[tCO2e],tbl_inventario_gee[Ambito],"2",tbl_inventario_gee[Categoria],"Eletricidade adquirida",tbl_inventario_gee[Metodo_Ambito2],"Market-based",tbl_inventario_gee[Periodo_Reporte],"2025/26"),IF($B$5="Ano civil 2025 (mar–dez)",SUMIFS(tbl_inventario_gee[tCO2e],tbl_inventario_gee[Ambito],"2",tbl_inventario_gee[Categoria],"Eletricidade adquirida",tbl_inventario_gee[Metodo_Ambito2],"Market-based",tbl_inventario_gee[Ano],2025),IF($B$5="Ano de reporte 2026 (jan–dez)",SUMIFS(tbl_inventario_gee[tCO2e],tbl_inventario_gee[Ambito],"2",tbl_inventario_gee[Categoria],"Eletricidade adquirida",tbl_inventario_gee[Metodo_Ambito2],"Market-based",tbl_inventario_gee[Ano],2026),SUMIFS(tbl_inventario_gee[tCO2e],tbl_inventario_gee[Ambito],"2",tbl_inventario_gee[Categoria],"Eletricidade adquirida",tbl_inventario_gee[Metodo_Ambito2],"Market-based"))))</f>
        <v>875.40499999999997</v>
      </c>
      <c r="D13" s="24">
        <f t="shared" ref="D13:D25" si="0">IFERROR(C13/$C$27,"")</f>
        <v>0.23459698938263074</v>
      </c>
      <c r="E13" s="23">
        <f>SUMIFS(tbl_inventario_gee[tCO2e],tbl_inventario_gee[Ambito],"2",tbl_inventario_gee[Categoria],"Eletricidade adquirida",tbl_inventario_gee[Metodo_Ambito2],"Market-based",tbl_inventario_gee[Periodo_Reporte],"2025/26")</f>
        <v>811.33400000000006</v>
      </c>
      <c r="G13" s="20" t="s">
        <v>290</v>
      </c>
      <c r="H13" s="21">
        <v>0.5</v>
      </c>
    </row>
    <row r="14" spans="1:12" x14ac:dyDescent="0.3">
      <c r="A14" s="20" t="s">
        <v>214</v>
      </c>
      <c r="B14" s="20" t="s">
        <v>215</v>
      </c>
      <c r="C14" s="23">
        <f>IF($B$5="Ano-base 2025/26 (set/2025–ago/2026)",SUMIFS(tbl_inventario_gee[tCO2e],tbl_inventario_gee[Ambito],"3",tbl_inventario_gee[Categoria],"C1 Bens e serviços adquiridos",tbl_inventario_gee[Periodo_Reporte],"2025/26"),IF($B$5="Ano civil 2025 (mar–dez)",SUMIFS(tbl_inventario_gee[tCO2e],tbl_inventario_gee[Ambito],"3",tbl_inventario_gee[Categoria],"C1 Bens e serviços adquiridos",tbl_inventario_gee[Ano],2025),IF($B$5="Ano de reporte 2026 (jan–dez)",SUMIFS(tbl_inventario_gee[tCO2e],tbl_inventario_gee[Ambito],"3",tbl_inventario_gee[Categoria],"C1 Bens e serviços adquiridos",tbl_inventario_gee[Ano],2026),SUMIFS(tbl_inventario_gee[tCO2e],tbl_inventario_gee[Ambito],"3",tbl_inventario_gee[Categoria],"C1 Bens e serviços adquiridos"))))</f>
        <v>1586.6190000000001</v>
      </c>
      <c r="D14" s="24">
        <f t="shared" si="0"/>
        <v>0.42519295719955935</v>
      </c>
      <c r="E14" s="23">
        <f>SUMIFS(tbl_inventario_gee[tCO2e],tbl_inventario_gee[Ambito],"3",tbl_inventario_gee[Categoria],"C1 Bens e serviços adquiridos",tbl_inventario_gee[Periodo_Reporte],"2025/26")</f>
        <v>1449.9359999999995</v>
      </c>
      <c r="G14" s="20" t="s">
        <v>291</v>
      </c>
      <c r="H14" s="21">
        <v>0.1</v>
      </c>
    </row>
    <row r="15" spans="1:12" ht="26.4" x14ac:dyDescent="0.3">
      <c r="A15" s="20" t="s">
        <v>214</v>
      </c>
      <c r="B15" s="20" t="s">
        <v>229</v>
      </c>
      <c r="C15" s="23">
        <f>IF($B$5="Ano-base 2025/26 (set/2025–ago/2026)",SUMIFS(tbl_inventario_gee[tCO2e],tbl_inventario_gee[Ambito],"3",tbl_inventario_gee[Categoria],"C3 Atividades relacionadas com combustíveis e energia",tbl_inventario_gee[Periodo_Reporte],"2025/26"),IF($B$5="Ano civil 2025 (mar–dez)",SUMIFS(tbl_inventario_gee[tCO2e],tbl_inventario_gee[Ambito],"3",tbl_inventario_gee[Categoria],"C3 Atividades relacionadas com combustíveis e energia",tbl_inventario_gee[Ano],2025),IF($B$5="Ano de reporte 2026 (jan–dez)",SUMIFS(tbl_inventario_gee[tCO2e],tbl_inventario_gee[Ambito],"3",tbl_inventario_gee[Categoria],"C3 Atividades relacionadas com combustíveis e energia",tbl_inventario_gee[Ano],2026),SUMIFS(tbl_inventario_gee[tCO2e],tbl_inventario_gee[Ambito],"3",tbl_inventario_gee[Categoria],"C3 Atividades relacionadas com combustíveis e energia"))))</f>
        <v>155.62700000000001</v>
      </c>
      <c r="D15" s="24">
        <f t="shared" si="0"/>
        <v>4.1705982564242468E-2</v>
      </c>
      <c r="E15" s="23">
        <f>SUMIFS(tbl_inventario_gee[tCO2e],tbl_inventario_gee[Ambito],"3",tbl_inventario_gee[Categoria],"C3 Atividades relacionadas com combustíveis e energia",tbl_inventario_gee[Periodo_Reporte],"2025/26")</f>
        <v>144.23699999999999</v>
      </c>
    </row>
    <row r="16" spans="1:12" x14ac:dyDescent="0.3">
      <c r="A16" s="20" t="s">
        <v>214</v>
      </c>
      <c r="B16" s="20" t="s">
        <v>233</v>
      </c>
      <c r="C16" s="23">
        <f>IF($B$5="Ano-base 2025/26 (set/2025–ago/2026)",SUMIFS(tbl_inventario_gee[tCO2e],tbl_inventario_gee[Ambito],"3",tbl_inventario_gee[Categoria],"C4 Transporte e distribuição a montante",tbl_inventario_gee[Periodo_Reporte],"2025/26"),IF($B$5="Ano civil 2025 (mar–dez)",SUMIFS(tbl_inventario_gee[tCO2e],tbl_inventario_gee[Ambito],"3",tbl_inventario_gee[Categoria],"C4 Transporte e distribuição a montante",tbl_inventario_gee[Ano],2025),IF($B$5="Ano de reporte 2026 (jan–dez)",SUMIFS(tbl_inventario_gee[tCO2e],tbl_inventario_gee[Ambito],"3",tbl_inventario_gee[Categoria],"C4 Transporte e distribuição a montante",tbl_inventario_gee[Ano],2026),SUMIFS(tbl_inventario_gee[tCO2e],tbl_inventario_gee[Ambito],"3",tbl_inventario_gee[Categoria],"C4 Transporte e distribuição a montante"))))</f>
        <v>104.61999999999998</v>
      </c>
      <c r="D16" s="24">
        <f t="shared" si="0"/>
        <v>2.8036779581120538E-2</v>
      </c>
      <c r="E16" s="23">
        <f>SUMIFS(tbl_inventario_gee[tCO2e],tbl_inventario_gee[Ambito],"3",tbl_inventario_gee[Categoria],"C4 Transporte e distribuição a montante",tbl_inventario_gee[Periodo_Reporte],"2025/26")</f>
        <v>95.605000000000004</v>
      </c>
      <c r="G16" s="3" t="s">
        <v>292</v>
      </c>
      <c r="H16" s="4"/>
      <c r="I16" s="4"/>
      <c r="J16" s="4"/>
      <c r="K16" s="4"/>
      <c r="L16" s="4"/>
    </row>
    <row r="17" spans="1:12" x14ac:dyDescent="0.3">
      <c r="A17" s="20" t="s">
        <v>214</v>
      </c>
      <c r="B17" s="20" t="s">
        <v>237</v>
      </c>
      <c r="C17" s="23">
        <f>IF($B$5="Ano-base 2025/26 (set/2025–ago/2026)",SUMIFS(tbl_inventario_gee[tCO2e],tbl_inventario_gee[Ambito],"3",tbl_inventario_gee[Categoria],"C5 Resíduos gerados nas operações",tbl_inventario_gee[Periodo_Reporte],"2025/26"),IF($B$5="Ano civil 2025 (mar–dez)",SUMIFS(tbl_inventario_gee[tCO2e],tbl_inventario_gee[Ambito],"3",tbl_inventario_gee[Categoria],"C5 Resíduos gerados nas operações",tbl_inventario_gee[Ano],2025),IF($B$5="Ano de reporte 2026 (jan–dez)",SUMIFS(tbl_inventario_gee[tCO2e],tbl_inventario_gee[Ambito],"3",tbl_inventario_gee[Categoria],"C5 Resíduos gerados nas operações",tbl_inventario_gee[Ano],2026),SUMIFS(tbl_inventario_gee[tCO2e],tbl_inventario_gee[Ambito],"3",tbl_inventario_gee[Categoria],"C5 Resíduos gerados nas operações"))))</f>
        <v>13.853000000000003</v>
      </c>
      <c r="D17" s="24">
        <f t="shared" si="0"/>
        <v>3.7124212152290477E-3</v>
      </c>
      <c r="E17" s="23">
        <f>SUMIFS(tbl_inventario_gee[tCO2e],tbl_inventario_gee[Ambito],"3",tbl_inventario_gee[Categoria],"C5 Resíduos gerados nas operações",tbl_inventario_gee[Periodo_Reporte],"2025/26")</f>
        <v>14.04</v>
      </c>
      <c r="G17" s="20" t="s">
        <v>293</v>
      </c>
      <c r="H17" s="26">
        <f>SUMIFS(tbl_inventario_gee[Dado_Atividade],tbl_inventario_gee[ID_Fonte],"S2-LB",tbl_inventario_gee[Periodo_Reporte],"2025/26")</f>
        <v>7211848.2699999996</v>
      </c>
    </row>
    <row r="18" spans="1:12" x14ac:dyDescent="0.3">
      <c r="A18" s="20" t="s">
        <v>214</v>
      </c>
      <c r="B18" s="20" t="s">
        <v>247</v>
      </c>
      <c r="C18" s="23">
        <f>IF($B$5="Ano-base 2025/26 (set/2025–ago/2026)",SUMIFS(tbl_inventario_gee[tCO2e],tbl_inventario_gee[Ambito],"3",tbl_inventario_gee[Categoria],"C6 Viagens de negócio",tbl_inventario_gee[Periodo_Reporte],"2025/26"),IF($B$5="Ano civil 2025 (mar–dez)",SUMIFS(tbl_inventario_gee[tCO2e],tbl_inventario_gee[Ambito],"3",tbl_inventario_gee[Categoria],"C6 Viagens de negócio",tbl_inventario_gee[Ano],2025),IF($B$5="Ano de reporte 2026 (jan–dez)",SUMIFS(tbl_inventario_gee[tCO2e],tbl_inventario_gee[Ambito],"3",tbl_inventario_gee[Categoria],"C6 Viagens de negócio",tbl_inventario_gee[Ano],2026),SUMIFS(tbl_inventario_gee[tCO2e],tbl_inventario_gee[Ambito],"3",tbl_inventario_gee[Categoria],"C6 Viagens de negócio"))))</f>
        <v>5.319</v>
      </c>
      <c r="D18" s="24">
        <f t="shared" si="0"/>
        <v>1.4254218179313722E-3</v>
      </c>
      <c r="E18" s="23">
        <f>SUMIFS(tbl_inventario_gee[tCO2e],tbl_inventario_gee[Ambito],"3",tbl_inventario_gee[Categoria],"C6 Viagens de negócio",tbl_inventario_gee[Periodo_Reporte],"2025/26")</f>
        <v>5.3810000000000002</v>
      </c>
      <c r="G18" s="20" t="s">
        <v>294</v>
      </c>
      <c r="H18" s="26">
        <f>SUMIFS(tbl_inventario_gee[Dado_Atividade],tbl_inventario_gee[ID_Fonte],"S3-C1-VIR",tbl_inventario_gee[Periodo_Reporte],"2025/26")+SUMIFS(tbl_inventario_gee[Dado_Atividade],tbl_inventario_gee[ID_Fonte],"S3-C1-PCR",tbl_inventario_gee[Periodo_Reporte],"2025/26")</f>
        <v>811590.82</v>
      </c>
    </row>
    <row r="19" spans="1:12" x14ac:dyDescent="0.3">
      <c r="A19" s="20" t="s">
        <v>214</v>
      </c>
      <c r="B19" s="20" t="s">
        <v>253</v>
      </c>
      <c r="C19" s="23">
        <f>IF($B$5="Ano-base 2025/26 (set/2025–ago/2026)",SUMIFS(tbl_inventario_gee[tCO2e],tbl_inventario_gee[Ambito],"3",tbl_inventario_gee[Categoria],"C7 Deslocações casa-trabalho",tbl_inventario_gee[Periodo_Reporte],"2025/26"),IF($B$5="Ano civil 2025 (mar–dez)",SUMIFS(tbl_inventario_gee[tCO2e],tbl_inventario_gee[Ambito],"3",tbl_inventario_gee[Categoria],"C7 Deslocações casa-trabalho",tbl_inventario_gee[Ano],2025),IF($B$5="Ano de reporte 2026 (jan–dez)",SUMIFS(tbl_inventario_gee[tCO2e],tbl_inventario_gee[Ambito],"3",tbl_inventario_gee[Categoria],"C7 Deslocações casa-trabalho",tbl_inventario_gee[Ano],2026),SUMIFS(tbl_inventario_gee[tCO2e],tbl_inventario_gee[Ambito],"3",tbl_inventario_gee[Categoria],"C7 Deslocações casa-trabalho"))))</f>
        <v>71.431000000000012</v>
      </c>
      <c r="D19" s="24">
        <f t="shared" si="0"/>
        <v>1.9142565496645211E-2</v>
      </c>
      <c r="E19" s="23">
        <f>SUMIFS(tbl_inventario_gee[tCO2e],tbl_inventario_gee[Ambito],"3",tbl_inventario_gee[Categoria],"C7 Deslocações casa-trabalho",tbl_inventario_gee[Periodo_Reporte],"2025/26")</f>
        <v>71.147000000000006</v>
      </c>
      <c r="G19" s="20" t="s">
        <v>295</v>
      </c>
      <c r="H19" s="26">
        <f>SUMIFS(tbl_inventario_gee[Dado_Atividade],tbl_inventario_gee[ID_Fonte],"S1-01",tbl_inventario_gee[Periodo_Reporte],"2025/26")</f>
        <v>3147.44</v>
      </c>
    </row>
    <row r="20" spans="1:12" x14ac:dyDescent="0.3">
      <c r="A20" s="20" t="s">
        <v>214</v>
      </c>
      <c r="B20" s="20" t="s">
        <v>258</v>
      </c>
      <c r="C20" s="23">
        <f>IF($B$5="Ano-base 2025/26 (set/2025–ago/2026)",SUMIFS(tbl_inventario_gee[tCO2e],tbl_inventario_gee[Ambito],"3",tbl_inventario_gee[Categoria],"C9 Transporte e distribuição a jusante",tbl_inventario_gee[Periodo_Reporte],"2025/26"),IF($B$5="Ano civil 2025 (mar–dez)",SUMIFS(tbl_inventario_gee[tCO2e],tbl_inventario_gee[Ambito],"3",tbl_inventario_gee[Categoria],"C9 Transporte e distribuição a jusante",tbl_inventario_gee[Ano],2025),IF($B$5="Ano de reporte 2026 (jan–dez)",SUMIFS(tbl_inventario_gee[tCO2e],tbl_inventario_gee[Ambito],"3",tbl_inventario_gee[Categoria],"C9 Transporte e distribuição a jusante",tbl_inventario_gee[Ano],2026),SUMIFS(tbl_inventario_gee[tCO2e],tbl_inventario_gee[Ambito],"3",tbl_inventario_gee[Categoria],"C9 Transporte e distribuição a jusante"))))</f>
        <v>42.154999999999994</v>
      </c>
      <c r="D20" s="24">
        <f t="shared" si="0"/>
        <v>1.1296983781706522E-2</v>
      </c>
      <c r="E20" s="23">
        <f>SUMIFS(tbl_inventario_gee[tCO2e],tbl_inventario_gee[Ambito],"3",tbl_inventario_gee[Categoria],"C9 Transporte e distribuição a jusante",tbl_inventario_gee[Periodo_Reporte],"2025/26")</f>
        <v>38.492000000000004</v>
      </c>
      <c r="G20" s="20" t="s">
        <v>296</v>
      </c>
      <c r="H20" s="26">
        <f>SUMIFS(tbl_inventario_gee[Dado_Atividade],tbl_inventario_gee[ID_Fonte],"S1-02",tbl_inventario_gee[Periodo_Reporte],"2025/26")</f>
        <v>215.35000000000002</v>
      </c>
    </row>
    <row r="21" spans="1:12" x14ac:dyDescent="0.3">
      <c r="A21" s="20" t="s">
        <v>214</v>
      </c>
      <c r="B21" s="20" t="s">
        <v>263</v>
      </c>
      <c r="C21" s="23">
        <f>IF($B$5="Ano-base 2025/26 (set/2025–ago/2026)",SUMIFS(tbl_inventario_gee[tCO2e],tbl_inventario_gee[Ambito],"3",tbl_inventario_gee[Categoria],"C12 Fim de vida dos produtos vendidos",tbl_inventario_gee[Periodo_Reporte],"2025/26"),IF($B$5="Ano civil 2025 (mar–dez)",SUMIFS(tbl_inventario_gee[tCO2e],tbl_inventario_gee[Ambito],"3",tbl_inventario_gee[Categoria],"C12 Fim de vida dos produtos vendidos",tbl_inventario_gee[Ano],2025),IF($B$5="Ano de reporte 2026 (jan–dez)",SUMIFS(tbl_inventario_gee[tCO2e],tbl_inventario_gee[Ambito],"3",tbl_inventario_gee[Categoria],"C12 Fim de vida dos produtos vendidos",tbl_inventario_gee[Ano],2026),SUMIFS(tbl_inventario_gee[tCO2e],tbl_inventario_gee[Ambito],"3",tbl_inventario_gee[Categoria],"C12 Fim de vida dos produtos vendidos"))))</f>
        <v>867.38</v>
      </c>
      <c r="D21" s="24">
        <f t="shared" si="0"/>
        <v>0.23244639526928251</v>
      </c>
      <c r="E21" s="23">
        <f>SUMIFS(tbl_inventario_gee[tCO2e],tbl_inventario_gee[Ambito],"3",tbl_inventario_gee[Categoria],"C12 Fim de vida dos produtos vendidos",tbl_inventario_gee[Periodo_Reporte],"2025/26")</f>
        <v>792.02300000000002</v>
      </c>
      <c r="G21" s="20" t="s">
        <v>297</v>
      </c>
      <c r="H21" s="23">
        <f>SUMIFS(tbl_inventario_gee[tCO2e],tbl_inventario_gee[ID_Fonte],"S3-C1-TIN",tbl_inventario_gee[Periodo_Reporte],"2025/26")+SUMIFS(tbl_inventario_gee[tCO2e],tbl_inventario_gee[ID_Fonte],"S3-C1-SOL",tbl_inventario_gee[Periodo_Reporte],"2025/26")+SUMIFS(tbl_inventario_gee[tCO2e],tbl_inventario_gee[ID_Fonte],"S3-C1-FOI",tbl_inventario_gee[Periodo_Reporte],"2025/26")</f>
        <v>46.728000000000009</v>
      </c>
    </row>
    <row r="22" spans="1:12" x14ac:dyDescent="0.3">
      <c r="B22" s="18" t="s">
        <v>298</v>
      </c>
      <c r="C22" s="27">
        <f>SUM(C9:C11)</f>
        <v>9.1179999999999986</v>
      </c>
      <c r="D22" s="24">
        <f t="shared" si="0"/>
        <v>2.4435036916522373E-3</v>
      </c>
      <c r="E22" s="27">
        <f>SUM(E9:E11)</f>
        <v>15.628</v>
      </c>
      <c r="G22" s="20" t="s">
        <v>299</v>
      </c>
      <c r="H22" s="23">
        <f>SUMIFS(tbl_inventario_gee[tCO2e],tbl_inventario_gee[ID_Fonte],"S3-C5-REC",tbl_inventario_gee[Periodo_Reporte],"2025/26")+SUMIFS(tbl_inventario_gee[tCO2e],tbl_inventario_gee[ID_Fonte],"S3-C5-ATE",tbl_inventario_gee[Periodo_Reporte],"2025/26")+SUMIFS(tbl_inventario_gee[tCO2e],tbl_inventario_gee[ID_Fonte],"S3-C5-PER",tbl_inventario_gee[Periodo_Reporte],"2025/26")</f>
        <v>14.04</v>
      </c>
    </row>
    <row r="23" spans="1:12" x14ac:dyDescent="0.3">
      <c r="B23" s="18" t="s">
        <v>300</v>
      </c>
      <c r="C23" s="27">
        <f>C12</f>
        <v>855.95099999999979</v>
      </c>
      <c r="D23" s="24">
        <f t="shared" si="0"/>
        <v>0.22938357407034701</v>
      </c>
      <c r="E23" s="27">
        <f>E12</f>
        <v>793.30400000000009</v>
      </c>
      <c r="G23" s="20" t="s">
        <v>301</v>
      </c>
      <c r="H23" s="23">
        <f>SUMIFS(tbl_inventario_gee[tCO2e],tbl_inventario_gee[ID_Fonte],"S3-C6",tbl_inventario_gee[Periodo_Reporte],"2025/26")+SUMIFS(tbl_inventario_gee[tCO2e],tbl_inventario_gee[ID_Fonte],"S3-C7",tbl_inventario_gee[Periodo_Reporte],"2025/26")</f>
        <v>76.528000000000006</v>
      </c>
    </row>
    <row r="24" spans="1:12" x14ac:dyDescent="0.3">
      <c r="B24" s="18" t="s">
        <v>302</v>
      </c>
      <c r="C24" s="27">
        <f>C13</f>
        <v>875.40499999999997</v>
      </c>
      <c r="D24" s="24">
        <f t="shared" si="0"/>
        <v>0.23459698938263074</v>
      </c>
      <c r="E24" s="27">
        <f>E13</f>
        <v>811.33400000000006</v>
      </c>
      <c r="G24" s="20" t="s">
        <v>303</v>
      </c>
      <c r="H24" s="23">
        <f>SUMIFS(tbl_inventario_gee[tCO2e],tbl_inventario_gee[ID_Fonte],"S3-C9",tbl_inventario_gee[Periodo_Reporte],"2025/26")</f>
        <v>38.492000000000004</v>
      </c>
    </row>
    <row r="25" spans="1:12" x14ac:dyDescent="0.3">
      <c r="B25" s="18" t="s">
        <v>304</v>
      </c>
      <c r="C25" s="27">
        <f>SUM(C14:C21)</f>
        <v>2847.0039999999999</v>
      </c>
      <c r="D25" s="24">
        <f t="shared" si="0"/>
        <v>0.76295950692571701</v>
      </c>
      <c r="E25" s="27">
        <f>SUM(E14:E21)</f>
        <v>2610.8609999999994</v>
      </c>
      <c r="G25" s="20" t="s">
        <v>305</v>
      </c>
      <c r="H25" s="23">
        <f>SUMIFS(tbl_inventario_gee[tCO2e],tbl_inventario_gee[ID_Fonte],"S3-C12",tbl_inventario_gee[Periodo_Reporte],"2025/26")</f>
        <v>792.02300000000002</v>
      </c>
    </row>
    <row r="26" spans="1:12" x14ac:dyDescent="0.3">
      <c r="B26" s="18" t="s">
        <v>306</v>
      </c>
      <c r="C26" s="27">
        <f>C22+C23+C25</f>
        <v>3712.0729999999999</v>
      </c>
      <c r="E26" s="27">
        <f>E22+E23+E25</f>
        <v>3419.7929999999997</v>
      </c>
      <c r="G26" s="20" t="s">
        <v>307</v>
      </c>
      <c r="H26" s="28">
        <f>IFERROR(SUMIFS(tbl_inventario_gee[Dado_Atividade],tbl_inventario_gee[ID_Fonte],"S3-C1-PCR",tbl_inventario_gee[Periodo_Reporte],"2025/26")/H18,0)</f>
        <v>0.12217067709070439</v>
      </c>
    </row>
    <row r="27" spans="1:12" x14ac:dyDescent="0.3">
      <c r="B27" s="18" t="s">
        <v>308</v>
      </c>
      <c r="C27" s="27">
        <f>C22+C24+C25</f>
        <v>3731.527</v>
      </c>
      <c r="E27" s="27">
        <f>E22+E24+E25</f>
        <v>3437.8229999999994</v>
      </c>
    </row>
    <row r="28" spans="1:12" x14ac:dyDescent="0.3">
      <c r="B28" s="18" t="s">
        <v>309</v>
      </c>
      <c r="C28" s="27">
        <f>C22+C24</f>
        <v>884.52300000000002</v>
      </c>
      <c r="E28" s="27">
        <f>E22+E24</f>
        <v>826.9620000000001</v>
      </c>
      <c r="G28" s="3" t="s">
        <v>310</v>
      </c>
      <c r="H28" s="4"/>
      <c r="I28" s="4"/>
      <c r="J28" s="4"/>
      <c r="K28" s="4"/>
      <c r="L28" s="4"/>
    </row>
    <row r="29" spans="1:12" ht="26.4" x14ac:dyDescent="0.3">
      <c r="G29" s="8" t="s">
        <v>311</v>
      </c>
      <c r="H29" s="8" t="s">
        <v>281</v>
      </c>
      <c r="I29" s="8" t="s">
        <v>312</v>
      </c>
      <c r="K29" s="8" t="s">
        <v>313</v>
      </c>
    </row>
    <row r="30" spans="1:12" x14ac:dyDescent="0.3">
      <c r="A30" s="3" t="s">
        <v>314</v>
      </c>
      <c r="B30" s="4"/>
      <c r="C30" s="4"/>
      <c r="D30" s="4"/>
      <c r="E30" s="4"/>
      <c r="G30" s="20" t="s">
        <v>315</v>
      </c>
      <c r="H30" s="23">
        <f>E22</f>
        <v>15.628</v>
      </c>
      <c r="I30" s="23">
        <f>($H$19*(1-$H$13)+$H$20)*INDEX(tbl_fatores_emissao[Valor],MATCH("FE-04",tbl_fatores_emissao[ID_FE],0))/1000+$H$12*$H$11/1000</f>
        <v>5.7714262000000014</v>
      </c>
      <c r="K30" s="28">
        <f t="shared" ref="K30:K38" si="1">IFERROR(I30/H30-1,"")</f>
        <v>-0.63069962887125663</v>
      </c>
    </row>
    <row r="31" spans="1:12" x14ac:dyDescent="0.3">
      <c r="B31" s="20" t="s">
        <v>316</v>
      </c>
      <c r="C31" s="23">
        <f>SUMIFS(tbl_inventario_gee[Dado_Atividade],tbl_inventario_gee[ID_Fonte],"S3-C12",tbl_inventario_gee[Periodo_Reporte],"2025/26")/1000</f>
        <v>792.02237000000002</v>
      </c>
      <c r="G31" s="20" t="s">
        <v>317</v>
      </c>
      <c r="H31" s="23">
        <f>E23</f>
        <v>793.30400000000009</v>
      </c>
      <c r="I31" s="23">
        <f>MAX(($H$17*(1+$H$5)*(1-$H$6))-$H$7*1000,0)*INDEX(tbl_fatores_emissao[Valor],MATCH("FE-01",tbl_fatores_emissao[ID_FE],0))/1000</f>
        <v>587.73859456949992</v>
      </c>
      <c r="K31" s="28">
        <f t="shared" si="1"/>
        <v>-0.25912563838137725</v>
      </c>
    </row>
    <row r="32" spans="1:12" x14ac:dyDescent="0.3">
      <c r="B32" s="20" t="s">
        <v>318</v>
      </c>
      <c r="C32" s="26">
        <v>73068631</v>
      </c>
      <c r="G32" s="20" t="s">
        <v>319</v>
      </c>
      <c r="H32" s="23">
        <f>E24</f>
        <v>811.33400000000006</v>
      </c>
      <c r="I32" s="23">
        <f>MAX(($H$17*(1+$H$5)*(1-$H$6))-$H$7*1000,0)*(1-$H$8)*INDEX(tbl_fatores_emissao[Valor],MATCH("FE-02",tbl_fatores_emissao[ID_FE],0))/1000</f>
        <v>0</v>
      </c>
      <c r="K32" s="28">
        <f t="shared" si="1"/>
        <v>-1</v>
      </c>
    </row>
    <row r="33" spans="2:11" x14ac:dyDescent="0.3">
      <c r="B33" s="20" t="s">
        <v>320</v>
      </c>
      <c r="C33" s="29">
        <v>3680000</v>
      </c>
      <c r="G33" s="20" t="s">
        <v>321</v>
      </c>
      <c r="H33" s="23">
        <f>E25</f>
        <v>2610.8609999999994</v>
      </c>
      <c r="I33" s="23">
        <f>($H$18*(1+$H$5)*(1-$H$10))*((1-$H$9)*INDEX(tbl_fatores_emissao[Valor],MATCH("FE-11",tbl_fatores_emissao[ID_FE],0))+$H$9*INDEX(tbl_fatores_emissao[Valor],MATCH("FE-10",tbl_fatores_emissao[ID_FE],0)))/1000+$H$21*(1+$H$5)+MAX(($H$17*(1+$H$5)*(1-$H$6))-$H$7*1000,0)*INDEX(tbl_fatores_emissao[Valor],MATCH("FE-16",tbl_fatores_emissao[ID_FE],0))/1000+($H$18*(1+$H$5)*(1-$H$10))*INDEX(tbl_fatores_emissao[Valor],MATCH("FE-17",tbl_fatores_emissao[ID_FE],0))/1000+$H$22*(1+$H$5)+$H$23+$H$24*(1+$H$5)*(1-$H$10)*(1-$H$14)+$H$25*(1+$H$5)*(1-$H$10)</f>
        <v>2469.2141273938196</v>
      </c>
      <c r="K33" s="28">
        <f t="shared" si="1"/>
        <v>-5.4252935183519924E-2</v>
      </c>
    </row>
    <row r="34" spans="2:11" x14ac:dyDescent="0.3">
      <c r="B34" s="20" t="s">
        <v>322</v>
      </c>
      <c r="C34" s="26">
        <f>IFERROR(E27*1000/C31,"")</f>
        <v>4340.5630070776906</v>
      </c>
      <c r="G34" s="18" t="s">
        <v>309</v>
      </c>
      <c r="H34" s="27">
        <f>H30+H32</f>
        <v>826.9620000000001</v>
      </c>
      <c r="I34" s="27">
        <f>I30+I32</f>
        <v>5.7714262000000014</v>
      </c>
      <c r="K34" s="30">
        <f t="shared" si="1"/>
        <v>-0.99302092937764974</v>
      </c>
    </row>
    <row r="35" spans="2:11" x14ac:dyDescent="0.3">
      <c r="B35" s="20" t="s">
        <v>323</v>
      </c>
      <c r="C35" s="23">
        <f>IFERROR(E27/(C33/1000000),"")</f>
        <v>934.19103260869542</v>
      </c>
      <c r="G35" s="18" t="s">
        <v>324</v>
      </c>
      <c r="H35" s="27">
        <f>H34+H33</f>
        <v>3437.8229999999994</v>
      </c>
      <c r="I35" s="27">
        <f>I34+I33</f>
        <v>2474.9855535938195</v>
      </c>
      <c r="K35" s="30">
        <f t="shared" si="1"/>
        <v>-0.2800718496578154</v>
      </c>
    </row>
    <row r="36" spans="2:11" ht="26.4" x14ac:dyDescent="0.3">
      <c r="B36" s="20" t="s">
        <v>325</v>
      </c>
      <c r="C36" s="16">
        <f>IFERROR(E28*1000/(C32/1000),"")</f>
        <v>11.317606320008927</v>
      </c>
      <c r="G36" s="20" t="s">
        <v>326</v>
      </c>
      <c r="H36" s="28">
        <v>0.55000000000000004</v>
      </c>
      <c r="I36" s="28">
        <f>IFERROR(($H$7*1000+MAX(($H$17*(1+$H$5)*(1-$H$6))-$H$7*1000,0)*$H$8)/($H$17*(1+$H$5)*(1-$H$6)),0)</f>
        <v>1</v>
      </c>
      <c r="K36" s="28">
        <f t="shared" si="1"/>
        <v>0.81818181818181812</v>
      </c>
    </row>
    <row r="37" spans="2:11" x14ac:dyDescent="0.3">
      <c r="B37" s="20" t="s">
        <v>327</v>
      </c>
      <c r="C37" s="28">
        <f>IFERROR(E25/E27,"")</f>
        <v>0.75945183914355097</v>
      </c>
      <c r="G37" s="20" t="s">
        <v>328</v>
      </c>
      <c r="H37" s="28">
        <f>$H$26</f>
        <v>0.12217067709070439</v>
      </c>
      <c r="I37" s="28">
        <f>$H$9</f>
        <v>0.3</v>
      </c>
      <c r="K37" s="28">
        <f t="shared" si="1"/>
        <v>1.4555810538503278</v>
      </c>
    </row>
    <row r="38" spans="2:11" x14ac:dyDescent="0.3">
      <c r="G38" s="20" t="s">
        <v>329</v>
      </c>
      <c r="H38" s="26">
        <f>calc_INT_base</f>
        <v>4340.5630070776906</v>
      </c>
      <c r="I38" s="26">
        <f>IFERROR(I35*1000/(calc_PROD_t*(1+$H$5)*(1-$H$10)),"")</f>
        <v>2990.3287053867484</v>
      </c>
      <c r="K38" s="28">
        <f t="shared" si="1"/>
        <v>-0.3110735403424072</v>
      </c>
    </row>
    <row r="40" spans="2:11" x14ac:dyDescent="0.3">
      <c r="G40" s="2" t="s">
        <v>330</v>
      </c>
    </row>
  </sheetData>
  <dataValidations count="1">
    <dataValidation type="list" sqref="B5" xr:uid="{00000000-0002-0000-0300-000000000000}">
      <formula1>lst_Periodo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0" customWidth="1"/>
    <col min="3" max="3" width="12" customWidth="1"/>
    <col min="4" max="4" width="8" customWidth="1"/>
    <col min="5" max="5" width="12" customWidth="1"/>
    <col min="6" max="6" width="8" customWidth="1"/>
    <col min="7" max="7" width="14" customWidth="1"/>
    <col min="8" max="8" width="9" customWidth="1"/>
    <col min="9" max="10" width="12" customWidth="1"/>
    <col min="11" max="11" width="16" customWidth="1"/>
    <col min="12" max="12" width="30" customWidth="1"/>
  </cols>
  <sheetData>
    <row r="1" spans="1:12" ht="17.399999999999999" x14ac:dyDescent="0.3">
      <c r="A1" s="1" t="s">
        <v>331</v>
      </c>
    </row>
    <row r="2" spans="1:12" x14ac:dyDescent="0.3">
      <c r="A2" s="2" t="s">
        <v>332</v>
      </c>
    </row>
    <row r="4" spans="1:12" ht="26.4" x14ac:dyDescent="0.3">
      <c r="A4" s="8" t="s">
        <v>333</v>
      </c>
      <c r="B4" s="8" t="s">
        <v>311</v>
      </c>
      <c r="C4" s="8" t="s">
        <v>78</v>
      </c>
      <c r="D4" s="8" t="s">
        <v>334</v>
      </c>
      <c r="E4" s="8" t="s">
        <v>335</v>
      </c>
      <c r="F4" s="8" t="s">
        <v>336</v>
      </c>
      <c r="G4" s="8" t="s">
        <v>337</v>
      </c>
      <c r="H4" s="8" t="s">
        <v>338</v>
      </c>
      <c r="I4" s="12" t="s">
        <v>339</v>
      </c>
      <c r="J4" s="8" t="s">
        <v>340</v>
      </c>
      <c r="K4" s="12" t="s">
        <v>14</v>
      </c>
      <c r="L4" s="8" t="s">
        <v>341</v>
      </c>
    </row>
    <row r="5" spans="1:12" ht="30" customHeight="1" x14ac:dyDescent="0.3">
      <c r="A5" s="9" t="s">
        <v>342</v>
      </c>
      <c r="B5" s="9" t="s">
        <v>343</v>
      </c>
      <c r="C5" s="9" t="s">
        <v>178</v>
      </c>
      <c r="D5" s="9" t="s">
        <v>344</v>
      </c>
      <c r="E5" s="23">
        <f>calc_S12_base</f>
        <v>826.9620000000001</v>
      </c>
      <c r="F5" s="11">
        <v>2030</v>
      </c>
      <c r="G5" s="9" t="s">
        <v>345</v>
      </c>
      <c r="H5" s="28">
        <v>-0.5</v>
      </c>
      <c r="I5" s="31">
        <f>IF(E5="","",IF(G5="Redução %",E5*(1+H5),H5))</f>
        <v>413.48100000000005</v>
      </c>
      <c r="J5" s="23">
        <f>calc_S12_2030</f>
        <v>5.7714262000000014</v>
      </c>
      <c r="K5" s="13" t="str">
        <f>IF(J5="","",IF(IF(G5="Redução %",J5&lt;=I5,J5&gt;=I5),"Atinge no cenário","Não atinge"))</f>
        <v>Atinge no cenário</v>
      </c>
      <c r="L5" s="9" t="s">
        <v>346</v>
      </c>
    </row>
    <row r="6" spans="1:12" ht="30" customHeight="1" x14ac:dyDescent="0.3">
      <c r="A6" s="9" t="s">
        <v>347</v>
      </c>
      <c r="B6" s="9" t="s">
        <v>348</v>
      </c>
      <c r="C6" s="9" t="s">
        <v>178</v>
      </c>
      <c r="D6" s="9" t="s">
        <v>344</v>
      </c>
      <c r="E6" s="23">
        <f>calc_S3_base</f>
        <v>2610.8609999999994</v>
      </c>
      <c r="F6" s="11">
        <v>2030</v>
      </c>
      <c r="G6" s="9" t="s">
        <v>345</v>
      </c>
      <c r="H6" s="28">
        <v>-0.25</v>
      </c>
      <c r="I6" s="31">
        <f>IF(E6="","",IF(G6="Redução %",E6*(1+H6),H6))</f>
        <v>1958.1457499999997</v>
      </c>
      <c r="J6" s="23">
        <f>calc_S3_2030</f>
        <v>2469.2141273938196</v>
      </c>
      <c r="K6" s="13" t="str">
        <f>IF(J6="","",IF(IF(G6="Redução %",J6&lt;=I6,J6&gt;=I6),"Atinge no cenário","Não atinge"))</f>
        <v>Não atinge</v>
      </c>
      <c r="L6" s="9" t="s">
        <v>349</v>
      </c>
    </row>
    <row r="7" spans="1:12" ht="30" customHeight="1" x14ac:dyDescent="0.3">
      <c r="A7" s="9" t="s">
        <v>350</v>
      </c>
      <c r="B7" s="9" t="s">
        <v>351</v>
      </c>
      <c r="C7" s="9" t="s">
        <v>352</v>
      </c>
      <c r="D7" s="9" t="s">
        <v>344</v>
      </c>
      <c r="E7" s="23">
        <f>calc_REN_base</f>
        <v>0.55000000000000004</v>
      </c>
      <c r="F7" s="11">
        <v>2028</v>
      </c>
      <c r="G7" s="9" t="s">
        <v>353</v>
      </c>
      <c r="H7" s="28">
        <v>1</v>
      </c>
      <c r="I7" s="31">
        <f>IF(E7="","",IF(G7="Redução %",E7*(1+H7),H7))</f>
        <v>1</v>
      </c>
      <c r="J7" s="23">
        <f>calc_REN_2030</f>
        <v>1</v>
      </c>
      <c r="K7" s="13" t="str">
        <f>IF(J7="","",IF(IF(G7="Redução %",J7&lt;=I7,J7&gt;=I7),"Atinge no cenário","Não atinge"))</f>
        <v>Atinge no cenário</v>
      </c>
      <c r="L7" s="9" t="s">
        <v>354</v>
      </c>
    </row>
    <row r="8" spans="1:12" ht="30" customHeight="1" x14ac:dyDescent="0.3">
      <c r="A8" s="9" t="s">
        <v>355</v>
      </c>
      <c r="B8" s="9" t="s">
        <v>283</v>
      </c>
      <c r="C8" s="9" t="s">
        <v>352</v>
      </c>
      <c r="D8" s="9" t="s">
        <v>344</v>
      </c>
      <c r="E8" s="23">
        <f>calc_PCR_base</f>
        <v>0.12217067709070439</v>
      </c>
      <c r="F8" s="11">
        <v>2030</v>
      </c>
      <c r="G8" s="9" t="s">
        <v>353</v>
      </c>
      <c r="H8" s="28">
        <v>0.3</v>
      </c>
      <c r="I8" s="31">
        <f>IF(E8="","",IF(G8="Redução %",E8*(1+H8),H8))</f>
        <v>0.3</v>
      </c>
      <c r="J8" s="23">
        <f>calc_PCR_2030</f>
        <v>0.3</v>
      </c>
      <c r="K8" s="13" t="str">
        <f>IF(J8="","",IF(IF(G8="Redução %",J8&lt;=I8,J8&gt;=I8),"Atinge no cenário","Não atinge"))</f>
        <v>Atinge no cenário</v>
      </c>
      <c r="L8" s="9" t="s">
        <v>356</v>
      </c>
    </row>
    <row r="9" spans="1:12" ht="30" customHeight="1" x14ac:dyDescent="0.3">
      <c r="A9" s="9" t="s">
        <v>357</v>
      </c>
      <c r="B9" s="9" t="s">
        <v>358</v>
      </c>
      <c r="C9" s="9" t="s">
        <v>359</v>
      </c>
      <c r="D9" s="9" t="s">
        <v>344</v>
      </c>
      <c r="E9" s="23">
        <f>calc_INT_base</f>
        <v>4340.5630070776906</v>
      </c>
      <c r="F9" s="11">
        <v>2030</v>
      </c>
      <c r="G9" s="9" t="s">
        <v>345</v>
      </c>
      <c r="H9" s="28">
        <v>-0.35</v>
      </c>
      <c r="I9" s="31">
        <f>IF(E9="","",IF(G9="Redução %",E9*(1+H9),H9))</f>
        <v>2821.3659546004992</v>
      </c>
      <c r="J9" s="23">
        <f>calc_INT_2030</f>
        <v>2990.3287053867484</v>
      </c>
      <c r="K9" s="13" t="str">
        <f>IF(J9="","",IF(IF(G9="Redução %",J9&lt;=I9,J9&gt;=I9),"Atinge no cenário","Não atinge"))</f>
        <v>Não atinge</v>
      </c>
      <c r="L9" s="9" t="s">
        <v>360</v>
      </c>
    </row>
  </sheetData>
  <conditionalFormatting sqref="K5:K209">
    <cfRule type="expression" dxfId="9" priority="1">
      <formula>ISNUMBER(SEARCH("Não atinge",K5))</formula>
    </cfRule>
    <cfRule type="expression" dxfId="8" priority="2">
      <formula>ISNUMBER(SEARCH("Atinge",K5))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5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14" customWidth="1"/>
    <col min="3" max="3" width="9" customWidth="1"/>
    <col min="4" max="4" width="8" customWidth="1"/>
    <col min="5" max="5" width="9" customWidth="1"/>
    <col min="6" max="7" width="8" customWidth="1"/>
    <col min="8" max="8" width="26" customWidth="1"/>
    <col min="9" max="9" width="9" customWidth="1"/>
    <col min="10" max="10" width="8" customWidth="1"/>
    <col min="11" max="11" width="9" customWidth="1"/>
    <col min="12" max="15" width="11" customWidth="1"/>
    <col min="16" max="17" width="9" customWidth="1"/>
  </cols>
  <sheetData>
    <row r="1" spans="1:17" ht="17.399999999999999" x14ac:dyDescent="0.3">
      <c r="A1" s="1" t="s">
        <v>361</v>
      </c>
    </row>
    <row r="2" spans="1:17" x14ac:dyDescent="0.3">
      <c r="A2" s="2" t="s">
        <v>362</v>
      </c>
    </row>
    <row r="4" spans="1:17" ht="39.6" x14ac:dyDescent="0.3">
      <c r="A4" s="8" t="s">
        <v>363</v>
      </c>
      <c r="B4" s="8" t="s">
        <v>364</v>
      </c>
      <c r="C4" s="8" t="s">
        <v>365</v>
      </c>
      <c r="D4" s="8" t="s">
        <v>366</v>
      </c>
      <c r="E4" s="8" t="s">
        <v>367</v>
      </c>
      <c r="F4" s="8" t="s">
        <v>368</v>
      </c>
      <c r="G4" s="8" t="s">
        <v>369</v>
      </c>
      <c r="H4" s="8" t="s">
        <v>370</v>
      </c>
      <c r="I4" s="8" t="s">
        <v>371</v>
      </c>
      <c r="J4" s="8" t="s">
        <v>372</v>
      </c>
      <c r="K4" s="8" t="s">
        <v>373</v>
      </c>
      <c r="L4" s="12" t="s">
        <v>374</v>
      </c>
      <c r="M4" s="12" t="s">
        <v>375</v>
      </c>
      <c r="N4" s="12" t="s">
        <v>376</v>
      </c>
      <c r="O4" s="12" t="s">
        <v>377</v>
      </c>
      <c r="P4" s="12" t="s">
        <v>378</v>
      </c>
      <c r="Q4" s="12" t="s">
        <v>379</v>
      </c>
    </row>
    <row r="5" spans="1:17" ht="18" customHeight="1" x14ac:dyDescent="0.3">
      <c r="A5" s="9" t="s">
        <v>380</v>
      </c>
      <c r="B5" s="9" t="s">
        <v>381</v>
      </c>
      <c r="C5" s="9" t="s">
        <v>382</v>
      </c>
      <c r="D5" s="9" t="s">
        <v>110</v>
      </c>
      <c r="E5" s="9" t="s">
        <v>383</v>
      </c>
      <c r="F5" s="26">
        <v>300</v>
      </c>
      <c r="G5" s="23">
        <v>22</v>
      </c>
      <c r="H5" s="9" t="s">
        <v>384</v>
      </c>
      <c r="I5" s="28">
        <v>0.02</v>
      </c>
      <c r="J5" s="24">
        <v>2.3599999999999999E-2</v>
      </c>
      <c r="K5" s="23">
        <v>159.4</v>
      </c>
      <c r="L5" s="31">
        <f>IFERROR(G5*(1+J5)*(1-I5)*INDEX(tbl_fatores_emissao[Valor],MATCH(D5,tbl_fatores_emissao[ID_FE],0)),"")</f>
        <v>39.723868800000005</v>
      </c>
      <c r="M5" s="31">
        <f>IFERROR(G5*(1+J5)*I5*INDEX(tbl_fatores_emissao[Valor],MATCH("FE-15",tbl_fatores_emissao[ID_FE],0)),"")</f>
        <v>1.3511520000000001</v>
      </c>
      <c r="N5" s="31">
        <f>IFERROR(K5*INDEX(tbl_fatores_emissao[Valor],MATCH("FE-01",tbl_fatores_emissao[ID_FE],0)),"")</f>
        <v>17.534000000000002</v>
      </c>
      <c r="O5" s="31">
        <f t="shared" ref="O5:O36" si="0">IFERROR(L5+M5+N5,"")</f>
        <v>58.60902080000001</v>
      </c>
      <c r="P5" s="31">
        <f t="shared" ref="P5:P36" si="1">IFERROR(O5,"")</f>
        <v>58.60902080000001</v>
      </c>
      <c r="Q5" s="32">
        <f t="shared" ref="Q5:Q36" si="2">IFERROR((L5+M5)/O5,"")</f>
        <v>0.70083103657654011</v>
      </c>
    </row>
    <row r="6" spans="1:17" ht="18" customHeight="1" x14ac:dyDescent="0.3">
      <c r="A6" s="9" t="s">
        <v>385</v>
      </c>
      <c r="B6" s="9" t="s">
        <v>381</v>
      </c>
      <c r="C6" s="9" t="s">
        <v>386</v>
      </c>
      <c r="D6" s="9" t="s">
        <v>116</v>
      </c>
      <c r="E6" s="9" t="s">
        <v>387</v>
      </c>
      <c r="F6" s="26">
        <v>300</v>
      </c>
      <c r="G6" s="23">
        <v>22</v>
      </c>
      <c r="H6" s="9" t="s">
        <v>384</v>
      </c>
      <c r="I6" s="28">
        <v>0.02</v>
      </c>
      <c r="J6" s="24">
        <v>2.3599999999999999E-2</v>
      </c>
      <c r="K6" s="23">
        <v>159.4</v>
      </c>
      <c r="L6" s="31">
        <f>IFERROR(G6*(1+J6)*(1-I6)*INDEX(tbl_fatores_emissao[Valor],MATCH(D6,tbl_fatores_emissao[ID_FE],0)),"")</f>
        <v>11.034408000000001</v>
      </c>
      <c r="M6" s="31">
        <f>IFERROR(G6*(1+J6)*I6*INDEX(tbl_fatores_emissao[Valor],MATCH("FE-15",tbl_fatores_emissao[ID_FE],0)),"")</f>
        <v>1.3511520000000001</v>
      </c>
      <c r="N6" s="31">
        <f>IFERROR(K6*INDEX(tbl_fatores_emissao[Valor],MATCH("FE-01",tbl_fatores_emissao[ID_FE],0)),"")</f>
        <v>17.534000000000002</v>
      </c>
      <c r="O6" s="31">
        <f t="shared" si="0"/>
        <v>29.919560000000004</v>
      </c>
      <c r="P6" s="31">
        <f t="shared" si="1"/>
        <v>29.919560000000004</v>
      </c>
      <c r="Q6" s="32">
        <f t="shared" si="2"/>
        <v>0.413961970028971</v>
      </c>
    </row>
    <row r="7" spans="1:17" ht="18" customHeight="1" x14ac:dyDescent="0.3">
      <c r="A7" s="9" t="s">
        <v>388</v>
      </c>
      <c r="B7" s="9" t="s">
        <v>381</v>
      </c>
      <c r="C7" s="9" t="s">
        <v>386</v>
      </c>
      <c r="D7" s="9" t="s">
        <v>116</v>
      </c>
      <c r="E7" s="9" t="s">
        <v>387</v>
      </c>
      <c r="F7" s="26">
        <v>300</v>
      </c>
      <c r="G7" s="23">
        <v>22</v>
      </c>
      <c r="H7" s="9" t="s">
        <v>384</v>
      </c>
      <c r="I7" s="28">
        <v>0.02</v>
      </c>
      <c r="J7" s="24">
        <v>2.3599999999999999E-2</v>
      </c>
      <c r="K7" s="23">
        <v>159.4</v>
      </c>
      <c r="L7" s="31">
        <f>IFERROR(G7*(1+J7)*(1-I7)*INDEX(tbl_fatores_emissao[Valor],MATCH(D7,tbl_fatores_emissao[ID_FE],0)),"")</f>
        <v>11.034408000000001</v>
      </c>
      <c r="M7" s="31">
        <f>IFERROR(G7*(1+J7)*I7*INDEX(tbl_fatores_emissao[Valor],MATCH("FE-15",tbl_fatores_emissao[ID_FE],0)),"")</f>
        <v>1.3511520000000001</v>
      </c>
      <c r="N7" s="31">
        <f>IFERROR(K7*INDEX(tbl_fatores_emissao[Valor],MATCH("FE-01",tbl_fatores_emissao[ID_FE],0)),"")</f>
        <v>17.534000000000002</v>
      </c>
      <c r="O7" s="31">
        <f t="shared" si="0"/>
        <v>29.919560000000004</v>
      </c>
      <c r="P7" s="31">
        <f t="shared" si="1"/>
        <v>29.919560000000004</v>
      </c>
      <c r="Q7" s="32">
        <f t="shared" si="2"/>
        <v>0.413961970028971</v>
      </c>
    </row>
    <row r="8" spans="1:17" ht="18" customHeight="1" x14ac:dyDescent="0.3">
      <c r="A8" s="9" t="s">
        <v>389</v>
      </c>
      <c r="B8" s="9" t="s">
        <v>381</v>
      </c>
      <c r="C8" s="9" t="s">
        <v>390</v>
      </c>
      <c r="D8" s="9" t="s">
        <v>116</v>
      </c>
      <c r="E8" s="9" t="s">
        <v>387</v>
      </c>
      <c r="F8" s="26">
        <v>300</v>
      </c>
      <c r="G8" s="23">
        <v>22</v>
      </c>
      <c r="H8" s="9" t="s">
        <v>384</v>
      </c>
      <c r="I8" s="28">
        <v>0</v>
      </c>
      <c r="J8" s="24">
        <v>2.3599999999999999E-2</v>
      </c>
      <c r="K8" s="23">
        <v>159.4</v>
      </c>
      <c r="L8" s="31">
        <f>IFERROR(G8*(1+J8)*(1-I8)*INDEX(tbl_fatores_emissao[Valor],MATCH(D8,tbl_fatores_emissao[ID_FE],0)),"")</f>
        <v>11.259600000000001</v>
      </c>
      <c r="M8" s="31">
        <f>IFERROR(G8*(1+J8)*I8*INDEX(tbl_fatores_emissao[Valor],MATCH("FE-15",tbl_fatores_emissao[ID_FE],0)),"")</f>
        <v>0</v>
      </c>
      <c r="N8" s="31">
        <f>IFERROR(K8*INDEX(tbl_fatores_emissao[Valor],MATCH("FE-01",tbl_fatores_emissao[ID_FE],0)),"")</f>
        <v>17.534000000000002</v>
      </c>
      <c r="O8" s="31">
        <f t="shared" si="0"/>
        <v>28.793600000000005</v>
      </c>
      <c r="P8" s="31">
        <f t="shared" si="1"/>
        <v>28.793600000000005</v>
      </c>
      <c r="Q8" s="32">
        <f t="shared" si="2"/>
        <v>0.39104523227383858</v>
      </c>
    </row>
    <row r="9" spans="1:17" ht="18" customHeight="1" x14ac:dyDescent="0.3">
      <c r="A9" s="9" t="s">
        <v>391</v>
      </c>
      <c r="B9" s="9" t="s">
        <v>381</v>
      </c>
      <c r="C9" s="9" t="s">
        <v>390</v>
      </c>
      <c r="D9" s="9" t="s">
        <v>116</v>
      </c>
      <c r="E9" s="9" t="s">
        <v>387</v>
      </c>
      <c r="F9" s="26">
        <v>300</v>
      </c>
      <c r="G9" s="23">
        <v>22</v>
      </c>
      <c r="H9" s="9" t="s">
        <v>384</v>
      </c>
      <c r="I9" s="28">
        <v>0</v>
      </c>
      <c r="J9" s="24">
        <v>2.3599999999999999E-2</v>
      </c>
      <c r="K9" s="23">
        <v>159.4</v>
      </c>
      <c r="L9" s="31">
        <f>IFERROR(G9*(1+J9)*(1-I9)*INDEX(tbl_fatores_emissao[Valor],MATCH(D9,tbl_fatores_emissao[ID_FE],0)),"")</f>
        <v>11.259600000000001</v>
      </c>
      <c r="M9" s="31">
        <f>IFERROR(G9*(1+J9)*I9*INDEX(tbl_fatores_emissao[Valor],MATCH("FE-15",tbl_fatores_emissao[ID_FE],0)),"")</f>
        <v>0</v>
      </c>
      <c r="N9" s="31">
        <f>IFERROR(K9*INDEX(tbl_fatores_emissao[Valor],MATCH("FE-01",tbl_fatores_emissao[ID_FE],0)),"")</f>
        <v>17.534000000000002</v>
      </c>
      <c r="O9" s="31">
        <f t="shared" si="0"/>
        <v>28.793600000000005</v>
      </c>
      <c r="P9" s="31">
        <f t="shared" si="1"/>
        <v>28.793600000000005</v>
      </c>
      <c r="Q9" s="32">
        <f t="shared" si="2"/>
        <v>0.39104523227383858</v>
      </c>
    </row>
    <row r="10" spans="1:17" ht="18" customHeight="1" x14ac:dyDescent="0.3">
      <c r="A10" s="9" t="s">
        <v>392</v>
      </c>
      <c r="B10" s="9" t="s">
        <v>381</v>
      </c>
      <c r="C10" s="9" t="s">
        <v>390</v>
      </c>
      <c r="D10" s="9" t="s">
        <v>116</v>
      </c>
      <c r="E10" s="9" t="s">
        <v>387</v>
      </c>
      <c r="F10" s="26">
        <v>330</v>
      </c>
      <c r="G10" s="23">
        <v>23.4</v>
      </c>
      <c r="H10" s="9" t="s">
        <v>384</v>
      </c>
      <c r="I10" s="28">
        <v>0</v>
      </c>
      <c r="J10" s="24">
        <v>2.3599999999999999E-2</v>
      </c>
      <c r="K10" s="23">
        <v>159.4</v>
      </c>
      <c r="L10" s="31">
        <f>IFERROR(G10*(1+J10)*(1-I10)*INDEX(tbl_fatores_emissao[Valor],MATCH(D10,tbl_fatores_emissao[ID_FE],0)),"")</f>
        <v>11.97612</v>
      </c>
      <c r="M10" s="31">
        <f>IFERROR(G10*(1+J10)*I10*INDEX(tbl_fatores_emissao[Valor],MATCH("FE-15",tbl_fatores_emissao[ID_FE],0)),"")</f>
        <v>0</v>
      </c>
      <c r="N10" s="31">
        <f>IFERROR(K10*INDEX(tbl_fatores_emissao[Valor],MATCH("FE-01",tbl_fatores_emissao[ID_FE],0)),"")</f>
        <v>17.534000000000002</v>
      </c>
      <c r="O10" s="31">
        <f t="shared" si="0"/>
        <v>29.510120000000001</v>
      </c>
      <c r="P10" s="31">
        <f t="shared" si="1"/>
        <v>29.510120000000001</v>
      </c>
      <c r="Q10" s="32">
        <f t="shared" si="2"/>
        <v>0.40583094884060111</v>
      </c>
    </row>
    <row r="11" spans="1:17" ht="18" customHeight="1" x14ac:dyDescent="0.3">
      <c r="A11" s="9" t="s">
        <v>393</v>
      </c>
      <c r="B11" s="9" t="s">
        <v>381</v>
      </c>
      <c r="C11" s="9" t="s">
        <v>382</v>
      </c>
      <c r="D11" s="9" t="s">
        <v>110</v>
      </c>
      <c r="E11" s="9" t="s">
        <v>383</v>
      </c>
      <c r="F11" s="26">
        <v>350</v>
      </c>
      <c r="G11" s="23">
        <v>24.4</v>
      </c>
      <c r="H11" s="9" t="s">
        <v>384</v>
      </c>
      <c r="I11" s="28">
        <v>0.02</v>
      </c>
      <c r="J11" s="24">
        <v>2.3599999999999999E-2</v>
      </c>
      <c r="K11" s="23">
        <v>159.4</v>
      </c>
      <c r="L11" s="31">
        <f>IFERROR(G11*(1+J11)*(1-I11)*INDEX(tbl_fatores_emissao[Valor],MATCH(D11,tbl_fatores_emissao[ID_FE],0)),"")</f>
        <v>44.057381759999998</v>
      </c>
      <c r="M11" s="31">
        <f>IFERROR(G11*(1+J11)*I11*INDEX(tbl_fatores_emissao[Valor],MATCH("FE-15",tbl_fatores_emissao[ID_FE],0)),"")</f>
        <v>1.4985504000000001</v>
      </c>
      <c r="N11" s="31">
        <f>IFERROR(K11*INDEX(tbl_fatores_emissao[Valor],MATCH("FE-01",tbl_fatores_emissao[ID_FE],0)),"")</f>
        <v>17.534000000000002</v>
      </c>
      <c r="O11" s="31">
        <f t="shared" si="0"/>
        <v>63.089932160000004</v>
      </c>
      <c r="P11" s="31">
        <f t="shared" si="1"/>
        <v>63.089932160000004</v>
      </c>
      <c r="Q11" s="32">
        <f t="shared" si="2"/>
        <v>0.72207927002468975</v>
      </c>
    </row>
    <row r="12" spans="1:17" ht="18" customHeight="1" x14ac:dyDescent="0.3">
      <c r="A12" s="9" t="s">
        <v>394</v>
      </c>
      <c r="B12" s="9" t="s">
        <v>381</v>
      </c>
      <c r="C12" s="9" t="s">
        <v>382</v>
      </c>
      <c r="D12" s="9" t="s">
        <v>110</v>
      </c>
      <c r="E12" s="9" t="s">
        <v>383</v>
      </c>
      <c r="F12" s="26">
        <v>350</v>
      </c>
      <c r="G12" s="23">
        <v>24.4</v>
      </c>
      <c r="H12" s="9" t="s">
        <v>384</v>
      </c>
      <c r="I12" s="28">
        <v>1.4999999999999999E-2</v>
      </c>
      <c r="J12" s="24">
        <v>2.3599999999999999E-2</v>
      </c>
      <c r="K12" s="23">
        <v>159.4</v>
      </c>
      <c r="L12" s="31">
        <f>IFERROR(G12*(1+J12)*(1-I12)*INDEX(tbl_fatores_emissao[Valor],MATCH(D12,tbl_fatores_emissao[ID_FE],0)),"")</f>
        <v>44.282164320000007</v>
      </c>
      <c r="M12" s="31">
        <f>IFERROR(G12*(1+J12)*I12*INDEX(tbl_fatores_emissao[Valor],MATCH("FE-15",tbl_fatores_emissao[ID_FE],0)),"")</f>
        <v>1.1239128</v>
      </c>
      <c r="N12" s="31">
        <f>IFERROR(K12*INDEX(tbl_fatores_emissao[Valor],MATCH("FE-01",tbl_fatores_emissao[ID_FE],0)),"")</f>
        <v>17.534000000000002</v>
      </c>
      <c r="O12" s="31">
        <f t="shared" si="0"/>
        <v>62.940077120000012</v>
      </c>
      <c r="P12" s="31">
        <f t="shared" si="1"/>
        <v>62.940077120000012</v>
      </c>
      <c r="Q12" s="32">
        <f t="shared" si="2"/>
        <v>0.72141756409719504</v>
      </c>
    </row>
    <row r="13" spans="1:17" ht="18" customHeight="1" x14ac:dyDescent="0.3">
      <c r="A13" s="9" t="s">
        <v>395</v>
      </c>
      <c r="B13" s="9" t="s">
        <v>381</v>
      </c>
      <c r="C13" s="9" t="s">
        <v>382</v>
      </c>
      <c r="D13" s="9" t="s">
        <v>110</v>
      </c>
      <c r="E13" s="9" t="s">
        <v>383</v>
      </c>
      <c r="F13" s="26">
        <v>350</v>
      </c>
      <c r="G13" s="23">
        <v>24.4</v>
      </c>
      <c r="H13" s="9" t="s">
        <v>384</v>
      </c>
      <c r="I13" s="28">
        <v>0.02</v>
      </c>
      <c r="J13" s="24">
        <v>2.3599999999999999E-2</v>
      </c>
      <c r="K13" s="23">
        <v>159.4</v>
      </c>
      <c r="L13" s="31">
        <f>IFERROR(G13*(1+J13)*(1-I13)*INDEX(tbl_fatores_emissao[Valor],MATCH(D13,tbl_fatores_emissao[ID_FE],0)),"")</f>
        <v>44.057381759999998</v>
      </c>
      <c r="M13" s="31">
        <f>IFERROR(G13*(1+J13)*I13*INDEX(tbl_fatores_emissao[Valor],MATCH("FE-15",tbl_fatores_emissao[ID_FE],0)),"")</f>
        <v>1.4985504000000001</v>
      </c>
      <c r="N13" s="31">
        <f>IFERROR(K13*INDEX(tbl_fatores_emissao[Valor],MATCH("FE-01",tbl_fatores_emissao[ID_FE],0)),"")</f>
        <v>17.534000000000002</v>
      </c>
      <c r="O13" s="31">
        <f t="shared" si="0"/>
        <v>63.089932160000004</v>
      </c>
      <c r="P13" s="31">
        <f t="shared" si="1"/>
        <v>63.089932160000004</v>
      </c>
      <c r="Q13" s="32">
        <f t="shared" si="2"/>
        <v>0.72207927002468975</v>
      </c>
    </row>
    <row r="14" spans="1:17" ht="18" customHeight="1" x14ac:dyDescent="0.3">
      <c r="A14" s="9" t="s">
        <v>396</v>
      </c>
      <c r="B14" s="9" t="s">
        <v>381</v>
      </c>
      <c r="C14" s="9" t="s">
        <v>386</v>
      </c>
      <c r="D14" s="9" t="s">
        <v>116</v>
      </c>
      <c r="E14" s="9" t="s">
        <v>387</v>
      </c>
      <c r="F14" s="26">
        <v>350</v>
      </c>
      <c r="G14" s="23">
        <v>24.4</v>
      </c>
      <c r="H14" s="9" t="s">
        <v>384</v>
      </c>
      <c r="I14" s="28">
        <v>0.02</v>
      </c>
      <c r="J14" s="24">
        <v>2.3599999999999999E-2</v>
      </c>
      <c r="K14" s="23">
        <v>159.4</v>
      </c>
      <c r="L14" s="31">
        <f>IFERROR(G14*(1+J14)*(1-I14)*INDEX(tbl_fatores_emissao[Valor],MATCH(D14,tbl_fatores_emissao[ID_FE],0)),"")</f>
        <v>12.2381616</v>
      </c>
      <c r="M14" s="31">
        <f>IFERROR(G14*(1+J14)*I14*INDEX(tbl_fatores_emissao[Valor],MATCH("FE-15",tbl_fatores_emissao[ID_FE],0)),"")</f>
        <v>1.4985504000000001</v>
      </c>
      <c r="N14" s="31">
        <f>IFERROR(K14*INDEX(tbl_fatores_emissao[Valor],MATCH("FE-01",tbl_fatores_emissao[ID_FE],0)),"")</f>
        <v>17.534000000000002</v>
      </c>
      <c r="O14" s="31">
        <f t="shared" si="0"/>
        <v>31.270712000000003</v>
      </c>
      <c r="P14" s="31">
        <f t="shared" si="1"/>
        <v>31.270712000000003</v>
      </c>
      <c r="Q14" s="32">
        <f t="shared" si="2"/>
        <v>0.43928363383603158</v>
      </c>
    </row>
    <row r="15" spans="1:17" ht="18" customHeight="1" x14ac:dyDescent="0.3">
      <c r="A15" s="9" t="s">
        <v>397</v>
      </c>
      <c r="B15" s="9" t="s">
        <v>381</v>
      </c>
      <c r="C15" s="9" t="s">
        <v>386</v>
      </c>
      <c r="D15" s="9" t="s">
        <v>116</v>
      </c>
      <c r="E15" s="9" t="s">
        <v>387</v>
      </c>
      <c r="F15" s="26">
        <v>350</v>
      </c>
      <c r="G15" s="23">
        <v>24.4</v>
      </c>
      <c r="H15" s="9" t="s">
        <v>384</v>
      </c>
      <c r="I15" s="28">
        <v>0.02</v>
      </c>
      <c r="J15" s="24">
        <v>2.3599999999999999E-2</v>
      </c>
      <c r="K15" s="23">
        <v>159.4</v>
      </c>
      <c r="L15" s="31">
        <f>IFERROR(G15*(1+J15)*(1-I15)*INDEX(tbl_fatores_emissao[Valor],MATCH(D15,tbl_fatores_emissao[ID_FE],0)),"")</f>
        <v>12.2381616</v>
      </c>
      <c r="M15" s="31">
        <f>IFERROR(G15*(1+J15)*I15*INDEX(tbl_fatores_emissao[Valor],MATCH("FE-15",tbl_fatores_emissao[ID_FE],0)),"")</f>
        <v>1.4985504000000001</v>
      </c>
      <c r="N15" s="31">
        <f>IFERROR(K15*INDEX(tbl_fatores_emissao[Valor],MATCH("FE-01",tbl_fatores_emissao[ID_FE],0)),"")</f>
        <v>17.534000000000002</v>
      </c>
      <c r="O15" s="31">
        <f t="shared" si="0"/>
        <v>31.270712000000003</v>
      </c>
      <c r="P15" s="31">
        <f t="shared" si="1"/>
        <v>31.270712000000003</v>
      </c>
      <c r="Q15" s="32">
        <f t="shared" si="2"/>
        <v>0.43928363383603158</v>
      </c>
    </row>
    <row r="16" spans="1:17" ht="18" customHeight="1" x14ac:dyDescent="0.3">
      <c r="A16" s="9" t="s">
        <v>398</v>
      </c>
      <c r="B16" s="9" t="s">
        <v>381</v>
      </c>
      <c r="C16" s="9" t="s">
        <v>386</v>
      </c>
      <c r="D16" s="9" t="s">
        <v>116</v>
      </c>
      <c r="E16" s="9" t="s">
        <v>387</v>
      </c>
      <c r="F16" s="26">
        <v>350</v>
      </c>
      <c r="G16" s="23">
        <v>24.4</v>
      </c>
      <c r="H16" s="9" t="s">
        <v>384</v>
      </c>
      <c r="I16" s="28">
        <v>1.4999999999999999E-2</v>
      </c>
      <c r="J16" s="24">
        <v>2.3599999999999999E-2</v>
      </c>
      <c r="K16" s="23">
        <v>159.4</v>
      </c>
      <c r="L16" s="31">
        <f>IFERROR(G16*(1+J16)*(1-I16)*INDEX(tbl_fatores_emissao[Valor],MATCH(D16,tbl_fatores_emissao[ID_FE],0)),"")</f>
        <v>12.300601200000001</v>
      </c>
      <c r="M16" s="31">
        <f>IFERROR(G16*(1+J16)*I16*INDEX(tbl_fatores_emissao[Valor],MATCH("FE-15",tbl_fatores_emissao[ID_FE],0)),"")</f>
        <v>1.1239128</v>
      </c>
      <c r="N16" s="31">
        <f>IFERROR(K16*INDEX(tbl_fatores_emissao[Valor],MATCH("FE-01",tbl_fatores_emissao[ID_FE],0)),"")</f>
        <v>17.534000000000002</v>
      </c>
      <c r="O16" s="31">
        <f t="shared" si="0"/>
        <v>30.958514000000001</v>
      </c>
      <c r="P16" s="31">
        <f t="shared" si="1"/>
        <v>30.958514000000001</v>
      </c>
      <c r="Q16" s="32">
        <f t="shared" si="2"/>
        <v>0.43362914641187233</v>
      </c>
    </row>
    <row r="17" spans="1:17" ht="18" customHeight="1" x14ac:dyDescent="0.3">
      <c r="A17" s="9" t="s">
        <v>399</v>
      </c>
      <c r="B17" s="9" t="s">
        <v>381</v>
      </c>
      <c r="C17" s="9" t="s">
        <v>400</v>
      </c>
      <c r="D17" s="9" t="s">
        <v>110</v>
      </c>
      <c r="E17" s="9" t="s">
        <v>383</v>
      </c>
      <c r="F17" s="26">
        <v>350</v>
      </c>
      <c r="G17" s="23">
        <v>24.4</v>
      </c>
      <c r="H17" s="9" t="s">
        <v>384</v>
      </c>
      <c r="I17" s="28">
        <v>2.5000000000000001E-2</v>
      </c>
      <c r="J17" s="24">
        <v>2.3599999999999999E-2</v>
      </c>
      <c r="K17" s="23">
        <v>159.4</v>
      </c>
      <c r="L17" s="31">
        <f>IFERROR(G17*(1+J17)*(1-I17)*INDEX(tbl_fatores_emissao[Valor],MATCH(D17,tbl_fatores_emissao[ID_FE],0)),"")</f>
        <v>43.832599200000004</v>
      </c>
      <c r="M17" s="31">
        <f>IFERROR(G17*(1+J17)*I17*INDEX(tbl_fatores_emissao[Valor],MATCH("FE-15",tbl_fatores_emissao[ID_FE],0)),"")</f>
        <v>1.8731880000000003</v>
      </c>
      <c r="N17" s="31">
        <f>IFERROR(K17*INDEX(tbl_fatores_emissao[Valor],MATCH("FE-01",tbl_fatores_emissao[ID_FE],0)),"")</f>
        <v>17.534000000000002</v>
      </c>
      <c r="O17" s="31">
        <f t="shared" si="0"/>
        <v>63.239787200000009</v>
      </c>
      <c r="P17" s="31">
        <f t="shared" si="1"/>
        <v>63.239787200000009</v>
      </c>
      <c r="Q17" s="32">
        <f t="shared" si="2"/>
        <v>0.72273783995275676</v>
      </c>
    </row>
    <row r="18" spans="1:17" ht="18" customHeight="1" x14ac:dyDescent="0.3">
      <c r="A18" s="9" t="s">
        <v>401</v>
      </c>
      <c r="B18" s="9" t="s">
        <v>381</v>
      </c>
      <c r="C18" s="9" t="s">
        <v>402</v>
      </c>
      <c r="D18" s="9" t="s">
        <v>112</v>
      </c>
      <c r="E18" s="9" t="s">
        <v>383</v>
      </c>
      <c r="F18" s="26">
        <v>350</v>
      </c>
      <c r="G18" s="23">
        <v>24.4</v>
      </c>
      <c r="H18" s="9" t="s">
        <v>384</v>
      </c>
      <c r="I18" s="28">
        <v>0</v>
      </c>
      <c r="J18" s="24">
        <v>2.3599999999999999E-2</v>
      </c>
      <c r="K18" s="23">
        <v>159.4</v>
      </c>
      <c r="L18" s="31">
        <f>IFERROR(G18*(1+J18)*(1-I18)*INDEX(tbl_fatores_emissao[Valor],MATCH(D18,tbl_fatores_emissao[ID_FE],0)),"")</f>
        <v>54.94684800000001</v>
      </c>
      <c r="M18" s="31">
        <f>IFERROR(G18*(1+J18)*I18*INDEX(tbl_fatores_emissao[Valor],MATCH("FE-15",tbl_fatores_emissao[ID_FE],0)),"")</f>
        <v>0</v>
      </c>
      <c r="N18" s="31">
        <f>IFERROR(K18*INDEX(tbl_fatores_emissao[Valor],MATCH("FE-01",tbl_fatores_emissao[ID_FE],0)),"")</f>
        <v>17.534000000000002</v>
      </c>
      <c r="O18" s="31">
        <f t="shared" si="0"/>
        <v>72.480848000000009</v>
      </c>
      <c r="P18" s="31">
        <f t="shared" si="1"/>
        <v>72.480848000000009</v>
      </c>
      <c r="Q18" s="32">
        <f t="shared" si="2"/>
        <v>0.75808781928158464</v>
      </c>
    </row>
    <row r="19" spans="1:17" ht="18" customHeight="1" x14ac:dyDescent="0.3">
      <c r="A19" s="9" t="s">
        <v>403</v>
      </c>
      <c r="B19" s="9" t="s">
        <v>381</v>
      </c>
      <c r="C19" s="9" t="s">
        <v>402</v>
      </c>
      <c r="D19" s="9" t="s">
        <v>112</v>
      </c>
      <c r="E19" s="9" t="s">
        <v>383</v>
      </c>
      <c r="F19" s="26">
        <v>350</v>
      </c>
      <c r="G19" s="23">
        <v>24.4</v>
      </c>
      <c r="H19" s="9" t="s">
        <v>384</v>
      </c>
      <c r="I19" s="28">
        <v>0</v>
      </c>
      <c r="J19" s="24">
        <v>2.3599999999999999E-2</v>
      </c>
      <c r="K19" s="23">
        <v>159.4</v>
      </c>
      <c r="L19" s="31">
        <f>IFERROR(G19*(1+J19)*(1-I19)*INDEX(tbl_fatores_emissao[Valor],MATCH(D19,tbl_fatores_emissao[ID_FE],0)),"")</f>
        <v>54.94684800000001</v>
      </c>
      <c r="M19" s="31">
        <f>IFERROR(G19*(1+J19)*I19*INDEX(tbl_fatores_emissao[Valor],MATCH("FE-15",tbl_fatores_emissao[ID_FE],0)),"")</f>
        <v>0</v>
      </c>
      <c r="N19" s="31">
        <f>IFERROR(K19*INDEX(tbl_fatores_emissao[Valor],MATCH("FE-01",tbl_fatores_emissao[ID_FE],0)),"")</f>
        <v>17.534000000000002</v>
      </c>
      <c r="O19" s="31">
        <f t="shared" si="0"/>
        <v>72.480848000000009</v>
      </c>
      <c r="P19" s="31">
        <f t="shared" si="1"/>
        <v>72.480848000000009</v>
      </c>
      <c r="Q19" s="32">
        <f t="shared" si="2"/>
        <v>0.75808781928158464</v>
      </c>
    </row>
    <row r="20" spans="1:17" ht="18" customHeight="1" x14ac:dyDescent="0.3">
      <c r="A20" s="9" t="s">
        <v>404</v>
      </c>
      <c r="B20" s="9" t="s">
        <v>381</v>
      </c>
      <c r="C20" s="9" t="s">
        <v>405</v>
      </c>
      <c r="D20" s="9" t="s">
        <v>112</v>
      </c>
      <c r="E20" s="9" t="s">
        <v>383</v>
      </c>
      <c r="F20" s="26">
        <v>350</v>
      </c>
      <c r="G20" s="23">
        <v>24.4</v>
      </c>
      <c r="H20" s="9" t="s">
        <v>384</v>
      </c>
      <c r="I20" s="28">
        <v>0</v>
      </c>
      <c r="J20" s="24">
        <v>2.3599999999999999E-2</v>
      </c>
      <c r="K20" s="23">
        <v>159.4</v>
      </c>
      <c r="L20" s="31">
        <f>IFERROR(G20*(1+J20)*(1-I20)*INDEX(tbl_fatores_emissao[Valor],MATCH(D20,tbl_fatores_emissao[ID_FE],0)),"")</f>
        <v>54.94684800000001</v>
      </c>
      <c r="M20" s="31">
        <f>IFERROR(G20*(1+J20)*I20*INDEX(tbl_fatores_emissao[Valor],MATCH("FE-15",tbl_fatores_emissao[ID_FE],0)),"")</f>
        <v>0</v>
      </c>
      <c r="N20" s="31">
        <f>IFERROR(K20*INDEX(tbl_fatores_emissao[Valor],MATCH("FE-01",tbl_fatores_emissao[ID_FE],0)),"")</f>
        <v>17.534000000000002</v>
      </c>
      <c r="O20" s="31">
        <f t="shared" si="0"/>
        <v>72.480848000000009</v>
      </c>
      <c r="P20" s="31">
        <f t="shared" si="1"/>
        <v>72.480848000000009</v>
      </c>
      <c r="Q20" s="32">
        <f t="shared" si="2"/>
        <v>0.75808781928158464</v>
      </c>
    </row>
    <row r="21" spans="1:17" ht="18" customHeight="1" x14ac:dyDescent="0.3">
      <c r="A21" s="9" t="s">
        <v>406</v>
      </c>
      <c r="B21" s="9" t="s">
        <v>381</v>
      </c>
      <c r="C21" s="9" t="s">
        <v>405</v>
      </c>
      <c r="D21" s="9" t="s">
        <v>112</v>
      </c>
      <c r="E21" s="9" t="s">
        <v>383</v>
      </c>
      <c r="F21" s="26">
        <v>350</v>
      </c>
      <c r="G21" s="23">
        <v>24.4</v>
      </c>
      <c r="H21" s="9" t="s">
        <v>384</v>
      </c>
      <c r="I21" s="28">
        <v>0</v>
      </c>
      <c r="J21" s="24">
        <v>2.3599999999999999E-2</v>
      </c>
      <c r="K21" s="23">
        <v>159.4</v>
      </c>
      <c r="L21" s="31">
        <f>IFERROR(G21*(1+J21)*(1-I21)*INDEX(tbl_fatores_emissao[Valor],MATCH(D21,tbl_fatores_emissao[ID_FE],0)),"")</f>
        <v>54.94684800000001</v>
      </c>
      <c r="M21" s="31">
        <f>IFERROR(G21*(1+J21)*I21*INDEX(tbl_fatores_emissao[Valor],MATCH("FE-15",tbl_fatores_emissao[ID_FE],0)),"")</f>
        <v>0</v>
      </c>
      <c r="N21" s="31">
        <f>IFERROR(K21*INDEX(tbl_fatores_emissao[Valor],MATCH("FE-01",tbl_fatores_emissao[ID_FE],0)),"")</f>
        <v>17.534000000000002</v>
      </c>
      <c r="O21" s="31">
        <f t="shared" si="0"/>
        <v>72.480848000000009</v>
      </c>
      <c r="P21" s="31">
        <f t="shared" si="1"/>
        <v>72.480848000000009</v>
      </c>
      <c r="Q21" s="32">
        <f t="shared" si="2"/>
        <v>0.75808781928158464</v>
      </c>
    </row>
    <row r="22" spans="1:17" ht="18" customHeight="1" x14ac:dyDescent="0.3">
      <c r="A22" s="9" t="s">
        <v>407</v>
      </c>
      <c r="B22" s="9" t="s">
        <v>381</v>
      </c>
      <c r="C22" s="9" t="s">
        <v>405</v>
      </c>
      <c r="D22" s="9" t="s">
        <v>112</v>
      </c>
      <c r="E22" s="9" t="s">
        <v>383</v>
      </c>
      <c r="F22" s="26">
        <v>350</v>
      </c>
      <c r="G22" s="23">
        <v>24.4</v>
      </c>
      <c r="H22" s="9" t="s">
        <v>384</v>
      </c>
      <c r="I22" s="28">
        <v>0</v>
      </c>
      <c r="J22" s="24">
        <v>2.3599999999999999E-2</v>
      </c>
      <c r="K22" s="23">
        <v>159.4</v>
      </c>
      <c r="L22" s="31">
        <f>IFERROR(G22*(1+J22)*(1-I22)*INDEX(tbl_fatores_emissao[Valor],MATCH(D22,tbl_fatores_emissao[ID_FE],0)),"")</f>
        <v>54.94684800000001</v>
      </c>
      <c r="M22" s="31">
        <f>IFERROR(G22*(1+J22)*I22*INDEX(tbl_fatores_emissao[Valor],MATCH("FE-15",tbl_fatores_emissao[ID_FE],0)),"")</f>
        <v>0</v>
      </c>
      <c r="N22" s="31">
        <f>IFERROR(K22*INDEX(tbl_fatores_emissao[Valor],MATCH("FE-01",tbl_fatores_emissao[ID_FE],0)),"")</f>
        <v>17.534000000000002</v>
      </c>
      <c r="O22" s="31">
        <f t="shared" si="0"/>
        <v>72.480848000000009</v>
      </c>
      <c r="P22" s="31">
        <f t="shared" si="1"/>
        <v>72.480848000000009</v>
      </c>
      <c r="Q22" s="32">
        <f t="shared" si="2"/>
        <v>0.75808781928158464</v>
      </c>
    </row>
    <row r="23" spans="1:17" ht="18" customHeight="1" x14ac:dyDescent="0.3">
      <c r="A23" s="9" t="s">
        <v>408</v>
      </c>
      <c r="B23" s="9" t="s">
        <v>381</v>
      </c>
      <c r="C23" s="9" t="s">
        <v>409</v>
      </c>
      <c r="D23" s="9" t="s">
        <v>106</v>
      </c>
      <c r="E23" s="9" t="s">
        <v>383</v>
      </c>
      <c r="F23" s="26">
        <v>350</v>
      </c>
      <c r="G23" s="23">
        <v>24.4</v>
      </c>
      <c r="H23" s="9" t="s">
        <v>384</v>
      </c>
      <c r="I23" s="28">
        <v>0.02</v>
      </c>
      <c r="J23" s="24">
        <v>2.3599999999999999E-2</v>
      </c>
      <c r="K23" s="23">
        <v>159.4</v>
      </c>
      <c r="L23" s="31">
        <f>IFERROR(G23*(1+J23)*(1-I23)*INDEX(tbl_fatores_emissao[Valor],MATCH(D23,tbl_fatores_emissao[ID_FE],0)),"")</f>
        <v>39.162117120000005</v>
      </c>
      <c r="M23" s="31">
        <f>IFERROR(G23*(1+J23)*I23*INDEX(tbl_fatores_emissao[Valor],MATCH("FE-15",tbl_fatores_emissao[ID_FE],0)),"")</f>
        <v>1.4985504000000001</v>
      </c>
      <c r="N23" s="31">
        <f>IFERROR(K23*INDEX(tbl_fatores_emissao[Valor],MATCH("FE-01",tbl_fatores_emissao[ID_FE],0)),"")</f>
        <v>17.534000000000002</v>
      </c>
      <c r="O23" s="31">
        <f t="shared" si="0"/>
        <v>58.19466752000001</v>
      </c>
      <c r="P23" s="31">
        <f t="shared" si="1"/>
        <v>58.19466752000001</v>
      </c>
      <c r="Q23" s="32">
        <f t="shared" si="2"/>
        <v>0.69870091630003694</v>
      </c>
    </row>
    <row r="24" spans="1:17" ht="18" customHeight="1" x14ac:dyDescent="0.3">
      <c r="A24" s="9" t="s">
        <v>410</v>
      </c>
      <c r="B24" s="9" t="s">
        <v>381</v>
      </c>
      <c r="C24" s="9" t="s">
        <v>409</v>
      </c>
      <c r="D24" s="9" t="s">
        <v>106</v>
      </c>
      <c r="E24" s="9" t="s">
        <v>383</v>
      </c>
      <c r="F24" s="26">
        <v>350</v>
      </c>
      <c r="G24" s="23">
        <v>24.4</v>
      </c>
      <c r="H24" s="9" t="s">
        <v>384</v>
      </c>
      <c r="I24" s="28">
        <v>2.5000000000000001E-2</v>
      </c>
      <c r="J24" s="24">
        <v>2.3599999999999999E-2</v>
      </c>
      <c r="K24" s="23">
        <v>159.4</v>
      </c>
      <c r="L24" s="31">
        <f>IFERROR(G24*(1+J24)*(1-I24)*INDEX(tbl_fatores_emissao[Valor],MATCH(D24,tbl_fatores_emissao[ID_FE],0)),"")</f>
        <v>38.962310400000007</v>
      </c>
      <c r="M24" s="31">
        <f>IFERROR(G24*(1+J24)*I24*INDEX(tbl_fatores_emissao[Valor],MATCH("FE-15",tbl_fatores_emissao[ID_FE],0)),"")</f>
        <v>1.8731880000000003</v>
      </c>
      <c r="N24" s="31">
        <f>IFERROR(K24*INDEX(tbl_fatores_emissao[Valor],MATCH("FE-01",tbl_fatores_emissao[ID_FE],0)),"")</f>
        <v>17.534000000000002</v>
      </c>
      <c r="O24" s="31">
        <f t="shared" si="0"/>
        <v>58.369498400000012</v>
      </c>
      <c r="P24" s="31">
        <f t="shared" si="1"/>
        <v>58.369498400000012</v>
      </c>
      <c r="Q24" s="32">
        <f t="shared" si="2"/>
        <v>0.69960338052176918</v>
      </c>
    </row>
    <row r="25" spans="1:17" ht="18" customHeight="1" x14ac:dyDescent="0.3">
      <c r="A25" s="9" t="s">
        <v>411</v>
      </c>
      <c r="B25" s="9" t="s">
        <v>381</v>
      </c>
      <c r="C25" s="9" t="s">
        <v>412</v>
      </c>
      <c r="D25" s="9" t="s">
        <v>116</v>
      </c>
      <c r="E25" s="9" t="s">
        <v>387</v>
      </c>
      <c r="F25" s="26">
        <v>350</v>
      </c>
      <c r="G25" s="23">
        <v>24.4</v>
      </c>
      <c r="H25" s="9" t="s">
        <v>384</v>
      </c>
      <c r="I25" s="28">
        <v>1.4999999999999999E-2</v>
      </c>
      <c r="J25" s="24">
        <v>2.3599999999999999E-2</v>
      </c>
      <c r="K25" s="23">
        <v>159.4</v>
      </c>
      <c r="L25" s="31">
        <f>IFERROR(G25*(1+J25)*(1-I25)*INDEX(tbl_fatores_emissao[Valor],MATCH(D25,tbl_fatores_emissao[ID_FE],0)),"")</f>
        <v>12.300601200000001</v>
      </c>
      <c r="M25" s="31">
        <f>IFERROR(G25*(1+J25)*I25*INDEX(tbl_fatores_emissao[Valor],MATCH("FE-15",tbl_fatores_emissao[ID_FE],0)),"")</f>
        <v>1.1239128</v>
      </c>
      <c r="N25" s="31">
        <f>IFERROR(K25*INDEX(tbl_fatores_emissao[Valor],MATCH("FE-01",tbl_fatores_emissao[ID_FE],0)),"")</f>
        <v>17.534000000000002</v>
      </c>
      <c r="O25" s="31">
        <f t="shared" si="0"/>
        <v>30.958514000000001</v>
      </c>
      <c r="P25" s="31">
        <f t="shared" si="1"/>
        <v>30.958514000000001</v>
      </c>
      <c r="Q25" s="32">
        <f t="shared" si="2"/>
        <v>0.43362914641187233</v>
      </c>
    </row>
    <row r="26" spans="1:17" ht="18" customHeight="1" x14ac:dyDescent="0.3">
      <c r="A26" s="9" t="s">
        <v>413</v>
      </c>
      <c r="B26" s="9" t="s">
        <v>381</v>
      </c>
      <c r="C26" s="9" t="s">
        <v>412</v>
      </c>
      <c r="D26" s="9" t="s">
        <v>116</v>
      </c>
      <c r="E26" s="9" t="s">
        <v>387</v>
      </c>
      <c r="F26" s="26">
        <v>350</v>
      </c>
      <c r="G26" s="23">
        <v>24.4</v>
      </c>
      <c r="H26" s="9" t="s">
        <v>384</v>
      </c>
      <c r="I26" s="28">
        <v>0.02</v>
      </c>
      <c r="J26" s="24">
        <v>2.3599999999999999E-2</v>
      </c>
      <c r="K26" s="23">
        <v>159.4</v>
      </c>
      <c r="L26" s="31">
        <f>IFERROR(G26*(1+J26)*(1-I26)*INDEX(tbl_fatores_emissao[Valor],MATCH(D26,tbl_fatores_emissao[ID_FE],0)),"")</f>
        <v>12.2381616</v>
      </c>
      <c r="M26" s="31">
        <f>IFERROR(G26*(1+J26)*I26*INDEX(tbl_fatores_emissao[Valor],MATCH("FE-15",tbl_fatores_emissao[ID_FE],0)),"")</f>
        <v>1.4985504000000001</v>
      </c>
      <c r="N26" s="31">
        <f>IFERROR(K26*INDEX(tbl_fatores_emissao[Valor],MATCH("FE-01",tbl_fatores_emissao[ID_FE],0)),"")</f>
        <v>17.534000000000002</v>
      </c>
      <c r="O26" s="31">
        <f t="shared" si="0"/>
        <v>31.270712000000003</v>
      </c>
      <c r="P26" s="31">
        <f t="shared" si="1"/>
        <v>31.270712000000003</v>
      </c>
      <c r="Q26" s="32">
        <f t="shared" si="2"/>
        <v>0.43928363383603158</v>
      </c>
    </row>
    <row r="27" spans="1:17" ht="18" customHeight="1" x14ac:dyDescent="0.3">
      <c r="A27" s="9" t="s">
        <v>414</v>
      </c>
      <c r="B27" s="9" t="s">
        <v>381</v>
      </c>
      <c r="C27" s="9" t="s">
        <v>415</v>
      </c>
      <c r="D27" s="9" t="s">
        <v>114</v>
      </c>
      <c r="E27" s="9" t="s">
        <v>383</v>
      </c>
      <c r="F27" s="26">
        <v>350</v>
      </c>
      <c r="G27" s="23">
        <v>24.4</v>
      </c>
      <c r="H27" s="9" t="s">
        <v>384</v>
      </c>
      <c r="I27" s="28">
        <v>0</v>
      </c>
      <c r="J27" s="24">
        <v>2.3599999999999999E-2</v>
      </c>
      <c r="K27" s="23">
        <v>159.4</v>
      </c>
      <c r="L27" s="31">
        <f>IFERROR(G27*(1+J27)*(1-I27)*INDEX(tbl_fatores_emissao[Valor],MATCH(D27,tbl_fatores_emissao[ID_FE],0)),"")</f>
        <v>49.951680000000003</v>
      </c>
      <c r="M27" s="31">
        <f>IFERROR(G27*(1+J27)*I27*INDEX(tbl_fatores_emissao[Valor],MATCH("FE-15",tbl_fatores_emissao[ID_FE],0)),"")</f>
        <v>0</v>
      </c>
      <c r="N27" s="31">
        <f>IFERROR(K27*INDEX(tbl_fatores_emissao[Valor],MATCH("FE-01",tbl_fatores_emissao[ID_FE],0)),"")</f>
        <v>17.534000000000002</v>
      </c>
      <c r="O27" s="31">
        <f t="shared" si="0"/>
        <v>67.485680000000002</v>
      </c>
      <c r="P27" s="31">
        <f t="shared" si="1"/>
        <v>67.485680000000002</v>
      </c>
      <c r="Q27" s="32">
        <f t="shared" si="2"/>
        <v>0.74018191711189696</v>
      </c>
    </row>
    <row r="28" spans="1:17" ht="18" customHeight="1" x14ac:dyDescent="0.3">
      <c r="A28" s="9" t="s">
        <v>416</v>
      </c>
      <c r="B28" s="9" t="s">
        <v>381</v>
      </c>
      <c r="C28" s="9" t="s">
        <v>390</v>
      </c>
      <c r="D28" s="9" t="s">
        <v>116</v>
      </c>
      <c r="E28" s="9" t="s">
        <v>387</v>
      </c>
      <c r="F28" s="26">
        <v>350</v>
      </c>
      <c r="G28" s="23">
        <v>24.4</v>
      </c>
      <c r="H28" s="9" t="s">
        <v>384</v>
      </c>
      <c r="I28" s="28">
        <v>0</v>
      </c>
      <c r="J28" s="24">
        <v>2.3599999999999999E-2</v>
      </c>
      <c r="K28" s="23">
        <v>159.4</v>
      </c>
      <c r="L28" s="31">
        <f>IFERROR(G28*(1+J28)*(1-I28)*INDEX(tbl_fatores_emissao[Valor],MATCH(D28,tbl_fatores_emissao[ID_FE],0)),"")</f>
        <v>12.487920000000001</v>
      </c>
      <c r="M28" s="31">
        <f>IFERROR(G28*(1+J28)*I28*INDEX(tbl_fatores_emissao[Valor],MATCH("FE-15",tbl_fatores_emissao[ID_FE],0)),"")</f>
        <v>0</v>
      </c>
      <c r="N28" s="31">
        <f>IFERROR(K28*INDEX(tbl_fatores_emissao[Valor],MATCH("FE-01",tbl_fatores_emissao[ID_FE],0)),"")</f>
        <v>17.534000000000002</v>
      </c>
      <c r="O28" s="31">
        <f t="shared" si="0"/>
        <v>30.021920000000001</v>
      </c>
      <c r="P28" s="31">
        <f t="shared" si="1"/>
        <v>30.021920000000001</v>
      </c>
      <c r="Q28" s="32">
        <f t="shared" si="2"/>
        <v>0.41596007184084161</v>
      </c>
    </row>
    <row r="29" spans="1:17" ht="18" customHeight="1" x14ac:dyDescent="0.3">
      <c r="A29" s="9" t="s">
        <v>417</v>
      </c>
      <c r="B29" s="9" t="s">
        <v>381</v>
      </c>
      <c r="C29" s="9" t="s">
        <v>390</v>
      </c>
      <c r="D29" s="9" t="s">
        <v>116</v>
      </c>
      <c r="E29" s="9" t="s">
        <v>387</v>
      </c>
      <c r="F29" s="26">
        <v>350</v>
      </c>
      <c r="G29" s="23">
        <v>24.4</v>
      </c>
      <c r="H29" s="9" t="s">
        <v>384</v>
      </c>
      <c r="I29" s="28">
        <v>0</v>
      </c>
      <c r="J29" s="24">
        <v>2.3599999999999999E-2</v>
      </c>
      <c r="K29" s="23">
        <v>159.4</v>
      </c>
      <c r="L29" s="31">
        <f>IFERROR(G29*(1+J29)*(1-I29)*INDEX(tbl_fatores_emissao[Valor],MATCH(D29,tbl_fatores_emissao[ID_FE],0)),"")</f>
        <v>12.487920000000001</v>
      </c>
      <c r="M29" s="31">
        <f>IFERROR(G29*(1+J29)*I29*INDEX(tbl_fatores_emissao[Valor],MATCH("FE-15",tbl_fatores_emissao[ID_FE],0)),"")</f>
        <v>0</v>
      </c>
      <c r="N29" s="31">
        <f>IFERROR(K29*INDEX(tbl_fatores_emissao[Valor],MATCH("FE-01",tbl_fatores_emissao[ID_FE],0)),"")</f>
        <v>17.534000000000002</v>
      </c>
      <c r="O29" s="31">
        <f t="shared" si="0"/>
        <v>30.021920000000001</v>
      </c>
      <c r="P29" s="31">
        <f t="shared" si="1"/>
        <v>30.021920000000001</v>
      </c>
      <c r="Q29" s="32">
        <f t="shared" si="2"/>
        <v>0.41596007184084161</v>
      </c>
    </row>
    <row r="30" spans="1:17" ht="18" customHeight="1" x14ac:dyDescent="0.3">
      <c r="A30" s="9" t="s">
        <v>418</v>
      </c>
      <c r="B30" s="9" t="s">
        <v>381</v>
      </c>
      <c r="C30" s="9" t="s">
        <v>390</v>
      </c>
      <c r="D30" s="9" t="s">
        <v>116</v>
      </c>
      <c r="E30" s="9" t="s">
        <v>387</v>
      </c>
      <c r="F30" s="26">
        <v>350</v>
      </c>
      <c r="G30" s="23">
        <v>24.4</v>
      </c>
      <c r="H30" s="9" t="s">
        <v>384</v>
      </c>
      <c r="I30" s="28">
        <v>0</v>
      </c>
      <c r="J30" s="24">
        <v>2.3599999999999999E-2</v>
      </c>
      <c r="K30" s="23">
        <v>159.4</v>
      </c>
      <c r="L30" s="31">
        <f>IFERROR(G30*(1+J30)*(1-I30)*INDEX(tbl_fatores_emissao[Valor],MATCH(D30,tbl_fatores_emissao[ID_FE],0)),"")</f>
        <v>12.487920000000001</v>
      </c>
      <c r="M30" s="31">
        <f>IFERROR(G30*(1+J30)*I30*INDEX(tbl_fatores_emissao[Valor],MATCH("FE-15",tbl_fatores_emissao[ID_FE],0)),"")</f>
        <v>0</v>
      </c>
      <c r="N30" s="31">
        <f>IFERROR(K30*INDEX(tbl_fatores_emissao[Valor],MATCH("FE-01",tbl_fatores_emissao[ID_FE],0)),"")</f>
        <v>17.534000000000002</v>
      </c>
      <c r="O30" s="31">
        <f t="shared" si="0"/>
        <v>30.021920000000001</v>
      </c>
      <c r="P30" s="31">
        <f t="shared" si="1"/>
        <v>30.021920000000001</v>
      </c>
      <c r="Q30" s="32">
        <f t="shared" si="2"/>
        <v>0.41596007184084161</v>
      </c>
    </row>
    <row r="31" spans="1:17" ht="18" customHeight="1" x14ac:dyDescent="0.3">
      <c r="A31" s="9" t="s">
        <v>419</v>
      </c>
      <c r="B31" s="9" t="s">
        <v>381</v>
      </c>
      <c r="C31" s="9" t="s">
        <v>402</v>
      </c>
      <c r="D31" s="9" t="s">
        <v>112</v>
      </c>
      <c r="E31" s="9" t="s">
        <v>383</v>
      </c>
      <c r="F31" s="26">
        <v>400</v>
      </c>
      <c r="G31" s="23">
        <v>26.7</v>
      </c>
      <c r="H31" s="9" t="s">
        <v>384</v>
      </c>
      <c r="I31" s="28">
        <v>0</v>
      </c>
      <c r="J31" s="24">
        <v>2.3599999999999999E-2</v>
      </c>
      <c r="K31" s="23">
        <v>159.4</v>
      </c>
      <c r="L31" s="31">
        <f>IFERROR(G31*(1+J31)*(1-I31)*INDEX(tbl_fatores_emissao[Valor],MATCH(D31,tbl_fatores_emissao[ID_FE],0)),"")</f>
        <v>60.126264000000006</v>
      </c>
      <c r="M31" s="31">
        <f>IFERROR(G31*(1+J31)*I31*INDEX(tbl_fatores_emissao[Valor],MATCH("FE-15",tbl_fatores_emissao[ID_FE],0)),"")</f>
        <v>0</v>
      </c>
      <c r="N31" s="31">
        <f>IFERROR(K31*INDEX(tbl_fatores_emissao[Valor],MATCH("FE-01",tbl_fatores_emissao[ID_FE],0)),"")</f>
        <v>17.534000000000002</v>
      </c>
      <c r="O31" s="31">
        <f t="shared" si="0"/>
        <v>77.660264000000012</v>
      </c>
      <c r="P31" s="31">
        <f t="shared" si="1"/>
        <v>77.660264000000012</v>
      </c>
      <c r="Q31" s="32">
        <f t="shared" si="2"/>
        <v>0.77422173069100042</v>
      </c>
    </row>
    <row r="32" spans="1:17" ht="18" customHeight="1" x14ac:dyDescent="0.3">
      <c r="A32" s="9" t="s">
        <v>420</v>
      </c>
      <c r="B32" s="9" t="s">
        <v>381</v>
      </c>
      <c r="C32" s="9" t="s">
        <v>382</v>
      </c>
      <c r="D32" s="9" t="s">
        <v>110</v>
      </c>
      <c r="E32" s="9" t="s">
        <v>383</v>
      </c>
      <c r="F32" s="26">
        <v>500</v>
      </c>
      <c r="G32" s="23">
        <v>30.9</v>
      </c>
      <c r="H32" s="9" t="s">
        <v>384</v>
      </c>
      <c r="I32" s="28">
        <v>1.4999999999999999E-2</v>
      </c>
      <c r="J32" s="24">
        <v>2.3599999999999999E-2</v>
      </c>
      <c r="K32" s="23">
        <v>159.4</v>
      </c>
      <c r="L32" s="31">
        <f>IFERROR(G32*(1+J32)*(1-I32)*INDEX(tbl_fatores_emissao[Valor],MATCH(D32,tbl_fatores_emissao[ID_FE],0)),"")</f>
        <v>56.078642520000002</v>
      </c>
      <c r="M32" s="31">
        <f>IFERROR(G32*(1+J32)*I32*INDEX(tbl_fatores_emissao[Valor],MATCH("FE-15",tbl_fatores_emissao[ID_FE],0)),"")</f>
        <v>1.4233157999999999</v>
      </c>
      <c r="N32" s="31">
        <f>IFERROR(K32*INDEX(tbl_fatores_emissao[Valor],MATCH("FE-01",tbl_fatores_emissao[ID_FE],0)),"")</f>
        <v>17.534000000000002</v>
      </c>
      <c r="O32" s="31">
        <f t="shared" si="0"/>
        <v>75.035958320000006</v>
      </c>
      <c r="P32" s="31">
        <f t="shared" si="1"/>
        <v>75.035958320000006</v>
      </c>
      <c r="Q32" s="32">
        <f t="shared" si="2"/>
        <v>0.76632536729624856</v>
      </c>
    </row>
    <row r="33" spans="1:17" ht="18" customHeight="1" x14ac:dyDescent="0.3">
      <c r="A33" s="9" t="s">
        <v>421</v>
      </c>
      <c r="B33" s="9" t="s">
        <v>381</v>
      </c>
      <c r="C33" s="9" t="s">
        <v>382</v>
      </c>
      <c r="D33" s="9" t="s">
        <v>110</v>
      </c>
      <c r="E33" s="9" t="s">
        <v>383</v>
      </c>
      <c r="F33" s="26">
        <v>500</v>
      </c>
      <c r="G33" s="23">
        <v>30.9</v>
      </c>
      <c r="H33" s="9" t="s">
        <v>384</v>
      </c>
      <c r="I33" s="28">
        <v>0.02</v>
      </c>
      <c r="J33" s="24">
        <v>2.3599999999999999E-2</v>
      </c>
      <c r="K33" s="23">
        <v>159.4</v>
      </c>
      <c r="L33" s="31">
        <f>IFERROR(G33*(1+J33)*(1-I33)*INDEX(tbl_fatores_emissao[Valor],MATCH(D33,tbl_fatores_emissao[ID_FE],0)),"")</f>
        <v>55.793979360000002</v>
      </c>
      <c r="M33" s="31">
        <f>IFERROR(G33*(1+J33)*I33*INDEX(tbl_fatores_emissao[Valor],MATCH("FE-15",tbl_fatores_emissao[ID_FE],0)),"")</f>
        <v>1.8977543999999997</v>
      </c>
      <c r="N33" s="31">
        <f>IFERROR(K33*INDEX(tbl_fatores_emissao[Valor],MATCH("FE-01",tbl_fatores_emissao[ID_FE],0)),"")</f>
        <v>17.534000000000002</v>
      </c>
      <c r="O33" s="31">
        <f t="shared" si="0"/>
        <v>75.225733759999997</v>
      </c>
      <c r="P33" s="31">
        <f t="shared" si="1"/>
        <v>75.225733759999997</v>
      </c>
      <c r="Q33" s="32">
        <f t="shared" si="2"/>
        <v>0.7669148691066221</v>
      </c>
    </row>
    <row r="34" spans="1:17" ht="18" customHeight="1" x14ac:dyDescent="0.3">
      <c r="A34" s="9" t="s">
        <v>422</v>
      </c>
      <c r="B34" s="9" t="s">
        <v>381</v>
      </c>
      <c r="C34" s="9" t="s">
        <v>382</v>
      </c>
      <c r="D34" s="9" t="s">
        <v>110</v>
      </c>
      <c r="E34" s="9" t="s">
        <v>383</v>
      </c>
      <c r="F34" s="26">
        <v>500</v>
      </c>
      <c r="G34" s="23">
        <v>30.9</v>
      </c>
      <c r="H34" s="9" t="s">
        <v>384</v>
      </c>
      <c r="I34" s="28">
        <v>0.02</v>
      </c>
      <c r="J34" s="24">
        <v>2.3599999999999999E-2</v>
      </c>
      <c r="K34" s="23">
        <v>159.4</v>
      </c>
      <c r="L34" s="31">
        <f>IFERROR(G34*(1+J34)*(1-I34)*INDEX(tbl_fatores_emissao[Valor],MATCH(D34,tbl_fatores_emissao[ID_FE],0)),"")</f>
        <v>55.793979360000002</v>
      </c>
      <c r="M34" s="31">
        <f>IFERROR(G34*(1+J34)*I34*INDEX(tbl_fatores_emissao[Valor],MATCH("FE-15",tbl_fatores_emissao[ID_FE],0)),"")</f>
        <v>1.8977543999999997</v>
      </c>
      <c r="N34" s="31">
        <f>IFERROR(K34*INDEX(tbl_fatores_emissao[Valor],MATCH("FE-01",tbl_fatores_emissao[ID_FE],0)),"")</f>
        <v>17.534000000000002</v>
      </c>
      <c r="O34" s="31">
        <f t="shared" si="0"/>
        <v>75.225733759999997</v>
      </c>
      <c r="P34" s="31">
        <f t="shared" si="1"/>
        <v>75.225733759999997</v>
      </c>
      <c r="Q34" s="32">
        <f t="shared" si="2"/>
        <v>0.7669148691066221</v>
      </c>
    </row>
    <row r="35" spans="1:17" ht="18" customHeight="1" x14ac:dyDescent="0.3">
      <c r="A35" s="9" t="s">
        <v>423</v>
      </c>
      <c r="B35" s="9" t="s">
        <v>381</v>
      </c>
      <c r="C35" s="9" t="s">
        <v>386</v>
      </c>
      <c r="D35" s="9" t="s">
        <v>116</v>
      </c>
      <c r="E35" s="9" t="s">
        <v>387</v>
      </c>
      <c r="F35" s="26">
        <v>500</v>
      </c>
      <c r="G35" s="23">
        <v>30.9</v>
      </c>
      <c r="H35" s="9" t="s">
        <v>384</v>
      </c>
      <c r="I35" s="28">
        <v>0.02</v>
      </c>
      <c r="J35" s="24">
        <v>2.3599999999999999E-2</v>
      </c>
      <c r="K35" s="23">
        <v>159.4</v>
      </c>
      <c r="L35" s="31">
        <f>IFERROR(G35*(1+J35)*(1-I35)*INDEX(tbl_fatores_emissao[Valor],MATCH(D35,tbl_fatores_emissao[ID_FE],0)),"")</f>
        <v>15.4983276</v>
      </c>
      <c r="M35" s="31">
        <f>IFERROR(G35*(1+J35)*I35*INDEX(tbl_fatores_emissao[Valor],MATCH("FE-15",tbl_fatores_emissao[ID_FE],0)),"")</f>
        <v>1.8977543999999997</v>
      </c>
      <c r="N35" s="31">
        <f>IFERROR(K35*INDEX(tbl_fatores_emissao[Valor],MATCH("FE-01",tbl_fatores_emissao[ID_FE],0)),"")</f>
        <v>17.534000000000002</v>
      </c>
      <c r="O35" s="31">
        <f t="shared" si="0"/>
        <v>34.930081999999999</v>
      </c>
      <c r="P35" s="31">
        <f t="shared" si="1"/>
        <v>34.930081999999999</v>
      </c>
      <c r="Q35" s="32">
        <f t="shared" si="2"/>
        <v>0.49802579908057476</v>
      </c>
    </row>
    <row r="36" spans="1:17" ht="18" customHeight="1" x14ac:dyDescent="0.3">
      <c r="A36" s="9" t="s">
        <v>424</v>
      </c>
      <c r="B36" s="9" t="s">
        <v>381</v>
      </c>
      <c r="C36" s="9" t="s">
        <v>386</v>
      </c>
      <c r="D36" s="9" t="s">
        <v>116</v>
      </c>
      <c r="E36" s="9" t="s">
        <v>387</v>
      </c>
      <c r="F36" s="26">
        <v>500</v>
      </c>
      <c r="G36" s="23">
        <v>30.9</v>
      </c>
      <c r="H36" s="9" t="s">
        <v>384</v>
      </c>
      <c r="I36" s="28">
        <v>0.02</v>
      </c>
      <c r="J36" s="24">
        <v>2.3599999999999999E-2</v>
      </c>
      <c r="K36" s="23">
        <v>159.4</v>
      </c>
      <c r="L36" s="31">
        <f>IFERROR(G36*(1+J36)*(1-I36)*INDEX(tbl_fatores_emissao[Valor],MATCH(D36,tbl_fatores_emissao[ID_FE],0)),"")</f>
        <v>15.4983276</v>
      </c>
      <c r="M36" s="31">
        <f>IFERROR(G36*(1+J36)*I36*INDEX(tbl_fatores_emissao[Valor],MATCH("FE-15",tbl_fatores_emissao[ID_FE],0)),"")</f>
        <v>1.8977543999999997</v>
      </c>
      <c r="N36" s="31">
        <f>IFERROR(K36*INDEX(tbl_fatores_emissao[Valor],MATCH("FE-01",tbl_fatores_emissao[ID_FE],0)),"")</f>
        <v>17.534000000000002</v>
      </c>
      <c r="O36" s="31">
        <f t="shared" si="0"/>
        <v>34.930081999999999</v>
      </c>
      <c r="P36" s="31">
        <f t="shared" si="1"/>
        <v>34.930081999999999</v>
      </c>
      <c r="Q36" s="32">
        <f t="shared" si="2"/>
        <v>0.49802579908057476</v>
      </c>
    </row>
    <row r="37" spans="1:17" ht="18" customHeight="1" x14ac:dyDescent="0.3">
      <c r="A37" s="9" t="s">
        <v>425</v>
      </c>
      <c r="B37" s="9" t="s">
        <v>381</v>
      </c>
      <c r="C37" s="9" t="s">
        <v>386</v>
      </c>
      <c r="D37" s="9" t="s">
        <v>116</v>
      </c>
      <c r="E37" s="9" t="s">
        <v>387</v>
      </c>
      <c r="F37" s="26">
        <v>500</v>
      </c>
      <c r="G37" s="23">
        <v>30.9</v>
      </c>
      <c r="H37" s="9" t="s">
        <v>384</v>
      </c>
      <c r="I37" s="28">
        <v>0.02</v>
      </c>
      <c r="J37" s="24">
        <v>2.3599999999999999E-2</v>
      </c>
      <c r="K37" s="23">
        <v>159.4</v>
      </c>
      <c r="L37" s="31">
        <f>IFERROR(G37*(1+J37)*(1-I37)*INDEX(tbl_fatores_emissao[Valor],MATCH(D37,tbl_fatores_emissao[ID_FE],0)),"")</f>
        <v>15.4983276</v>
      </c>
      <c r="M37" s="31">
        <f>IFERROR(G37*(1+J37)*I37*INDEX(tbl_fatores_emissao[Valor],MATCH("FE-15",tbl_fatores_emissao[ID_FE],0)),"")</f>
        <v>1.8977543999999997</v>
      </c>
      <c r="N37" s="31">
        <f>IFERROR(K37*INDEX(tbl_fatores_emissao[Valor],MATCH("FE-01",tbl_fatores_emissao[ID_FE],0)),"")</f>
        <v>17.534000000000002</v>
      </c>
      <c r="O37" s="31">
        <f t="shared" ref="O37:O68" si="3">IFERROR(L37+M37+N37,"")</f>
        <v>34.930081999999999</v>
      </c>
      <c r="P37" s="31">
        <f t="shared" ref="P37:P68" si="4">IFERROR(O37,"")</f>
        <v>34.930081999999999</v>
      </c>
      <c r="Q37" s="32">
        <f t="shared" ref="Q37:Q68" si="5">IFERROR((L37+M37)/O37,"")</f>
        <v>0.49802579908057476</v>
      </c>
    </row>
    <row r="38" spans="1:17" ht="18" customHeight="1" x14ac:dyDescent="0.3">
      <c r="A38" s="9" t="s">
        <v>426</v>
      </c>
      <c r="B38" s="9" t="s">
        <v>381</v>
      </c>
      <c r="C38" s="9" t="s">
        <v>400</v>
      </c>
      <c r="D38" s="9" t="s">
        <v>110</v>
      </c>
      <c r="E38" s="9" t="s">
        <v>383</v>
      </c>
      <c r="F38" s="26">
        <v>500</v>
      </c>
      <c r="G38" s="23">
        <v>30.9</v>
      </c>
      <c r="H38" s="9" t="s">
        <v>384</v>
      </c>
      <c r="I38" s="28">
        <v>0.02</v>
      </c>
      <c r="J38" s="24">
        <v>2.3599999999999999E-2</v>
      </c>
      <c r="K38" s="23">
        <v>159.4</v>
      </c>
      <c r="L38" s="31">
        <f>IFERROR(G38*(1+J38)*(1-I38)*INDEX(tbl_fatores_emissao[Valor],MATCH(D38,tbl_fatores_emissao[ID_FE],0)),"")</f>
        <v>55.793979360000002</v>
      </c>
      <c r="M38" s="31">
        <f>IFERROR(G38*(1+J38)*I38*INDEX(tbl_fatores_emissao[Valor],MATCH("FE-15",tbl_fatores_emissao[ID_FE],0)),"")</f>
        <v>1.8977543999999997</v>
      </c>
      <c r="N38" s="31">
        <f>IFERROR(K38*INDEX(tbl_fatores_emissao[Valor],MATCH("FE-01",tbl_fatores_emissao[ID_FE],0)),"")</f>
        <v>17.534000000000002</v>
      </c>
      <c r="O38" s="31">
        <f t="shared" si="3"/>
        <v>75.225733759999997</v>
      </c>
      <c r="P38" s="31">
        <f t="shared" si="4"/>
        <v>75.225733759999997</v>
      </c>
      <c r="Q38" s="32">
        <f t="shared" si="5"/>
        <v>0.7669148691066221</v>
      </c>
    </row>
    <row r="39" spans="1:17" ht="18" customHeight="1" x14ac:dyDescent="0.3">
      <c r="A39" s="9" t="s">
        <v>427</v>
      </c>
      <c r="B39" s="9" t="s">
        <v>381</v>
      </c>
      <c r="C39" s="9" t="s">
        <v>428</v>
      </c>
      <c r="D39" s="9" t="s">
        <v>110</v>
      </c>
      <c r="E39" s="9" t="s">
        <v>383</v>
      </c>
      <c r="F39" s="26">
        <v>500</v>
      </c>
      <c r="G39" s="23">
        <v>30.9</v>
      </c>
      <c r="H39" s="9" t="s">
        <v>384</v>
      </c>
      <c r="I39" s="28">
        <v>0.02</v>
      </c>
      <c r="J39" s="24">
        <v>2.3599999999999999E-2</v>
      </c>
      <c r="K39" s="23">
        <v>159.4</v>
      </c>
      <c r="L39" s="31">
        <f>IFERROR(G39*(1+J39)*(1-I39)*INDEX(tbl_fatores_emissao[Valor],MATCH(D39,tbl_fatores_emissao[ID_FE],0)),"")</f>
        <v>55.793979360000002</v>
      </c>
      <c r="M39" s="31">
        <f>IFERROR(G39*(1+J39)*I39*INDEX(tbl_fatores_emissao[Valor],MATCH("FE-15",tbl_fatores_emissao[ID_FE],0)),"")</f>
        <v>1.8977543999999997</v>
      </c>
      <c r="N39" s="31">
        <f>IFERROR(K39*INDEX(tbl_fatores_emissao[Valor],MATCH("FE-01",tbl_fatores_emissao[ID_FE],0)),"")</f>
        <v>17.534000000000002</v>
      </c>
      <c r="O39" s="31">
        <f t="shared" si="3"/>
        <v>75.225733759999997</v>
      </c>
      <c r="P39" s="31">
        <f t="shared" si="4"/>
        <v>75.225733759999997</v>
      </c>
      <c r="Q39" s="32">
        <f t="shared" si="5"/>
        <v>0.7669148691066221</v>
      </c>
    </row>
    <row r="40" spans="1:17" ht="18" customHeight="1" x14ac:dyDescent="0.3">
      <c r="A40" s="9" t="s">
        <v>429</v>
      </c>
      <c r="B40" s="9" t="s">
        <v>381</v>
      </c>
      <c r="C40" s="9" t="s">
        <v>402</v>
      </c>
      <c r="D40" s="9" t="s">
        <v>112</v>
      </c>
      <c r="E40" s="9" t="s">
        <v>383</v>
      </c>
      <c r="F40" s="26">
        <v>500</v>
      </c>
      <c r="G40" s="23">
        <v>30.9</v>
      </c>
      <c r="H40" s="9" t="s">
        <v>384</v>
      </c>
      <c r="I40" s="28">
        <v>0</v>
      </c>
      <c r="J40" s="24">
        <v>2.3599999999999999E-2</v>
      </c>
      <c r="K40" s="23">
        <v>159.4</v>
      </c>
      <c r="L40" s="31">
        <f>IFERROR(G40*(1+J40)*(1-I40)*INDEX(tbl_fatores_emissao[Valor],MATCH(D40,tbl_fatores_emissao[ID_FE],0)),"")</f>
        <v>69.584327999999999</v>
      </c>
      <c r="M40" s="31">
        <f>IFERROR(G40*(1+J40)*I40*INDEX(tbl_fatores_emissao[Valor],MATCH("FE-15",tbl_fatores_emissao[ID_FE],0)),"")</f>
        <v>0</v>
      </c>
      <c r="N40" s="31">
        <f>IFERROR(K40*INDEX(tbl_fatores_emissao[Valor],MATCH("FE-01",tbl_fatores_emissao[ID_FE],0)),"")</f>
        <v>17.534000000000002</v>
      </c>
      <c r="O40" s="31">
        <f t="shared" si="3"/>
        <v>87.118328000000005</v>
      </c>
      <c r="P40" s="31">
        <f t="shared" si="4"/>
        <v>87.118328000000005</v>
      </c>
      <c r="Q40" s="32">
        <f t="shared" si="5"/>
        <v>0.79873351104718171</v>
      </c>
    </row>
    <row r="41" spans="1:17" ht="18" customHeight="1" x14ac:dyDescent="0.3">
      <c r="A41" s="9" t="s">
        <v>430</v>
      </c>
      <c r="B41" s="9" t="s">
        <v>381</v>
      </c>
      <c r="C41" s="9" t="s">
        <v>405</v>
      </c>
      <c r="D41" s="9" t="s">
        <v>112</v>
      </c>
      <c r="E41" s="9" t="s">
        <v>383</v>
      </c>
      <c r="F41" s="26">
        <v>500</v>
      </c>
      <c r="G41" s="23">
        <v>30.9</v>
      </c>
      <c r="H41" s="9" t="s">
        <v>384</v>
      </c>
      <c r="I41" s="28">
        <v>0</v>
      </c>
      <c r="J41" s="24">
        <v>2.3599999999999999E-2</v>
      </c>
      <c r="K41" s="23">
        <v>159.4</v>
      </c>
      <c r="L41" s="31">
        <f>IFERROR(G41*(1+J41)*(1-I41)*INDEX(tbl_fatores_emissao[Valor],MATCH(D41,tbl_fatores_emissao[ID_FE],0)),"")</f>
        <v>69.584327999999999</v>
      </c>
      <c r="M41" s="31">
        <f>IFERROR(G41*(1+J41)*I41*INDEX(tbl_fatores_emissao[Valor],MATCH("FE-15",tbl_fatores_emissao[ID_FE],0)),"")</f>
        <v>0</v>
      </c>
      <c r="N41" s="31">
        <f>IFERROR(K41*INDEX(tbl_fatores_emissao[Valor],MATCH("FE-01",tbl_fatores_emissao[ID_FE],0)),"")</f>
        <v>17.534000000000002</v>
      </c>
      <c r="O41" s="31">
        <f t="shared" si="3"/>
        <v>87.118328000000005</v>
      </c>
      <c r="P41" s="31">
        <f t="shared" si="4"/>
        <v>87.118328000000005</v>
      </c>
      <c r="Q41" s="32">
        <f t="shared" si="5"/>
        <v>0.79873351104718171</v>
      </c>
    </row>
    <row r="42" spans="1:17" ht="18" customHeight="1" x14ac:dyDescent="0.3">
      <c r="A42" s="9" t="s">
        <v>431</v>
      </c>
      <c r="B42" s="9" t="s">
        <v>381</v>
      </c>
      <c r="C42" s="9" t="s">
        <v>405</v>
      </c>
      <c r="D42" s="9" t="s">
        <v>112</v>
      </c>
      <c r="E42" s="9" t="s">
        <v>383</v>
      </c>
      <c r="F42" s="26">
        <v>500</v>
      </c>
      <c r="G42" s="23">
        <v>30.9</v>
      </c>
      <c r="H42" s="9" t="s">
        <v>384</v>
      </c>
      <c r="I42" s="28">
        <v>0</v>
      </c>
      <c r="J42" s="24">
        <v>2.3599999999999999E-2</v>
      </c>
      <c r="K42" s="23">
        <v>159.4</v>
      </c>
      <c r="L42" s="31">
        <f>IFERROR(G42*(1+J42)*(1-I42)*INDEX(tbl_fatores_emissao[Valor],MATCH(D42,tbl_fatores_emissao[ID_FE],0)),"")</f>
        <v>69.584327999999999</v>
      </c>
      <c r="M42" s="31">
        <f>IFERROR(G42*(1+J42)*I42*INDEX(tbl_fatores_emissao[Valor],MATCH("FE-15",tbl_fatores_emissao[ID_FE],0)),"")</f>
        <v>0</v>
      </c>
      <c r="N42" s="31">
        <f>IFERROR(K42*INDEX(tbl_fatores_emissao[Valor],MATCH("FE-01",tbl_fatores_emissao[ID_FE],0)),"")</f>
        <v>17.534000000000002</v>
      </c>
      <c r="O42" s="31">
        <f t="shared" si="3"/>
        <v>87.118328000000005</v>
      </c>
      <c r="P42" s="31">
        <f t="shared" si="4"/>
        <v>87.118328000000005</v>
      </c>
      <c r="Q42" s="32">
        <f t="shared" si="5"/>
        <v>0.79873351104718171</v>
      </c>
    </row>
    <row r="43" spans="1:17" ht="18" customHeight="1" x14ac:dyDescent="0.3">
      <c r="A43" s="9" t="s">
        <v>432</v>
      </c>
      <c r="B43" s="9" t="s">
        <v>381</v>
      </c>
      <c r="C43" s="9" t="s">
        <v>409</v>
      </c>
      <c r="D43" s="9" t="s">
        <v>106</v>
      </c>
      <c r="E43" s="9" t="s">
        <v>383</v>
      </c>
      <c r="F43" s="26">
        <v>500</v>
      </c>
      <c r="G43" s="23">
        <v>30.9</v>
      </c>
      <c r="H43" s="9" t="s">
        <v>384</v>
      </c>
      <c r="I43" s="28">
        <v>2.5000000000000001E-2</v>
      </c>
      <c r="J43" s="24">
        <v>2.3599999999999999E-2</v>
      </c>
      <c r="K43" s="23">
        <v>159.4</v>
      </c>
      <c r="L43" s="31">
        <f>IFERROR(G43*(1+J43)*(1-I43)*INDEX(tbl_fatores_emissao[Valor],MATCH(D43,tbl_fatores_emissao[ID_FE],0)),"")</f>
        <v>49.341614399999997</v>
      </c>
      <c r="M43" s="31">
        <f>IFERROR(G43*(1+J43)*I43*INDEX(tbl_fatores_emissao[Valor],MATCH("FE-15",tbl_fatores_emissao[ID_FE],0)),"")</f>
        <v>2.3721930000000002</v>
      </c>
      <c r="N43" s="31">
        <f>IFERROR(K43*INDEX(tbl_fatores_emissao[Valor],MATCH("FE-01",tbl_fatores_emissao[ID_FE],0)),"")</f>
        <v>17.534000000000002</v>
      </c>
      <c r="O43" s="31">
        <f t="shared" si="3"/>
        <v>69.247807399999999</v>
      </c>
      <c r="P43" s="31">
        <f t="shared" si="4"/>
        <v>69.247807399999999</v>
      </c>
      <c r="Q43" s="32">
        <f t="shared" si="5"/>
        <v>0.74679342699304008</v>
      </c>
    </row>
    <row r="44" spans="1:17" ht="18" customHeight="1" x14ac:dyDescent="0.3">
      <c r="A44" s="9" t="s">
        <v>433</v>
      </c>
      <c r="B44" s="9" t="s">
        <v>381</v>
      </c>
      <c r="C44" s="9" t="s">
        <v>409</v>
      </c>
      <c r="D44" s="9" t="s">
        <v>106</v>
      </c>
      <c r="E44" s="9" t="s">
        <v>383</v>
      </c>
      <c r="F44" s="26">
        <v>500</v>
      </c>
      <c r="G44" s="23">
        <v>30.9</v>
      </c>
      <c r="H44" s="9" t="s">
        <v>384</v>
      </c>
      <c r="I44" s="28">
        <v>0.02</v>
      </c>
      <c r="J44" s="24">
        <v>2.3599999999999999E-2</v>
      </c>
      <c r="K44" s="23">
        <v>159.4</v>
      </c>
      <c r="L44" s="31">
        <f>IFERROR(G44*(1+J44)*(1-I44)*INDEX(tbl_fatores_emissao[Valor],MATCH(D44,tbl_fatores_emissao[ID_FE],0)),"")</f>
        <v>49.594648320000005</v>
      </c>
      <c r="M44" s="31">
        <f>IFERROR(G44*(1+J44)*I44*INDEX(tbl_fatores_emissao[Valor],MATCH("FE-15",tbl_fatores_emissao[ID_FE],0)),"")</f>
        <v>1.8977543999999997</v>
      </c>
      <c r="N44" s="31">
        <f>IFERROR(K44*INDEX(tbl_fatores_emissao[Valor],MATCH("FE-01",tbl_fatores_emissao[ID_FE],0)),"")</f>
        <v>17.534000000000002</v>
      </c>
      <c r="O44" s="31">
        <f t="shared" si="3"/>
        <v>69.026402720000007</v>
      </c>
      <c r="P44" s="31">
        <f t="shared" si="4"/>
        <v>69.026402720000007</v>
      </c>
      <c r="Q44" s="32">
        <f t="shared" si="5"/>
        <v>0.74598125776414492</v>
      </c>
    </row>
    <row r="45" spans="1:17" ht="18" customHeight="1" x14ac:dyDescent="0.3">
      <c r="A45" s="9" t="s">
        <v>434</v>
      </c>
      <c r="B45" s="9" t="s">
        <v>381</v>
      </c>
      <c r="C45" s="9" t="s">
        <v>412</v>
      </c>
      <c r="D45" s="9" t="s">
        <v>116</v>
      </c>
      <c r="E45" s="9" t="s">
        <v>387</v>
      </c>
      <c r="F45" s="26">
        <v>500</v>
      </c>
      <c r="G45" s="23">
        <v>30.9</v>
      </c>
      <c r="H45" s="9" t="s">
        <v>384</v>
      </c>
      <c r="I45" s="28">
        <v>0.02</v>
      </c>
      <c r="J45" s="24">
        <v>2.3599999999999999E-2</v>
      </c>
      <c r="K45" s="23">
        <v>159.4</v>
      </c>
      <c r="L45" s="31">
        <f>IFERROR(G45*(1+J45)*(1-I45)*INDEX(tbl_fatores_emissao[Valor],MATCH(D45,tbl_fatores_emissao[ID_FE],0)),"")</f>
        <v>15.4983276</v>
      </c>
      <c r="M45" s="31">
        <f>IFERROR(G45*(1+J45)*I45*INDEX(tbl_fatores_emissao[Valor],MATCH("FE-15",tbl_fatores_emissao[ID_FE],0)),"")</f>
        <v>1.8977543999999997</v>
      </c>
      <c r="N45" s="31">
        <f>IFERROR(K45*INDEX(tbl_fatores_emissao[Valor],MATCH("FE-01",tbl_fatores_emissao[ID_FE],0)),"")</f>
        <v>17.534000000000002</v>
      </c>
      <c r="O45" s="31">
        <f t="shared" si="3"/>
        <v>34.930081999999999</v>
      </c>
      <c r="P45" s="31">
        <f t="shared" si="4"/>
        <v>34.930081999999999</v>
      </c>
      <c r="Q45" s="32">
        <f t="shared" si="5"/>
        <v>0.49802579908057476</v>
      </c>
    </row>
    <row r="46" spans="1:17" ht="18" customHeight="1" x14ac:dyDescent="0.3">
      <c r="A46" s="9" t="s">
        <v>435</v>
      </c>
      <c r="B46" s="9" t="s">
        <v>381</v>
      </c>
      <c r="C46" s="9" t="s">
        <v>412</v>
      </c>
      <c r="D46" s="9" t="s">
        <v>116</v>
      </c>
      <c r="E46" s="9" t="s">
        <v>387</v>
      </c>
      <c r="F46" s="26">
        <v>500</v>
      </c>
      <c r="G46" s="23">
        <v>30.9</v>
      </c>
      <c r="H46" s="9" t="s">
        <v>384</v>
      </c>
      <c r="I46" s="28">
        <v>1.4999999999999999E-2</v>
      </c>
      <c r="J46" s="24">
        <v>2.3599999999999999E-2</v>
      </c>
      <c r="K46" s="23">
        <v>159.4</v>
      </c>
      <c r="L46" s="31">
        <f>IFERROR(G46*(1+J46)*(1-I46)*INDEX(tbl_fatores_emissao[Valor],MATCH(D46,tbl_fatores_emissao[ID_FE],0)),"")</f>
        <v>15.5774007</v>
      </c>
      <c r="M46" s="31">
        <f>IFERROR(G46*(1+J46)*I46*INDEX(tbl_fatores_emissao[Valor],MATCH("FE-15",tbl_fatores_emissao[ID_FE],0)),"")</f>
        <v>1.4233157999999999</v>
      </c>
      <c r="N46" s="31">
        <f>IFERROR(K46*INDEX(tbl_fatores_emissao[Valor],MATCH("FE-01",tbl_fatores_emissao[ID_FE],0)),"")</f>
        <v>17.534000000000002</v>
      </c>
      <c r="O46" s="31">
        <f t="shared" si="3"/>
        <v>34.534716500000002</v>
      </c>
      <c r="P46" s="31">
        <f t="shared" si="4"/>
        <v>34.534716500000002</v>
      </c>
      <c r="Q46" s="32">
        <f t="shared" si="5"/>
        <v>0.49227902305206411</v>
      </c>
    </row>
    <row r="47" spans="1:17" ht="18" customHeight="1" x14ac:dyDescent="0.3">
      <c r="A47" s="9" t="s">
        <v>436</v>
      </c>
      <c r="B47" s="9" t="s">
        <v>381</v>
      </c>
      <c r="C47" s="9" t="s">
        <v>415</v>
      </c>
      <c r="D47" s="9" t="s">
        <v>114</v>
      </c>
      <c r="E47" s="9" t="s">
        <v>383</v>
      </c>
      <c r="F47" s="26">
        <v>500</v>
      </c>
      <c r="G47" s="23">
        <v>30.9</v>
      </c>
      <c r="H47" s="9" t="s">
        <v>384</v>
      </c>
      <c r="I47" s="28">
        <v>0</v>
      </c>
      <c r="J47" s="24">
        <v>2.3599999999999999E-2</v>
      </c>
      <c r="K47" s="23">
        <v>159.4</v>
      </c>
      <c r="L47" s="31">
        <f>IFERROR(G47*(1+J47)*(1-I47)*INDEX(tbl_fatores_emissao[Valor],MATCH(D47,tbl_fatores_emissao[ID_FE],0)),"")</f>
        <v>63.258479999999999</v>
      </c>
      <c r="M47" s="31">
        <f>IFERROR(G47*(1+J47)*I47*INDEX(tbl_fatores_emissao[Valor],MATCH("FE-15",tbl_fatores_emissao[ID_FE],0)),"")</f>
        <v>0</v>
      </c>
      <c r="N47" s="31">
        <f>IFERROR(K47*INDEX(tbl_fatores_emissao[Valor],MATCH("FE-01",tbl_fatores_emissao[ID_FE],0)),"")</f>
        <v>17.534000000000002</v>
      </c>
      <c r="O47" s="31">
        <f t="shared" si="3"/>
        <v>80.792479999999998</v>
      </c>
      <c r="P47" s="31">
        <f t="shared" si="4"/>
        <v>80.792479999999998</v>
      </c>
      <c r="Q47" s="32">
        <f t="shared" si="5"/>
        <v>0.78297485112475818</v>
      </c>
    </row>
    <row r="48" spans="1:17" ht="18" customHeight="1" x14ac:dyDescent="0.3">
      <c r="A48" s="9" t="s">
        <v>437</v>
      </c>
      <c r="B48" s="9" t="s">
        <v>381</v>
      </c>
      <c r="C48" s="9" t="s">
        <v>390</v>
      </c>
      <c r="D48" s="9" t="s">
        <v>116</v>
      </c>
      <c r="E48" s="9" t="s">
        <v>387</v>
      </c>
      <c r="F48" s="26">
        <v>500</v>
      </c>
      <c r="G48" s="23">
        <v>30.9</v>
      </c>
      <c r="H48" s="9" t="s">
        <v>384</v>
      </c>
      <c r="I48" s="28">
        <v>0</v>
      </c>
      <c r="J48" s="24">
        <v>2.3599999999999999E-2</v>
      </c>
      <c r="K48" s="23">
        <v>159.4</v>
      </c>
      <c r="L48" s="31">
        <f>IFERROR(G48*(1+J48)*(1-I48)*INDEX(tbl_fatores_emissao[Valor],MATCH(D48,tbl_fatores_emissao[ID_FE],0)),"")</f>
        <v>15.81462</v>
      </c>
      <c r="M48" s="31">
        <f>IFERROR(G48*(1+J48)*I48*INDEX(tbl_fatores_emissao[Valor],MATCH("FE-15",tbl_fatores_emissao[ID_FE],0)),"")</f>
        <v>0</v>
      </c>
      <c r="N48" s="31">
        <f>IFERROR(K48*INDEX(tbl_fatores_emissao[Valor],MATCH("FE-01",tbl_fatores_emissao[ID_FE],0)),"")</f>
        <v>17.534000000000002</v>
      </c>
      <c r="O48" s="31">
        <f t="shared" si="3"/>
        <v>33.348620000000004</v>
      </c>
      <c r="P48" s="31">
        <f t="shared" si="4"/>
        <v>33.348620000000004</v>
      </c>
      <c r="Q48" s="32">
        <f t="shared" si="5"/>
        <v>0.47422112219336204</v>
      </c>
    </row>
    <row r="49" spans="1:17" ht="18" customHeight="1" x14ac:dyDescent="0.3">
      <c r="A49" s="9" t="s">
        <v>438</v>
      </c>
      <c r="B49" s="9" t="s">
        <v>381</v>
      </c>
      <c r="C49" s="9" t="s">
        <v>390</v>
      </c>
      <c r="D49" s="9" t="s">
        <v>116</v>
      </c>
      <c r="E49" s="9" t="s">
        <v>387</v>
      </c>
      <c r="F49" s="26">
        <v>500</v>
      </c>
      <c r="G49" s="23">
        <v>30.9</v>
      </c>
      <c r="H49" s="9" t="s">
        <v>384</v>
      </c>
      <c r="I49" s="28">
        <v>0</v>
      </c>
      <c r="J49" s="24">
        <v>2.3599999999999999E-2</v>
      </c>
      <c r="K49" s="23">
        <v>159.4</v>
      </c>
      <c r="L49" s="31">
        <f>IFERROR(G49*(1+J49)*(1-I49)*INDEX(tbl_fatores_emissao[Valor],MATCH(D49,tbl_fatores_emissao[ID_FE],0)),"")</f>
        <v>15.81462</v>
      </c>
      <c r="M49" s="31">
        <f>IFERROR(G49*(1+J49)*I49*INDEX(tbl_fatores_emissao[Valor],MATCH("FE-15",tbl_fatores_emissao[ID_FE],0)),"")</f>
        <v>0</v>
      </c>
      <c r="N49" s="31">
        <f>IFERROR(K49*INDEX(tbl_fatores_emissao[Valor],MATCH("FE-01",tbl_fatores_emissao[ID_FE],0)),"")</f>
        <v>17.534000000000002</v>
      </c>
      <c r="O49" s="31">
        <f t="shared" si="3"/>
        <v>33.348620000000004</v>
      </c>
      <c r="P49" s="31">
        <f t="shared" si="4"/>
        <v>33.348620000000004</v>
      </c>
      <c r="Q49" s="32">
        <f t="shared" si="5"/>
        <v>0.47422112219336204</v>
      </c>
    </row>
    <row r="50" spans="1:17" ht="18" customHeight="1" x14ac:dyDescent="0.3">
      <c r="A50" s="9" t="s">
        <v>439</v>
      </c>
      <c r="B50" s="9" t="s">
        <v>381</v>
      </c>
      <c r="C50" s="9" t="s">
        <v>390</v>
      </c>
      <c r="D50" s="9" t="s">
        <v>116</v>
      </c>
      <c r="E50" s="9" t="s">
        <v>387</v>
      </c>
      <c r="F50" s="26">
        <v>500</v>
      </c>
      <c r="G50" s="23">
        <v>30.9</v>
      </c>
      <c r="H50" s="9" t="s">
        <v>384</v>
      </c>
      <c r="I50" s="28">
        <v>0</v>
      </c>
      <c r="J50" s="24">
        <v>2.3599999999999999E-2</v>
      </c>
      <c r="K50" s="23">
        <v>159.4</v>
      </c>
      <c r="L50" s="31">
        <f>IFERROR(G50*(1+J50)*(1-I50)*INDEX(tbl_fatores_emissao[Valor],MATCH(D50,tbl_fatores_emissao[ID_FE],0)),"")</f>
        <v>15.81462</v>
      </c>
      <c r="M50" s="31">
        <f>IFERROR(G50*(1+J50)*I50*INDEX(tbl_fatores_emissao[Valor],MATCH("FE-15",tbl_fatores_emissao[ID_FE],0)),"")</f>
        <v>0</v>
      </c>
      <c r="N50" s="31">
        <f>IFERROR(K50*INDEX(tbl_fatores_emissao[Valor],MATCH("FE-01",tbl_fatores_emissao[ID_FE],0)),"")</f>
        <v>17.534000000000002</v>
      </c>
      <c r="O50" s="31">
        <f t="shared" si="3"/>
        <v>33.348620000000004</v>
      </c>
      <c r="P50" s="31">
        <f t="shared" si="4"/>
        <v>33.348620000000004</v>
      </c>
      <c r="Q50" s="32">
        <f t="shared" si="5"/>
        <v>0.47422112219336204</v>
      </c>
    </row>
    <row r="51" spans="1:17" ht="18" customHeight="1" x14ac:dyDescent="0.3">
      <c r="A51" s="9" t="s">
        <v>440</v>
      </c>
      <c r="B51" s="9" t="s">
        <v>381</v>
      </c>
      <c r="C51" s="9" t="s">
        <v>382</v>
      </c>
      <c r="D51" s="9" t="s">
        <v>110</v>
      </c>
      <c r="E51" s="9" t="s">
        <v>383</v>
      </c>
      <c r="F51" s="26">
        <v>600</v>
      </c>
      <c r="G51" s="23">
        <v>34.9</v>
      </c>
      <c r="H51" s="9" t="s">
        <v>384</v>
      </c>
      <c r="I51" s="28">
        <v>1.4999999999999999E-2</v>
      </c>
      <c r="J51" s="24">
        <v>2.3599999999999999E-2</v>
      </c>
      <c r="K51" s="23">
        <v>159.4</v>
      </c>
      <c r="L51" s="31">
        <f>IFERROR(G51*(1+J51)*(1-I51)*INDEX(tbl_fatores_emissao[Valor],MATCH(D51,tbl_fatores_emissao[ID_FE],0)),"")</f>
        <v>63.338013720000006</v>
      </c>
      <c r="M51" s="31">
        <f>IFERROR(G51*(1+J51)*I51*INDEX(tbl_fatores_emissao[Valor],MATCH("FE-15",tbl_fatores_emissao[ID_FE],0)),"")</f>
        <v>1.6075638000000003</v>
      </c>
      <c r="N51" s="31">
        <f>IFERROR(K51*INDEX(tbl_fatores_emissao[Valor],MATCH("FE-01",tbl_fatores_emissao[ID_FE],0)),"")</f>
        <v>17.534000000000002</v>
      </c>
      <c r="O51" s="31">
        <f t="shared" si="3"/>
        <v>82.479577520000007</v>
      </c>
      <c r="P51" s="31">
        <f t="shared" si="4"/>
        <v>82.479577520000007</v>
      </c>
      <c r="Q51" s="32">
        <f t="shared" si="5"/>
        <v>0.78741404203060705</v>
      </c>
    </row>
    <row r="52" spans="1:17" ht="18" customHeight="1" x14ac:dyDescent="0.3">
      <c r="A52" s="9" t="s">
        <v>441</v>
      </c>
      <c r="B52" s="9" t="s">
        <v>381</v>
      </c>
      <c r="C52" s="9" t="s">
        <v>382</v>
      </c>
      <c r="D52" s="9" t="s">
        <v>110</v>
      </c>
      <c r="E52" s="9" t="s">
        <v>383</v>
      </c>
      <c r="F52" s="26">
        <v>600</v>
      </c>
      <c r="G52" s="23">
        <v>34.9</v>
      </c>
      <c r="H52" s="9" t="s">
        <v>384</v>
      </c>
      <c r="I52" s="28">
        <v>0.02</v>
      </c>
      <c r="J52" s="24">
        <v>2.3599999999999999E-2</v>
      </c>
      <c r="K52" s="23">
        <v>159.4</v>
      </c>
      <c r="L52" s="31">
        <f>IFERROR(G52*(1+J52)*(1-I52)*INDEX(tbl_fatores_emissao[Valor],MATCH(D52,tbl_fatores_emissao[ID_FE],0)),"")</f>
        <v>63.016500960000002</v>
      </c>
      <c r="M52" s="31">
        <f>IFERROR(G52*(1+J52)*I52*INDEX(tbl_fatores_emissao[Valor],MATCH("FE-15",tbl_fatores_emissao[ID_FE],0)),"")</f>
        <v>2.1434184000000003</v>
      </c>
      <c r="N52" s="31">
        <f>IFERROR(K52*INDEX(tbl_fatores_emissao[Valor],MATCH("FE-01",tbl_fatores_emissao[ID_FE],0)),"")</f>
        <v>17.534000000000002</v>
      </c>
      <c r="O52" s="31">
        <f t="shared" si="3"/>
        <v>82.69391936000001</v>
      </c>
      <c r="P52" s="31">
        <f t="shared" si="4"/>
        <v>82.69391936000001</v>
      </c>
      <c r="Q52" s="32">
        <f t="shared" si="5"/>
        <v>0.78796506277967759</v>
      </c>
    </row>
    <row r="53" spans="1:17" ht="18" customHeight="1" x14ac:dyDescent="0.3">
      <c r="A53" s="9" t="s">
        <v>442</v>
      </c>
      <c r="B53" s="9" t="s">
        <v>381</v>
      </c>
      <c r="C53" s="9" t="s">
        <v>382</v>
      </c>
      <c r="D53" s="9" t="s">
        <v>110</v>
      </c>
      <c r="E53" s="9" t="s">
        <v>383</v>
      </c>
      <c r="F53" s="26">
        <v>600</v>
      </c>
      <c r="G53" s="23">
        <v>34.9</v>
      </c>
      <c r="H53" s="9" t="s">
        <v>384</v>
      </c>
      <c r="I53" s="28">
        <v>0.02</v>
      </c>
      <c r="J53" s="24">
        <v>2.3599999999999999E-2</v>
      </c>
      <c r="K53" s="23">
        <v>159.4</v>
      </c>
      <c r="L53" s="31">
        <f>IFERROR(G53*(1+J53)*(1-I53)*INDEX(tbl_fatores_emissao[Valor],MATCH(D53,tbl_fatores_emissao[ID_FE],0)),"")</f>
        <v>63.016500960000002</v>
      </c>
      <c r="M53" s="31">
        <f>IFERROR(G53*(1+J53)*I53*INDEX(tbl_fatores_emissao[Valor],MATCH("FE-15",tbl_fatores_emissao[ID_FE],0)),"")</f>
        <v>2.1434184000000003</v>
      </c>
      <c r="N53" s="31">
        <f>IFERROR(K53*INDEX(tbl_fatores_emissao[Valor],MATCH("FE-01",tbl_fatores_emissao[ID_FE],0)),"")</f>
        <v>17.534000000000002</v>
      </c>
      <c r="O53" s="31">
        <f t="shared" si="3"/>
        <v>82.69391936000001</v>
      </c>
      <c r="P53" s="31">
        <f t="shared" si="4"/>
        <v>82.69391936000001</v>
      </c>
      <c r="Q53" s="32">
        <f t="shared" si="5"/>
        <v>0.78796506277967759</v>
      </c>
    </row>
    <row r="54" spans="1:17" ht="18" customHeight="1" x14ac:dyDescent="0.3">
      <c r="A54" s="9" t="s">
        <v>443</v>
      </c>
      <c r="B54" s="9" t="s">
        <v>381</v>
      </c>
      <c r="C54" s="9" t="s">
        <v>386</v>
      </c>
      <c r="D54" s="9" t="s">
        <v>116</v>
      </c>
      <c r="E54" s="9" t="s">
        <v>387</v>
      </c>
      <c r="F54" s="26">
        <v>600</v>
      </c>
      <c r="G54" s="23">
        <v>34.9</v>
      </c>
      <c r="H54" s="9" t="s">
        <v>384</v>
      </c>
      <c r="I54" s="28">
        <v>1.4999999999999999E-2</v>
      </c>
      <c r="J54" s="24">
        <v>2.3599999999999999E-2</v>
      </c>
      <c r="K54" s="23">
        <v>159.4</v>
      </c>
      <c r="L54" s="31">
        <f>IFERROR(G54*(1+J54)*(1-I54)*INDEX(tbl_fatores_emissao[Valor],MATCH(D54,tbl_fatores_emissao[ID_FE],0)),"")</f>
        <v>17.593892700000001</v>
      </c>
      <c r="M54" s="31">
        <f>IFERROR(G54*(1+J54)*I54*INDEX(tbl_fatores_emissao[Valor],MATCH("FE-15",tbl_fatores_emissao[ID_FE],0)),"")</f>
        <v>1.6075638000000003</v>
      </c>
      <c r="N54" s="31">
        <f>IFERROR(K54*INDEX(tbl_fatores_emissao[Valor],MATCH("FE-01",tbl_fatores_emissao[ID_FE],0)),"")</f>
        <v>17.534000000000002</v>
      </c>
      <c r="O54" s="31">
        <f t="shared" si="3"/>
        <v>36.735456500000005</v>
      </c>
      <c r="P54" s="31">
        <f t="shared" si="4"/>
        <v>36.735456500000005</v>
      </c>
      <c r="Q54" s="32">
        <f t="shared" si="5"/>
        <v>0.52269546453029647</v>
      </c>
    </row>
    <row r="55" spans="1:17" ht="18" customHeight="1" x14ac:dyDescent="0.3">
      <c r="A55" s="9" t="s">
        <v>444</v>
      </c>
      <c r="B55" s="9" t="s">
        <v>381</v>
      </c>
      <c r="C55" s="9" t="s">
        <v>386</v>
      </c>
      <c r="D55" s="9" t="s">
        <v>116</v>
      </c>
      <c r="E55" s="9" t="s">
        <v>387</v>
      </c>
      <c r="F55" s="26">
        <v>600</v>
      </c>
      <c r="G55" s="23">
        <v>34.9</v>
      </c>
      <c r="H55" s="9" t="s">
        <v>384</v>
      </c>
      <c r="I55" s="28">
        <v>0.02</v>
      </c>
      <c r="J55" s="24">
        <v>2.3599999999999999E-2</v>
      </c>
      <c r="K55" s="23">
        <v>159.4</v>
      </c>
      <c r="L55" s="31">
        <f>IFERROR(G55*(1+J55)*(1-I55)*INDEX(tbl_fatores_emissao[Valor],MATCH(D55,tbl_fatores_emissao[ID_FE],0)),"")</f>
        <v>17.5045836</v>
      </c>
      <c r="M55" s="31">
        <f>IFERROR(G55*(1+J55)*I55*INDEX(tbl_fatores_emissao[Valor],MATCH("FE-15",tbl_fatores_emissao[ID_FE],0)),"")</f>
        <v>2.1434184000000003</v>
      </c>
      <c r="N55" s="31">
        <f>IFERROR(K55*INDEX(tbl_fatores_emissao[Valor],MATCH("FE-01",tbl_fatores_emissao[ID_FE],0)),"")</f>
        <v>17.534000000000002</v>
      </c>
      <c r="O55" s="31">
        <f t="shared" si="3"/>
        <v>37.182002000000004</v>
      </c>
      <c r="P55" s="31">
        <f t="shared" si="4"/>
        <v>37.182002000000004</v>
      </c>
      <c r="Q55" s="32">
        <f t="shared" si="5"/>
        <v>0.52842775921533214</v>
      </c>
    </row>
    <row r="56" spans="1:17" ht="18" customHeight="1" x14ac:dyDescent="0.3">
      <c r="A56" s="9" t="s">
        <v>445</v>
      </c>
      <c r="B56" s="9" t="s">
        <v>381</v>
      </c>
      <c r="C56" s="9" t="s">
        <v>400</v>
      </c>
      <c r="D56" s="9" t="s">
        <v>110</v>
      </c>
      <c r="E56" s="9" t="s">
        <v>383</v>
      </c>
      <c r="F56" s="26">
        <v>600</v>
      </c>
      <c r="G56" s="23">
        <v>34.9</v>
      </c>
      <c r="H56" s="9" t="s">
        <v>384</v>
      </c>
      <c r="I56" s="28">
        <v>0.02</v>
      </c>
      <c r="J56" s="24">
        <v>2.3599999999999999E-2</v>
      </c>
      <c r="K56" s="23">
        <v>159.4</v>
      </c>
      <c r="L56" s="31">
        <f>IFERROR(G56*(1+J56)*(1-I56)*INDEX(tbl_fatores_emissao[Valor],MATCH(D56,tbl_fatores_emissao[ID_FE],0)),"")</f>
        <v>63.016500960000002</v>
      </c>
      <c r="M56" s="31">
        <f>IFERROR(G56*(1+J56)*I56*INDEX(tbl_fatores_emissao[Valor],MATCH("FE-15",tbl_fatores_emissao[ID_FE],0)),"")</f>
        <v>2.1434184000000003</v>
      </c>
      <c r="N56" s="31">
        <f>IFERROR(K56*INDEX(tbl_fatores_emissao[Valor],MATCH("FE-01",tbl_fatores_emissao[ID_FE],0)),"")</f>
        <v>17.534000000000002</v>
      </c>
      <c r="O56" s="31">
        <f t="shared" si="3"/>
        <v>82.69391936000001</v>
      </c>
      <c r="P56" s="31">
        <f t="shared" si="4"/>
        <v>82.69391936000001</v>
      </c>
      <c r="Q56" s="32">
        <f t="shared" si="5"/>
        <v>0.78796506277967759</v>
      </c>
    </row>
    <row r="57" spans="1:17" ht="18" customHeight="1" x14ac:dyDescent="0.3">
      <c r="A57" s="9" t="s">
        <v>446</v>
      </c>
      <c r="B57" s="9" t="s">
        <v>381</v>
      </c>
      <c r="C57" s="9" t="s">
        <v>428</v>
      </c>
      <c r="D57" s="9" t="s">
        <v>110</v>
      </c>
      <c r="E57" s="9" t="s">
        <v>383</v>
      </c>
      <c r="F57" s="26">
        <v>600</v>
      </c>
      <c r="G57" s="23">
        <v>34.9</v>
      </c>
      <c r="H57" s="9" t="s">
        <v>384</v>
      </c>
      <c r="I57" s="28">
        <v>0.02</v>
      </c>
      <c r="J57" s="24">
        <v>2.3599999999999999E-2</v>
      </c>
      <c r="K57" s="23">
        <v>159.4</v>
      </c>
      <c r="L57" s="31">
        <f>IFERROR(G57*(1+J57)*(1-I57)*INDEX(tbl_fatores_emissao[Valor],MATCH(D57,tbl_fatores_emissao[ID_FE],0)),"")</f>
        <v>63.016500960000002</v>
      </c>
      <c r="M57" s="31">
        <f>IFERROR(G57*(1+J57)*I57*INDEX(tbl_fatores_emissao[Valor],MATCH("FE-15",tbl_fatores_emissao[ID_FE],0)),"")</f>
        <v>2.1434184000000003</v>
      </c>
      <c r="N57" s="31">
        <f>IFERROR(K57*INDEX(tbl_fatores_emissao[Valor],MATCH("FE-01",tbl_fatores_emissao[ID_FE],0)),"")</f>
        <v>17.534000000000002</v>
      </c>
      <c r="O57" s="31">
        <f t="shared" si="3"/>
        <v>82.69391936000001</v>
      </c>
      <c r="P57" s="31">
        <f t="shared" si="4"/>
        <v>82.69391936000001</v>
      </c>
      <c r="Q57" s="32">
        <f t="shared" si="5"/>
        <v>0.78796506277967759</v>
      </c>
    </row>
    <row r="58" spans="1:17" ht="18" customHeight="1" x14ac:dyDescent="0.3">
      <c r="A58" s="9" t="s">
        <v>447</v>
      </c>
      <c r="B58" s="9" t="s">
        <v>381</v>
      </c>
      <c r="C58" s="9" t="s">
        <v>402</v>
      </c>
      <c r="D58" s="9" t="s">
        <v>112</v>
      </c>
      <c r="E58" s="9" t="s">
        <v>383</v>
      </c>
      <c r="F58" s="26">
        <v>600</v>
      </c>
      <c r="G58" s="23">
        <v>34.9</v>
      </c>
      <c r="H58" s="9" t="s">
        <v>384</v>
      </c>
      <c r="I58" s="28">
        <v>0</v>
      </c>
      <c r="J58" s="24">
        <v>2.3599999999999999E-2</v>
      </c>
      <c r="K58" s="23">
        <v>159.4</v>
      </c>
      <c r="L58" s="31">
        <f>IFERROR(G58*(1+J58)*(1-I58)*INDEX(tbl_fatores_emissao[Valor],MATCH(D58,tbl_fatores_emissao[ID_FE],0)),"")</f>
        <v>78.592008000000007</v>
      </c>
      <c r="M58" s="31">
        <f>IFERROR(G58*(1+J58)*I58*INDEX(tbl_fatores_emissao[Valor],MATCH("FE-15",tbl_fatores_emissao[ID_FE],0)),"")</f>
        <v>0</v>
      </c>
      <c r="N58" s="31">
        <f>IFERROR(K58*INDEX(tbl_fatores_emissao[Valor],MATCH("FE-01",tbl_fatores_emissao[ID_FE],0)),"")</f>
        <v>17.534000000000002</v>
      </c>
      <c r="O58" s="31">
        <f t="shared" si="3"/>
        <v>96.126008000000013</v>
      </c>
      <c r="P58" s="31">
        <f t="shared" si="4"/>
        <v>96.126008000000013</v>
      </c>
      <c r="Q58" s="32">
        <f t="shared" si="5"/>
        <v>0.81759359027995837</v>
      </c>
    </row>
    <row r="59" spans="1:17" ht="18" customHeight="1" x14ac:dyDescent="0.3">
      <c r="A59" s="9" t="s">
        <v>448</v>
      </c>
      <c r="B59" s="9" t="s">
        <v>381</v>
      </c>
      <c r="C59" s="9" t="s">
        <v>402</v>
      </c>
      <c r="D59" s="9" t="s">
        <v>112</v>
      </c>
      <c r="E59" s="9" t="s">
        <v>383</v>
      </c>
      <c r="F59" s="26">
        <v>600</v>
      </c>
      <c r="G59" s="23">
        <v>34.9</v>
      </c>
      <c r="H59" s="9" t="s">
        <v>384</v>
      </c>
      <c r="I59" s="28">
        <v>0</v>
      </c>
      <c r="J59" s="24">
        <v>2.3599999999999999E-2</v>
      </c>
      <c r="K59" s="23">
        <v>159.4</v>
      </c>
      <c r="L59" s="31">
        <f>IFERROR(G59*(1+J59)*(1-I59)*INDEX(tbl_fatores_emissao[Valor],MATCH(D59,tbl_fatores_emissao[ID_FE],0)),"")</f>
        <v>78.592008000000007</v>
      </c>
      <c r="M59" s="31">
        <f>IFERROR(G59*(1+J59)*I59*INDEX(tbl_fatores_emissao[Valor],MATCH("FE-15",tbl_fatores_emissao[ID_FE],0)),"")</f>
        <v>0</v>
      </c>
      <c r="N59" s="31">
        <f>IFERROR(K59*INDEX(tbl_fatores_emissao[Valor],MATCH("FE-01",tbl_fatores_emissao[ID_FE],0)),"")</f>
        <v>17.534000000000002</v>
      </c>
      <c r="O59" s="31">
        <f t="shared" si="3"/>
        <v>96.126008000000013</v>
      </c>
      <c r="P59" s="31">
        <f t="shared" si="4"/>
        <v>96.126008000000013</v>
      </c>
      <c r="Q59" s="32">
        <f t="shared" si="5"/>
        <v>0.81759359027995837</v>
      </c>
    </row>
    <row r="60" spans="1:17" ht="18" customHeight="1" x14ac:dyDescent="0.3">
      <c r="A60" s="9" t="s">
        <v>449</v>
      </c>
      <c r="B60" s="9" t="s">
        <v>381</v>
      </c>
      <c r="C60" s="9" t="s">
        <v>405</v>
      </c>
      <c r="D60" s="9" t="s">
        <v>112</v>
      </c>
      <c r="E60" s="9" t="s">
        <v>383</v>
      </c>
      <c r="F60" s="26">
        <v>600</v>
      </c>
      <c r="G60" s="23">
        <v>34.9</v>
      </c>
      <c r="H60" s="9" t="s">
        <v>384</v>
      </c>
      <c r="I60" s="28">
        <v>0</v>
      </c>
      <c r="J60" s="24">
        <v>2.3599999999999999E-2</v>
      </c>
      <c r="K60" s="23">
        <v>159.4</v>
      </c>
      <c r="L60" s="31">
        <f>IFERROR(G60*(1+J60)*(1-I60)*INDEX(tbl_fatores_emissao[Valor],MATCH(D60,tbl_fatores_emissao[ID_FE],0)),"")</f>
        <v>78.592008000000007</v>
      </c>
      <c r="M60" s="31">
        <f>IFERROR(G60*(1+J60)*I60*INDEX(tbl_fatores_emissao[Valor],MATCH("FE-15",tbl_fatores_emissao[ID_FE],0)),"")</f>
        <v>0</v>
      </c>
      <c r="N60" s="31">
        <f>IFERROR(K60*INDEX(tbl_fatores_emissao[Valor],MATCH("FE-01",tbl_fatores_emissao[ID_FE],0)),"")</f>
        <v>17.534000000000002</v>
      </c>
      <c r="O60" s="31">
        <f t="shared" si="3"/>
        <v>96.126008000000013</v>
      </c>
      <c r="P60" s="31">
        <f t="shared" si="4"/>
        <v>96.126008000000013</v>
      </c>
      <c r="Q60" s="32">
        <f t="shared" si="5"/>
        <v>0.81759359027995837</v>
      </c>
    </row>
    <row r="61" spans="1:17" ht="18" customHeight="1" x14ac:dyDescent="0.3">
      <c r="A61" s="9" t="s">
        <v>450</v>
      </c>
      <c r="B61" s="9" t="s">
        <v>381</v>
      </c>
      <c r="C61" s="9" t="s">
        <v>409</v>
      </c>
      <c r="D61" s="9" t="s">
        <v>106</v>
      </c>
      <c r="E61" s="9" t="s">
        <v>383</v>
      </c>
      <c r="F61" s="26">
        <v>600</v>
      </c>
      <c r="G61" s="23">
        <v>34.9</v>
      </c>
      <c r="H61" s="9" t="s">
        <v>384</v>
      </c>
      <c r="I61" s="28">
        <v>2.5000000000000001E-2</v>
      </c>
      <c r="J61" s="24">
        <v>2.3599999999999999E-2</v>
      </c>
      <c r="K61" s="23">
        <v>159.4</v>
      </c>
      <c r="L61" s="31">
        <f>IFERROR(G61*(1+J61)*(1-I61)*INDEX(tbl_fatores_emissao[Valor],MATCH(D61,tbl_fatores_emissao[ID_FE],0)),"")</f>
        <v>55.728878400000013</v>
      </c>
      <c r="M61" s="31">
        <f>IFERROR(G61*(1+J61)*I61*INDEX(tbl_fatores_emissao[Valor],MATCH("FE-15",tbl_fatores_emissao[ID_FE],0)),"")</f>
        <v>2.6792730000000002</v>
      </c>
      <c r="N61" s="31">
        <f>IFERROR(K61*INDEX(tbl_fatores_emissao[Valor],MATCH("FE-01",tbl_fatores_emissao[ID_FE],0)),"")</f>
        <v>17.534000000000002</v>
      </c>
      <c r="O61" s="31">
        <f t="shared" si="3"/>
        <v>75.942151400000014</v>
      </c>
      <c r="P61" s="31">
        <f t="shared" si="4"/>
        <v>75.942151400000014</v>
      </c>
      <c r="Q61" s="32">
        <f t="shared" si="5"/>
        <v>0.76911373095495428</v>
      </c>
    </row>
    <row r="62" spans="1:17" ht="18" customHeight="1" x14ac:dyDescent="0.3">
      <c r="A62" s="9" t="s">
        <v>451</v>
      </c>
      <c r="B62" s="9" t="s">
        <v>381</v>
      </c>
      <c r="C62" s="9" t="s">
        <v>409</v>
      </c>
      <c r="D62" s="9" t="s">
        <v>106</v>
      </c>
      <c r="E62" s="9" t="s">
        <v>383</v>
      </c>
      <c r="F62" s="26">
        <v>600</v>
      </c>
      <c r="G62" s="23">
        <v>34.9</v>
      </c>
      <c r="H62" s="9" t="s">
        <v>384</v>
      </c>
      <c r="I62" s="28">
        <v>0.02</v>
      </c>
      <c r="J62" s="24">
        <v>2.3599999999999999E-2</v>
      </c>
      <c r="K62" s="23">
        <v>159.4</v>
      </c>
      <c r="L62" s="31">
        <f>IFERROR(G62*(1+J62)*(1-I62)*INDEX(tbl_fatores_emissao[Valor],MATCH(D62,tbl_fatores_emissao[ID_FE],0)),"")</f>
        <v>56.014667520000003</v>
      </c>
      <c r="M62" s="31">
        <f>IFERROR(G62*(1+J62)*I62*INDEX(tbl_fatores_emissao[Valor],MATCH("FE-15",tbl_fatores_emissao[ID_FE],0)),"")</f>
        <v>2.1434184000000003</v>
      </c>
      <c r="N62" s="31">
        <f>IFERROR(K62*INDEX(tbl_fatores_emissao[Valor],MATCH("FE-01",tbl_fatores_emissao[ID_FE],0)),"")</f>
        <v>17.534000000000002</v>
      </c>
      <c r="O62" s="31">
        <f t="shared" si="3"/>
        <v>75.692085920000011</v>
      </c>
      <c r="P62" s="31">
        <f t="shared" si="4"/>
        <v>75.692085920000011</v>
      </c>
      <c r="Q62" s="32">
        <f t="shared" si="5"/>
        <v>0.76835094730336895</v>
      </c>
    </row>
    <row r="63" spans="1:17" ht="18" customHeight="1" x14ac:dyDescent="0.3">
      <c r="A63" s="9" t="s">
        <v>452</v>
      </c>
      <c r="B63" s="9" t="s">
        <v>381</v>
      </c>
      <c r="C63" s="9" t="s">
        <v>412</v>
      </c>
      <c r="D63" s="9" t="s">
        <v>116</v>
      </c>
      <c r="E63" s="9" t="s">
        <v>387</v>
      </c>
      <c r="F63" s="26">
        <v>600</v>
      </c>
      <c r="G63" s="23">
        <v>34.9</v>
      </c>
      <c r="H63" s="9" t="s">
        <v>384</v>
      </c>
      <c r="I63" s="28">
        <v>2.5000000000000001E-2</v>
      </c>
      <c r="J63" s="24">
        <v>2.3599999999999999E-2</v>
      </c>
      <c r="K63" s="23">
        <v>159.4</v>
      </c>
      <c r="L63" s="31">
        <f>IFERROR(G63*(1+J63)*(1-I63)*INDEX(tbl_fatores_emissao[Valor],MATCH(D63,tbl_fatores_emissao[ID_FE],0)),"")</f>
        <v>17.415274500000002</v>
      </c>
      <c r="M63" s="31">
        <f>IFERROR(G63*(1+J63)*I63*INDEX(tbl_fatores_emissao[Valor],MATCH("FE-15",tbl_fatores_emissao[ID_FE],0)),"")</f>
        <v>2.6792730000000002</v>
      </c>
      <c r="N63" s="31">
        <f>IFERROR(K63*INDEX(tbl_fatores_emissao[Valor],MATCH("FE-01",tbl_fatores_emissao[ID_FE],0)),"")</f>
        <v>17.534000000000002</v>
      </c>
      <c r="O63" s="31">
        <f t="shared" si="3"/>
        <v>37.62854750000001</v>
      </c>
      <c r="P63" s="31">
        <f t="shared" si="4"/>
        <v>37.62854750000001</v>
      </c>
      <c r="Q63" s="32">
        <f t="shared" si="5"/>
        <v>0.53402400132505778</v>
      </c>
    </row>
    <row r="64" spans="1:17" ht="18" customHeight="1" x14ac:dyDescent="0.3">
      <c r="A64" s="9" t="s">
        <v>453</v>
      </c>
      <c r="B64" s="9" t="s">
        <v>381</v>
      </c>
      <c r="C64" s="9" t="s">
        <v>412</v>
      </c>
      <c r="D64" s="9" t="s">
        <v>116</v>
      </c>
      <c r="E64" s="9" t="s">
        <v>387</v>
      </c>
      <c r="F64" s="26">
        <v>600</v>
      </c>
      <c r="G64" s="23">
        <v>34.9</v>
      </c>
      <c r="H64" s="9" t="s">
        <v>384</v>
      </c>
      <c r="I64" s="28">
        <v>0.02</v>
      </c>
      <c r="J64" s="24">
        <v>2.3599999999999999E-2</v>
      </c>
      <c r="K64" s="23">
        <v>159.4</v>
      </c>
      <c r="L64" s="31">
        <f>IFERROR(G64*(1+J64)*(1-I64)*INDEX(tbl_fatores_emissao[Valor],MATCH(D64,tbl_fatores_emissao[ID_FE],0)),"")</f>
        <v>17.5045836</v>
      </c>
      <c r="M64" s="31">
        <f>IFERROR(G64*(1+J64)*I64*INDEX(tbl_fatores_emissao[Valor],MATCH("FE-15",tbl_fatores_emissao[ID_FE],0)),"")</f>
        <v>2.1434184000000003</v>
      </c>
      <c r="N64" s="31">
        <f>IFERROR(K64*INDEX(tbl_fatores_emissao[Valor],MATCH("FE-01",tbl_fatores_emissao[ID_FE],0)),"")</f>
        <v>17.534000000000002</v>
      </c>
      <c r="O64" s="31">
        <f t="shared" si="3"/>
        <v>37.182002000000004</v>
      </c>
      <c r="P64" s="31">
        <f t="shared" si="4"/>
        <v>37.182002000000004</v>
      </c>
      <c r="Q64" s="32">
        <f t="shared" si="5"/>
        <v>0.52842775921533214</v>
      </c>
    </row>
    <row r="65" spans="1:17" ht="18" customHeight="1" x14ac:dyDescent="0.3">
      <c r="A65" s="9" t="s">
        <v>454</v>
      </c>
      <c r="B65" s="9" t="s">
        <v>381</v>
      </c>
      <c r="C65" s="9" t="s">
        <v>390</v>
      </c>
      <c r="D65" s="9" t="s">
        <v>116</v>
      </c>
      <c r="E65" s="9" t="s">
        <v>387</v>
      </c>
      <c r="F65" s="26">
        <v>600</v>
      </c>
      <c r="G65" s="23">
        <v>34.9</v>
      </c>
      <c r="H65" s="9" t="s">
        <v>384</v>
      </c>
      <c r="I65" s="28">
        <v>0</v>
      </c>
      <c r="J65" s="24">
        <v>2.3599999999999999E-2</v>
      </c>
      <c r="K65" s="23">
        <v>159.4</v>
      </c>
      <c r="L65" s="31">
        <f>IFERROR(G65*(1+J65)*(1-I65)*INDEX(tbl_fatores_emissao[Valor],MATCH(D65,tbl_fatores_emissao[ID_FE],0)),"")</f>
        <v>17.861820000000002</v>
      </c>
      <c r="M65" s="31">
        <f>IFERROR(G65*(1+J65)*I65*INDEX(tbl_fatores_emissao[Valor],MATCH("FE-15",tbl_fatores_emissao[ID_FE],0)),"")</f>
        <v>0</v>
      </c>
      <c r="N65" s="31">
        <f>IFERROR(K65*INDEX(tbl_fatores_emissao[Valor],MATCH("FE-01",tbl_fatores_emissao[ID_FE],0)),"")</f>
        <v>17.534000000000002</v>
      </c>
      <c r="O65" s="31">
        <f t="shared" si="3"/>
        <v>35.395820000000001</v>
      </c>
      <c r="P65" s="31">
        <f t="shared" si="4"/>
        <v>35.395820000000001</v>
      </c>
      <c r="Q65" s="32">
        <f t="shared" si="5"/>
        <v>0.50463077278616519</v>
      </c>
    </row>
    <row r="66" spans="1:17" ht="18" customHeight="1" x14ac:dyDescent="0.3">
      <c r="A66" s="9" t="s">
        <v>455</v>
      </c>
      <c r="B66" s="9" t="s">
        <v>381</v>
      </c>
      <c r="C66" s="9" t="s">
        <v>390</v>
      </c>
      <c r="D66" s="9" t="s">
        <v>116</v>
      </c>
      <c r="E66" s="9" t="s">
        <v>387</v>
      </c>
      <c r="F66" s="26">
        <v>600</v>
      </c>
      <c r="G66" s="23">
        <v>34.9</v>
      </c>
      <c r="H66" s="9" t="s">
        <v>384</v>
      </c>
      <c r="I66" s="28">
        <v>0</v>
      </c>
      <c r="J66" s="24">
        <v>2.3599999999999999E-2</v>
      </c>
      <c r="K66" s="23">
        <v>159.4</v>
      </c>
      <c r="L66" s="31">
        <f>IFERROR(G66*(1+J66)*(1-I66)*INDEX(tbl_fatores_emissao[Valor],MATCH(D66,tbl_fatores_emissao[ID_FE],0)),"")</f>
        <v>17.861820000000002</v>
      </c>
      <c r="M66" s="31">
        <f>IFERROR(G66*(1+J66)*I66*INDEX(tbl_fatores_emissao[Valor],MATCH("FE-15",tbl_fatores_emissao[ID_FE],0)),"")</f>
        <v>0</v>
      </c>
      <c r="N66" s="31">
        <f>IFERROR(K66*INDEX(tbl_fatores_emissao[Valor],MATCH("FE-01",tbl_fatores_emissao[ID_FE],0)),"")</f>
        <v>17.534000000000002</v>
      </c>
      <c r="O66" s="31">
        <f t="shared" si="3"/>
        <v>35.395820000000001</v>
      </c>
      <c r="P66" s="31">
        <f t="shared" si="4"/>
        <v>35.395820000000001</v>
      </c>
      <c r="Q66" s="32">
        <f t="shared" si="5"/>
        <v>0.50463077278616519</v>
      </c>
    </row>
    <row r="67" spans="1:17" ht="18" customHeight="1" x14ac:dyDescent="0.3">
      <c r="A67" s="9" t="s">
        <v>456</v>
      </c>
      <c r="B67" s="9" t="s">
        <v>381</v>
      </c>
      <c r="C67" s="9" t="s">
        <v>390</v>
      </c>
      <c r="D67" s="9" t="s">
        <v>116</v>
      </c>
      <c r="E67" s="9" t="s">
        <v>387</v>
      </c>
      <c r="F67" s="26">
        <v>600</v>
      </c>
      <c r="G67" s="23">
        <v>34.9</v>
      </c>
      <c r="H67" s="9" t="s">
        <v>384</v>
      </c>
      <c r="I67" s="28">
        <v>0</v>
      </c>
      <c r="J67" s="24">
        <v>2.3599999999999999E-2</v>
      </c>
      <c r="K67" s="23">
        <v>159.4</v>
      </c>
      <c r="L67" s="31">
        <f>IFERROR(G67*(1+J67)*(1-I67)*INDEX(tbl_fatores_emissao[Valor],MATCH(D67,tbl_fatores_emissao[ID_FE],0)),"")</f>
        <v>17.861820000000002</v>
      </c>
      <c r="M67" s="31">
        <f>IFERROR(G67*(1+J67)*I67*INDEX(tbl_fatores_emissao[Valor],MATCH("FE-15",tbl_fatores_emissao[ID_FE],0)),"")</f>
        <v>0</v>
      </c>
      <c r="N67" s="31">
        <f>IFERROR(K67*INDEX(tbl_fatores_emissao[Valor],MATCH("FE-01",tbl_fatores_emissao[ID_FE],0)),"")</f>
        <v>17.534000000000002</v>
      </c>
      <c r="O67" s="31">
        <f t="shared" si="3"/>
        <v>35.395820000000001</v>
      </c>
      <c r="P67" s="31">
        <f t="shared" si="4"/>
        <v>35.395820000000001</v>
      </c>
      <c r="Q67" s="32">
        <f t="shared" si="5"/>
        <v>0.50463077278616519</v>
      </c>
    </row>
    <row r="68" spans="1:17" ht="18" customHeight="1" x14ac:dyDescent="0.3">
      <c r="A68" s="9" t="s">
        <v>457</v>
      </c>
      <c r="B68" s="9" t="s">
        <v>381</v>
      </c>
      <c r="C68" s="9" t="s">
        <v>382</v>
      </c>
      <c r="D68" s="9" t="s">
        <v>110</v>
      </c>
      <c r="E68" s="9" t="s">
        <v>383</v>
      </c>
      <c r="F68" s="26">
        <v>750</v>
      </c>
      <c r="G68" s="23">
        <v>40.5</v>
      </c>
      <c r="H68" s="9" t="s">
        <v>384</v>
      </c>
      <c r="I68" s="28">
        <v>2.5000000000000001E-2</v>
      </c>
      <c r="J68" s="24">
        <v>2.3599999999999999E-2</v>
      </c>
      <c r="K68" s="23">
        <v>159.4</v>
      </c>
      <c r="L68" s="31">
        <f>IFERROR(G68*(1+J68)*(1-I68)*INDEX(tbl_fatores_emissao[Valor],MATCH(D68,tbl_fatores_emissao[ID_FE],0)),"")</f>
        <v>72.754929000000004</v>
      </c>
      <c r="M68" s="31">
        <f>IFERROR(G68*(1+J68)*I68*INDEX(tbl_fatores_emissao[Valor],MATCH("FE-15",tbl_fatores_emissao[ID_FE],0)),"")</f>
        <v>3.1091850000000005</v>
      </c>
      <c r="N68" s="31">
        <f>IFERROR(K68*INDEX(tbl_fatores_emissao[Valor],MATCH("FE-01",tbl_fatores_emissao[ID_FE],0)),"")</f>
        <v>17.534000000000002</v>
      </c>
      <c r="O68" s="31">
        <f t="shared" si="3"/>
        <v>93.398114000000007</v>
      </c>
      <c r="P68" s="31">
        <f t="shared" si="4"/>
        <v>93.398114000000007</v>
      </c>
      <c r="Q68" s="32">
        <f t="shared" si="5"/>
        <v>0.8122660164208455</v>
      </c>
    </row>
    <row r="69" spans="1:17" ht="18" customHeight="1" x14ac:dyDescent="0.3">
      <c r="A69" s="9" t="s">
        <v>458</v>
      </c>
      <c r="B69" s="9" t="s">
        <v>381</v>
      </c>
      <c r="C69" s="9" t="s">
        <v>382</v>
      </c>
      <c r="D69" s="9" t="s">
        <v>110</v>
      </c>
      <c r="E69" s="9" t="s">
        <v>383</v>
      </c>
      <c r="F69" s="26">
        <v>750</v>
      </c>
      <c r="G69" s="23">
        <v>40.5</v>
      </c>
      <c r="H69" s="9" t="s">
        <v>384</v>
      </c>
      <c r="I69" s="28">
        <v>2.5000000000000001E-2</v>
      </c>
      <c r="J69" s="24">
        <v>2.3599999999999999E-2</v>
      </c>
      <c r="K69" s="23">
        <v>159.4</v>
      </c>
      <c r="L69" s="31">
        <f>IFERROR(G69*(1+J69)*(1-I69)*INDEX(tbl_fatores_emissao[Valor],MATCH(D69,tbl_fatores_emissao[ID_FE],0)),"")</f>
        <v>72.754929000000004</v>
      </c>
      <c r="M69" s="31">
        <f>IFERROR(G69*(1+J69)*I69*INDEX(tbl_fatores_emissao[Valor],MATCH("FE-15",tbl_fatores_emissao[ID_FE],0)),"")</f>
        <v>3.1091850000000005</v>
      </c>
      <c r="N69" s="31">
        <f>IFERROR(K69*INDEX(tbl_fatores_emissao[Valor],MATCH("FE-01",tbl_fatores_emissao[ID_FE],0)),"")</f>
        <v>17.534000000000002</v>
      </c>
      <c r="O69" s="31">
        <f t="shared" ref="O69:O100" si="6">IFERROR(L69+M69+N69,"")</f>
        <v>93.398114000000007</v>
      </c>
      <c r="P69" s="31">
        <f t="shared" ref="P69:P100" si="7">IFERROR(O69,"")</f>
        <v>93.398114000000007</v>
      </c>
      <c r="Q69" s="32">
        <f t="shared" ref="Q69:Q100" si="8">IFERROR((L69+M69)/O69,"")</f>
        <v>0.8122660164208455</v>
      </c>
    </row>
    <row r="70" spans="1:17" ht="18" customHeight="1" x14ac:dyDescent="0.3">
      <c r="A70" s="9" t="s">
        <v>459</v>
      </c>
      <c r="B70" s="9" t="s">
        <v>381</v>
      </c>
      <c r="C70" s="9" t="s">
        <v>382</v>
      </c>
      <c r="D70" s="9" t="s">
        <v>110</v>
      </c>
      <c r="E70" s="9" t="s">
        <v>383</v>
      </c>
      <c r="F70" s="26">
        <v>750</v>
      </c>
      <c r="G70" s="23">
        <v>40.5</v>
      </c>
      <c r="H70" s="9" t="s">
        <v>384</v>
      </c>
      <c r="I70" s="28">
        <v>1.4999999999999999E-2</v>
      </c>
      <c r="J70" s="24">
        <v>2.3599999999999999E-2</v>
      </c>
      <c r="K70" s="23">
        <v>159.4</v>
      </c>
      <c r="L70" s="31">
        <f>IFERROR(G70*(1+J70)*(1-I70)*INDEX(tbl_fatores_emissao[Valor],MATCH(D70,tbl_fatores_emissao[ID_FE],0)),"")</f>
        <v>73.501133400000015</v>
      </c>
      <c r="M70" s="31">
        <f>IFERROR(G70*(1+J70)*I70*INDEX(tbl_fatores_emissao[Valor],MATCH("FE-15",tbl_fatores_emissao[ID_FE],0)),"")</f>
        <v>1.8655110000000001</v>
      </c>
      <c r="N70" s="31">
        <f>IFERROR(K70*INDEX(tbl_fatores_emissao[Valor],MATCH("FE-01",tbl_fatores_emissao[ID_FE],0)),"")</f>
        <v>17.534000000000002</v>
      </c>
      <c r="O70" s="31">
        <f t="shared" si="6"/>
        <v>92.900644400000019</v>
      </c>
      <c r="P70" s="31">
        <f t="shared" si="7"/>
        <v>92.900644400000019</v>
      </c>
      <c r="Q70" s="32">
        <f t="shared" si="8"/>
        <v>0.81126072791805093</v>
      </c>
    </row>
    <row r="71" spans="1:17" ht="18" customHeight="1" x14ac:dyDescent="0.3">
      <c r="A71" s="9" t="s">
        <v>460</v>
      </c>
      <c r="B71" s="9" t="s">
        <v>381</v>
      </c>
      <c r="C71" s="9" t="s">
        <v>386</v>
      </c>
      <c r="D71" s="9" t="s">
        <v>116</v>
      </c>
      <c r="E71" s="9" t="s">
        <v>387</v>
      </c>
      <c r="F71" s="26">
        <v>750</v>
      </c>
      <c r="G71" s="23">
        <v>40.5</v>
      </c>
      <c r="H71" s="9" t="s">
        <v>384</v>
      </c>
      <c r="I71" s="28">
        <v>0.02</v>
      </c>
      <c r="J71" s="24">
        <v>2.3599999999999999E-2</v>
      </c>
      <c r="K71" s="23">
        <v>159.4</v>
      </c>
      <c r="L71" s="31">
        <f>IFERROR(G71*(1+J71)*(1-I71)*INDEX(tbl_fatores_emissao[Valor],MATCH(D71,tbl_fatores_emissao[ID_FE],0)),"")</f>
        <v>20.313342000000002</v>
      </c>
      <c r="M71" s="31">
        <f>IFERROR(G71*(1+J71)*I71*INDEX(tbl_fatores_emissao[Valor],MATCH("FE-15",tbl_fatores_emissao[ID_FE],0)),"")</f>
        <v>2.4873480000000003</v>
      </c>
      <c r="N71" s="31">
        <f>IFERROR(K71*INDEX(tbl_fatores_emissao[Valor],MATCH("FE-01",tbl_fatores_emissao[ID_FE],0)),"")</f>
        <v>17.534000000000002</v>
      </c>
      <c r="O71" s="31">
        <f t="shared" si="6"/>
        <v>40.334690000000009</v>
      </c>
      <c r="P71" s="31">
        <f t="shared" si="7"/>
        <v>40.334690000000009</v>
      </c>
      <c r="Q71" s="32">
        <f t="shared" si="8"/>
        <v>0.56528734942551928</v>
      </c>
    </row>
    <row r="72" spans="1:17" ht="18" customHeight="1" x14ac:dyDescent="0.3">
      <c r="A72" s="9" t="s">
        <v>461</v>
      </c>
      <c r="B72" s="9" t="s">
        <v>381</v>
      </c>
      <c r="C72" s="9" t="s">
        <v>386</v>
      </c>
      <c r="D72" s="9" t="s">
        <v>116</v>
      </c>
      <c r="E72" s="9" t="s">
        <v>387</v>
      </c>
      <c r="F72" s="26">
        <v>750</v>
      </c>
      <c r="G72" s="23">
        <v>40.5</v>
      </c>
      <c r="H72" s="9" t="s">
        <v>384</v>
      </c>
      <c r="I72" s="28">
        <v>2.5000000000000001E-2</v>
      </c>
      <c r="J72" s="24">
        <v>2.3599999999999999E-2</v>
      </c>
      <c r="K72" s="23">
        <v>159.4</v>
      </c>
      <c r="L72" s="31">
        <f>IFERROR(G72*(1+J72)*(1-I72)*INDEX(tbl_fatores_emissao[Valor],MATCH(D72,tbl_fatores_emissao[ID_FE],0)),"")</f>
        <v>20.209702500000002</v>
      </c>
      <c r="M72" s="31">
        <f>IFERROR(G72*(1+J72)*I72*INDEX(tbl_fatores_emissao[Valor],MATCH("FE-15",tbl_fatores_emissao[ID_FE],0)),"")</f>
        <v>3.1091850000000005</v>
      </c>
      <c r="N72" s="31">
        <f>IFERROR(K72*INDEX(tbl_fatores_emissao[Valor],MATCH("FE-01",tbl_fatores_emissao[ID_FE],0)),"")</f>
        <v>17.534000000000002</v>
      </c>
      <c r="O72" s="31">
        <f t="shared" si="6"/>
        <v>40.852887500000008</v>
      </c>
      <c r="P72" s="31">
        <f t="shared" si="7"/>
        <v>40.852887500000008</v>
      </c>
      <c r="Q72" s="32">
        <f t="shared" si="8"/>
        <v>0.57080145191695442</v>
      </c>
    </row>
    <row r="73" spans="1:17" ht="18" customHeight="1" x14ac:dyDescent="0.3">
      <c r="A73" s="9" t="s">
        <v>462</v>
      </c>
      <c r="B73" s="9" t="s">
        <v>381</v>
      </c>
      <c r="C73" s="9" t="s">
        <v>428</v>
      </c>
      <c r="D73" s="9" t="s">
        <v>110</v>
      </c>
      <c r="E73" s="9" t="s">
        <v>383</v>
      </c>
      <c r="F73" s="26">
        <v>750</v>
      </c>
      <c r="G73" s="23">
        <v>40.5</v>
      </c>
      <c r="H73" s="9" t="s">
        <v>384</v>
      </c>
      <c r="I73" s="28">
        <v>0.02</v>
      </c>
      <c r="J73" s="24">
        <v>2.3599999999999999E-2</v>
      </c>
      <c r="K73" s="23">
        <v>159.4</v>
      </c>
      <c r="L73" s="31">
        <f>IFERROR(G73*(1+J73)*(1-I73)*INDEX(tbl_fatores_emissao[Valor],MATCH(D73,tbl_fatores_emissao[ID_FE],0)),"")</f>
        <v>73.128031200000009</v>
      </c>
      <c r="M73" s="31">
        <f>IFERROR(G73*(1+J73)*I73*INDEX(tbl_fatores_emissao[Valor],MATCH("FE-15",tbl_fatores_emissao[ID_FE],0)),"")</f>
        <v>2.4873480000000003</v>
      </c>
      <c r="N73" s="31">
        <f>IFERROR(K73*INDEX(tbl_fatores_emissao[Valor],MATCH("FE-01",tbl_fatores_emissao[ID_FE],0)),"")</f>
        <v>17.534000000000002</v>
      </c>
      <c r="O73" s="31">
        <f t="shared" si="6"/>
        <v>93.149379200000013</v>
      </c>
      <c r="P73" s="31">
        <f t="shared" si="7"/>
        <v>93.149379200000013</v>
      </c>
      <c r="Q73" s="32">
        <f t="shared" si="8"/>
        <v>0.81176471436966913</v>
      </c>
    </row>
    <row r="74" spans="1:17" ht="18" customHeight="1" x14ac:dyDescent="0.3">
      <c r="A74" s="9" t="s">
        <v>463</v>
      </c>
      <c r="B74" s="9" t="s">
        <v>381</v>
      </c>
      <c r="C74" s="9" t="s">
        <v>402</v>
      </c>
      <c r="D74" s="9" t="s">
        <v>112</v>
      </c>
      <c r="E74" s="9" t="s">
        <v>383</v>
      </c>
      <c r="F74" s="26">
        <v>750</v>
      </c>
      <c r="G74" s="23">
        <v>40.5</v>
      </c>
      <c r="H74" s="9" t="s">
        <v>384</v>
      </c>
      <c r="I74" s="28">
        <v>0</v>
      </c>
      <c r="J74" s="24">
        <v>2.3599999999999999E-2</v>
      </c>
      <c r="K74" s="23">
        <v>159.4</v>
      </c>
      <c r="L74" s="31">
        <f>IFERROR(G74*(1+J74)*(1-I74)*INDEX(tbl_fatores_emissao[Valor],MATCH(D74,tbl_fatores_emissao[ID_FE],0)),"")</f>
        <v>91.202760000000012</v>
      </c>
      <c r="M74" s="31">
        <f>IFERROR(G74*(1+J74)*I74*INDEX(tbl_fatores_emissao[Valor],MATCH("FE-15",tbl_fatores_emissao[ID_FE],0)),"")</f>
        <v>0</v>
      </c>
      <c r="N74" s="31">
        <f>IFERROR(K74*INDEX(tbl_fatores_emissao[Valor],MATCH("FE-01",tbl_fatores_emissao[ID_FE],0)),"")</f>
        <v>17.534000000000002</v>
      </c>
      <c r="O74" s="31">
        <f t="shared" si="6"/>
        <v>108.73676000000002</v>
      </c>
      <c r="P74" s="31">
        <f t="shared" si="7"/>
        <v>108.73676000000002</v>
      </c>
      <c r="Q74" s="32">
        <f t="shared" si="8"/>
        <v>0.83874818414674113</v>
      </c>
    </row>
    <row r="75" spans="1:17" ht="18" customHeight="1" x14ac:dyDescent="0.3">
      <c r="A75" s="9" t="s">
        <v>464</v>
      </c>
      <c r="B75" s="9" t="s">
        <v>381</v>
      </c>
      <c r="C75" s="9" t="s">
        <v>402</v>
      </c>
      <c r="D75" s="9" t="s">
        <v>112</v>
      </c>
      <c r="E75" s="9" t="s">
        <v>383</v>
      </c>
      <c r="F75" s="26">
        <v>750</v>
      </c>
      <c r="G75" s="23">
        <v>40.5</v>
      </c>
      <c r="H75" s="9" t="s">
        <v>384</v>
      </c>
      <c r="I75" s="28">
        <v>0</v>
      </c>
      <c r="J75" s="24">
        <v>2.3599999999999999E-2</v>
      </c>
      <c r="K75" s="23">
        <v>159.4</v>
      </c>
      <c r="L75" s="31">
        <f>IFERROR(G75*(1+J75)*(1-I75)*INDEX(tbl_fatores_emissao[Valor],MATCH(D75,tbl_fatores_emissao[ID_FE],0)),"")</f>
        <v>91.202760000000012</v>
      </c>
      <c r="M75" s="31">
        <f>IFERROR(G75*(1+J75)*I75*INDEX(tbl_fatores_emissao[Valor],MATCH("FE-15",tbl_fatores_emissao[ID_FE],0)),"")</f>
        <v>0</v>
      </c>
      <c r="N75" s="31">
        <f>IFERROR(K75*INDEX(tbl_fatores_emissao[Valor],MATCH("FE-01",tbl_fatores_emissao[ID_FE],0)),"")</f>
        <v>17.534000000000002</v>
      </c>
      <c r="O75" s="31">
        <f t="shared" si="6"/>
        <v>108.73676000000002</v>
      </c>
      <c r="P75" s="31">
        <f t="shared" si="7"/>
        <v>108.73676000000002</v>
      </c>
      <c r="Q75" s="32">
        <f t="shared" si="8"/>
        <v>0.83874818414674113</v>
      </c>
    </row>
    <row r="76" spans="1:17" ht="18" customHeight="1" x14ac:dyDescent="0.3">
      <c r="A76" s="9" t="s">
        <v>465</v>
      </c>
      <c r="B76" s="9" t="s">
        <v>381</v>
      </c>
      <c r="C76" s="9" t="s">
        <v>405</v>
      </c>
      <c r="D76" s="9" t="s">
        <v>112</v>
      </c>
      <c r="E76" s="9" t="s">
        <v>383</v>
      </c>
      <c r="F76" s="26">
        <v>750</v>
      </c>
      <c r="G76" s="23">
        <v>40.5</v>
      </c>
      <c r="H76" s="9" t="s">
        <v>384</v>
      </c>
      <c r="I76" s="28">
        <v>0</v>
      </c>
      <c r="J76" s="24">
        <v>2.3599999999999999E-2</v>
      </c>
      <c r="K76" s="23">
        <v>159.4</v>
      </c>
      <c r="L76" s="31">
        <f>IFERROR(G76*(1+J76)*(1-I76)*INDEX(tbl_fatores_emissao[Valor],MATCH(D76,tbl_fatores_emissao[ID_FE],0)),"")</f>
        <v>91.202760000000012</v>
      </c>
      <c r="M76" s="31">
        <f>IFERROR(G76*(1+J76)*I76*INDEX(tbl_fatores_emissao[Valor],MATCH("FE-15",tbl_fatores_emissao[ID_FE],0)),"")</f>
        <v>0</v>
      </c>
      <c r="N76" s="31">
        <f>IFERROR(K76*INDEX(tbl_fatores_emissao[Valor],MATCH("FE-01",tbl_fatores_emissao[ID_FE],0)),"")</f>
        <v>17.534000000000002</v>
      </c>
      <c r="O76" s="31">
        <f t="shared" si="6"/>
        <v>108.73676000000002</v>
      </c>
      <c r="P76" s="31">
        <f t="shared" si="7"/>
        <v>108.73676000000002</v>
      </c>
      <c r="Q76" s="32">
        <f t="shared" si="8"/>
        <v>0.83874818414674113</v>
      </c>
    </row>
    <row r="77" spans="1:17" ht="18" customHeight="1" x14ac:dyDescent="0.3">
      <c r="A77" s="9" t="s">
        <v>466</v>
      </c>
      <c r="B77" s="9" t="s">
        <v>381</v>
      </c>
      <c r="C77" s="9" t="s">
        <v>409</v>
      </c>
      <c r="D77" s="9" t="s">
        <v>106</v>
      </c>
      <c r="E77" s="9" t="s">
        <v>383</v>
      </c>
      <c r="F77" s="26">
        <v>750</v>
      </c>
      <c r="G77" s="23">
        <v>40.5</v>
      </c>
      <c r="H77" s="9" t="s">
        <v>384</v>
      </c>
      <c r="I77" s="28">
        <v>0.02</v>
      </c>
      <c r="J77" s="24">
        <v>2.3599999999999999E-2</v>
      </c>
      <c r="K77" s="23">
        <v>159.4</v>
      </c>
      <c r="L77" s="31">
        <f>IFERROR(G77*(1+J77)*(1-I77)*INDEX(tbl_fatores_emissao[Valor],MATCH(D77,tbl_fatores_emissao[ID_FE],0)),"")</f>
        <v>65.00269440000001</v>
      </c>
      <c r="M77" s="31">
        <f>IFERROR(G77*(1+J77)*I77*INDEX(tbl_fatores_emissao[Valor],MATCH("FE-15",tbl_fatores_emissao[ID_FE],0)),"")</f>
        <v>2.4873480000000003</v>
      </c>
      <c r="N77" s="31">
        <f>IFERROR(K77*INDEX(tbl_fatores_emissao[Valor],MATCH("FE-01",tbl_fatores_emissao[ID_FE],0)),"")</f>
        <v>17.534000000000002</v>
      </c>
      <c r="O77" s="31">
        <f t="shared" si="6"/>
        <v>85.024042400000013</v>
      </c>
      <c r="P77" s="31">
        <f t="shared" si="7"/>
        <v>85.024042400000013</v>
      </c>
      <c r="Q77" s="32">
        <f t="shared" si="8"/>
        <v>0.79377597788740273</v>
      </c>
    </row>
    <row r="78" spans="1:17" ht="18" customHeight="1" x14ac:dyDescent="0.3">
      <c r="A78" s="9" t="s">
        <v>467</v>
      </c>
      <c r="B78" s="9" t="s">
        <v>381</v>
      </c>
      <c r="C78" s="9" t="s">
        <v>409</v>
      </c>
      <c r="D78" s="9" t="s">
        <v>106</v>
      </c>
      <c r="E78" s="9" t="s">
        <v>383</v>
      </c>
      <c r="F78" s="26">
        <v>750</v>
      </c>
      <c r="G78" s="23">
        <v>40.5</v>
      </c>
      <c r="H78" s="9" t="s">
        <v>384</v>
      </c>
      <c r="I78" s="28">
        <v>2.5000000000000001E-2</v>
      </c>
      <c r="J78" s="24">
        <v>2.3599999999999999E-2</v>
      </c>
      <c r="K78" s="23">
        <v>159.4</v>
      </c>
      <c r="L78" s="31">
        <f>IFERROR(G78*(1+J78)*(1-I78)*INDEX(tbl_fatores_emissao[Valor],MATCH(D78,tbl_fatores_emissao[ID_FE],0)),"")</f>
        <v>64.671048000000013</v>
      </c>
      <c r="M78" s="31">
        <f>IFERROR(G78*(1+J78)*I78*INDEX(tbl_fatores_emissao[Valor],MATCH("FE-15",tbl_fatores_emissao[ID_FE],0)),"")</f>
        <v>3.1091850000000005</v>
      </c>
      <c r="N78" s="31">
        <f>IFERROR(K78*INDEX(tbl_fatores_emissao[Valor],MATCH("FE-01",tbl_fatores_emissao[ID_FE],0)),"")</f>
        <v>17.534000000000002</v>
      </c>
      <c r="O78" s="31">
        <f t="shared" si="6"/>
        <v>85.314233000000016</v>
      </c>
      <c r="P78" s="31">
        <f t="shared" si="7"/>
        <v>85.314233000000016</v>
      </c>
      <c r="Q78" s="32">
        <f t="shared" si="8"/>
        <v>0.7944774349668009</v>
      </c>
    </row>
    <row r="79" spans="1:17" ht="18" customHeight="1" x14ac:dyDescent="0.3">
      <c r="A79" s="9" t="s">
        <v>468</v>
      </c>
      <c r="B79" s="9" t="s">
        <v>381</v>
      </c>
      <c r="C79" s="9" t="s">
        <v>412</v>
      </c>
      <c r="D79" s="9" t="s">
        <v>116</v>
      </c>
      <c r="E79" s="9" t="s">
        <v>387</v>
      </c>
      <c r="F79" s="26">
        <v>750</v>
      </c>
      <c r="G79" s="23">
        <v>40.5</v>
      </c>
      <c r="H79" s="9" t="s">
        <v>384</v>
      </c>
      <c r="I79" s="28">
        <v>1.4999999999999999E-2</v>
      </c>
      <c r="J79" s="24">
        <v>2.3599999999999999E-2</v>
      </c>
      <c r="K79" s="23">
        <v>159.4</v>
      </c>
      <c r="L79" s="31">
        <f>IFERROR(G79*(1+J79)*(1-I79)*INDEX(tbl_fatores_emissao[Valor],MATCH(D79,tbl_fatores_emissao[ID_FE],0)),"")</f>
        <v>20.416981500000002</v>
      </c>
      <c r="M79" s="31">
        <f>IFERROR(G79*(1+J79)*I79*INDEX(tbl_fatores_emissao[Valor],MATCH("FE-15",tbl_fatores_emissao[ID_FE],0)),"")</f>
        <v>1.8655110000000001</v>
      </c>
      <c r="N79" s="31">
        <f>IFERROR(K79*INDEX(tbl_fatores_emissao[Valor],MATCH("FE-01",tbl_fatores_emissao[ID_FE],0)),"")</f>
        <v>17.534000000000002</v>
      </c>
      <c r="O79" s="31">
        <f t="shared" si="6"/>
        <v>39.81649250000001</v>
      </c>
      <c r="P79" s="31">
        <f t="shared" si="7"/>
        <v>39.81649250000001</v>
      </c>
      <c r="Q79" s="32">
        <f t="shared" si="8"/>
        <v>0.55962971876540857</v>
      </c>
    </row>
    <row r="80" spans="1:17" ht="18" customHeight="1" x14ac:dyDescent="0.3">
      <c r="A80" s="9" t="s">
        <v>469</v>
      </c>
      <c r="B80" s="9" t="s">
        <v>381</v>
      </c>
      <c r="C80" s="9" t="s">
        <v>415</v>
      </c>
      <c r="D80" s="9" t="s">
        <v>114</v>
      </c>
      <c r="E80" s="9" t="s">
        <v>383</v>
      </c>
      <c r="F80" s="26">
        <v>750</v>
      </c>
      <c r="G80" s="23">
        <v>40.5</v>
      </c>
      <c r="H80" s="9" t="s">
        <v>384</v>
      </c>
      <c r="I80" s="28">
        <v>0</v>
      </c>
      <c r="J80" s="24">
        <v>2.3599999999999999E-2</v>
      </c>
      <c r="K80" s="23">
        <v>159.4</v>
      </c>
      <c r="L80" s="31">
        <f>IFERROR(G80*(1+J80)*(1-I80)*INDEX(tbl_fatores_emissao[Valor],MATCH(D80,tbl_fatores_emissao[ID_FE],0)),"")</f>
        <v>82.911600000000007</v>
      </c>
      <c r="M80" s="31">
        <f>IFERROR(G80*(1+J80)*I80*INDEX(tbl_fatores_emissao[Valor],MATCH("FE-15",tbl_fatores_emissao[ID_FE],0)),"")</f>
        <v>0</v>
      </c>
      <c r="N80" s="31">
        <f>IFERROR(K80*INDEX(tbl_fatores_emissao[Valor],MATCH("FE-01",tbl_fatores_emissao[ID_FE],0)),"")</f>
        <v>17.534000000000002</v>
      </c>
      <c r="O80" s="31">
        <f t="shared" si="6"/>
        <v>100.44560000000001</v>
      </c>
      <c r="P80" s="31">
        <f t="shared" si="7"/>
        <v>100.44560000000001</v>
      </c>
      <c r="Q80" s="32">
        <f t="shared" si="8"/>
        <v>0.82543784894510064</v>
      </c>
    </row>
    <row r="81" spans="1:17" ht="18" customHeight="1" x14ac:dyDescent="0.3">
      <c r="A81" s="9" t="s">
        <v>470</v>
      </c>
      <c r="B81" s="9" t="s">
        <v>381</v>
      </c>
      <c r="C81" s="9" t="s">
        <v>390</v>
      </c>
      <c r="D81" s="9" t="s">
        <v>116</v>
      </c>
      <c r="E81" s="9" t="s">
        <v>387</v>
      </c>
      <c r="F81" s="26">
        <v>750</v>
      </c>
      <c r="G81" s="23">
        <v>40.5</v>
      </c>
      <c r="H81" s="9" t="s">
        <v>384</v>
      </c>
      <c r="I81" s="28">
        <v>0</v>
      </c>
      <c r="J81" s="24">
        <v>2.3599999999999999E-2</v>
      </c>
      <c r="K81" s="23">
        <v>159.4</v>
      </c>
      <c r="L81" s="31">
        <f>IFERROR(G81*(1+J81)*(1-I81)*INDEX(tbl_fatores_emissao[Valor],MATCH(D81,tbl_fatores_emissao[ID_FE],0)),"")</f>
        <v>20.727900000000002</v>
      </c>
      <c r="M81" s="31">
        <f>IFERROR(G81*(1+J81)*I81*INDEX(tbl_fatores_emissao[Valor],MATCH("FE-15",tbl_fatores_emissao[ID_FE],0)),"")</f>
        <v>0</v>
      </c>
      <c r="N81" s="31">
        <f>IFERROR(K81*INDEX(tbl_fatores_emissao[Valor],MATCH("FE-01",tbl_fatores_emissao[ID_FE],0)),"")</f>
        <v>17.534000000000002</v>
      </c>
      <c r="O81" s="31">
        <f t="shared" si="6"/>
        <v>38.261900000000004</v>
      </c>
      <c r="P81" s="31">
        <f t="shared" si="7"/>
        <v>38.261900000000004</v>
      </c>
      <c r="Q81" s="32">
        <f t="shared" si="8"/>
        <v>0.54173734184658884</v>
      </c>
    </row>
    <row r="82" spans="1:17" ht="18" customHeight="1" x14ac:dyDescent="0.3">
      <c r="A82" s="9" t="s">
        <v>471</v>
      </c>
      <c r="B82" s="9" t="s">
        <v>381</v>
      </c>
      <c r="C82" s="9" t="s">
        <v>390</v>
      </c>
      <c r="D82" s="9" t="s">
        <v>116</v>
      </c>
      <c r="E82" s="9" t="s">
        <v>387</v>
      </c>
      <c r="F82" s="26">
        <v>750</v>
      </c>
      <c r="G82" s="23">
        <v>40.5</v>
      </c>
      <c r="H82" s="9" t="s">
        <v>384</v>
      </c>
      <c r="I82" s="28">
        <v>0</v>
      </c>
      <c r="J82" s="24">
        <v>2.3599999999999999E-2</v>
      </c>
      <c r="K82" s="23">
        <v>159.4</v>
      </c>
      <c r="L82" s="31">
        <f>IFERROR(G82*(1+J82)*(1-I82)*INDEX(tbl_fatores_emissao[Valor],MATCH(D82,tbl_fatores_emissao[ID_FE],0)),"")</f>
        <v>20.727900000000002</v>
      </c>
      <c r="M82" s="31">
        <f>IFERROR(G82*(1+J82)*I82*INDEX(tbl_fatores_emissao[Valor],MATCH("FE-15",tbl_fatores_emissao[ID_FE],0)),"")</f>
        <v>0</v>
      </c>
      <c r="N82" s="31">
        <f>IFERROR(K82*INDEX(tbl_fatores_emissao[Valor],MATCH("FE-01",tbl_fatores_emissao[ID_FE],0)),"")</f>
        <v>17.534000000000002</v>
      </c>
      <c r="O82" s="31">
        <f t="shared" si="6"/>
        <v>38.261900000000004</v>
      </c>
      <c r="P82" s="31">
        <f t="shared" si="7"/>
        <v>38.261900000000004</v>
      </c>
      <c r="Q82" s="32">
        <f t="shared" si="8"/>
        <v>0.54173734184658884</v>
      </c>
    </row>
    <row r="83" spans="1:17" ht="18" customHeight="1" x14ac:dyDescent="0.3">
      <c r="A83" s="9" t="s">
        <v>472</v>
      </c>
      <c r="B83" s="9" t="s">
        <v>381</v>
      </c>
      <c r="C83" s="9" t="s">
        <v>390</v>
      </c>
      <c r="D83" s="9" t="s">
        <v>116</v>
      </c>
      <c r="E83" s="9" t="s">
        <v>387</v>
      </c>
      <c r="F83" s="26">
        <v>750</v>
      </c>
      <c r="G83" s="23">
        <v>40.5</v>
      </c>
      <c r="H83" s="9" t="s">
        <v>384</v>
      </c>
      <c r="I83" s="28">
        <v>0</v>
      </c>
      <c r="J83" s="24">
        <v>2.3599999999999999E-2</v>
      </c>
      <c r="K83" s="23">
        <v>159.4</v>
      </c>
      <c r="L83" s="31">
        <f>IFERROR(G83*(1+J83)*(1-I83)*INDEX(tbl_fatores_emissao[Valor],MATCH(D83,tbl_fatores_emissao[ID_FE],0)),"")</f>
        <v>20.727900000000002</v>
      </c>
      <c r="M83" s="31">
        <f>IFERROR(G83*(1+J83)*I83*INDEX(tbl_fatores_emissao[Valor],MATCH("FE-15",tbl_fatores_emissao[ID_FE],0)),"")</f>
        <v>0</v>
      </c>
      <c r="N83" s="31">
        <f>IFERROR(K83*INDEX(tbl_fatores_emissao[Valor],MATCH("FE-01",tbl_fatores_emissao[ID_FE],0)),"")</f>
        <v>17.534000000000002</v>
      </c>
      <c r="O83" s="31">
        <f t="shared" si="6"/>
        <v>38.261900000000004</v>
      </c>
      <c r="P83" s="31">
        <f t="shared" si="7"/>
        <v>38.261900000000004</v>
      </c>
      <c r="Q83" s="32">
        <f t="shared" si="8"/>
        <v>0.54173734184658884</v>
      </c>
    </row>
    <row r="84" spans="1:17" ht="18" customHeight="1" x14ac:dyDescent="0.3">
      <c r="A84" s="9" t="s">
        <v>473</v>
      </c>
      <c r="B84" s="9" t="s">
        <v>381</v>
      </c>
      <c r="C84" s="9" t="s">
        <v>382</v>
      </c>
      <c r="D84" s="9" t="s">
        <v>110</v>
      </c>
      <c r="E84" s="9" t="s">
        <v>383</v>
      </c>
      <c r="F84" s="26">
        <v>1000</v>
      </c>
      <c r="G84" s="23">
        <v>49.1</v>
      </c>
      <c r="H84" s="9" t="s">
        <v>384</v>
      </c>
      <c r="I84" s="28">
        <v>0.02</v>
      </c>
      <c r="J84" s="24">
        <v>2.3599999999999999E-2</v>
      </c>
      <c r="K84" s="23">
        <v>159.4</v>
      </c>
      <c r="L84" s="31">
        <f>IFERROR(G84*(1+J84)*(1-I84)*INDEX(tbl_fatores_emissao[Valor],MATCH(D84,tbl_fatores_emissao[ID_FE],0)),"")</f>
        <v>88.656452639999998</v>
      </c>
      <c r="M84" s="31">
        <f>IFERROR(G84*(1+J84)*I84*INDEX(tbl_fatores_emissao[Valor],MATCH("FE-15",tbl_fatores_emissao[ID_FE],0)),"")</f>
        <v>3.0155256000000001</v>
      </c>
      <c r="N84" s="31">
        <f>IFERROR(K84*INDEX(tbl_fatores_emissao[Valor],MATCH("FE-01",tbl_fatores_emissao[ID_FE],0)),"")</f>
        <v>17.534000000000002</v>
      </c>
      <c r="O84" s="31">
        <f t="shared" si="6"/>
        <v>109.20597824000001</v>
      </c>
      <c r="P84" s="31">
        <f t="shared" si="7"/>
        <v>109.20597824000001</v>
      </c>
      <c r="Q84" s="32">
        <f t="shared" si="8"/>
        <v>0.83944102435980339</v>
      </c>
    </row>
    <row r="85" spans="1:17" ht="18" customHeight="1" x14ac:dyDescent="0.3">
      <c r="A85" s="9" t="s">
        <v>474</v>
      </c>
      <c r="B85" s="9" t="s">
        <v>381</v>
      </c>
      <c r="C85" s="9" t="s">
        <v>382</v>
      </c>
      <c r="D85" s="9" t="s">
        <v>110</v>
      </c>
      <c r="E85" s="9" t="s">
        <v>383</v>
      </c>
      <c r="F85" s="26">
        <v>1000</v>
      </c>
      <c r="G85" s="23">
        <v>49.1</v>
      </c>
      <c r="H85" s="9" t="s">
        <v>384</v>
      </c>
      <c r="I85" s="28">
        <v>2.5000000000000001E-2</v>
      </c>
      <c r="J85" s="24">
        <v>2.3599999999999999E-2</v>
      </c>
      <c r="K85" s="23">
        <v>159.4</v>
      </c>
      <c r="L85" s="31">
        <f>IFERROR(G85*(1+J85)*(1-I85)*INDEX(tbl_fatores_emissao[Valor],MATCH(D85,tbl_fatores_emissao[ID_FE],0)),"")</f>
        <v>88.204123800000005</v>
      </c>
      <c r="M85" s="31">
        <f>IFERROR(G85*(1+J85)*I85*INDEX(tbl_fatores_emissao[Valor],MATCH("FE-15",tbl_fatores_emissao[ID_FE],0)),"")</f>
        <v>3.7694070000000002</v>
      </c>
      <c r="N85" s="31">
        <f>IFERROR(K85*INDEX(tbl_fatores_emissao[Valor],MATCH("FE-01",tbl_fatores_emissao[ID_FE],0)),"")</f>
        <v>17.534000000000002</v>
      </c>
      <c r="O85" s="31">
        <f t="shared" si="6"/>
        <v>109.50753080000001</v>
      </c>
      <c r="P85" s="31">
        <f t="shared" si="7"/>
        <v>109.50753080000001</v>
      </c>
      <c r="Q85" s="32">
        <f t="shared" si="8"/>
        <v>0.83988315806313474</v>
      </c>
    </row>
    <row r="86" spans="1:17" ht="18" customHeight="1" x14ac:dyDescent="0.3">
      <c r="A86" s="9" t="s">
        <v>475</v>
      </c>
      <c r="B86" s="9" t="s">
        <v>381</v>
      </c>
      <c r="C86" s="9" t="s">
        <v>386</v>
      </c>
      <c r="D86" s="9" t="s">
        <v>116</v>
      </c>
      <c r="E86" s="9" t="s">
        <v>387</v>
      </c>
      <c r="F86" s="26">
        <v>1000</v>
      </c>
      <c r="G86" s="23">
        <v>49.1</v>
      </c>
      <c r="H86" s="9" t="s">
        <v>384</v>
      </c>
      <c r="I86" s="28">
        <v>0.02</v>
      </c>
      <c r="J86" s="24">
        <v>2.3599999999999999E-2</v>
      </c>
      <c r="K86" s="23">
        <v>159.4</v>
      </c>
      <c r="L86" s="31">
        <f>IFERROR(G86*(1+J86)*(1-I86)*INDEX(tbl_fatores_emissao[Valor],MATCH(D86,tbl_fatores_emissao[ID_FE],0)),"")</f>
        <v>24.626792399999999</v>
      </c>
      <c r="M86" s="31">
        <f>IFERROR(G86*(1+J86)*I86*INDEX(tbl_fatores_emissao[Valor],MATCH("FE-15",tbl_fatores_emissao[ID_FE],0)),"")</f>
        <v>3.0155256000000001</v>
      </c>
      <c r="N86" s="31">
        <f>IFERROR(K86*INDEX(tbl_fatores_emissao[Valor],MATCH("FE-01",tbl_fatores_emissao[ID_FE],0)),"")</f>
        <v>17.534000000000002</v>
      </c>
      <c r="O86" s="31">
        <f t="shared" si="6"/>
        <v>45.176318000000002</v>
      </c>
      <c r="P86" s="31">
        <f t="shared" si="7"/>
        <v>45.176318000000002</v>
      </c>
      <c r="Q86" s="32">
        <f t="shared" si="8"/>
        <v>0.61187629323841752</v>
      </c>
    </row>
    <row r="87" spans="1:17" ht="18" customHeight="1" x14ac:dyDescent="0.3">
      <c r="A87" s="9" t="s">
        <v>476</v>
      </c>
      <c r="B87" s="9" t="s">
        <v>381</v>
      </c>
      <c r="C87" s="9" t="s">
        <v>428</v>
      </c>
      <c r="D87" s="9" t="s">
        <v>110</v>
      </c>
      <c r="E87" s="9" t="s">
        <v>383</v>
      </c>
      <c r="F87" s="26">
        <v>1000</v>
      </c>
      <c r="G87" s="23">
        <v>49.1</v>
      </c>
      <c r="H87" s="9" t="s">
        <v>384</v>
      </c>
      <c r="I87" s="28">
        <v>0.02</v>
      </c>
      <c r="J87" s="24">
        <v>2.3599999999999999E-2</v>
      </c>
      <c r="K87" s="23">
        <v>159.4</v>
      </c>
      <c r="L87" s="31">
        <f>IFERROR(G87*(1+J87)*(1-I87)*INDEX(tbl_fatores_emissao[Valor],MATCH(D87,tbl_fatores_emissao[ID_FE],0)),"")</f>
        <v>88.656452639999998</v>
      </c>
      <c r="M87" s="31">
        <f>IFERROR(G87*(1+J87)*I87*INDEX(tbl_fatores_emissao[Valor],MATCH("FE-15",tbl_fatores_emissao[ID_FE],0)),"")</f>
        <v>3.0155256000000001</v>
      </c>
      <c r="N87" s="31">
        <f>IFERROR(K87*INDEX(tbl_fatores_emissao[Valor],MATCH("FE-01",tbl_fatores_emissao[ID_FE],0)),"")</f>
        <v>17.534000000000002</v>
      </c>
      <c r="O87" s="31">
        <f t="shared" si="6"/>
        <v>109.20597824000001</v>
      </c>
      <c r="P87" s="31">
        <f t="shared" si="7"/>
        <v>109.20597824000001</v>
      </c>
      <c r="Q87" s="32">
        <f t="shared" si="8"/>
        <v>0.83944102435980339</v>
      </c>
    </row>
    <row r="88" spans="1:17" ht="18" customHeight="1" x14ac:dyDescent="0.3">
      <c r="A88" s="9" t="s">
        <v>477</v>
      </c>
      <c r="B88" s="9" t="s">
        <v>381</v>
      </c>
      <c r="C88" s="9" t="s">
        <v>402</v>
      </c>
      <c r="D88" s="9" t="s">
        <v>112</v>
      </c>
      <c r="E88" s="9" t="s">
        <v>383</v>
      </c>
      <c r="F88" s="26">
        <v>1000</v>
      </c>
      <c r="G88" s="23">
        <v>49.1</v>
      </c>
      <c r="H88" s="9" t="s">
        <v>384</v>
      </c>
      <c r="I88" s="28">
        <v>0</v>
      </c>
      <c r="J88" s="24">
        <v>2.3599999999999999E-2</v>
      </c>
      <c r="K88" s="23">
        <v>159.4</v>
      </c>
      <c r="L88" s="31">
        <f>IFERROR(G88*(1+J88)*(1-I88)*INDEX(tbl_fatores_emissao[Valor],MATCH(D88,tbl_fatores_emissao[ID_FE],0)),"")</f>
        <v>110.56927200000001</v>
      </c>
      <c r="M88" s="31">
        <f>IFERROR(G88*(1+J88)*I88*INDEX(tbl_fatores_emissao[Valor],MATCH("FE-15",tbl_fatores_emissao[ID_FE],0)),"")</f>
        <v>0</v>
      </c>
      <c r="N88" s="31">
        <f>IFERROR(K88*INDEX(tbl_fatores_emissao[Valor],MATCH("FE-01",tbl_fatores_emissao[ID_FE],0)),"")</f>
        <v>17.534000000000002</v>
      </c>
      <c r="O88" s="31">
        <f t="shared" si="6"/>
        <v>128.103272</v>
      </c>
      <c r="P88" s="31">
        <f t="shared" si="7"/>
        <v>128.103272</v>
      </c>
      <c r="Q88" s="32">
        <f t="shared" si="8"/>
        <v>0.86312605660845265</v>
      </c>
    </row>
    <row r="89" spans="1:17" ht="18" customHeight="1" x14ac:dyDescent="0.3">
      <c r="A89" s="9" t="s">
        <v>478</v>
      </c>
      <c r="B89" s="9" t="s">
        <v>381</v>
      </c>
      <c r="C89" s="9" t="s">
        <v>402</v>
      </c>
      <c r="D89" s="9" t="s">
        <v>112</v>
      </c>
      <c r="E89" s="9" t="s">
        <v>383</v>
      </c>
      <c r="F89" s="26">
        <v>1000</v>
      </c>
      <c r="G89" s="23">
        <v>49.1</v>
      </c>
      <c r="H89" s="9" t="s">
        <v>384</v>
      </c>
      <c r="I89" s="28">
        <v>0</v>
      </c>
      <c r="J89" s="24">
        <v>2.3599999999999999E-2</v>
      </c>
      <c r="K89" s="23">
        <v>159.4</v>
      </c>
      <c r="L89" s="31">
        <f>IFERROR(G89*(1+J89)*(1-I89)*INDEX(tbl_fatores_emissao[Valor],MATCH(D89,tbl_fatores_emissao[ID_FE],0)),"")</f>
        <v>110.56927200000001</v>
      </c>
      <c r="M89" s="31">
        <f>IFERROR(G89*(1+J89)*I89*INDEX(tbl_fatores_emissao[Valor],MATCH("FE-15",tbl_fatores_emissao[ID_FE],0)),"")</f>
        <v>0</v>
      </c>
      <c r="N89" s="31">
        <f>IFERROR(K89*INDEX(tbl_fatores_emissao[Valor],MATCH("FE-01",tbl_fatores_emissao[ID_FE],0)),"")</f>
        <v>17.534000000000002</v>
      </c>
      <c r="O89" s="31">
        <f t="shared" si="6"/>
        <v>128.103272</v>
      </c>
      <c r="P89" s="31">
        <f t="shared" si="7"/>
        <v>128.103272</v>
      </c>
      <c r="Q89" s="32">
        <f t="shared" si="8"/>
        <v>0.86312605660845265</v>
      </c>
    </row>
    <row r="90" spans="1:17" ht="18" customHeight="1" x14ac:dyDescent="0.3">
      <c r="A90" s="9" t="s">
        <v>479</v>
      </c>
      <c r="B90" s="9" t="s">
        <v>381</v>
      </c>
      <c r="C90" s="9" t="s">
        <v>402</v>
      </c>
      <c r="D90" s="9" t="s">
        <v>112</v>
      </c>
      <c r="E90" s="9" t="s">
        <v>383</v>
      </c>
      <c r="F90" s="26">
        <v>1000</v>
      </c>
      <c r="G90" s="23">
        <v>49.1</v>
      </c>
      <c r="H90" s="9" t="s">
        <v>384</v>
      </c>
      <c r="I90" s="28">
        <v>0</v>
      </c>
      <c r="J90" s="24">
        <v>2.3599999999999999E-2</v>
      </c>
      <c r="K90" s="23">
        <v>159.4</v>
      </c>
      <c r="L90" s="31">
        <f>IFERROR(G90*(1+J90)*(1-I90)*INDEX(tbl_fatores_emissao[Valor],MATCH(D90,tbl_fatores_emissao[ID_FE],0)),"")</f>
        <v>110.56927200000001</v>
      </c>
      <c r="M90" s="31">
        <f>IFERROR(G90*(1+J90)*I90*INDEX(tbl_fatores_emissao[Valor],MATCH("FE-15",tbl_fatores_emissao[ID_FE],0)),"")</f>
        <v>0</v>
      </c>
      <c r="N90" s="31">
        <f>IFERROR(K90*INDEX(tbl_fatores_emissao[Valor],MATCH("FE-01",tbl_fatores_emissao[ID_FE],0)),"")</f>
        <v>17.534000000000002</v>
      </c>
      <c r="O90" s="31">
        <f t="shared" si="6"/>
        <v>128.103272</v>
      </c>
      <c r="P90" s="31">
        <f t="shared" si="7"/>
        <v>128.103272</v>
      </c>
      <c r="Q90" s="32">
        <f t="shared" si="8"/>
        <v>0.86312605660845265</v>
      </c>
    </row>
    <row r="91" spans="1:17" ht="18" customHeight="1" x14ac:dyDescent="0.3">
      <c r="A91" s="9" t="s">
        <v>480</v>
      </c>
      <c r="B91" s="9" t="s">
        <v>381</v>
      </c>
      <c r="C91" s="9" t="s">
        <v>405</v>
      </c>
      <c r="D91" s="9" t="s">
        <v>112</v>
      </c>
      <c r="E91" s="9" t="s">
        <v>383</v>
      </c>
      <c r="F91" s="26">
        <v>1000</v>
      </c>
      <c r="G91" s="23">
        <v>49.1</v>
      </c>
      <c r="H91" s="9" t="s">
        <v>384</v>
      </c>
      <c r="I91" s="28">
        <v>0</v>
      </c>
      <c r="J91" s="24">
        <v>2.3599999999999999E-2</v>
      </c>
      <c r="K91" s="23">
        <v>159.4</v>
      </c>
      <c r="L91" s="31">
        <f>IFERROR(G91*(1+J91)*(1-I91)*INDEX(tbl_fatores_emissao[Valor],MATCH(D91,tbl_fatores_emissao[ID_FE],0)),"")</f>
        <v>110.56927200000001</v>
      </c>
      <c r="M91" s="31">
        <f>IFERROR(G91*(1+J91)*I91*INDEX(tbl_fatores_emissao[Valor],MATCH("FE-15",tbl_fatores_emissao[ID_FE],0)),"")</f>
        <v>0</v>
      </c>
      <c r="N91" s="31">
        <f>IFERROR(K91*INDEX(tbl_fatores_emissao[Valor],MATCH("FE-01",tbl_fatores_emissao[ID_FE],0)),"")</f>
        <v>17.534000000000002</v>
      </c>
      <c r="O91" s="31">
        <f t="shared" si="6"/>
        <v>128.103272</v>
      </c>
      <c r="P91" s="31">
        <f t="shared" si="7"/>
        <v>128.103272</v>
      </c>
      <c r="Q91" s="32">
        <f t="shared" si="8"/>
        <v>0.86312605660845265</v>
      </c>
    </row>
    <row r="92" spans="1:17" ht="18" customHeight="1" x14ac:dyDescent="0.3">
      <c r="A92" s="9" t="s">
        <v>481</v>
      </c>
      <c r="B92" s="9" t="s">
        <v>381</v>
      </c>
      <c r="C92" s="9" t="s">
        <v>409</v>
      </c>
      <c r="D92" s="9" t="s">
        <v>106</v>
      </c>
      <c r="E92" s="9" t="s">
        <v>383</v>
      </c>
      <c r="F92" s="26">
        <v>1000</v>
      </c>
      <c r="G92" s="23">
        <v>49.1</v>
      </c>
      <c r="H92" s="9" t="s">
        <v>384</v>
      </c>
      <c r="I92" s="28">
        <v>2.5000000000000001E-2</v>
      </c>
      <c r="J92" s="24">
        <v>2.3599999999999999E-2</v>
      </c>
      <c r="K92" s="23">
        <v>159.4</v>
      </c>
      <c r="L92" s="31">
        <f>IFERROR(G92*(1+J92)*(1-I92)*INDEX(tbl_fatores_emissao[Valor],MATCH(D92,tbl_fatores_emissao[ID_FE],0)),"")</f>
        <v>78.403665600000011</v>
      </c>
      <c r="M92" s="31">
        <f>IFERROR(G92*(1+J92)*I92*INDEX(tbl_fatores_emissao[Valor],MATCH("FE-15",tbl_fatores_emissao[ID_FE],0)),"")</f>
        <v>3.7694070000000002</v>
      </c>
      <c r="N92" s="31">
        <f>IFERROR(K92*INDEX(tbl_fatores_emissao[Valor],MATCH("FE-01",tbl_fatores_emissao[ID_FE],0)),"")</f>
        <v>17.534000000000002</v>
      </c>
      <c r="O92" s="31">
        <f t="shared" si="6"/>
        <v>99.707072600000018</v>
      </c>
      <c r="P92" s="31">
        <f t="shared" si="7"/>
        <v>99.707072600000018</v>
      </c>
      <c r="Q92" s="32">
        <f t="shared" si="8"/>
        <v>0.82414487214621124</v>
      </c>
    </row>
    <row r="93" spans="1:17" ht="18" customHeight="1" x14ac:dyDescent="0.3">
      <c r="A93" s="9" t="s">
        <v>482</v>
      </c>
      <c r="B93" s="9" t="s">
        <v>381</v>
      </c>
      <c r="C93" s="9" t="s">
        <v>412</v>
      </c>
      <c r="D93" s="9" t="s">
        <v>116</v>
      </c>
      <c r="E93" s="9" t="s">
        <v>387</v>
      </c>
      <c r="F93" s="26">
        <v>1000</v>
      </c>
      <c r="G93" s="23">
        <v>49.1</v>
      </c>
      <c r="H93" s="9" t="s">
        <v>384</v>
      </c>
      <c r="I93" s="28">
        <v>0.02</v>
      </c>
      <c r="J93" s="24">
        <v>2.3599999999999999E-2</v>
      </c>
      <c r="K93" s="23">
        <v>159.4</v>
      </c>
      <c r="L93" s="31">
        <f>IFERROR(G93*(1+J93)*(1-I93)*INDEX(tbl_fatores_emissao[Valor],MATCH(D93,tbl_fatores_emissao[ID_FE],0)),"")</f>
        <v>24.626792399999999</v>
      </c>
      <c r="M93" s="31">
        <f>IFERROR(G93*(1+J93)*I93*INDEX(tbl_fatores_emissao[Valor],MATCH("FE-15",tbl_fatores_emissao[ID_FE],0)),"")</f>
        <v>3.0155256000000001</v>
      </c>
      <c r="N93" s="31">
        <f>IFERROR(K93*INDEX(tbl_fatores_emissao[Valor],MATCH("FE-01",tbl_fatores_emissao[ID_FE],0)),"")</f>
        <v>17.534000000000002</v>
      </c>
      <c r="O93" s="31">
        <f t="shared" si="6"/>
        <v>45.176318000000002</v>
      </c>
      <c r="P93" s="31">
        <f t="shared" si="7"/>
        <v>45.176318000000002</v>
      </c>
      <c r="Q93" s="32">
        <f t="shared" si="8"/>
        <v>0.61187629323841752</v>
      </c>
    </row>
    <row r="94" spans="1:17" ht="18" customHeight="1" x14ac:dyDescent="0.3">
      <c r="A94" s="9" t="s">
        <v>483</v>
      </c>
      <c r="B94" s="9" t="s">
        <v>381</v>
      </c>
      <c r="C94" s="9" t="s">
        <v>415</v>
      </c>
      <c r="D94" s="9" t="s">
        <v>114</v>
      </c>
      <c r="E94" s="9" t="s">
        <v>383</v>
      </c>
      <c r="F94" s="26">
        <v>1000</v>
      </c>
      <c r="G94" s="23">
        <v>49.1</v>
      </c>
      <c r="H94" s="9" t="s">
        <v>384</v>
      </c>
      <c r="I94" s="28">
        <v>0</v>
      </c>
      <c r="J94" s="24">
        <v>2.3599999999999999E-2</v>
      </c>
      <c r="K94" s="23">
        <v>159.4</v>
      </c>
      <c r="L94" s="31">
        <f>IFERROR(G94*(1+J94)*(1-I94)*INDEX(tbl_fatores_emissao[Valor],MATCH(D94,tbl_fatores_emissao[ID_FE],0)),"")</f>
        <v>100.51752</v>
      </c>
      <c r="M94" s="31">
        <f>IFERROR(G94*(1+J94)*I94*INDEX(tbl_fatores_emissao[Valor],MATCH("FE-15",tbl_fatores_emissao[ID_FE],0)),"")</f>
        <v>0</v>
      </c>
      <c r="N94" s="31">
        <f>IFERROR(K94*INDEX(tbl_fatores_emissao[Valor],MATCH("FE-01",tbl_fatores_emissao[ID_FE],0)),"")</f>
        <v>17.534000000000002</v>
      </c>
      <c r="O94" s="31">
        <f t="shared" si="6"/>
        <v>118.05152000000001</v>
      </c>
      <c r="P94" s="31">
        <f t="shared" si="7"/>
        <v>118.05152000000001</v>
      </c>
      <c r="Q94" s="32">
        <f t="shared" si="8"/>
        <v>0.85147162865840265</v>
      </c>
    </row>
    <row r="95" spans="1:17" ht="18" customHeight="1" x14ac:dyDescent="0.3">
      <c r="A95" s="9" t="s">
        <v>484</v>
      </c>
      <c r="B95" s="9" t="s">
        <v>381</v>
      </c>
      <c r="C95" s="9" t="s">
        <v>390</v>
      </c>
      <c r="D95" s="9" t="s">
        <v>116</v>
      </c>
      <c r="E95" s="9" t="s">
        <v>387</v>
      </c>
      <c r="F95" s="26">
        <v>1000</v>
      </c>
      <c r="G95" s="23">
        <v>49.1</v>
      </c>
      <c r="H95" s="9" t="s">
        <v>384</v>
      </c>
      <c r="I95" s="28">
        <v>0</v>
      </c>
      <c r="J95" s="24">
        <v>2.3599999999999999E-2</v>
      </c>
      <c r="K95" s="23">
        <v>159.4</v>
      </c>
      <c r="L95" s="31">
        <f>IFERROR(G95*(1+J95)*(1-I95)*INDEX(tbl_fatores_emissao[Valor],MATCH(D95,tbl_fatores_emissao[ID_FE],0)),"")</f>
        <v>25.129380000000001</v>
      </c>
      <c r="M95" s="31">
        <f>IFERROR(G95*(1+J95)*I95*INDEX(tbl_fatores_emissao[Valor],MATCH("FE-15",tbl_fatores_emissao[ID_FE],0)),"")</f>
        <v>0</v>
      </c>
      <c r="N95" s="31">
        <f>IFERROR(K95*INDEX(tbl_fatores_emissao[Valor],MATCH("FE-01",tbl_fatores_emissao[ID_FE],0)),"")</f>
        <v>17.534000000000002</v>
      </c>
      <c r="O95" s="31">
        <f t="shared" si="6"/>
        <v>42.663380000000004</v>
      </c>
      <c r="P95" s="31">
        <f t="shared" si="7"/>
        <v>42.663380000000004</v>
      </c>
      <c r="Q95" s="32">
        <f t="shared" si="8"/>
        <v>0.58901521632838272</v>
      </c>
    </row>
    <row r="96" spans="1:17" ht="18" customHeight="1" x14ac:dyDescent="0.3">
      <c r="A96" s="9" t="s">
        <v>485</v>
      </c>
      <c r="B96" s="9" t="s">
        <v>381</v>
      </c>
      <c r="C96" s="9" t="s">
        <v>390</v>
      </c>
      <c r="D96" s="9" t="s">
        <v>116</v>
      </c>
      <c r="E96" s="9" t="s">
        <v>387</v>
      </c>
      <c r="F96" s="26">
        <v>1000</v>
      </c>
      <c r="G96" s="23">
        <v>49.1</v>
      </c>
      <c r="H96" s="9" t="s">
        <v>384</v>
      </c>
      <c r="I96" s="28">
        <v>0</v>
      </c>
      <c r="J96" s="24">
        <v>2.3599999999999999E-2</v>
      </c>
      <c r="K96" s="23">
        <v>159.4</v>
      </c>
      <c r="L96" s="31">
        <f>IFERROR(G96*(1+J96)*(1-I96)*INDEX(tbl_fatores_emissao[Valor],MATCH(D96,tbl_fatores_emissao[ID_FE],0)),"")</f>
        <v>25.129380000000001</v>
      </c>
      <c r="M96" s="31">
        <f>IFERROR(G96*(1+J96)*I96*INDEX(tbl_fatores_emissao[Valor],MATCH("FE-15",tbl_fatores_emissao[ID_FE],0)),"")</f>
        <v>0</v>
      </c>
      <c r="N96" s="31">
        <f>IFERROR(K96*INDEX(tbl_fatores_emissao[Valor],MATCH("FE-01",tbl_fatores_emissao[ID_FE],0)),"")</f>
        <v>17.534000000000002</v>
      </c>
      <c r="O96" s="31">
        <f t="shared" si="6"/>
        <v>42.663380000000004</v>
      </c>
      <c r="P96" s="31">
        <f t="shared" si="7"/>
        <v>42.663380000000004</v>
      </c>
      <c r="Q96" s="32">
        <f t="shared" si="8"/>
        <v>0.58901521632838272</v>
      </c>
    </row>
    <row r="97" spans="1:17" ht="18" customHeight="1" x14ac:dyDescent="0.3">
      <c r="A97" s="9" t="s">
        <v>486</v>
      </c>
      <c r="B97" s="9" t="s">
        <v>381</v>
      </c>
      <c r="C97" s="9" t="s">
        <v>382</v>
      </c>
      <c r="D97" s="9" t="s">
        <v>110</v>
      </c>
      <c r="E97" s="9" t="s">
        <v>383</v>
      </c>
      <c r="F97" s="26">
        <v>4000</v>
      </c>
      <c r="G97" s="23">
        <v>123.7</v>
      </c>
      <c r="H97" s="9" t="s">
        <v>384</v>
      </c>
      <c r="I97" s="28">
        <v>0.02</v>
      </c>
      <c r="J97" s="24">
        <v>2.3599999999999999E-2</v>
      </c>
      <c r="K97" s="23">
        <v>159.4</v>
      </c>
      <c r="L97" s="31">
        <f>IFERROR(G97*(1+J97)*(1-I97)*INDEX(tbl_fatores_emissao[Valor],MATCH(D97,tbl_fatores_emissao[ID_FE],0)),"")</f>
        <v>223.35648048000002</v>
      </c>
      <c r="M97" s="31">
        <f>IFERROR(G97*(1+J97)*I97*INDEX(tbl_fatores_emissao[Valor],MATCH("FE-15",tbl_fatores_emissao[ID_FE],0)),"")</f>
        <v>7.5971592000000019</v>
      </c>
      <c r="N97" s="31">
        <f>IFERROR(K97*INDEX(tbl_fatores_emissao[Valor],MATCH("FE-01",tbl_fatores_emissao[ID_FE],0)),"")</f>
        <v>17.534000000000002</v>
      </c>
      <c r="O97" s="31">
        <f t="shared" si="6"/>
        <v>248.48763968</v>
      </c>
      <c r="P97" s="31">
        <f t="shared" si="7"/>
        <v>248.48763968</v>
      </c>
      <c r="Q97" s="32">
        <f t="shared" si="8"/>
        <v>0.9294371340861054</v>
      </c>
    </row>
    <row r="98" spans="1:17" ht="18" customHeight="1" x14ac:dyDescent="0.3">
      <c r="A98" s="9" t="s">
        <v>487</v>
      </c>
      <c r="B98" s="9" t="s">
        <v>381</v>
      </c>
      <c r="C98" s="9" t="s">
        <v>382</v>
      </c>
      <c r="D98" s="9" t="s">
        <v>110</v>
      </c>
      <c r="E98" s="9" t="s">
        <v>383</v>
      </c>
      <c r="F98" s="26">
        <v>5000</v>
      </c>
      <c r="G98" s="23">
        <v>143.5</v>
      </c>
      <c r="H98" s="9" t="s">
        <v>384</v>
      </c>
      <c r="I98" s="28">
        <v>0.02</v>
      </c>
      <c r="J98" s="24">
        <v>2.3599999999999999E-2</v>
      </c>
      <c r="K98" s="23">
        <v>159.4</v>
      </c>
      <c r="L98" s="31">
        <f>IFERROR(G98*(1+J98)*(1-I98)*INDEX(tbl_fatores_emissao[Valor],MATCH(D98,tbl_fatores_emissao[ID_FE],0)),"")</f>
        <v>259.10796240000002</v>
      </c>
      <c r="M98" s="31">
        <f>IFERROR(G98*(1+J98)*I98*INDEX(tbl_fatores_emissao[Valor],MATCH("FE-15",tbl_fatores_emissao[ID_FE],0)),"")</f>
        <v>8.8131960000000014</v>
      </c>
      <c r="N98" s="31">
        <f>IFERROR(K98*INDEX(tbl_fatores_emissao[Valor],MATCH("FE-01",tbl_fatores_emissao[ID_FE],0)),"")</f>
        <v>17.534000000000002</v>
      </c>
      <c r="O98" s="31">
        <f t="shared" si="6"/>
        <v>285.45515840000002</v>
      </c>
      <c r="P98" s="31">
        <f t="shared" si="7"/>
        <v>285.45515840000002</v>
      </c>
      <c r="Q98" s="32">
        <f t="shared" si="8"/>
        <v>0.9385752911305596</v>
      </c>
    </row>
    <row r="99" spans="1:17" ht="18" customHeight="1" x14ac:dyDescent="0.3">
      <c r="A99" s="9" t="s">
        <v>488</v>
      </c>
      <c r="B99" s="9" t="s">
        <v>381</v>
      </c>
      <c r="C99" s="9" t="s">
        <v>382</v>
      </c>
      <c r="D99" s="9" t="s">
        <v>110</v>
      </c>
      <c r="E99" s="9" t="s">
        <v>383</v>
      </c>
      <c r="F99" s="26">
        <v>5000</v>
      </c>
      <c r="G99" s="23">
        <v>143.5</v>
      </c>
      <c r="H99" s="9" t="s">
        <v>384</v>
      </c>
      <c r="I99" s="28">
        <v>0.02</v>
      </c>
      <c r="J99" s="24">
        <v>2.3599999999999999E-2</v>
      </c>
      <c r="K99" s="23">
        <v>159.4</v>
      </c>
      <c r="L99" s="31">
        <f>IFERROR(G99*(1+J99)*(1-I99)*INDEX(tbl_fatores_emissao[Valor],MATCH(D99,tbl_fatores_emissao[ID_FE],0)),"")</f>
        <v>259.10796240000002</v>
      </c>
      <c r="M99" s="31">
        <f>IFERROR(G99*(1+J99)*I99*INDEX(tbl_fatores_emissao[Valor],MATCH("FE-15",tbl_fatores_emissao[ID_FE],0)),"")</f>
        <v>8.8131960000000014</v>
      </c>
      <c r="N99" s="31">
        <f>IFERROR(K99*INDEX(tbl_fatores_emissao[Valor],MATCH("FE-01",tbl_fatores_emissao[ID_FE],0)),"")</f>
        <v>17.534000000000002</v>
      </c>
      <c r="O99" s="31">
        <f t="shared" si="6"/>
        <v>285.45515840000002</v>
      </c>
      <c r="P99" s="31">
        <f t="shared" si="7"/>
        <v>285.45515840000002</v>
      </c>
      <c r="Q99" s="32">
        <f t="shared" si="8"/>
        <v>0.9385752911305596</v>
      </c>
    </row>
    <row r="100" spans="1:17" ht="18" customHeight="1" x14ac:dyDescent="0.3">
      <c r="A100" s="9" t="s">
        <v>489</v>
      </c>
      <c r="B100" s="9" t="s">
        <v>381</v>
      </c>
      <c r="C100" s="9" t="s">
        <v>428</v>
      </c>
      <c r="D100" s="9" t="s">
        <v>110</v>
      </c>
      <c r="E100" s="9" t="s">
        <v>383</v>
      </c>
      <c r="F100" s="26">
        <v>5000</v>
      </c>
      <c r="G100" s="23">
        <v>143.5</v>
      </c>
      <c r="H100" s="9" t="s">
        <v>384</v>
      </c>
      <c r="I100" s="28">
        <v>0.02</v>
      </c>
      <c r="J100" s="24">
        <v>2.3599999999999999E-2</v>
      </c>
      <c r="K100" s="23">
        <v>159.4</v>
      </c>
      <c r="L100" s="31">
        <f>IFERROR(G100*(1+J100)*(1-I100)*INDEX(tbl_fatores_emissao[Valor],MATCH(D100,tbl_fatores_emissao[ID_FE],0)),"")</f>
        <v>259.10796240000002</v>
      </c>
      <c r="M100" s="31">
        <f>IFERROR(G100*(1+J100)*I100*INDEX(tbl_fatores_emissao[Valor],MATCH("FE-15",tbl_fatores_emissao[ID_FE],0)),"")</f>
        <v>8.8131960000000014</v>
      </c>
      <c r="N100" s="31">
        <f>IFERROR(K100*INDEX(tbl_fatores_emissao[Valor],MATCH("FE-01",tbl_fatores_emissao[ID_FE],0)),"")</f>
        <v>17.534000000000002</v>
      </c>
      <c r="O100" s="31">
        <f t="shared" si="6"/>
        <v>285.45515840000002</v>
      </c>
      <c r="P100" s="31">
        <f t="shared" si="7"/>
        <v>285.45515840000002</v>
      </c>
      <c r="Q100" s="32">
        <f t="shared" si="8"/>
        <v>0.9385752911305596</v>
      </c>
    </row>
    <row r="101" spans="1:17" ht="18" customHeight="1" x14ac:dyDescent="0.3">
      <c r="A101" s="9" t="s">
        <v>490</v>
      </c>
      <c r="B101" s="9" t="s">
        <v>381</v>
      </c>
      <c r="C101" s="9" t="s">
        <v>390</v>
      </c>
      <c r="D101" s="9" t="s">
        <v>116</v>
      </c>
      <c r="E101" s="9" t="s">
        <v>387</v>
      </c>
      <c r="F101" s="26">
        <v>330</v>
      </c>
      <c r="G101" s="23">
        <v>23.4</v>
      </c>
      <c r="H101" s="9" t="s">
        <v>384</v>
      </c>
      <c r="I101" s="28">
        <v>0</v>
      </c>
      <c r="J101" s="24">
        <v>2.3599999999999999E-2</v>
      </c>
      <c r="K101" s="23">
        <v>159.4</v>
      </c>
      <c r="L101" s="31">
        <f>IFERROR(G101*(1+J101)*(1-I101)*INDEX(tbl_fatores_emissao[Valor],MATCH(D101,tbl_fatores_emissao[ID_FE],0)),"")</f>
        <v>11.97612</v>
      </c>
      <c r="M101" s="31">
        <f>IFERROR(G101*(1+J101)*I101*INDEX(tbl_fatores_emissao[Valor],MATCH("FE-15",tbl_fatores_emissao[ID_FE],0)),"")</f>
        <v>0</v>
      </c>
      <c r="N101" s="31">
        <f>IFERROR(K101*INDEX(tbl_fatores_emissao[Valor],MATCH("FE-01",tbl_fatores_emissao[ID_FE],0)),"")</f>
        <v>17.534000000000002</v>
      </c>
      <c r="O101" s="31">
        <f t="shared" ref="O101:O132" si="9">IFERROR(L101+M101+N101,"")</f>
        <v>29.510120000000001</v>
      </c>
      <c r="P101" s="31">
        <f t="shared" ref="P101:P132" si="10">IFERROR(O101,"")</f>
        <v>29.510120000000001</v>
      </c>
      <c r="Q101" s="32">
        <f t="shared" ref="Q101:Q132" si="11">IFERROR((L101+M101)/O101,"")</f>
        <v>0.40583094884060111</v>
      </c>
    </row>
    <row r="102" spans="1:17" ht="18" customHeight="1" x14ac:dyDescent="0.3">
      <c r="A102" s="9" t="s">
        <v>491</v>
      </c>
      <c r="B102" s="9" t="s">
        <v>381</v>
      </c>
      <c r="C102" s="9" t="s">
        <v>390</v>
      </c>
      <c r="D102" s="9" t="s">
        <v>116</v>
      </c>
      <c r="E102" s="9" t="s">
        <v>387</v>
      </c>
      <c r="F102" s="26">
        <v>330</v>
      </c>
      <c r="G102" s="23">
        <v>23.4</v>
      </c>
      <c r="H102" s="9" t="s">
        <v>384</v>
      </c>
      <c r="I102" s="28">
        <v>0</v>
      </c>
      <c r="J102" s="24">
        <v>2.3599999999999999E-2</v>
      </c>
      <c r="K102" s="23">
        <v>159.4</v>
      </c>
      <c r="L102" s="31">
        <f>IFERROR(G102*(1+J102)*(1-I102)*INDEX(tbl_fatores_emissao[Valor],MATCH(D102,tbl_fatores_emissao[ID_FE],0)),"")</f>
        <v>11.97612</v>
      </c>
      <c r="M102" s="31">
        <f>IFERROR(G102*(1+J102)*I102*INDEX(tbl_fatores_emissao[Valor],MATCH("FE-15",tbl_fatores_emissao[ID_FE],0)),"")</f>
        <v>0</v>
      </c>
      <c r="N102" s="31">
        <f>IFERROR(K102*INDEX(tbl_fatores_emissao[Valor],MATCH("FE-01",tbl_fatores_emissao[ID_FE],0)),"")</f>
        <v>17.534000000000002</v>
      </c>
      <c r="O102" s="31">
        <f t="shared" si="9"/>
        <v>29.510120000000001</v>
      </c>
      <c r="P102" s="31">
        <f t="shared" si="10"/>
        <v>29.510120000000001</v>
      </c>
      <c r="Q102" s="32">
        <f t="shared" si="11"/>
        <v>0.40583094884060111</v>
      </c>
    </row>
    <row r="103" spans="1:17" ht="18" customHeight="1" x14ac:dyDescent="0.3">
      <c r="A103" s="9" t="s">
        <v>492</v>
      </c>
      <c r="B103" s="9" t="s">
        <v>381</v>
      </c>
      <c r="C103" s="9" t="s">
        <v>402</v>
      </c>
      <c r="D103" s="9" t="s">
        <v>112</v>
      </c>
      <c r="E103" s="9" t="s">
        <v>383</v>
      </c>
      <c r="F103" s="26">
        <v>400</v>
      </c>
      <c r="G103" s="23">
        <v>26.7</v>
      </c>
      <c r="H103" s="9" t="s">
        <v>384</v>
      </c>
      <c r="I103" s="28">
        <v>0</v>
      </c>
      <c r="J103" s="24">
        <v>2.3599999999999999E-2</v>
      </c>
      <c r="K103" s="23">
        <v>159.4</v>
      </c>
      <c r="L103" s="31">
        <f>IFERROR(G103*(1+J103)*(1-I103)*INDEX(tbl_fatores_emissao[Valor],MATCH(D103,tbl_fatores_emissao[ID_FE],0)),"")</f>
        <v>60.126264000000006</v>
      </c>
      <c r="M103" s="31">
        <f>IFERROR(G103*(1+J103)*I103*INDEX(tbl_fatores_emissao[Valor],MATCH("FE-15",tbl_fatores_emissao[ID_FE],0)),"")</f>
        <v>0</v>
      </c>
      <c r="N103" s="31">
        <f>IFERROR(K103*INDEX(tbl_fatores_emissao[Valor],MATCH("FE-01",tbl_fatores_emissao[ID_FE],0)),"")</f>
        <v>17.534000000000002</v>
      </c>
      <c r="O103" s="31">
        <f t="shared" si="9"/>
        <v>77.660264000000012</v>
      </c>
      <c r="P103" s="31">
        <f t="shared" si="10"/>
        <v>77.660264000000012</v>
      </c>
      <c r="Q103" s="32">
        <f t="shared" si="11"/>
        <v>0.77422173069100042</v>
      </c>
    </row>
    <row r="104" spans="1:17" ht="18" customHeight="1" x14ac:dyDescent="0.3">
      <c r="A104" s="9" t="s">
        <v>493</v>
      </c>
      <c r="B104" s="9" t="s">
        <v>381</v>
      </c>
      <c r="C104" s="9" t="s">
        <v>402</v>
      </c>
      <c r="D104" s="9" t="s">
        <v>112</v>
      </c>
      <c r="E104" s="9" t="s">
        <v>383</v>
      </c>
      <c r="F104" s="26">
        <v>400</v>
      </c>
      <c r="G104" s="23">
        <v>26.7</v>
      </c>
      <c r="H104" s="9" t="s">
        <v>384</v>
      </c>
      <c r="I104" s="28">
        <v>0</v>
      </c>
      <c r="J104" s="24">
        <v>2.3599999999999999E-2</v>
      </c>
      <c r="K104" s="23">
        <v>159.4</v>
      </c>
      <c r="L104" s="31">
        <f>IFERROR(G104*(1+J104)*(1-I104)*INDEX(tbl_fatores_emissao[Valor],MATCH(D104,tbl_fatores_emissao[ID_FE],0)),"")</f>
        <v>60.126264000000006</v>
      </c>
      <c r="M104" s="31">
        <f>IFERROR(G104*(1+J104)*I104*INDEX(tbl_fatores_emissao[Valor],MATCH("FE-15",tbl_fatores_emissao[ID_FE],0)),"")</f>
        <v>0</v>
      </c>
      <c r="N104" s="31">
        <f>IFERROR(K104*INDEX(tbl_fatores_emissao[Valor],MATCH("FE-01",tbl_fatores_emissao[ID_FE],0)),"")</f>
        <v>17.534000000000002</v>
      </c>
      <c r="O104" s="31">
        <f t="shared" si="9"/>
        <v>77.660264000000012</v>
      </c>
      <c r="P104" s="31">
        <f t="shared" si="10"/>
        <v>77.660264000000012</v>
      </c>
      <c r="Q104" s="32">
        <f t="shared" si="11"/>
        <v>0.77422173069100042</v>
      </c>
    </row>
    <row r="105" spans="1:17" ht="18" customHeight="1" x14ac:dyDescent="0.3">
      <c r="A105" s="9" t="s">
        <v>494</v>
      </c>
      <c r="B105" s="9" t="s">
        <v>381</v>
      </c>
      <c r="C105" s="9" t="s">
        <v>382</v>
      </c>
      <c r="D105" s="9" t="s">
        <v>110</v>
      </c>
      <c r="E105" s="9" t="s">
        <v>383</v>
      </c>
      <c r="F105" s="26">
        <v>600</v>
      </c>
      <c r="G105" s="23">
        <v>34.9</v>
      </c>
      <c r="H105" s="9" t="s">
        <v>384</v>
      </c>
      <c r="I105" s="28">
        <v>0.02</v>
      </c>
      <c r="J105" s="24">
        <v>2.3599999999999999E-2</v>
      </c>
      <c r="K105" s="23">
        <v>159.4</v>
      </c>
      <c r="L105" s="31">
        <f>IFERROR(G105*(1+J105)*(1-I105)*INDEX(tbl_fatores_emissao[Valor],MATCH(D105,tbl_fatores_emissao[ID_FE],0)),"")</f>
        <v>63.016500960000002</v>
      </c>
      <c r="M105" s="31">
        <f>IFERROR(G105*(1+J105)*I105*INDEX(tbl_fatores_emissao[Valor],MATCH("FE-15",tbl_fatores_emissao[ID_FE],0)),"")</f>
        <v>2.1434184000000003</v>
      </c>
      <c r="N105" s="31">
        <f>IFERROR(K105*INDEX(tbl_fatores_emissao[Valor],MATCH("FE-01",tbl_fatores_emissao[ID_FE],0)),"")</f>
        <v>17.534000000000002</v>
      </c>
      <c r="O105" s="31">
        <f t="shared" si="9"/>
        <v>82.69391936000001</v>
      </c>
      <c r="P105" s="31">
        <f t="shared" si="10"/>
        <v>82.69391936000001</v>
      </c>
      <c r="Q105" s="32">
        <f t="shared" si="11"/>
        <v>0.78796506277967759</v>
      </c>
    </row>
    <row r="106" spans="1:17" ht="18" customHeight="1" x14ac:dyDescent="0.3">
      <c r="A106" s="9" t="s">
        <v>495</v>
      </c>
      <c r="B106" s="9" t="s">
        <v>381</v>
      </c>
      <c r="C106" s="9" t="s">
        <v>496</v>
      </c>
      <c r="D106" s="9" t="s">
        <v>110</v>
      </c>
      <c r="E106" s="9" t="s">
        <v>383</v>
      </c>
      <c r="F106" s="26">
        <v>1000</v>
      </c>
      <c r="G106" s="23">
        <v>49.1</v>
      </c>
      <c r="H106" s="9" t="s">
        <v>384</v>
      </c>
      <c r="I106" s="28">
        <v>0</v>
      </c>
      <c r="J106" s="24">
        <v>2.3599999999999999E-2</v>
      </c>
      <c r="K106" s="23">
        <v>159.4</v>
      </c>
      <c r="L106" s="31">
        <f>IFERROR(G106*(1+J106)*(1-I106)*INDEX(tbl_fatores_emissao[Valor],MATCH(D106,tbl_fatores_emissao[ID_FE],0)),"")</f>
        <v>90.465768000000011</v>
      </c>
      <c r="M106" s="31">
        <f>IFERROR(G106*(1+J106)*I106*INDEX(tbl_fatores_emissao[Valor],MATCH("FE-15",tbl_fatores_emissao[ID_FE],0)),"")</f>
        <v>0</v>
      </c>
      <c r="N106" s="31">
        <f>IFERROR(K106*INDEX(tbl_fatores_emissao[Valor],MATCH("FE-01",tbl_fatores_emissao[ID_FE],0)),"")</f>
        <v>17.534000000000002</v>
      </c>
      <c r="O106" s="31">
        <f t="shared" si="9"/>
        <v>107.99976800000002</v>
      </c>
      <c r="P106" s="31">
        <f t="shared" si="10"/>
        <v>107.99976800000002</v>
      </c>
      <c r="Q106" s="32">
        <f t="shared" si="11"/>
        <v>0.83764779939156908</v>
      </c>
    </row>
    <row r="107" spans="1:17" ht="18" customHeight="1" x14ac:dyDescent="0.3">
      <c r="A107" s="9" t="s">
        <v>497</v>
      </c>
      <c r="B107" s="9" t="s">
        <v>381</v>
      </c>
      <c r="C107" s="9" t="s">
        <v>498</v>
      </c>
      <c r="D107" s="9" t="s">
        <v>106</v>
      </c>
      <c r="E107" s="9" t="s">
        <v>383</v>
      </c>
      <c r="F107" s="26">
        <v>1000</v>
      </c>
      <c r="G107" s="23">
        <v>49.1</v>
      </c>
      <c r="H107" s="9" t="s">
        <v>384</v>
      </c>
      <c r="I107" s="28">
        <v>0</v>
      </c>
      <c r="J107" s="24">
        <v>2.3599999999999999E-2</v>
      </c>
      <c r="K107" s="23">
        <v>159.4</v>
      </c>
      <c r="L107" s="31">
        <f>IFERROR(G107*(1+J107)*(1-I107)*INDEX(tbl_fatores_emissao[Valor],MATCH(D107,tbl_fatores_emissao[ID_FE],0)),"")</f>
        <v>80.414016000000004</v>
      </c>
      <c r="M107" s="31">
        <f>IFERROR(G107*(1+J107)*I107*INDEX(tbl_fatores_emissao[Valor],MATCH("FE-15",tbl_fatores_emissao[ID_FE],0)),"")</f>
        <v>0</v>
      </c>
      <c r="N107" s="31">
        <f>IFERROR(K107*INDEX(tbl_fatores_emissao[Valor],MATCH("FE-01",tbl_fatores_emissao[ID_FE],0)),"")</f>
        <v>17.534000000000002</v>
      </c>
      <c r="O107" s="31">
        <f t="shared" si="9"/>
        <v>97.94801600000001</v>
      </c>
      <c r="P107" s="31">
        <f t="shared" si="10"/>
        <v>97.94801600000001</v>
      </c>
      <c r="Q107" s="32">
        <f t="shared" si="11"/>
        <v>0.82098667521759705</v>
      </c>
    </row>
    <row r="108" spans="1:17" ht="18" customHeight="1" x14ac:dyDescent="0.3">
      <c r="A108" s="9" t="s">
        <v>499</v>
      </c>
      <c r="B108" s="9" t="s">
        <v>381</v>
      </c>
      <c r="C108" s="9" t="s">
        <v>496</v>
      </c>
      <c r="D108" s="9" t="s">
        <v>110</v>
      </c>
      <c r="E108" s="9" t="s">
        <v>383</v>
      </c>
      <c r="F108" s="26">
        <v>500</v>
      </c>
      <c r="G108" s="23">
        <v>30.9</v>
      </c>
      <c r="H108" s="9" t="s">
        <v>384</v>
      </c>
      <c r="I108" s="28">
        <v>0</v>
      </c>
      <c r="J108" s="24">
        <v>2.3599999999999999E-2</v>
      </c>
      <c r="K108" s="23">
        <v>159.4</v>
      </c>
      <c r="L108" s="31">
        <f>IFERROR(G108*(1+J108)*(1-I108)*INDEX(tbl_fatores_emissao[Valor],MATCH(D108,tbl_fatores_emissao[ID_FE],0)),"")</f>
        <v>56.932631999999998</v>
      </c>
      <c r="M108" s="31">
        <f>IFERROR(G108*(1+J108)*I108*INDEX(tbl_fatores_emissao[Valor],MATCH("FE-15",tbl_fatores_emissao[ID_FE],0)),"")</f>
        <v>0</v>
      </c>
      <c r="N108" s="31">
        <f>IFERROR(K108*INDEX(tbl_fatores_emissao[Valor],MATCH("FE-01",tbl_fatores_emissao[ID_FE],0)),"")</f>
        <v>17.534000000000002</v>
      </c>
      <c r="O108" s="31">
        <f t="shared" si="9"/>
        <v>74.466632000000004</v>
      </c>
      <c r="P108" s="31">
        <f t="shared" si="10"/>
        <v>74.466632000000004</v>
      </c>
      <c r="Q108" s="32">
        <f t="shared" si="11"/>
        <v>0.76453883398405875</v>
      </c>
    </row>
    <row r="109" spans="1:17" ht="18" customHeight="1" x14ac:dyDescent="0.3">
      <c r="A109" s="9" t="s">
        <v>500</v>
      </c>
      <c r="B109" s="9" t="s">
        <v>381</v>
      </c>
      <c r="C109" s="9" t="s">
        <v>498</v>
      </c>
      <c r="D109" s="9" t="s">
        <v>106</v>
      </c>
      <c r="E109" s="9" t="s">
        <v>383</v>
      </c>
      <c r="F109" s="26">
        <v>500</v>
      </c>
      <c r="G109" s="23">
        <v>30.9</v>
      </c>
      <c r="H109" s="9" t="s">
        <v>384</v>
      </c>
      <c r="I109" s="28">
        <v>0</v>
      </c>
      <c r="J109" s="24">
        <v>2.3599999999999999E-2</v>
      </c>
      <c r="K109" s="23">
        <v>159.4</v>
      </c>
      <c r="L109" s="31">
        <f>IFERROR(G109*(1+J109)*(1-I109)*INDEX(tbl_fatores_emissao[Valor],MATCH(D109,tbl_fatores_emissao[ID_FE],0)),"")</f>
        <v>50.606784000000005</v>
      </c>
      <c r="M109" s="31">
        <f>IFERROR(G109*(1+J109)*I109*INDEX(tbl_fatores_emissao[Valor],MATCH("FE-15",tbl_fatores_emissao[ID_FE],0)),"")</f>
        <v>0</v>
      </c>
      <c r="N109" s="31">
        <f>IFERROR(K109*INDEX(tbl_fatores_emissao[Valor],MATCH("FE-01",tbl_fatores_emissao[ID_FE],0)),"")</f>
        <v>17.534000000000002</v>
      </c>
      <c r="O109" s="31">
        <f t="shared" si="9"/>
        <v>68.140784000000011</v>
      </c>
      <c r="P109" s="31">
        <f t="shared" si="10"/>
        <v>68.140784000000011</v>
      </c>
      <c r="Q109" s="32">
        <f t="shared" si="11"/>
        <v>0.74267980245134835</v>
      </c>
    </row>
    <row r="110" spans="1:17" ht="18" customHeight="1" x14ac:dyDescent="0.3">
      <c r="A110" s="9" t="s">
        <v>501</v>
      </c>
      <c r="B110" s="9" t="s">
        <v>381</v>
      </c>
      <c r="C110" s="9" t="s">
        <v>502</v>
      </c>
      <c r="D110" s="9" t="s">
        <v>106</v>
      </c>
      <c r="E110" s="9" t="s">
        <v>383</v>
      </c>
      <c r="F110" s="26">
        <v>100</v>
      </c>
      <c r="G110" s="23">
        <v>10.6</v>
      </c>
      <c r="H110" s="9" t="s">
        <v>384</v>
      </c>
      <c r="I110" s="28">
        <v>0.02</v>
      </c>
      <c r="J110" s="24">
        <v>2.3599999999999999E-2</v>
      </c>
      <c r="K110" s="23">
        <v>159.4</v>
      </c>
      <c r="L110" s="31">
        <f>IFERROR(G110*(1+J110)*(1-I110)*INDEX(tbl_fatores_emissao[Valor],MATCH(D110,tbl_fatores_emissao[ID_FE],0)),"")</f>
        <v>17.013050880000002</v>
      </c>
      <c r="M110" s="31">
        <f>IFERROR(G110*(1+J110)*I110*INDEX(tbl_fatores_emissao[Valor],MATCH("FE-15",tbl_fatores_emissao[ID_FE],0)),"")</f>
        <v>0.65100960000000008</v>
      </c>
      <c r="N110" s="31">
        <f>IFERROR(K110*INDEX(tbl_fatores_emissao[Valor],MATCH("FE-01",tbl_fatores_emissao[ID_FE],0)),"")</f>
        <v>17.534000000000002</v>
      </c>
      <c r="O110" s="31">
        <f t="shared" si="9"/>
        <v>35.198060480000009</v>
      </c>
      <c r="P110" s="31">
        <f t="shared" si="10"/>
        <v>35.198060480000009</v>
      </c>
      <c r="Q110" s="32">
        <f t="shared" si="11"/>
        <v>0.5018475518001041</v>
      </c>
    </row>
    <row r="111" spans="1:17" ht="18" customHeight="1" x14ac:dyDescent="0.3">
      <c r="A111" s="9" t="s">
        <v>503</v>
      </c>
      <c r="B111" s="9" t="s">
        <v>381</v>
      </c>
      <c r="C111" s="9" t="s">
        <v>504</v>
      </c>
      <c r="D111" s="9" t="s">
        <v>112</v>
      </c>
      <c r="E111" s="9" t="s">
        <v>383</v>
      </c>
      <c r="F111" s="26">
        <v>100</v>
      </c>
      <c r="G111" s="23">
        <v>10.6</v>
      </c>
      <c r="H111" s="9" t="s">
        <v>384</v>
      </c>
      <c r="I111" s="28">
        <v>0</v>
      </c>
      <c r="J111" s="24">
        <v>2.3599999999999999E-2</v>
      </c>
      <c r="K111" s="23">
        <v>159.4</v>
      </c>
      <c r="L111" s="31">
        <f>IFERROR(G111*(1+J111)*(1-I111)*INDEX(tbl_fatores_emissao[Valor],MATCH(D111,tbl_fatores_emissao[ID_FE],0)),"")</f>
        <v>23.870352000000004</v>
      </c>
      <c r="M111" s="31">
        <f>IFERROR(G111*(1+J111)*I111*INDEX(tbl_fatores_emissao[Valor],MATCH("FE-15",tbl_fatores_emissao[ID_FE],0)),"")</f>
        <v>0</v>
      </c>
      <c r="N111" s="31">
        <f>IFERROR(K111*INDEX(tbl_fatores_emissao[Valor],MATCH("FE-01",tbl_fatores_emissao[ID_FE],0)),"")</f>
        <v>17.534000000000002</v>
      </c>
      <c r="O111" s="31">
        <f t="shared" si="9"/>
        <v>41.404352000000003</v>
      </c>
      <c r="P111" s="31">
        <f t="shared" si="10"/>
        <v>41.404352000000003</v>
      </c>
      <c r="Q111" s="32">
        <f t="shared" si="11"/>
        <v>0.57651794671246159</v>
      </c>
    </row>
    <row r="112" spans="1:17" ht="18" customHeight="1" x14ac:dyDescent="0.3">
      <c r="A112" s="9" t="s">
        <v>505</v>
      </c>
      <c r="B112" s="9" t="s">
        <v>381</v>
      </c>
      <c r="C112" s="9" t="s">
        <v>502</v>
      </c>
      <c r="D112" s="9" t="s">
        <v>106</v>
      </c>
      <c r="E112" s="9" t="s">
        <v>383</v>
      </c>
      <c r="F112" s="26">
        <v>250</v>
      </c>
      <c r="G112" s="23">
        <v>19.5</v>
      </c>
      <c r="H112" s="9" t="s">
        <v>384</v>
      </c>
      <c r="I112" s="28">
        <v>0.02</v>
      </c>
      <c r="J112" s="24">
        <v>2.3599999999999999E-2</v>
      </c>
      <c r="K112" s="23">
        <v>159.4</v>
      </c>
      <c r="L112" s="31">
        <f>IFERROR(G112*(1+J112)*(1-I112)*INDEX(tbl_fatores_emissao[Valor],MATCH(D112,tbl_fatores_emissao[ID_FE],0)),"")</f>
        <v>31.297593599999999</v>
      </c>
      <c r="M112" s="31">
        <f>IFERROR(G112*(1+J112)*I112*INDEX(tbl_fatores_emissao[Valor],MATCH("FE-15",tbl_fatores_emissao[ID_FE],0)),"")</f>
        <v>1.1976119999999999</v>
      </c>
      <c r="N112" s="31">
        <f>IFERROR(K112*INDEX(tbl_fatores_emissao[Valor],MATCH("FE-01",tbl_fatores_emissao[ID_FE],0)),"")</f>
        <v>17.534000000000002</v>
      </c>
      <c r="O112" s="31">
        <f t="shared" si="9"/>
        <v>50.029205599999997</v>
      </c>
      <c r="P112" s="31">
        <f t="shared" si="10"/>
        <v>50.029205599999997</v>
      </c>
      <c r="Q112" s="32">
        <f t="shared" si="11"/>
        <v>0.64952471681860968</v>
      </c>
    </row>
    <row r="113" spans="1:17" ht="18" customHeight="1" x14ac:dyDescent="0.3">
      <c r="A113" s="9" t="s">
        <v>506</v>
      </c>
      <c r="B113" s="9" t="s">
        <v>381</v>
      </c>
      <c r="C113" s="9" t="s">
        <v>504</v>
      </c>
      <c r="D113" s="9" t="s">
        <v>112</v>
      </c>
      <c r="E113" s="9" t="s">
        <v>383</v>
      </c>
      <c r="F113" s="26">
        <v>250</v>
      </c>
      <c r="G113" s="23">
        <v>19.5</v>
      </c>
      <c r="H113" s="9" t="s">
        <v>384</v>
      </c>
      <c r="I113" s="28">
        <v>0</v>
      </c>
      <c r="J113" s="24">
        <v>2.3599999999999999E-2</v>
      </c>
      <c r="K113" s="23">
        <v>159.4</v>
      </c>
      <c r="L113" s="31">
        <f>IFERROR(G113*(1+J113)*(1-I113)*INDEX(tbl_fatores_emissao[Valor],MATCH(D113,tbl_fatores_emissao[ID_FE],0)),"")</f>
        <v>43.912440000000004</v>
      </c>
      <c r="M113" s="31">
        <f>IFERROR(G113*(1+J113)*I113*INDEX(tbl_fatores_emissao[Valor],MATCH("FE-15",tbl_fatores_emissao[ID_FE],0)),"")</f>
        <v>0</v>
      </c>
      <c r="N113" s="31">
        <f>IFERROR(K113*INDEX(tbl_fatores_emissao[Valor],MATCH("FE-01",tbl_fatores_emissao[ID_FE],0)),"")</f>
        <v>17.534000000000002</v>
      </c>
      <c r="O113" s="31">
        <f t="shared" si="9"/>
        <v>61.44644000000001</v>
      </c>
      <c r="P113" s="31">
        <f t="shared" si="10"/>
        <v>61.44644000000001</v>
      </c>
      <c r="Q113" s="32">
        <f t="shared" si="11"/>
        <v>0.71464579559043606</v>
      </c>
    </row>
    <row r="114" spans="1:17" ht="18" customHeight="1" x14ac:dyDescent="0.3">
      <c r="A114" s="9" t="s">
        <v>507</v>
      </c>
      <c r="B114" s="9" t="s">
        <v>381</v>
      </c>
      <c r="C114" s="9" t="s">
        <v>409</v>
      </c>
      <c r="D114" s="9" t="s">
        <v>106</v>
      </c>
      <c r="E114" s="9" t="s">
        <v>383</v>
      </c>
      <c r="F114" s="26">
        <v>50</v>
      </c>
      <c r="G114" s="23">
        <v>6.7</v>
      </c>
      <c r="H114" s="9" t="s">
        <v>384</v>
      </c>
      <c r="I114" s="28">
        <v>0.02</v>
      </c>
      <c r="J114" s="24">
        <v>2.3599999999999999E-2</v>
      </c>
      <c r="K114" s="23">
        <v>159.4</v>
      </c>
      <c r="L114" s="31">
        <f>IFERROR(G114*(1+J114)*(1-I114)*INDEX(tbl_fatores_emissao[Valor],MATCH(D114,tbl_fatores_emissao[ID_FE],0)),"")</f>
        <v>10.753532160000001</v>
      </c>
      <c r="M114" s="31">
        <f>IFERROR(G114*(1+J114)*I114*INDEX(tbl_fatores_emissao[Valor],MATCH("FE-15",tbl_fatores_emissao[ID_FE],0)),"")</f>
        <v>0.41148720000000005</v>
      </c>
      <c r="N114" s="31">
        <f>IFERROR(K114*INDEX(tbl_fatores_emissao[Valor],MATCH("FE-01",tbl_fatores_emissao[ID_FE],0)),"")</f>
        <v>17.534000000000002</v>
      </c>
      <c r="O114" s="31">
        <f t="shared" si="9"/>
        <v>28.699019360000001</v>
      </c>
      <c r="P114" s="31">
        <f t="shared" si="10"/>
        <v>28.699019360000001</v>
      </c>
      <c r="Q114" s="32">
        <f t="shared" si="11"/>
        <v>0.38903835772038731</v>
      </c>
    </row>
    <row r="115" spans="1:17" ht="18" customHeight="1" x14ac:dyDescent="0.3">
      <c r="A115" s="9" t="s">
        <v>508</v>
      </c>
      <c r="B115" s="9" t="s">
        <v>381</v>
      </c>
      <c r="C115" s="9" t="s">
        <v>502</v>
      </c>
      <c r="D115" s="9" t="s">
        <v>106</v>
      </c>
      <c r="E115" s="9" t="s">
        <v>383</v>
      </c>
      <c r="F115" s="26">
        <v>50</v>
      </c>
      <c r="G115" s="23">
        <v>6.7</v>
      </c>
      <c r="H115" s="9" t="s">
        <v>384</v>
      </c>
      <c r="I115" s="28">
        <v>0.02</v>
      </c>
      <c r="J115" s="24">
        <v>2.3599999999999999E-2</v>
      </c>
      <c r="K115" s="23">
        <v>159.4</v>
      </c>
      <c r="L115" s="31">
        <f>IFERROR(G115*(1+J115)*(1-I115)*INDEX(tbl_fatores_emissao[Valor],MATCH(D115,tbl_fatores_emissao[ID_FE],0)),"")</f>
        <v>10.753532160000001</v>
      </c>
      <c r="M115" s="31">
        <f>IFERROR(G115*(1+J115)*I115*INDEX(tbl_fatores_emissao[Valor],MATCH("FE-15",tbl_fatores_emissao[ID_FE],0)),"")</f>
        <v>0.41148720000000005</v>
      </c>
      <c r="N115" s="31">
        <f>IFERROR(K115*INDEX(tbl_fatores_emissao[Valor],MATCH("FE-01",tbl_fatores_emissao[ID_FE],0)),"")</f>
        <v>17.534000000000002</v>
      </c>
      <c r="O115" s="31">
        <f t="shared" si="9"/>
        <v>28.699019360000001</v>
      </c>
      <c r="P115" s="31">
        <f t="shared" si="10"/>
        <v>28.699019360000001</v>
      </c>
      <c r="Q115" s="32">
        <f t="shared" si="11"/>
        <v>0.38903835772038731</v>
      </c>
    </row>
    <row r="116" spans="1:17" ht="18" customHeight="1" x14ac:dyDescent="0.3">
      <c r="A116" s="9" t="s">
        <v>509</v>
      </c>
      <c r="B116" s="9" t="s">
        <v>381</v>
      </c>
      <c r="C116" s="9" t="s">
        <v>409</v>
      </c>
      <c r="D116" s="9" t="s">
        <v>106</v>
      </c>
      <c r="E116" s="9" t="s">
        <v>383</v>
      </c>
      <c r="F116" s="26">
        <v>100</v>
      </c>
      <c r="G116" s="23">
        <v>10.6</v>
      </c>
      <c r="H116" s="9" t="s">
        <v>384</v>
      </c>
      <c r="I116" s="28">
        <v>0.02</v>
      </c>
      <c r="J116" s="24">
        <v>2.3599999999999999E-2</v>
      </c>
      <c r="K116" s="23">
        <v>159.4</v>
      </c>
      <c r="L116" s="31">
        <f>IFERROR(G116*(1+J116)*(1-I116)*INDEX(tbl_fatores_emissao[Valor],MATCH(D116,tbl_fatores_emissao[ID_FE],0)),"")</f>
        <v>17.013050880000002</v>
      </c>
      <c r="M116" s="31">
        <f>IFERROR(G116*(1+J116)*I116*INDEX(tbl_fatores_emissao[Valor],MATCH("FE-15",tbl_fatores_emissao[ID_FE],0)),"")</f>
        <v>0.65100960000000008</v>
      </c>
      <c r="N116" s="31">
        <f>IFERROR(K116*INDEX(tbl_fatores_emissao[Valor],MATCH("FE-01",tbl_fatores_emissao[ID_FE],0)),"")</f>
        <v>17.534000000000002</v>
      </c>
      <c r="O116" s="31">
        <f t="shared" si="9"/>
        <v>35.198060480000009</v>
      </c>
      <c r="P116" s="31">
        <f t="shared" si="10"/>
        <v>35.198060480000009</v>
      </c>
      <c r="Q116" s="32">
        <f t="shared" si="11"/>
        <v>0.5018475518001041</v>
      </c>
    </row>
    <row r="117" spans="1:17" ht="18" customHeight="1" x14ac:dyDescent="0.3">
      <c r="A117" s="9" t="s">
        <v>510</v>
      </c>
      <c r="B117" s="9" t="s">
        <v>381</v>
      </c>
      <c r="C117" s="9" t="s">
        <v>502</v>
      </c>
      <c r="D117" s="9" t="s">
        <v>106</v>
      </c>
      <c r="E117" s="9" t="s">
        <v>383</v>
      </c>
      <c r="F117" s="26">
        <v>100</v>
      </c>
      <c r="G117" s="23">
        <v>10.6</v>
      </c>
      <c r="H117" s="9" t="s">
        <v>384</v>
      </c>
      <c r="I117" s="28">
        <v>0.02</v>
      </c>
      <c r="J117" s="24">
        <v>2.3599999999999999E-2</v>
      </c>
      <c r="K117" s="23">
        <v>159.4</v>
      </c>
      <c r="L117" s="31">
        <f>IFERROR(G117*(1+J117)*(1-I117)*INDEX(tbl_fatores_emissao[Valor],MATCH(D117,tbl_fatores_emissao[ID_FE],0)),"")</f>
        <v>17.013050880000002</v>
      </c>
      <c r="M117" s="31">
        <f>IFERROR(G117*(1+J117)*I117*INDEX(tbl_fatores_emissao[Valor],MATCH("FE-15",tbl_fatores_emissao[ID_FE],0)),"")</f>
        <v>0.65100960000000008</v>
      </c>
      <c r="N117" s="31">
        <f>IFERROR(K117*INDEX(tbl_fatores_emissao[Valor],MATCH("FE-01",tbl_fatores_emissao[ID_FE],0)),"")</f>
        <v>17.534000000000002</v>
      </c>
      <c r="O117" s="31">
        <f t="shared" si="9"/>
        <v>35.198060480000009</v>
      </c>
      <c r="P117" s="31">
        <f t="shared" si="10"/>
        <v>35.198060480000009</v>
      </c>
      <c r="Q117" s="32">
        <f t="shared" si="11"/>
        <v>0.5018475518001041</v>
      </c>
    </row>
    <row r="118" spans="1:17" ht="18" customHeight="1" x14ac:dyDescent="0.3">
      <c r="A118" s="9" t="s">
        <v>511</v>
      </c>
      <c r="B118" s="9" t="s">
        <v>512</v>
      </c>
      <c r="C118" s="9" t="s">
        <v>382</v>
      </c>
      <c r="D118" s="9" t="s">
        <v>110</v>
      </c>
      <c r="E118" s="9" t="s">
        <v>383</v>
      </c>
      <c r="F118" s="26"/>
      <c r="G118" s="23">
        <v>11.5</v>
      </c>
      <c r="H118" s="9" t="s">
        <v>513</v>
      </c>
      <c r="I118" s="28">
        <v>0.02</v>
      </c>
      <c r="J118" s="24">
        <v>2.1899999999999999E-2</v>
      </c>
      <c r="K118" s="23">
        <v>66.3</v>
      </c>
      <c r="L118" s="31">
        <f>IFERROR(G118*(1+J118)*(1-I118)*INDEX(tbl_fatores_emissao[Valor],MATCH(D118,tbl_fatores_emissao[ID_FE],0)),"")</f>
        <v>20.730263400000002</v>
      </c>
      <c r="M118" s="31">
        <f>IFERROR(G118*(1+J118)*I118*INDEX(tbl_fatores_emissao[Valor],MATCH("FE-15",tbl_fatores_emissao[ID_FE],0)),"")</f>
        <v>0.70511100000000004</v>
      </c>
      <c r="N118" s="31">
        <f>IFERROR(K118*INDEX(tbl_fatores_emissao[Valor],MATCH("FE-01",tbl_fatores_emissao[ID_FE],0)),"")</f>
        <v>7.2930000000000001</v>
      </c>
      <c r="O118" s="31">
        <f t="shared" si="9"/>
        <v>28.7283744</v>
      </c>
      <c r="P118" s="31">
        <f t="shared" si="10"/>
        <v>28.7283744</v>
      </c>
      <c r="Q118" s="32">
        <f t="shared" si="11"/>
        <v>0.74613948222562854</v>
      </c>
    </row>
    <row r="119" spans="1:17" ht="18" customHeight="1" x14ac:dyDescent="0.3">
      <c r="A119" s="9" t="s">
        <v>514</v>
      </c>
      <c r="B119" s="9" t="s">
        <v>512</v>
      </c>
      <c r="C119" s="9" t="s">
        <v>409</v>
      </c>
      <c r="D119" s="9" t="s">
        <v>106</v>
      </c>
      <c r="E119" s="9" t="s">
        <v>383</v>
      </c>
      <c r="F119" s="26"/>
      <c r="G119" s="23">
        <v>10.3</v>
      </c>
      <c r="H119" s="9" t="s">
        <v>513</v>
      </c>
      <c r="I119" s="28">
        <v>0.02</v>
      </c>
      <c r="J119" s="24">
        <v>2.1899999999999999E-2</v>
      </c>
      <c r="K119" s="23">
        <v>66.3</v>
      </c>
      <c r="L119" s="31">
        <f>IFERROR(G119*(1+J119)*(1-I119)*INDEX(tbl_fatores_emissao[Valor],MATCH(D119,tbl_fatores_emissao[ID_FE],0)),"")</f>
        <v>16.504093760000003</v>
      </c>
      <c r="M119" s="31">
        <f>IFERROR(G119*(1+J119)*I119*INDEX(tbl_fatores_emissao[Valor],MATCH("FE-15",tbl_fatores_emissao[ID_FE],0)),"")</f>
        <v>0.63153420000000016</v>
      </c>
      <c r="N119" s="31">
        <f>IFERROR(K119*INDEX(tbl_fatores_emissao[Valor],MATCH("FE-01",tbl_fatores_emissao[ID_FE],0)),"")</f>
        <v>7.2930000000000001</v>
      </c>
      <c r="O119" s="31">
        <f t="shared" si="9"/>
        <v>24.428627960000004</v>
      </c>
      <c r="P119" s="31">
        <f t="shared" si="10"/>
        <v>24.428627960000004</v>
      </c>
      <c r="Q119" s="32">
        <f t="shared" si="11"/>
        <v>0.70145683122516234</v>
      </c>
    </row>
    <row r="120" spans="1:17" ht="18" customHeight="1" x14ac:dyDescent="0.3">
      <c r="A120" s="9" t="s">
        <v>515</v>
      </c>
      <c r="B120" s="9" t="s">
        <v>512</v>
      </c>
      <c r="C120" s="9" t="s">
        <v>412</v>
      </c>
      <c r="D120" s="9" t="s">
        <v>116</v>
      </c>
      <c r="E120" s="9" t="s">
        <v>387</v>
      </c>
      <c r="F120" s="26"/>
      <c r="G120" s="23">
        <v>10.3</v>
      </c>
      <c r="H120" s="9" t="s">
        <v>513</v>
      </c>
      <c r="I120" s="28">
        <v>0.02</v>
      </c>
      <c r="J120" s="24">
        <v>2.1899999999999999E-2</v>
      </c>
      <c r="K120" s="23">
        <v>66.3</v>
      </c>
      <c r="L120" s="31">
        <f>IFERROR(G120*(1+J120)*(1-I120)*INDEX(tbl_fatores_emissao[Valor],MATCH(D120,tbl_fatores_emissao[ID_FE],0)),"")</f>
        <v>5.1575293000000011</v>
      </c>
      <c r="M120" s="31">
        <f>IFERROR(G120*(1+J120)*I120*INDEX(tbl_fatores_emissao[Valor],MATCH("FE-15",tbl_fatores_emissao[ID_FE],0)),"")</f>
        <v>0.63153420000000016</v>
      </c>
      <c r="N120" s="31">
        <f>IFERROR(K120*INDEX(tbl_fatores_emissao[Valor],MATCH("FE-01",tbl_fatores_emissao[ID_FE],0)),"")</f>
        <v>7.2930000000000001</v>
      </c>
      <c r="O120" s="31">
        <f t="shared" si="9"/>
        <v>13.0820635</v>
      </c>
      <c r="P120" s="31">
        <f t="shared" si="10"/>
        <v>13.0820635</v>
      </c>
      <c r="Q120" s="32">
        <f t="shared" si="11"/>
        <v>0.44251914080680016</v>
      </c>
    </row>
    <row r="121" spans="1:17" ht="18" customHeight="1" x14ac:dyDescent="0.3">
      <c r="A121" s="9" t="s">
        <v>516</v>
      </c>
      <c r="B121" s="9" t="s">
        <v>512</v>
      </c>
      <c r="C121" s="9" t="s">
        <v>405</v>
      </c>
      <c r="D121" s="9" t="s">
        <v>112</v>
      </c>
      <c r="E121" s="9" t="s">
        <v>383</v>
      </c>
      <c r="F121" s="26"/>
      <c r="G121" s="23">
        <v>12.1</v>
      </c>
      <c r="H121" s="9" t="s">
        <v>513</v>
      </c>
      <c r="I121" s="28">
        <v>0.02</v>
      </c>
      <c r="J121" s="24">
        <v>2.1899999999999999E-2</v>
      </c>
      <c r="K121" s="23">
        <v>66.3</v>
      </c>
      <c r="L121" s="31">
        <f>IFERROR(G121*(1+J121)*(1-I121)*INDEX(tbl_fatores_emissao[Valor],MATCH(D121,tbl_fatores_emissao[ID_FE],0)),"")</f>
        <v>26.658918440000004</v>
      </c>
      <c r="M121" s="31">
        <f>IFERROR(G121*(1+J121)*I121*INDEX(tbl_fatores_emissao[Valor],MATCH("FE-15",tbl_fatores_emissao[ID_FE],0)),"")</f>
        <v>0.7418994000000001</v>
      </c>
      <c r="N121" s="31">
        <f>IFERROR(K121*INDEX(tbl_fatores_emissao[Valor],MATCH("FE-01",tbl_fatores_emissao[ID_FE],0)),"")</f>
        <v>7.2930000000000001</v>
      </c>
      <c r="O121" s="31">
        <f t="shared" si="9"/>
        <v>34.693817840000008</v>
      </c>
      <c r="P121" s="31">
        <f t="shared" si="10"/>
        <v>34.693817840000008</v>
      </c>
      <c r="Q121" s="32">
        <f t="shared" si="11"/>
        <v>0.78978963821065584</v>
      </c>
    </row>
    <row r="122" spans="1:17" ht="18" customHeight="1" x14ac:dyDescent="0.3">
      <c r="A122" s="9" t="s">
        <v>517</v>
      </c>
      <c r="B122" s="9" t="s">
        <v>512</v>
      </c>
      <c r="C122" s="9" t="s">
        <v>382</v>
      </c>
      <c r="D122" s="9" t="s">
        <v>110</v>
      </c>
      <c r="E122" s="9" t="s">
        <v>383</v>
      </c>
      <c r="F122" s="26"/>
      <c r="G122" s="23">
        <v>11.5</v>
      </c>
      <c r="H122" s="9" t="s">
        <v>513</v>
      </c>
      <c r="I122" s="28">
        <v>0.02</v>
      </c>
      <c r="J122" s="24">
        <v>2.1899999999999999E-2</v>
      </c>
      <c r="K122" s="23">
        <v>66.3</v>
      </c>
      <c r="L122" s="31">
        <f>IFERROR(G122*(1+J122)*(1-I122)*INDEX(tbl_fatores_emissao[Valor],MATCH(D122,tbl_fatores_emissao[ID_FE],0)),"")</f>
        <v>20.730263400000002</v>
      </c>
      <c r="M122" s="31">
        <f>IFERROR(G122*(1+J122)*I122*INDEX(tbl_fatores_emissao[Valor],MATCH("FE-15",tbl_fatores_emissao[ID_FE],0)),"")</f>
        <v>0.70511100000000004</v>
      </c>
      <c r="N122" s="31">
        <f>IFERROR(K122*INDEX(tbl_fatores_emissao[Valor],MATCH("FE-01",tbl_fatores_emissao[ID_FE],0)),"")</f>
        <v>7.2930000000000001</v>
      </c>
      <c r="O122" s="31">
        <f t="shared" si="9"/>
        <v>28.7283744</v>
      </c>
      <c r="P122" s="31">
        <f t="shared" si="10"/>
        <v>28.7283744</v>
      </c>
      <c r="Q122" s="32">
        <f t="shared" si="11"/>
        <v>0.74613948222562854</v>
      </c>
    </row>
    <row r="123" spans="1:17" ht="18" customHeight="1" x14ac:dyDescent="0.3">
      <c r="A123" s="9" t="s">
        <v>518</v>
      </c>
      <c r="B123" s="9" t="s">
        <v>512</v>
      </c>
      <c r="C123" s="9" t="s">
        <v>409</v>
      </c>
      <c r="D123" s="9" t="s">
        <v>106</v>
      </c>
      <c r="E123" s="9" t="s">
        <v>383</v>
      </c>
      <c r="F123" s="26"/>
      <c r="G123" s="23">
        <v>10.3</v>
      </c>
      <c r="H123" s="9" t="s">
        <v>513</v>
      </c>
      <c r="I123" s="28">
        <v>0.02</v>
      </c>
      <c r="J123" s="24">
        <v>2.1899999999999999E-2</v>
      </c>
      <c r="K123" s="23">
        <v>66.3</v>
      </c>
      <c r="L123" s="31">
        <f>IFERROR(G123*(1+J123)*(1-I123)*INDEX(tbl_fatores_emissao[Valor],MATCH(D123,tbl_fatores_emissao[ID_FE],0)),"")</f>
        <v>16.504093760000003</v>
      </c>
      <c r="M123" s="31">
        <f>IFERROR(G123*(1+J123)*I123*INDEX(tbl_fatores_emissao[Valor],MATCH("FE-15",tbl_fatores_emissao[ID_FE],0)),"")</f>
        <v>0.63153420000000016</v>
      </c>
      <c r="N123" s="31">
        <f>IFERROR(K123*INDEX(tbl_fatores_emissao[Valor],MATCH("FE-01",tbl_fatores_emissao[ID_FE],0)),"")</f>
        <v>7.2930000000000001</v>
      </c>
      <c r="O123" s="31">
        <f t="shared" si="9"/>
        <v>24.428627960000004</v>
      </c>
      <c r="P123" s="31">
        <f t="shared" si="10"/>
        <v>24.428627960000004</v>
      </c>
      <c r="Q123" s="32">
        <f t="shared" si="11"/>
        <v>0.70145683122516234</v>
      </c>
    </row>
    <row r="124" spans="1:17" ht="18" customHeight="1" x14ac:dyDescent="0.3">
      <c r="A124" s="9" t="s">
        <v>519</v>
      </c>
      <c r="B124" s="9" t="s">
        <v>512</v>
      </c>
      <c r="C124" s="9" t="s">
        <v>412</v>
      </c>
      <c r="D124" s="9" t="s">
        <v>116</v>
      </c>
      <c r="E124" s="9" t="s">
        <v>387</v>
      </c>
      <c r="F124" s="26"/>
      <c r="G124" s="23">
        <v>10.3</v>
      </c>
      <c r="H124" s="9" t="s">
        <v>513</v>
      </c>
      <c r="I124" s="28">
        <v>0.02</v>
      </c>
      <c r="J124" s="24">
        <v>2.1899999999999999E-2</v>
      </c>
      <c r="K124" s="23">
        <v>66.3</v>
      </c>
      <c r="L124" s="31">
        <f>IFERROR(G124*(1+J124)*(1-I124)*INDEX(tbl_fatores_emissao[Valor],MATCH(D124,tbl_fatores_emissao[ID_FE],0)),"")</f>
        <v>5.1575293000000011</v>
      </c>
      <c r="M124" s="31">
        <f>IFERROR(G124*(1+J124)*I124*INDEX(tbl_fatores_emissao[Valor],MATCH("FE-15",tbl_fatores_emissao[ID_FE],0)),"")</f>
        <v>0.63153420000000016</v>
      </c>
      <c r="N124" s="31">
        <f>IFERROR(K124*INDEX(tbl_fatores_emissao[Valor],MATCH("FE-01",tbl_fatores_emissao[ID_FE],0)),"")</f>
        <v>7.2930000000000001</v>
      </c>
      <c r="O124" s="31">
        <f t="shared" si="9"/>
        <v>13.0820635</v>
      </c>
      <c r="P124" s="31">
        <f t="shared" si="10"/>
        <v>13.0820635</v>
      </c>
      <c r="Q124" s="32">
        <f t="shared" si="11"/>
        <v>0.44251914080680016</v>
      </c>
    </row>
    <row r="125" spans="1:17" ht="18" customHeight="1" x14ac:dyDescent="0.3">
      <c r="A125" s="9" t="s">
        <v>520</v>
      </c>
      <c r="B125" s="9" t="s">
        <v>512</v>
      </c>
      <c r="C125" s="9" t="s">
        <v>405</v>
      </c>
      <c r="D125" s="9" t="s">
        <v>112</v>
      </c>
      <c r="E125" s="9" t="s">
        <v>383</v>
      </c>
      <c r="F125" s="26"/>
      <c r="G125" s="23">
        <v>12.1</v>
      </c>
      <c r="H125" s="9" t="s">
        <v>513</v>
      </c>
      <c r="I125" s="28">
        <v>0.02</v>
      </c>
      <c r="J125" s="24">
        <v>2.1899999999999999E-2</v>
      </c>
      <c r="K125" s="23">
        <v>66.3</v>
      </c>
      <c r="L125" s="31">
        <f>IFERROR(G125*(1+J125)*(1-I125)*INDEX(tbl_fatores_emissao[Valor],MATCH(D125,tbl_fatores_emissao[ID_FE],0)),"")</f>
        <v>26.658918440000004</v>
      </c>
      <c r="M125" s="31">
        <f>IFERROR(G125*(1+J125)*I125*INDEX(tbl_fatores_emissao[Valor],MATCH("FE-15",tbl_fatores_emissao[ID_FE],0)),"")</f>
        <v>0.7418994000000001</v>
      </c>
      <c r="N125" s="31">
        <f>IFERROR(K125*INDEX(tbl_fatores_emissao[Valor],MATCH("FE-01",tbl_fatores_emissao[ID_FE],0)),"")</f>
        <v>7.2930000000000001</v>
      </c>
      <c r="O125" s="31">
        <f t="shared" si="9"/>
        <v>34.693817840000008</v>
      </c>
      <c r="P125" s="31">
        <f t="shared" si="10"/>
        <v>34.693817840000008</v>
      </c>
      <c r="Q125" s="32">
        <f t="shared" si="11"/>
        <v>0.78978963821065584</v>
      </c>
    </row>
    <row r="126" spans="1:17" ht="18" customHeight="1" x14ac:dyDescent="0.3">
      <c r="A126" s="9" t="s">
        <v>521</v>
      </c>
      <c r="B126" s="9" t="s">
        <v>512</v>
      </c>
      <c r="C126" s="9" t="s">
        <v>382</v>
      </c>
      <c r="D126" s="9" t="s">
        <v>110</v>
      </c>
      <c r="E126" s="9" t="s">
        <v>383</v>
      </c>
      <c r="F126" s="26"/>
      <c r="G126" s="23">
        <v>11.5</v>
      </c>
      <c r="H126" s="9" t="s">
        <v>513</v>
      </c>
      <c r="I126" s="28">
        <v>0.02</v>
      </c>
      <c r="J126" s="24">
        <v>2.1899999999999999E-2</v>
      </c>
      <c r="K126" s="23">
        <v>66.3</v>
      </c>
      <c r="L126" s="31">
        <f>IFERROR(G126*(1+J126)*(1-I126)*INDEX(tbl_fatores_emissao[Valor],MATCH(D126,tbl_fatores_emissao[ID_FE],0)),"")</f>
        <v>20.730263400000002</v>
      </c>
      <c r="M126" s="31">
        <f>IFERROR(G126*(1+J126)*I126*INDEX(tbl_fatores_emissao[Valor],MATCH("FE-15",tbl_fatores_emissao[ID_FE],0)),"")</f>
        <v>0.70511100000000004</v>
      </c>
      <c r="N126" s="31">
        <f>IFERROR(K126*INDEX(tbl_fatores_emissao[Valor],MATCH("FE-01",tbl_fatores_emissao[ID_FE],0)),"")</f>
        <v>7.2930000000000001</v>
      </c>
      <c r="O126" s="31">
        <f t="shared" si="9"/>
        <v>28.7283744</v>
      </c>
      <c r="P126" s="31">
        <f t="shared" si="10"/>
        <v>28.7283744</v>
      </c>
      <c r="Q126" s="32">
        <f t="shared" si="11"/>
        <v>0.74613948222562854</v>
      </c>
    </row>
    <row r="127" spans="1:17" ht="18" customHeight="1" x14ac:dyDescent="0.3">
      <c r="A127" s="9" t="s">
        <v>522</v>
      </c>
      <c r="B127" s="9" t="s">
        <v>512</v>
      </c>
      <c r="C127" s="9" t="s">
        <v>409</v>
      </c>
      <c r="D127" s="9" t="s">
        <v>106</v>
      </c>
      <c r="E127" s="9" t="s">
        <v>383</v>
      </c>
      <c r="F127" s="26"/>
      <c r="G127" s="23">
        <v>10.3</v>
      </c>
      <c r="H127" s="9" t="s">
        <v>513</v>
      </c>
      <c r="I127" s="28">
        <v>0.02</v>
      </c>
      <c r="J127" s="24">
        <v>2.1899999999999999E-2</v>
      </c>
      <c r="K127" s="23">
        <v>66.3</v>
      </c>
      <c r="L127" s="31">
        <f>IFERROR(G127*(1+J127)*(1-I127)*INDEX(tbl_fatores_emissao[Valor],MATCH(D127,tbl_fatores_emissao[ID_FE],0)),"")</f>
        <v>16.504093760000003</v>
      </c>
      <c r="M127" s="31">
        <f>IFERROR(G127*(1+J127)*I127*INDEX(tbl_fatores_emissao[Valor],MATCH("FE-15",tbl_fatores_emissao[ID_FE],0)),"")</f>
        <v>0.63153420000000016</v>
      </c>
      <c r="N127" s="31">
        <f>IFERROR(K127*INDEX(tbl_fatores_emissao[Valor],MATCH("FE-01",tbl_fatores_emissao[ID_FE],0)),"")</f>
        <v>7.2930000000000001</v>
      </c>
      <c r="O127" s="31">
        <f t="shared" si="9"/>
        <v>24.428627960000004</v>
      </c>
      <c r="P127" s="31">
        <f t="shared" si="10"/>
        <v>24.428627960000004</v>
      </c>
      <c r="Q127" s="32">
        <f t="shared" si="11"/>
        <v>0.70145683122516234</v>
      </c>
    </row>
    <row r="128" spans="1:17" ht="18" customHeight="1" x14ac:dyDescent="0.3">
      <c r="A128" s="9" t="s">
        <v>523</v>
      </c>
      <c r="B128" s="9" t="s">
        <v>512</v>
      </c>
      <c r="C128" s="9" t="s">
        <v>412</v>
      </c>
      <c r="D128" s="9" t="s">
        <v>116</v>
      </c>
      <c r="E128" s="9" t="s">
        <v>387</v>
      </c>
      <c r="F128" s="26"/>
      <c r="G128" s="23">
        <v>10.3</v>
      </c>
      <c r="H128" s="9" t="s">
        <v>513</v>
      </c>
      <c r="I128" s="28">
        <v>0.02</v>
      </c>
      <c r="J128" s="24">
        <v>2.1899999999999999E-2</v>
      </c>
      <c r="K128" s="23">
        <v>66.3</v>
      </c>
      <c r="L128" s="31">
        <f>IFERROR(G128*(1+J128)*(1-I128)*INDEX(tbl_fatores_emissao[Valor],MATCH(D128,tbl_fatores_emissao[ID_FE],0)),"")</f>
        <v>5.1575293000000011</v>
      </c>
      <c r="M128" s="31">
        <f>IFERROR(G128*(1+J128)*I128*INDEX(tbl_fatores_emissao[Valor],MATCH("FE-15",tbl_fatores_emissao[ID_FE],0)),"")</f>
        <v>0.63153420000000016</v>
      </c>
      <c r="N128" s="31">
        <f>IFERROR(K128*INDEX(tbl_fatores_emissao[Valor],MATCH("FE-01",tbl_fatores_emissao[ID_FE],0)),"")</f>
        <v>7.2930000000000001</v>
      </c>
      <c r="O128" s="31">
        <f t="shared" si="9"/>
        <v>13.0820635</v>
      </c>
      <c r="P128" s="31">
        <f t="shared" si="10"/>
        <v>13.0820635</v>
      </c>
      <c r="Q128" s="32">
        <f t="shared" si="11"/>
        <v>0.44251914080680016</v>
      </c>
    </row>
    <row r="129" spans="1:17" ht="18" customHeight="1" x14ac:dyDescent="0.3">
      <c r="A129" s="9" t="s">
        <v>524</v>
      </c>
      <c r="B129" s="9" t="s">
        <v>512</v>
      </c>
      <c r="C129" s="9" t="s">
        <v>405</v>
      </c>
      <c r="D129" s="9" t="s">
        <v>112</v>
      </c>
      <c r="E129" s="9" t="s">
        <v>383</v>
      </c>
      <c r="F129" s="26"/>
      <c r="G129" s="23">
        <v>12.1</v>
      </c>
      <c r="H129" s="9" t="s">
        <v>513</v>
      </c>
      <c r="I129" s="28">
        <v>0.02</v>
      </c>
      <c r="J129" s="24">
        <v>2.1899999999999999E-2</v>
      </c>
      <c r="K129" s="23">
        <v>66.3</v>
      </c>
      <c r="L129" s="31">
        <f>IFERROR(G129*(1+J129)*(1-I129)*INDEX(tbl_fatores_emissao[Valor],MATCH(D129,tbl_fatores_emissao[ID_FE],0)),"")</f>
        <v>26.658918440000004</v>
      </c>
      <c r="M129" s="31">
        <f>IFERROR(G129*(1+J129)*I129*INDEX(tbl_fatores_emissao[Valor],MATCH("FE-15",tbl_fatores_emissao[ID_FE],0)),"")</f>
        <v>0.7418994000000001</v>
      </c>
      <c r="N129" s="31">
        <f>IFERROR(K129*INDEX(tbl_fatores_emissao[Valor],MATCH("FE-01",tbl_fatores_emissao[ID_FE],0)),"")</f>
        <v>7.2930000000000001</v>
      </c>
      <c r="O129" s="31">
        <f t="shared" si="9"/>
        <v>34.693817840000008</v>
      </c>
      <c r="P129" s="31">
        <f t="shared" si="10"/>
        <v>34.693817840000008</v>
      </c>
      <c r="Q129" s="32">
        <f t="shared" si="11"/>
        <v>0.78978963821065584</v>
      </c>
    </row>
    <row r="130" spans="1:17" ht="18" customHeight="1" x14ac:dyDescent="0.3">
      <c r="A130" s="9" t="s">
        <v>525</v>
      </c>
      <c r="B130" s="9" t="s">
        <v>512</v>
      </c>
      <c r="C130" s="9" t="s">
        <v>382</v>
      </c>
      <c r="D130" s="9" t="s">
        <v>110</v>
      </c>
      <c r="E130" s="9" t="s">
        <v>383</v>
      </c>
      <c r="F130" s="26"/>
      <c r="G130" s="23">
        <v>15.9</v>
      </c>
      <c r="H130" s="9" t="s">
        <v>513</v>
      </c>
      <c r="I130" s="28">
        <v>0.02</v>
      </c>
      <c r="J130" s="24">
        <v>2.1899999999999999E-2</v>
      </c>
      <c r="K130" s="23">
        <v>66.3</v>
      </c>
      <c r="L130" s="31">
        <f>IFERROR(G130*(1+J130)*(1-I130)*INDEX(tbl_fatores_emissao[Valor],MATCH(D130,tbl_fatores_emissao[ID_FE],0)),"")</f>
        <v>28.661842440000001</v>
      </c>
      <c r="M130" s="31">
        <f>IFERROR(G130*(1+J130)*I130*INDEX(tbl_fatores_emissao[Valor],MATCH("FE-15",tbl_fatores_emissao[ID_FE],0)),"")</f>
        <v>0.97489260000000011</v>
      </c>
      <c r="N130" s="31">
        <f>IFERROR(K130*INDEX(tbl_fatores_emissao[Valor],MATCH("FE-01",tbl_fatores_emissao[ID_FE],0)),"")</f>
        <v>7.2930000000000001</v>
      </c>
      <c r="O130" s="31">
        <f t="shared" si="9"/>
        <v>36.929735040000004</v>
      </c>
      <c r="P130" s="31">
        <f t="shared" si="10"/>
        <v>36.929735040000004</v>
      </c>
      <c r="Q130" s="32">
        <f t="shared" si="11"/>
        <v>0.80251686094956609</v>
      </c>
    </row>
    <row r="131" spans="1:17" ht="18" customHeight="1" x14ac:dyDescent="0.3">
      <c r="A131" s="9" t="s">
        <v>526</v>
      </c>
      <c r="B131" s="9" t="s">
        <v>512</v>
      </c>
      <c r="C131" s="9" t="s">
        <v>409</v>
      </c>
      <c r="D131" s="9" t="s">
        <v>106</v>
      </c>
      <c r="E131" s="9" t="s">
        <v>383</v>
      </c>
      <c r="F131" s="26"/>
      <c r="G131" s="23">
        <v>14.3</v>
      </c>
      <c r="H131" s="9" t="s">
        <v>513</v>
      </c>
      <c r="I131" s="28">
        <v>0.02</v>
      </c>
      <c r="J131" s="24">
        <v>2.1899999999999999E-2</v>
      </c>
      <c r="K131" s="23">
        <v>66.3</v>
      </c>
      <c r="L131" s="31">
        <f>IFERROR(G131*(1+J131)*(1-I131)*INDEX(tbl_fatores_emissao[Valor],MATCH(D131,tbl_fatores_emissao[ID_FE],0)),"")</f>
        <v>22.913450560000005</v>
      </c>
      <c r="M131" s="31">
        <f>IFERROR(G131*(1+J131)*I131*INDEX(tbl_fatores_emissao[Valor],MATCH("FE-15",tbl_fatores_emissao[ID_FE],0)),"")</f>
        <v>0.87679020000000019</v>
      </c>
      <c r="N131" s="31">
        <f>IFERROR(K131*INDEX(tbl_fatores_emissao[Valor],MATCH("FE-01",tbl_fatores_emissao[ID_FE],0)),"")</f>
        <v>7.2930000000000001</v>
      </c>
      <c r="O131" s="31">
        <f t="shared" si="9"/>
        <v>31.083240760000002</v>
      </c>
      <c r="P131" s="31">
        <f t="shared" si="10"/>
        <v>31.083240760000002</v>
      </c>
      <c r="Q131" s="32">
        <f t="shared" si="11"/>
        <v>0.76537195537908265</v>
      </c>
    </row>
    <row r="132" spans="1:17" ht="18" customHeight="1" x14ac:dyDescent="0.3">
      <c r="A132" s="9" t="s">
        <v>527</v>
      </c>
      <c r="B132" s="9" t="s">
        <v>512</v>
      </c>
      <c r="C132" s="9" t="s">
        <v>412</v>
      </c>
      <c r="D132" s="9" t="s">
        <v>116</v>
      </c>
      <c r="E132" s="9" t="s">
        <v>387</v>
      </c>
      <c r="F132" s="26"/>
      <c r="G132" s="23">
        <v>14.3</v>
      </c>
      <c r="H132" s="9" t="s">
        <v>513</v>
      </c>
      <c r="I132" s="28">
        <v>0.02</v>
      </c>
      <c r="J132" s="24">
        <v>2.1899999999999999E-2</v>
      </c>
      <c r="K132" s="23">
        <v>66.3</v>
      </c>
      <c r="L132" s="31">
        <f>IFERROR(G132*(1+J132)*(1-I132)*INDEX(tbl_fatores_emissao[Valor],MATCH(D132,tbl_fatores_emissao[ID_FE],0)),"")</f>
        <v>7.1604533000000012</v>
      </c>
      <c r="M132" s="31">
        <f>IFERROR(G132*(1+J132)*I132*INDEX(tbl_fatores_emissao[Valor],MATCH("FE-15",tbl_fatores_emissao[ID_FE],0)),"")</f>
        <v>0.87679020000000019</v>
      </c>
      <c r="N132" s="31">
        <f>IFERROR(K132*INDEX(tbl_fatores_emissao[Valor],MATCH("FE-01",tbl_fatores_emissao[ID_FE],0)),"")</f>
        <v>7.2930000000000001</v>
      </c>
      <c r="O132" s="31">
        <f t="shared" si="9"/>
        <v>15.330243500000002</v>
      </c>
      <c r="P132" s="31">
        <f t="shared" si="10"/>
        <v>15.330243500000002</v>
      </c>
      <c r="Q132" s="32">
        <f t="shared" si="11"/>
        <v>0.52427370119724448</v>
      </c>
    </row>
    <row r="133" spans="1:17" ht="18" customHeight="1" x14ac:dyDescent="0.3">
      <c r="A133" s="9" t="s">
        <v>528</v>
      </c>
      <c r="B133" s="9" t="s">
        <v>512</v>
      </c>
      <c r="C133" s="9" t="s">
        <v>405</v>
      </c>
      <c r="D133" s="9" t="s">
        <v>112</v>
      </c>
      <c r="E133" s="9" t="s">
        <v>383</v>
      </c>
      <c r="F133" s="26"/>
      <c r="G133" s="23">
        <v>16.7</v>
      </c>
      <c r="H133" s="9" t="s">
        <v>513</v>
      </c>
      <c r="I133" s="28">
        <v>0.02</v>
      </c>
      <c r="J133" s="24">
        <v>2.1899999999999999E-2</v>
      </c>
      <c r="K133" s="23">
        <v>66.3</v>
      </c>
      <c r="L133" s="31">
        <f>IFERROR(G133*(1+J133)*(1-I133)*INDEX(tbl_fatores_emissao[Valor],MATCH(D133,tbl_fatores_emissao[ID_FE],0)),"")</f>
        <v>36.793713879999999</v>
      </c>
      <c r="M133" s="31">
        <f>IFERROR(G133*(1+J133)*I133*INDEX(tbl_fatores_emissao[Valor],MATCH("FE-15",tbl_fatores_emissao[ID_FE],0)),"")</f>
        <v>1.0239437999999998</v>
      </c>
      <c r="N133" s="31">
        <f>IFERROR(K133*INDEX(tbl_fatores_emissao[Valor],MATCH("FE-01",tbl_fatores_emissao[ID_FE],0)),"")</f>
        <v>7.2930000000000001</v>
      </c>
      <c r="O133" s="31">
        <f t="shared" ref="O133:O164" si="12">IFERROR(L133+M133+N133,"")</f>
        <v>45.110657679999996</v>
      </c>
      <c r="P133" s="31">
        <f t="shared" ref="P133:P164" si="13">IFERROR(O133,"")</f>
        <v>45.110657679999996</v>
      </c>
      <c r="Q133" s="32">
        <f t="shared" ref="Q133:Q153" si="14">IFERROR((L133+M133)/O133,"")</f>
        <v>0.83833088730973249</v>
      </c>
    </row>
    <row r="134" spans="1:17" ht="18" customHeight="1" x14ac:dyDescent="0.3">
      <c r="A134" s="9" t="s">
        <v>529</v>
      </c>
      <c r="B134" s="9" t="s">
        <v>512</v>
      </c>
      <c r="C134" s="9" t="s">
        <v>409</v>
      </c>
      <c r="D134" s="9" t="s">
        <v>106</v>
      </c>
      <c r="E134" s="9" t="s">
        <v>383</v>
      </c>
      <c r="F134" s="26"/>
      <c r="G134" s="23">
        <v>13.9</v>
      </c>
      <c r="H134" s="9" t="s">
        <v>513</v>
      </c>
      <c r="I134" s="28">
        <v>0.02</v>
      </c>
      <c r="J134" s="24">
        <v>2.1899999999999999E-2</v>
      </c>
      <c r="K134" s="23">
        <v>66.3</v>
      </c>
      <c r="L134" s="31">
        <f>IFERROR(G134*(1+J134)*(1-I134)*INDEX(tbl_fatores_emissao[Valor],MATCH(D134,tbl_fatores_emissao[ID_FE],0)),"")</f>
        <v>22.272514880000003</v>
      </c>
      <c r="M134" s="31">
        <f>IFERROR(G134*(1+J134)*I134*INDEX(tbl_fatores_emissao[Valor],MATCH("FE-15",tbl_fatores_emissao[ID_FE],0)),"")</f>
        <v>0.85226460000000004</v>
      </c>
      <c r="N134" s="31">
        <f>IFERROR(K134*INDEX(tbl_fatores_emissao[Valor],MATCH("FE-01",tbl_fatores_emissao[ID_FE],0)),"")</f>
        <v>7.2930000000000001</v>
      </c>
      <c r="O134" s="31">
        <f t="shared" si="12"/>
        <v>30.417779480000004</v>
      </c>
      <c r="P134" s="31">
        <f t="shared" si="13"/>
        <v>30.417779480000004</v>
      </c>
      <c r="Q134" s="32">
        <f t="shared" si="14"/>
        <v>0.76023890880018974</v>
      </c>
    </row>
    <row r="135" spans="1:17" ht="18" customHeight="1" x14ac:dyDescent="0.3">
      <c r="A135" s="9" t="s">
        <v>530</v>
      </c>
      <c r="B135" s="9" t="s">
        <v>512</v>
      </c>
      <c r="C135" s="9" t="s">
        <v>412</v>
      </c>
      <c r="D135" s="9" t="s">
        <v>116</v>
      </c>
      <c r="E135" s="9" t="s">
        <v>387</v>
      </c>
      <c r="F135" s="26"/>
      <c r="G135" s="23">
        <v>13.9</v>
      </c>
      <c r="H135" s="9" t="s">
        <v>513</v>
      </c>
      <c r="I135" s="28">
        <v>0.02</v>
      </c>
      <c r="J135" s="24">
        <v>2.1899999999999999E-2</v>
      </c>
      <c r="K135" s="23">
        <v>66.3</v>
      </c>
      <c r="L135" s="31">
        <f>IFERROR(G135*(1+J135)*(1-I135)*INDEX(tbl_fatores_emissao[Valor],MATCH(D135,tbl_fatores_emissao[ID_FE],0)),"")</f>
        <v>6.9601609</v>
      </c>
      <c r="M135" s="31">
        <f>IFERROR(G135*(1+J135)*I135*INDEX(tbl_fatores_emissao[Valor],MATCH("FE-15",tbl_fatores_emissao[ID_FE],0)),"")</f>
        <v>0.85226460000000004</v>
      </c>
      <c r="N135" s="31">
        <f>IFERROR(K135*INDEX(tbl_fatores_emissao[Valor],MATCH("FE-01",tbl_fatores_emissao[ID_FE],0)),"")</f>
        <v>7.2930000000000001</v>
      </c>
      <c r="O135" s="31">
        <f t="shared" si="12"/>
        <v>15.105425499999999</v>
      </c>
      <c r="P135" s="31">
        <f t="shared" si="13"/>
        <v>15.105425499999999</v>
      </c>
      <c r="Q135" s="32">
        <f t="shared" si="14"/>
        <v>0.51719334221998581</v>
      </c>
    </row>
    <row r="136" spans="1:17" ht="18" customHeight="1" x14ac:dyDescent="0.3">
      <c r="A136" s="9" t="s">
        <v>531</v>
      </c>
      <c r="B136" s="9" t="s">
        <v>512</v>
      </c>
      <c r="C136" s="9" t="s">
        <v>382</v>
      </c>
      <c r="D136" s="9" t="s">
        <v>110</v>
      </c>
      <c r="E136" s="9" t="s">
        <v>383</v>
      </c>
      <c r="F136" s="26"/>
      <c r="G136" s="23">
        <v>15.5</v>
      </c>
      <c r="H136" s="9" t="s">
        <v>513</v>
      </c>
      <c r="I136" s="28">
        <v>0.02</v>
      </c>
      <c r="J136" s="24">
        <v>2.1899999999999999E-2</v>
      </c>
      <c r="K136" s="23">
        <v>66.3</v>
      </c>
      <c r="L136" s="31">
        <f>IFERROR(G136*(1+J136)*(1-I136)*INDEX(tbl_fatores_emissao[Valor],MATCH(D136,tbl_fatores_emissao[ID_FE],0)),"")</f>
        <v>27.940789800000001</v>
      </c>
      <c r="M136" s="31">
        <f>IFERROR(G136*(1+J136)*I136*INDEX(tbl_fatores_emissao[Valor],MATCH("FE-15",tbl_fatores_emissao[ID_FE],0)),"")</f>
        <v>0.95036700000000018</v>
      </c>
      <c r="N136" s="31">
        <f>IFERROR(K136*INDEX(tbl_fatores_emissao[Valor],MATCH("FE-01",tbl_fatores_emissao[ID_FE],0)),"")</f>
        <v>7.2930000000000001</v>
      </c>
      <c r="O136" s="31">
        <f t="shared" si="12"/>
        <v>36.184156800000004</v>
      </c>
      <c r="P136" s="31">
        <f t="shared" si="13"/>
        <v>36.184156800000004</v>
      </c>
      <c r="Q136" s="32">
        <f t="shared" si="14"/>
        <v>0.79844770073514604</v>
      </c>
    </row>
    <row r="137" spans="1:17" ht="18" customHeight="1" x14ac:dyDescent="0.3">
      <c r="A137" s="9" t="s">
        <v>532</v>
      </c>
      <c r="B137" s="9" t="s">
        <v>512</v>
      </c>
      <c r="C137" s="9" t="s">
        <v>409</v>
      </c>
      <c r="D137" s="9" t="s">
        <v>106</v>
      </c>
      <c r="E137" s="9" t="s">
        <v>383</v>
      </c>
      <c r="F137" s="26"/>
      <c r="G137" s="23">
        <v>13.9</v>
      </c>
      <c r="H137" s="9" t="s">
        <v>513</v>
      </c>
      <c r="I137" s="28">
        <v>0.02</v>
      </c>
      <c r="J137" s="24">
        <v>2.1899999999999999E-2</v>
      </c>
      <c r="K137" s="23">
        <v>66.3</v>
      </c>
      <c r="L137" s="31">
        <f>IFERROR(G137*(1+J137)*(1-I137)*INDEX(tbl_fatores_emissao[Valor],MATCH(D137,tbl_fatores_emissao[ID_FE],0)),"")</f>
        <v>22.272514880000003</v>
      </c>
      <c r="M137" s="31">
        <f>IFERROR(G137*(1+J137)*I137*INDEX(tbl_fatores_emissao[Valor],MATCH("FE-15",tbl_fatores_emissao[ID_FE],0)),"")</f>
        <v>0.85226460000000004</v>
      </c>
      <c r="N137" s="31">
        <f>IFERROR(K137*INDEX(tbl_fatores_emissao[Valor],MATCH("FE-01",tbl_fatores_emissao[ID_FE],0)),"")</f>
        <v>7.2930000000000001</v>
      </c>
      <c r="O137" s="31">
        <f t="shared" si="12"/>
        <v>30.417779480000004</v>
      </c>
      <c r="P137" s="31">
        <f t="shared" si="13"/>
        <v>30.417779480000004</v>
      </c>
      <c r="Q137" s="32">
        <f t="shared" si="14"/>
        <v>0.76023890880018974</v>
      </c>
    </row>
    <row r="138" spans="1:17" ht="18" customHeight="1" x14ac:dyDescent="0.3">
      <c r="A138" s="9" t="s">
        <v>533</v>
      </c>
      <c r="B138" s="9" t="s">
        <v>512</v>
      </c>
      <c r="C138" s="9" t="s">
        <v>412</v>
      </c>
      <c r="D138" s="9" t="s">
        <v>116</v>
      </c>
      <c r="E138" s="9" t="s">
        <v>387</v>
      </c>
      <c r="F138" s="26"/>
      <c r="G138" s="23">
        <v>13.9</v>
      </c>
      <c r="H138" s="9" t="s">
        <v>513</v>
      </c>
      <c r="I138" s="28">
        <v>0.02</v>
      </c>
      <c r="J138" s="24">
        <v>2.1899999999999999E-2</v>
      </c>
      <c r="K138" s="23">
        <v>66.3</v>
      </c>
      <c r="L138" s="31">
        <f>IFERROR(G138*(1+J138)*(1-I138)*INDEX(tbl_fatores_emissao[Valor],MATCH(D138,tbl_fatores_emissao[ID_FE],0)),"")</f>
        <v>6.9601609</v>
      </c>
      <c r="M138" s="31">
        <f>IFERROR(G138*(1+J138)*I138*INDEX(tbl_fatores_emissao[Valor],MATCH("FE-15",tbl_fatores_emissao[ID_FE],0)),"")</f>
        <v>0.85226460000000004</v>
      </c>
      <c r="N138" s="31">
        <f>IFERROR(K138*INDEX(tbl_fatores_emissao[Valor],MATCH("FE-01",tbl_fatores_emissao[ID_FE],0)),"")</f>
        <v>7.2930000000000001</v>
      </c>
      <c r="O138" s="31">
        <f t="shared" si="12"/>
        <v>15.105425499999999</v>
      </c>
      <c r="P138" s="31">
        <f t="shared" si="13"/>
        <v>15.105425499999999</v>
      </c>
      <c r="Q138" s="32">
        <f t="shared" si="14"/>
        <v>0.51719334221998581</v>
      </c>
    </row>
    <row r="139" spans="1:17" ht="18" customHeight="1" x14ac:dyDescent="0.3">
      <c r="A139" s="9" t="s">
        <v>534</v>
      </c>
      <c r="B139" s="9" t="s">
        <v>512</v>
      </c>
      <c r="C139" s="9" t="s">
        <v>382</v>
      </c>
      <c r="D139" s="9" t="s">
        <v>110</v>
      </c>
      <c r="E139" s="9" t="s">
        <v>383</v>
      </c>
      <c r="F139" s="26"/>
      <c r="G139" s="23">
        <v>15.5</v>
      </c>
      <c r="H139" s="9" t="s">
        <v>513</v>
      </c>
      <c r="I139" s="28">
        <v>0.02</v>
      </c>
      <c r="J139" s="24">
        <v>2.1899999999999999E-2</v>
      </c>
      <c r="K139" s="23">
        <v>66.3</v>
      </c>
      <c r="L139" s="31">
        <f>IFERROR(G139*(1+J139)*(1-I139)*INDEX(tbl_fatores_emissao[Valor],MATCH(D139,tbl_fatores_emissao[ID_FE],0)),"")</f>
        <v>27.940789800000001</v>
      </c>
      <c r="M139" s="31">
        <f>IFERROR(G139*(1+J139)*I139*INDEX(tbl_fatores_emissao[Valor],MATCH("FE-15",tbl_fatores_emissao[ID_FE],0)),"")</f>
        <v>0.95036700000000018</v>
      </c>
      <c r="N139" s="31">
        <f>IFERROR(K139*INDEX(tbl_fatores_emissao[Valor],MATCH("FE-01",tbl_fatores_emissao[ID_FE],0)),"")</f>
        <v>7.2930000000000001</v>
      </c>
      <c r="O139" s="31">
        <f t="shared" si="12"/>
        <v>36.184156800000004</v>
      </c>
      <c r="P139" s="31">
        <f t="shared" si="13"/>
        <v>36.184156800000004</v>
      </c>
      <c r="Q139" s="32">
        <f t="shared" si="14"/>
        <v>0.79844770073514604</v>
      </c>
    </row>
    <row r="140" spans="1:17" ht="18" customHeight="1" x14ac:dyDescent="0.3">
      <c r="A140" s="9" t="s">
        <v>535</v>
      </c>
      <c r="B140" s="9" t="s">
        <v>512</v>
      </c>
      <c r="C140" s="9" t="s">
        <v>409</v>
      </c>
      <c r="D140" s="9" t="s">
        <v>106</v>
      </c>
      <c r="E140" s="9" t="s">
        <v>383</v>
      </c>
      <c r="F140" s="26"/>
      <c r="G140" s="23">
        <v>19.3</v>
      </c>
      <c r="H140" s="9" t="s">
        <v>513</v>
      </c>
      <c r="I140" s="28">
        <v>0.02</v>
      </c>
      <c r="J140" s="24">
        <v>2.1899999999999999E-2</v>
      </c>
      <c r="K140" s="23">
        <v>66.3</v>
      </c>
      <c r="L140" s="31">
        <f>IFERROR(G140*(1+J140)*(1-I140)*INDEX(tbl_fatores_emissao[Valor],MATCH(D140,tbl_fatores_emissao[ID_FE],0)),"")</f>
        <v>30.925146560000002</v>
      </c>
      <c r="M140" s="31">
        <f>IFERROR(G140*(1+J140)*I140*INDEX(tbl_fatores_emissao[Valor],MATCH("FE-15",tbl_fatores_emissao[ID_FE],0)),"")</f>
        <v>1.1833602000000001</v>
      </c>
      <c r="N140" s="31">
        <f>IFERROR(K140*INDEX(tbl_fatores_emissao[Valor],MATCH("FE-01",tbl_fatores_emissao[ID_FE],0)),"")</f>
        <v>7.2930000000000001</v>
      </c>
      <c r="O140" s="31">
        <f t="shared" si="12"/>
        <v>39.401506760000004</v>
      </c>
      <c r="P140" s="31">
        <f t="shared" si="13"/>
        <v>39.401506760000004</v>
      </c>
      <c r="Q140" s="32">
        <f t="shared" si="14"/>
        <v>0.81490555565748624</v>
      </c>
    </row>
    <row r="141" spans="1:17" ht="18" customHeight="1" x14ac:dyDescent="0.3">
      <c r="A141" s="9" t="s">
        <v>536</v>
      </c>
      <c r="B141" s="9" t="s">
        <v>512</v>
      </c>
      <c r="C141" s="9" t="s">
        <v>412</v>
      </c>
      <c r="D141" s="9" t="s">
        <v>116</v>
      </c>
      <c r="E141" s="9" t="s">
        <v>387</v>
      </c>
      <c r="F141" s="26"/>
      <c r="G141" s="23">
        <v>19.3</v>
      </c>
      <c r="H141" s="9" t="s">
        <v>513</v>
      </c>
      <c r="I141" s="28">
        <v>0.02</v>
      </c>
      <c r="J141" s="24">
        <v>2.1899999999999999E-2</v>
      </c>
      <c r="K141" s="23">
        <v>66.3</v>
      </c>
      <c r="L141" s="31">
        <f>IFERROR(G141*(1+J141)*(1-I141)*INDEX(tbl_fatores_emissao[Valor],MATCH(D141,tbl_fatores_emissao[ID_FE],0)),"")</f>
        <v>9.6641083000000005</v>
      </c>
      <c r="M141" s="31">
        <f>IFERROR(G141*(1+J141)*I141*INDEX(tbl_fatores_emissao[Valor],MATCH("FE-15",tbl_fatores_emissao[ID_FE],0)),"")</f>
        <v>1.1833602000000001</v>
      </c>
      <c r="N141" s="31">
        <f>IFERROR(K141*INDEX(tbl_fatores_emissao[Valor],MATCH("FE-01",tbl_fatores_emissao[ID_FE],0)),"")</f>
        <v>7.2930000000000001</v>
      </c>
      <c r="O141" s="31">
        <f t="shared" si="12"/>
        <v>18.140468500000001</v>
      </c>
      <c r="P141" s="31">
        <f t="shared" si="13"/>
        <v>18.140468500000001</v>
      </c>
      <c r="Q141" s="32">
        <f t="shared" si="14"/>
        <v>0.59797069188152452</v>
      </c>
    </row>
    <row r="142" spans="1:17" ht="18" customHeight="1" x14ac:dyDescent="0.3">
      <c r="A142" s="9" t="s">
        <v>537</v>
      </c>
      <c r="B142" s="9" t="s">
        <v>512</v>
      </c>
      <c r="C142" s="9" t="s">
        <v>382</v>
      </c>
      <c r="D142" s="9" t="s">
        <v>110</v>
      </c>
      <c r="E142" s="9" t="s">
        <v>383</v>
      </c>
      <c r="F142" s="26"/>
      <c r="G142" s="23">
        <v>21.4</v>
      </c>
      <c r="H142" s="9" t="s">
        <v>513</v>
      </c>
      <c r="I142" s="28">
        <v>0.02</v>
      </c>
      <c r="J142" s="24">
        <v>2.1899999999999999E-2</v>
      </c>
      <c r="K142" s="23">
        <v>66.3</v>
      </c>
      <c r="L142" s="31">
        <f>IFERROR(G142*(1+J142)*(1-I142)*INDEX(tbl_fatores_emissao[Valor],MATCH(D142,tbl_fatores_emissao[ID_FE],0)),"")</f>
        <v>38.576316239999997</v>
      </c>
      <c r="M142" s="31">
        <f>IFERROR(G142*(1+J142)*I142*INDEX(tbl_fatores_emissao[Valor],MATCH("FE-15",tbl_fatores_emissao[ID_FE],0)),"")</f>
        <v>1.3121195999999999</v>
      </c>
      <c r="N142" s="31">
        <f>IFERROR(K142*INDEX(tbl_fatores_emissao[Valor],MATCH("FE-01",tbl_fatores_emissao[ID_FE],0)),"")</f>
        <v>7.2930000000000001</v>
      </c>
      <c r="O142" s="31">
        <f t="shared" si="12"/>
        <v>47.181435839999999</v>
      </c>
      <c r="P142" s="31">
        <f t="shared" si="13"/>
        <v>47.181435839999999</v>
      </c>
      <c r="Q142" s="32">
        <f t="shared" si="14"/>
        <v>0.84542649306537088</v>
      </c>
    </row>
    <row r="143" spans="1:17" ht="18" customHeight="1" x14ac:dyDescent="0.3">
      <c r="A143" s="9" t="s">
        <v>538</v>
      </c>
      <c r="B143" s="9" t="s">
        <v>512</v>
      </c>
      <c r="C143" s="9" t="s">
        <v>409</v>
      </c>
      <c r="D143" s="9" t="s">
        <v>106</v>
      </c>
      <c r="E143" s="9" t="s">
        <v>383</v>
      </c>
      <c r="F143" s="26"/>
      <c r="G143" s="23">
        <v>19.3</v>
      </c>
      <c r="H143" s="9" t="s">
        <v>513</v>
      </c>
      <c r="I143" s="28">
        <v>0.02</v>
      </c>
      <c r="J143" s="24">
        <v>2.1899999999999999E-2</v>
      </c>
      <c r="K143" s="23">
        <v>66.3</v>
      </c>
      <c r="L143" s="31">
        <f>IFERROR(G143*(1+J143)*(1-I143)*INDEX(tbl_fatores_emissao[Valor],MATCH(D143,tbl_fatores_emissao[ID_FE],0)),"")</f>
        <v>30.925146560000002</v>
      </c>
      <c r="M143" s="31">
        <f>IFERROR(G143*(1+J143)*I143*INDEX(tbl_fatores_emissao[Valor],MATCH("FE-15",tbl_fatores_emissao[ID_FE],0)),"")</f>
        <v>1.1833602000000001</v>
      </c>
      <c r="N143" s="31">
        <f>IFERROR(K143*INDEX(tbl_fatores_emissao[Valor],MATCH("FE-01",tbl_fatores_emissao[ID_FE],0)),"")</f>
        <v>7.2930000000000001</v>
      </c>
      <c r="O143" s="31">
        <f t="shared" si="12"/>
        <v>39.401506760000004</v>
      </c>
      <c r="P143" s="31">
        <f t="shared" si="13"/>
        <v>39.401506760000004</v>
      </c>
      <c r="Q143" s="32">
        <f t="shared" si="14"/>
        <v>0.81490555565748624</v>
      </c>
    </row>
    <row r="144" spans="1:17" ht="18" customHeight="1" x14ac:dyDescent="0.3">
      <c r="A144" s="9" t="s">
        <v>539</v>
      </c>
      <c r="B144" s="9" t="s">
        <v>512</v>
      </c>
      <c r="C144" s="9" t="s">
        <v>412</v>
      </c>
      <c r="D144" s="9" t="s">
        <v>116</v>
      </c>
      <c r="E144" s="9" t="s">
        <v>387</v>
      </c>
      <c r="F144" s="26"/>
      <c r="G144" s="23">
        <v>19.3</v>
      </c>
      <c r="H144" s="9" t="s">
        <v>513</v>
      </c>
      <c r="I144" s="28">
        <v>0.02</v>
      </c>
      <c r="J144" s="24">
        <v>2.1899999999999999E-2</v>
      </c>
      <c r="K144" s="23">
        <v>66.3</v>
      </c>
      <c r="L144" s="31">
        <f>IFERROR(G144*(1+J144)*(1-I144)*INDEX(tbl_fatores_emissao[Valor],MATCH(D144,tbl_fatores_emissao[ID_FE],0)),"")</f>
        <v>9.6641083000000005</v>
      </c>
      <c r="M144" s="31">
        <f>IFERROR(G144*(1+J144)*I144*INDEX(tbl_fatores_emissao[Valor],MATCH("FE-15",tbl_fatores_emissao[ID_FE],0)),"")</f>
        <v>1.1833602000000001</v>
      </c>
      <c r="N144" s="31">
        <f>IFERROR(K144*INDEX(tbl_fatores_emissao[Valor],MATCH("FE-01",tbl_fatores_emissao[ID_FE],0)),"")</f>
        <v>7.2930000000000001</v>
      </c>
      <c r="O144" s="31">
        <f t="shared" si="12"/>
        <v>18.140468500000001</v>
      </c>
      <c r="P144" s="31">
        <f t="shared" si="13"/>
        <v>18.140468500000001</v>
      </c>
      <c r="Q144" s="32">
        <f t="shared" si="14"/>
        <v>0.59797069188152452</v>
      </c>
    </row>
    <row r="145" spans="1:17" ht="18" customHeight="1" x14ac:dyDescent="0.3">
      <c r="A145" s="9" t="s">
        <v>540</v>
      </c>
      <c r="B145" s="9" t="s">
        <v>512</v>
      </c>
      <c r="C145" s="9" t="s">
        <v>382</v>
      </c>
      <c r="D145" s="9" t="s">
        <v>110</v>
      </c>
      <c r="E145" s="9" t="s">
        <v>383</v>
      </c>
      <c r="F145" s="26"/>
      <c r="G145" s="23">
        <v>21.4</v>
      </c>
      <c r="H145" s="9" t="s">
        <v>513</v>
      </c>
      <c r="I145" s="28">
        <v>0.02</v>
      </c>
      <c r="J145" s="24">
        <v>2.1899999999999999E-2</v>
      </c>
      <c r="K145" s="23">
        <v>66.3</v>
      </c>
      <c r="L145" s="31">
        <f>IFERROR(G145*(1+J145)*(1-I145)*INDEX(tbl_fatores_emissao[Valor],MATCH(D145,tbl_fatores_emissao[ID_FE],0)),"")</f>
        <v>38.576316239999997</v>
      </c>
      <c r="M145" s="31">
        <f>IFERROR(G145*(1+J145)*I145*INDEX(tbl_fatores_emissao[Valor],MATCH("FE-15",tbl_fatores_emissao[ID_FE],0)),"")</f>
        <v>1.3121195999999999</v>
      </c>
      <c r="N145" s="31">
        <f>IFERROR(K145*INDEX(tbl_fatores_emissao[Valor],MATCH("FE-01",tbl_fatores_emissao[ID_FE],0)),"")</f>
        <v>7.2930000000000001</v>
      </c>
      <c r="O145" s="31">
        <f t="shared" si="12"/>
        <v>47.181435839999999</v>
      </c>
      <c r="P145" s="31">
        <f t="shared" si="13"/>
        <v>47.181435839999999</v>
      </c>
      <c r="Q145" s="32">
        <f t="shared" si="14"/>
        <v>0.84542649306537088</v>
      </c>
    </row>
    <row r="146" spans="1:17" ht="18" customHeight="1" x14ac:dyDescent="0.3">
      <c r="A146" s="9" t="s">
        <v>541</v>
      </c>
      <c r="B146" s="9" t="s">
        <v>512</v>
      </c>
      <c r="C146" s="9" t="s">
        <v>409</v>
      </c>
      <c r="D146" s="9" t="s">
        <v>106</v>
      </c>
      <c r="E146" s="9" t="s">
        <v>383</v>
      </c>
      <c r="F146" s="26"/>
      <c r="G146" s="23">
        <v>19.3</v>
      </c>
      <c r="H146" s="9" t="s">
        <v>513</v>
      </c>
      <c r="I146" s="28">
        <v>0.02</v>
      </c>
      <c r="J146" s="24">
        <v>2.1899999999999999E-2</v>
      </c>
      <c r="K146" s="23">
        <v>66.3</v>
      </c>
      <c r="L146" s="31">
        <f>IFERROR(G146*(1+J146)*(1-I146)*INDEX(tbl_fatores_emissao[Valor],MATCH(D146,tbl_fatores_emissao[ID_FE],0)),"")</f>
        <v>30.925146560000002</v>
      </c>
      <c r="M146" s="31">
        <f>IFERROR(G146*(1+J146)*I146*INDEX(tbl_fatores_emissao[Valor],MATCH("FE-15",tbl_fatores_emissao[ID_FE],0)),"")</f>
        <v>1.1833602000000001</v>
      </c>
      <c r="N146" s="31">
        <f>IFERROR(K146*INDEX(tbl_fatores_emissao[Valor],MATCH("FE-01",tbl_fatores_emissao[ID_FE],0)),"")</f>
        <v>7.2930000000000001</v>
      </c>
      <c r="O146" s="31">
        <f t="shared" si="12"/>
        <v>39.401506760000004</v>
      </c>
      <c r="P146" s="31">
        <f t="shared" si="13"/>
        <v>39.401506760000004</v>
      </c>
      <c r="Q146" s="32">
        <f t="shared" si="14"/>
        <v>0.81490555565748624</v>
      </c>
    </row>
    <row r="147" spans="1:17" ht="18" customHeight="1" x14ac:dyDescent="0.3">
      <c r="A147" s="9" t="s">
        <v>542</v>
      </c>
      <c r="B147" s="9" t="s">
        <v>512</v>
      </c>
      <c r="C147" s="9" t="s">
        <v>412</v>
      </c>
      <c r="D147" s="9" t="s">
        <v>116</v>
      </c>
      <c r="E147" s="9" t="s">
        <v>387</v>
      </c>
      <c r="F147" s="26"/>
      <c r="G147" s="23">
        <v>19.3</v>
      </c>
      <c r="H147" s="9" t="s">
        <v>513</v>
      </c>
      <c r="I147" s="28">
        <v>0.02</v>
      </c>
      <c r="J147" s="24">
        <v>2.1899999999999999E-2</v>
      </c>
      <c r="K147" s="23">
        <v>66.3</v>
      </c>
      <c r="L147" s="31">
        <f>IFERROR(G147*(1+J147)*(1-I147)*INDEX(tbl_fatores_emissao[Valor],MATCH(D147,tbl_fatores_emissao[ID_FE],0)),"")</f>
        <v>9.6641083000000005</v>
      </c>
      <c r="M147" s="31">
        <f>IFERROR(G147*(1+J147)*I147*INDEX(tbl_fatores_emissao[Valor],MATCH("FE-15",tbl_fatores_emissao[ID_FE],0)),"")</f>
        <v>1.1833602000000001</v>
      </c>
      <c r="N147" s="31">
        <f>IFERROR(K147*INDEX(tbl_fatores_emissao[Valor],MATCH("FE-01",tbl_fatores_emissao[ID_FE],0)),"")</f>
        <v>7.2930000000000001</v>
      </c>
      <c r="O147" s="31">
        <f t="shared" si="12"/>
        <v>18.140468500000001</v>
      </c>
      <c r="P147" s="31">
        <f t="shared" si="13"/>
        <v>18.140468500000001</v>
      </c>
      <c r="Q147" s="32">
        <f t="shared" si="14"/>
        <v>0.59797069188152452</v>
      </c>
    </row>
    <row r="148" spans="1:17" ht="18" customHeight="1" x14ac:dyDescent="0.3">
      <c r="A148" s="9" t="s">
        <v>543</v>
      </c>
      <c r="B148" s="9" t="s">
        <v>512</v>
      </c>
      <c r="C148" s="9" t="s">
        <v>382</v>
      </c>
      <c r="D148" s="9" t="s">
        <v>110</v>
      </c>
      <c r="E148" s="9" t="s">
        <v>383</v>
      </c>
      <c r="F148" s="26"/>
      <c r="G148" s="23">
        <v>21.4</v>
      </c>
      <c r="H148" s="9" t="s">
        <v>513</v>
      </c>
      <c r="I148" s="28">
        <v>0.02</v>
      </c>
      <c r="J148" s="24">
        <v>2.1899999999999999E-2</v>
      </c>
      <c r="K148" s="23">
        <v>66.3</v>
      </c>
      <c r="L148" s="31">
        <f>IFERROR(G148*(1+J148)*(1-I148)*INDEX(tbl_fatores_emissao[Valor],MATCH(D148,tbl_fatores_emissao[ID_FE],0)),"")</f>
        <v>38.576316239999997</v>
      </c>
      <c r="M148" s="31">
        <f>IFERROR(G148*(1+J148)*I148*INDEX(tbl_fatores_emissao[Valor],MATCH("FE-15",tbl_fatores_emissao[ID_FE],0)),"")</f>
        <v>1.3121195999999999</v>
      </c>
      <c r="N148" s="31">
        <f>IFERROR(K148*INDEX(tbl_fatores_emissao[Valor],MATCH("FE-01",tbl_fatores_emissao[ID_FE],0)),"")</f>
        <v>7.2930000000000001</v>
      </c>
      <c r="O148" s="31">
        <f t="shared" si="12"/>
        <v>47.181435839999999</v>
      </c>
      <c r="P148" s="31">
        <f t="shared" si="13"/>
        <v>47.181435839999999</v>
      </c>
      <c r="Q148" s="32">
        <f t="shared" si="14"/>
        <v>0.84542649306537088</v>
      </c>
    </row>
    <row r="149" spans="1:17" ht="18" customHeight="1" x14ac:dyDescent="0.3">
      <c r="A149" s="9" t="s">
        <v>544</v>
      </c>
      <c r="B149" s="9" t="s">
        <v>512</v>
      </c>
      <c r="C149" s="9" t="s">
        <v>502</v>
      </c>
      <c r="D149" s="9" t="s">
        <v>106</v>
      </c>
      <c r="E149" s="9" t="s">
        <v>383</v>
      </c>
      <c r="F149" s="26"/>
      <c r="G149" s="23">
        <v>11.5</v>
      </c>
      <c r="H149" s="9" t="s">
        <v>513</v>
      </c>
      <c r="I149" s="28">
        <v>0.02</v>
      </c>
      <c r="J149" s="24">
        <v>2.1899999999999999E-2</v>
      </c>
      <c r="K149" s="23">
        <v>66.3</v>
      </c>
      <c r="L149" s="31">
        <f>IFERROR(G149*(1+J149)*(1-I149)*INDEX(tbl_fatores_emissao[Valor],MATCH(D149,tbl_fatores_emissao[ID_FE],0)),"")</f>
        <v>18.426900800000002</v>
      </c>
      <c r="M149" s="31">
        <f>IFERROR(G149*(1+J149)*I149*INDEX(tbl_fatores_emissao[Valor],MATCH("FE-15",tbl_fatores_emissao[ID_FE],0)),"")</f>
        <v>0.70511100000000004</v>
      </c>
      <c r="N149" s="31">
        <f>IFERROR(K149*INDEX(tbl_fatores_emissao[Valor],MATCH("FE-01",tbl_fatores_emissao[ID_FE],0)),"")</f>
        <v>7.2930000000000001</v>
      </c>
      <c r="O149" s="31">
        <f t="shared" si="12"/>
        <v>26.4250118</v>
      </c>
      <c r="P149" s="31">
        <f t="shared" si="13"/>
        <v>26.4250118</v>
      </c>
      <c r="Q149" s="32">
        <f t="shared" si="14"/>
        <v>0.72401147612732575</v>
      </c>
    </row>
    <row r="150" spans="1:17" ht="18" customHeight="1" x14ac:dyDescent="0.3">
      <c r="A150" s="9" t="s">
        <v>545</v>
      </c>
      <c r="B150" s="9" t="s">
        <v>512</v>
      </c>
      <c r="C150" s="9" t="s">
        <v>409</v>
      </c>
      <c r="D150" s="9" t="s">
        <v>106</v>
      </c>
      <c r="E150" s="9" t="s">
        <v>383</v>
      </c>
      <c r="F150" s="26"/>
      <c r="G150" s="23">
        <v>16.5</v>
      </c>
      <c r="H150" s="9" t="s">
        <v>513</v>
      </c>
      <c r="I150" s="28">
        <v>0.02</v>
      </c>
      <c r="J150" s="24">
        <v>2.1899999999999999E-2</v>
      </c>
      <c r="K150" s="23">
        <v>66.3</v>
      </c>
      <c r="L150" s="31">
        <f>IFERROR(G150*(1+J150)*(1-I150)*INDEX(tbl_fatores_emissao[Valor],MATCH(D150,tbl_fatores_emissao[ID_FE],0)),"")</f>
        <v>26.438596800000006</v>
      </c>
      <c r="M150" s="31">
        <f>IFERROR(G150*(1+J150)*I150*INDEX(tbl_fatores_emissao[Valor],MATCH("FE-15",tbl_fatores_emissao[ID_FE],0)),"")</f>
        <v>1.0116810000000003</v>
      </c>
      <c r="N150" s="31">
        <f>IFERROR(K150*INDEX(tbl_fatores_emissao[Valor],MATCH("FE-01",tbl_fatores_emissao[ID_FE],0)),"")</f>
        <v>7.2930000000000001</v>
      </c>
      <c r="O150" s="31">
        <f t="shared" si="12"/>
        <v>34.743277800000008</v>
      </c>
      <c r="P150" s="31">
        <f t="shared" si="13"/>
        <v>34.743277800000008</v>
      </c>
      <c r="Q150" s="32">
        <f t="shared" si="14"/>
        <v>0.7900888902313068</v>
      </c>
    </row>
    <row r="151" spans="1:17" ht="18" customHeight="1" x14ac:dyDescent="0.3">
      <c r="A151" s="9" t="s">
        <v>546</v>
      </c>
      <c r="B151" s="9" t="s">
        <v>512</v>
      </c>
      <c r="C151" s="9" t="s">
        <v>502</v>
      </c>
      <c r="D151" s="9" t="s">
        <v>106</v>
      </c>
      <c r="E151" s="9" t="s">
        <v>383</v>
      </c>
      <c r="F151" s="26"/>
      <c r="G151" s="23">
        <v>16.5</v>
      </c>
      <c r="H151" s="9" t="s">
        <v>513</v>
      </c>
      <c r="I151" s="28">
        <v>0.02</v>
      </c>
      <c r="J151" s="24">
        <v>2.1899999999999999E-2</v>
      </c>
      <c r="K151" s="23">
        <v>66.3</v>
      </c>
      <c r="L151" s="31">
        <f>IFERROR(G151*(1+J151)*(1-I151)*INDEX(tbl_fatores_emissao[Valor],MATCH(D151,tbl_fatores_emissao[ID_FE],0)),"")</f>
        <v>26.438596800000006</v>
      </c>
      <c r="M151" s="31">
        <f>IFERROR(G151*(1+J151)*I151*INDEX(tbl_fatores_emissao[Valor],MATCH("FE-15",tbl_fatores_emissao[ID_FE],0)),"")</f>
        <v>1.0116810000000003</v>
      </c>
      <c r="N151" s="31">
        <f>IFERROR(K151*INDEX(tbl_fatores_emissao[Valor],MATCH("FE-01",tbl_fatores_emissao[ID_FE],0)),"")</f>
        <v>7.2930000000000001</v>
      </c>
      <c r="O151" s="31">
        <f t="shared" si="12"/>
        <v>34.743277800000008</v>
      </c>
      <c r="P151" s="31">
        <f t="shared" si="13"/>
        <v>34.743277800000008</v>
      </c>
      <c r="Q151" s="32">
        <f t="shared" si="14"/>
        <v>0.7900888902313068</v>
      </c>
    </row>
    <row r="152" spans="1:17" ht="18" customHeight="1" x14ac:dyDescent="0.3">
      <c r="A152" s="9" t="s">
        <v>547</v>
      </c>
      <c r="B152" s="9" t="s">
        <v>512</v>
      </c>
      <c r="C152" s="9" t="s">
        <v>496</v>
      </c>
      <c r="D152" s="9" t="s">
        <v>110</v>
      </c>
      <c r="E152" s="9" t="s">
        <v>383</v>
      </c>
      <c r="F152" s="26"/>
      <c r="G152" s="23">
        <v>15.9</v>
      </c>
      <c r="H152" s="9" t="s">
        <v>513</v>
      </c>
      <c r="I152" s="28">
        <v>0.02</v>
      </c>
      <c r="J152" s="24">
        <v>2.1899999999999999E-2</v>
      </c>
      <c r="K152" s="23">
        <v>66.3</v>
      </c>
      <c r="L152" s="31">
        <f>IFERROR(G152*(1+J152)*(1-I152)*INDEX(tbl_fatores_emissao[Valor],MATCH(D152,tbl_fatores_emissao[ID_FE],0)),"")</f>
        <v>28.661842440000001</v>
      </c>
      <c r="M152" s="31">
        <f>IFERROR(G152*(1+J152)*I152*INDEX(tbl_fatores_emissao[Valor],MATCH("FE-15",tbl_fatores_emissao[ID_FE],0)),"")</f>
        <v>0.97489260000000011</v>
      </c>
      <c r="N152" s="31">
        <f>IFERROR(K152*INDEX(tbl_fatores_emissao[Valor],MATCH("FE-01",tbl_fatores_emissao[ID_FE],0)),"")</f>
        <v>7.2930000000000001</v>
      </c>
      <c r="O152" s="31">
        <f t="shared" si="12"/>
        <v>36.929735040000004</v>
      </c>
      <c r="P152" s="31">
        <f t="shared" si="13"/>
        <v>36.929735040000004</v>
      </c>
      <c r="Q152" s="32">
        <f t="shared" si="14"/>
        <v>0.80251686094956609</v>
      </c>
    </row>
    <row r="153" spans="1:17" ht="18" customHeight="1" x14ac:dyDescent="0.3">
      <c r="A153" s="9" t="s">
        <v>548</v>
      </c>
      <c r="B153" s="9" t="s">
        <v>512</v>
      </c>
      <c r="C153" s="9" t="s">
        <v>498</v>
      </c>
      <c r="D153" s="9" t="s">
        <v>106</v>
      </c>
      <c r="E153" s="9" t="s">
        <v>383</v>
      </c>
      <c r="F153" s="26"/>
      <c r="G153" s="23">
        <v>15.9</v>
      </c>
      <c r="H153" s="9" t="s">
        <v>513</v>
      </c>
      <c r="I153" s="28">
        <v>0.02</v>
      </c>
      <c r="J153" s="24">
        <v>2.1899999999999999E-2</v>
      </c>
      <c r="K153" s="23">
        <v>66.3</v>
      </c>
      <c r="L153" s="31">
        <f>IFERROR(G153*(1+J153)*(1-I153)*INDEX(tbl_fatores_emissao[Valor],MATCH(D153,tbl_fatores_emissao[ID_FE],0)),"")</f>
        <v>25.477193280000002</v>
      </c>
      <c r="M153" s="31">
        <f>IFERROR(G153*(1+J153)*I153*INDEX(tbl_fatores_emissao[Valor],MATCH("FE-15",tbl_fatores_emissao[ID_FE],0)),"")</f>
        <v>0.97489260000000011</v>
      </c>
      <c r="N153" s="31">
        <f>IFERROR(K153*INDEX(tbl_fatores_emissao[Valor],MATCH("FE-01",tbl_fatores_emissao[ID_FE],0)),"")</f>
        <v>7.2930000000000001</v>
      </c>
      <c r="O153" s="31">
        <f t="shared" si="12"/>
        <v>33.745085880000005</v>
      </c>
      <c r="P153" s="31">
        <f t="shared" si="13"/>
        <v>33.745085880000005</v>
      </c>
      <c r="Q153" s="32">
        <f t="shared" si="14"/>
        <v>0.78387964321873582</v>
      </c>
    </row>
  </sheetData>
  <conditionalFormatting sqref="E5:E353">
    <cfRule type="expression" dxfId="7" priority="1">
      <formula>ISNUMBER(SEARCH("Sim",E5))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5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3" customWidth="1"/>
    <col min="3" max="3" width="40" customWidth="1"/>
    <col min="4" max="4" width="14" customWidth="1"/>
    <col min="5" max="5" width="11" customWidth="1"/>
    <col min="6" max="7" width="10" customWidth="1"/>
    <col min="8" max="8" width="8" customWidth="1"/>
    <col min="9" max="9" width="12" customWidth="1"/>
    <col min="10" max="10" width="16" customWidth="1"/>
    <col min="11" max="11" width="28" customWidth="1"/>
    <col min="12" max="12" width="10" customWidth="1"/>
  </cols>
  <sheetData>
    <row r="1" spans="1:12" ht="17.399999999999999" x14ac:dyDescent="0.3">
      <c r="A1" s="1" t="s">
        <v>549</v>
      </c>
    </row>
    <row r="2" spans="1:12" x14ac:dyDescent="0.3">
      <c r="A2" s="2" t="s">
        <v>550</v>
      </c>
    </row>
    <row r="4" spans="1:12" ht="26.4" x14ac:dyDescent="0.3">
      <c r="A4" s="8" t="s">
        <v>551</v>
      </c>
      <c r="B4" s="8" t="s">
        <v>552</v>
      </c>
      <c r="C4" s="8" t="s">
        <v>311</v>
      </c>
      <c r="D4" s="8" t="s">
        <v>77</v>
      </c>
      <c r="E4" s="8" t="s">
        <v>78</v>
      </c>
      <c r="F4" s="8" t="s">
        <v>553</v>
      </c>
      <c r="G4" s="8" t="s">
        <v>554</v>
      </c>
      <c r="H4" s="8" t="s">
        <v>555</v>
      </c>
      <c r="I4" s="8" t="s">
        <v>556</v>
      </c>
      <c r="J4" s="8" t="s">
        <v>557</v>
      </c>
      <c r="K4" s="8" t="s">
        <v>180</v>
      </c>
      <c r="L4" s="8" t="s">
        <v>14</v>
      </c>
    </row>
    <row r="5" spans="1:12" ht="30" customHeight="1" x14ac:dyDescent="0.3">
      <c r="A5" s="9" t="s">
        <v>558</v>
      </c>
      <c r="B5" s="9" t="s">
        <v>559</v>
      </c>
      <c r="C5" s="9" t="s">
        <v>560</v>
      </c>
      <c r="D5" s="16">
        <v>7781.4</v>
      </c>
      <c r="E5" s="9" t="s">
        <v>561</v>
      </c>
      <c r="F5" s="9" t="s">
        <v>562</v>
      </c>
      <c r="G5" s="9" t="s">
        <v>563</v>
      </c>
      <c r="H5" s="9" t="s">
        <v>564</v>
      </c>
      <c r="I5" s="9" t="s">
        <v>565</v>
      </c>
      <c r="J5" s="9" t="s">
        <v>566</v>
      </c>
      <c r="K5" s="9" t="s">
        <v>232</v>
      </c>
      <c r="L5" s="9" t="s">
        <v>567</v>
      </c>
    </row>
    <row r="6" spans="1:12" ht="30" customHeight="1" x14ac:dyDescent="0.3">
      <c r="A6" s="9" t="s">
        <v>568</v>
      </c>
      <c r="B6" s="9" t="s">
        <v>559</v>
      </c>
      <c r="C6" s="9" t="s">
        <v>569</v>
      </c>
      <c r="D6" s="16">
        <v>4279.8</v>
      </c>
      <c r="E6" s="9" t="s">
        <v>561</v>
      </c>
      <c r="F6" s="9" t="s">
        <v>562</v>
      </c>
      <c r="G6" s="9" t="s">
        <v>563</v>
      </c>
      <c r="H6" s="9" t="s">
        <v>564</v>
      </c>
      <c r="I6" s="9" t="s">
        <v>565</v>
      </c>
      <c r="J6" s="9" t="s">
        <v>570</v>
      </c>
      <c r="K6" s="9" t="s">
        <v>571</v>
      </c>
      <c r="L6" s="9" t="s">
        <v>567</v>
      </c>
    </row>
    <row r="7" spans="1:12" ht="30" customHeight="1" x14ac:dyDescent="0.3">
      <c r="A7" s="9" t="s">
        <v>572</v>
      </c>
      <c r="B7" s="9" t="s">
        <v>559</v>
      </c>
      <c r="C7" s="9" t="s">
        <v>573</v>
      </c>
      <c r="D7" s="16">
        <v>0.55000000000000004</v>
      </c>
      <c r="E7" s="9" t="s">
        <v>352</v>
      </c>
      <c r="F7" s="9" t="s">
        <v>562</v>
      </c>
      <c r="G7" s="9" t="s">
        <v>563</v>
      </c>
      <c r="H7" s="9" t="s">
        <v>564</v>
      </c>
      <c r="I7" s="9" t="s">
        <v>565</v>
      </c>
      <c r="J7" s="9" t="s">
        <v>570</v>
      </c>
      <c r="K7" s="9" t="s">
        <v>571</v>
      </c>
      <c r="L7" s="9" t="s">
        <v>567</v>
      </c>
    </row>
    <row r="8" spans="1:12" ht="30" customHeight="1" x14ac:dyDescent="0.3">
      <c r="A8" s="9" t="s">
        <v>574</v>
      </c>
      <c r="B8" s="9" t="s">
        <v>559</v>
      </c>
      <c r="C8" s="9" t="s">
        <v>575</v>
      </c>
      <c r="D8" s="16">
        <v>106.5</v>
      </c>
      <c r="E8" s="9" t="s">
        <v>576</v>
      </c>
      <c r="F8" s="9" t="s">
        <v>287</v>
      </c>
      <c r="G8" s="9" t="s">
        <v>563</v>
      </c>
      <c r="H8" s="9" t="s">
        <v>577</v>
      </c>
      <c r="I8" s="9" t="s">
        <v>287</v>
      </c>
      <c r="J8" s="9" t="s">
        <v>578</v>
      </c>
      <c r="K8" s="9" t="s">
        <v>579</v>
      </c>
      <c r="L8" s="9" t="s">
        <v>567</v>
      </c>
    </row>
    <row r="9" spans="1:12" ht="30" customHeight="1" x14ac:dyDescent="0.3">
      <c r="A9" s="9" t="s">
        <v>580</v>
      </c>
      <c r="B9" s="9" t="s">
        <v>581</v>
      </c>
      <c r="C9" s="9" t="s">
        <v>582</v>
      </c>
      <c r="D9" s="16">
        <f>SUMIFS(tbl_inventario_gee[tCO2e],tbl_inventario_gee[Ambito],"1",tbl_inventario_gee[Ano],2026)</f>
        <v>9.1180000000000021</v>
      </c>
      <c r="E9" s="9" t="s">
        <v>178</v>
      </c>
      <c r="F9" s="9" t="s">
        <v>562</v>
      </c>
      <c r="G9" s="9" t="s">
        <v>583</v>
      </c>
      <c r="H9" s="9" t="s">
        <v>584</v>
      </c>
      <c r="I9" s="9" t="s">
        <v>585</v>
      </c>
      <c r="J9" s="9" t="s">
        <v>586</v>
      </c>
      <c r="K9" s="9" t="s">
        <v>587</v>
      </c>
      <c r="L9" s="9" t="s">
        <v>567</v>
      </c>
    </row>
    <row r="10" spans="1:12" ht="30" customHeight="1" x14ac:dyDescent="0.3">
      <c r="A10" s="9" t="s">
        <v>588</v>
      </c>
      <c r="B10" s="9" t="s">
        <v>581</v>
      </c>
      <c r="C10" s="9" t="s">
        <v>589</v>
      </c>
      <c r="D10" s="16">
        <f>SUMIFS(tbl_inventario_gee[tCO2e],tbl_inventario_gee[Ambito],"2",tbl_inventario_gee[Ano],2026,tbl_inventario_gee[Metodo_Ambito2],"Location-based")</f>
        <v>855.95099999999979</v>
      </c>
      <c r="E10" s="9" t="s">
        <v>178</v>
      </c>
      <c r="F10" s="9" t="s">
        <v>562</v>
      </c>
      <c r="G10" s="9" t="s">
        <v>583</v>
      </c>
      <c r="H10" s="9" t="s">
        <v>590</v>
      </c>
      <c r="I10" s="9" t="s">
        <v>287</v>
      </c>
      <c r="J10" s="9" t="s">
        <v>586</v>
      </c>
      <c r="K10" s="9" t="s">
        <v>587</v>
      </c>
      <c r="L10" s="9" t="s">
        <v>567</v>
      </c>
    </row>
    <row r="11" spans="1:12" ht="30" customHeight="1" x14ac:dyDescent="0.3">
      <c r="A11" s="9" t="s">
        <v>591</v>
      </c>
      <c r="B11" s="9" t="s">
        <v>581</v>
      </c>
      <c r="C11" s="9" t="s">
        <v>592</v>
      </c>
      <c r="D11" s="16">
        <f>SUMIFS(tbl_inventario_gee[tCO2e],tbl_inventario_gee[Ambito],"2",tbl_inventario_gee[Ano],2026,tbl_inventario_gee[Metodo_Ambito2],"Market-based")</f>
        <v>875.40499999999997</v>
      </c>
      <c r="E11" s="9" t="s">
        <v>178</v>
      </c>
      <c r="F11" s="9" t="s">
        <v>562</v>
      </c>
      <c r="G11" s="9" t="s">
        <v>583</v>
      </c>
      <c r="H11" s="9" t="s">
        <v>590</v>
      </c>
      <c r="I11" s="9" t="s">
        <v>287</v>
      </c>
      <c r="J11" s="9" t="s">
        <v>586</v>
      </c>
      <c r="K11" s="9" t="s">
        <v>587</v>
      </c>
      <c r="L11" s="9" t="s">
        <v>194</v>
      </c>
    </row>
    <row r="12" spans="1:12" ht="30" customHeight="1" x14ac:dyDescent="0.3">
      <c r="A12" s="9" t="s">
        <v>593</v>
      </c>
      <c r="B12" s="9" t="s">
        <v>581</v>
      </c>
      <c r="C12" s="9" t="s">
        <v>594</v>
      </c>
      <c r="D12" s="16">
        <f>SUMIFS(tbl_inventario_gee[tCO2e],tbl_inventario_gee[Ambito],"3",tbl_inventario_gee[Ano],2026)</f>
        <v>2847.0039999999995</v>
      </c>
      <c r="E12" s="9" t="s">
        <v>178</v>
      </c>
      <c r="F12" s="9" t="s">
        <v>595</v>
      </c>
      <c r="G12" s="9" t="s">
        <v>583</v>
      </c>
      <c r="H12" s="9" t="s">
        <v>596</v>
      </c>
      <c r="I12" s="9" t="s">
        <v>287</v>
      </c>
      <c r="J12" s="9" t="s">
        <v>597</v>
      </c>
      <c r="K12" s="9" t="s">
        <v>587</v>
      </c>
      <c r="L12" s="9" t="s">
        <v>194</v>
      </c>
    </row>
    <row r="13" spans="1:12" ht="30" customHeight="1" x14ac:dyDescent="0.3">
      <c r="A13" s="9" t="s">
        <v>598</v>
      </c>
      <c r="B13" s="9" t="s">
        <v>581</v>
      </c>
      <c r="C13" s="9" t="s">
        <v>599</v>
      </c>
      <c r="D13" s="16">
        <f>calc_TOT_MB_base/3.68</f>
        <v>934.19103260869542</v>
      </c>
      <c r="E13" s="9" t="s">
        <v>600</v>
      </c>
      <c r="F13" s="9" t="s">
        <v>562</v>
      </c>
      <c r="G13" s="9" t="s">
        <v>583</v>
      </c>
      <c r="H13" s="9" t="s">
        <v>601</v>
      </c>
      <c r="I13" s="9" t="s">
        <v>287</v>
      </c>
      <c r="J13" s="9" t="s">
        <v>602</v>
      </c>
      <c r="K13" s="9" t="s">
        <v>32</v>
      </c>
      <c r="L13" s="9" t="s">
        <v>194</v>
      </c>
    </row>
    <row r="14" spans="1:12" ht="30" customHeight="1" x14ac:dyDescent="0.3">
      <c r="A14" s="9" t="s">
        <v>603</v>
      </c>
      <c r="B14" s="9" t="s">
        <v>581</v>
      </c>
      <c r="C14" s="9" t="s">
        <v>604</v>
      </c>
      <c r="D14" s="16">
        <f>COUNTA(tbl_metas_clima[ID_Meta])</f>
        <v>5</v>
      </c>
      <c r="E14" s="9" t="s">
        <v>605</v>
      </c>
      <c r="F14" s="9" t="s">
        <v>595</v>
      </c>
      <c r="G14" s="9" t="s">
        <v>606</v>
      </c>
      <c r="H14" s="9" t="s">
        <v>607</v>
      </c>
      <c r="I14" s="9" t="s">
        <v>287</v>
      </c>
      <c r="J14" s="9" t="s">
        <v>608</v>
      </c>
      <c r="K14" s="9" t="s">
        <v>609</v>
      </c>
      <c r="L14" s="9" t="s">
        <v>610</v>
      </c>
    </row>
    <row r="15" spans="1:12" ht="30" customHeight="1" x14ac:dyDescent="0.3">
      <c r="A15" s="9" t="s">
        <v>611</v>
      </c>
      <c r="B15" s="9" t="s">
        <v>581</v>
      </c>
      <c r="C15" s="9" t="s">
        <v>612</v>
      </c>
      <c r="D15" s="16" t="s">
        <v>613</v>
      </c>
      <c r="E15" s="9" t="s">
        <v>614</v>
      </c>
      <c r="F15" s="9" t="s">
        <v>595</v>
      </c>
      <c r="G15" s="9" t="s">
        <v>615</v>
      </c>
      <c r="H15" s="9" t="s">
        <v>287</v>
      </c>
      <c r="I15" s="9" t="s">
        <v>287</v>
      </c>
      <c r="J15" s="9" t="s">
        <v>616</v>
      </c>
      <c r="K15" s="9" t="s">
        <v>617</v>
      </c>
      <c r="L15" s="9" t="s">
        <v>610</v>
      </c>
    </row>
    <row r="16" spans="1:12" ht="30" customHeight="1" x14ac:dyDescent="0.3">
      <c r="A16" s="9" t="s">
        <v>618</v>
      </c>
      <c r="B16" s="9" t="s">
        <v>619</v>
      </c>
      <c r="C16" s="9" t="s">
        <v>620</v>
      </c>
      <c r="D16" s="16">
        <v>1.95</v>
      </c>
      <c r="E16" s="9" t="s">
        <v>621</v>
      </c>
      <c r="F16" s="9" t="s">
        <v>622</v>
      </c>
      <c r="G16" s="9" t="s">
        <v>623</v>
      </c>
      <c r="H16" s="9" t="s">
        <v>624</v>
      </c>
      <c r="I16" s="9" t="s">
        <v>625</v>
      </c>
      <c r="J16" s="9" t="s">
        <v>578</v>
      </c>
      <c r="K16" s="9" t="s">
        <v>626</v>
      </c>
      <c r="L16" s="9" t="s">
        <v>194</v>
      </c>
    </row>
    <row r="17" spans="1:12" ht="30" customHeight="1" x14ac:dyDescent="0.3">
      <c r="A17" s="9" t="s">
        <v>627</v>
      </c>
      <c r="B17" s="9" t="s">
        <v>619</v>
      </c>
      <c r="C17" s="9" t="s">
        <v>628</v>
      </c>
      <c r="D17" s="16">
        <v>147.80000000000001</v>
      </c>
      <c r="E17" s="9" t="s">
        <v>199</v>
      </c>
      <c r="F17" s="9" t="s">
        <v>622</v>
      </c>
      <c r="G17" s="9" t="s">
        <v>623</v>
      </c>
      <c r="H17" s="9" t="s">
        <v>629</v>
      </c>
      <c r="I17" s="9" t="s">
        <v>287</v>
      </c>
      <c r="J17" s="9" t="s">
        <v>287</v>
      </c>
      <c r="K17" s="9" t="s">
        <v>630</v>
      </c>
      <c r="L17" s="9" t="s">
        <v>610</v>
      </c>
    </row>
    <row r="18" spans="1:12" ht="30" customHeight="1" x14ac:dyDescent="0.3">
      <c r="A18" s="9" t="s">
        <v>631</v>
      </c>
      <c r="B18" s="9" t="s">
        <v>619</v>
      </c>
      <c r="C18" s="9" t="s">
        <v>632</v>
      </c>
      <c r="D18" s="16">
        <f>COUNTIF(tbl_analises_ref,"Não conforme")</f>
        <v>0</v>
      </c>
      <c r="E18" s="9" t="s">
        <v>633</v>
      </c>
      <c r="F18" s="9" t="s">
        <v>622</v>
      </c>
      <c r="G18" s="9" t="s">
        <v>623</v>
      </c>
      <c r="H18" s="9" t="s">
        <v>634</v>
      </c>
      <c r="I18" s="9" t="s">
        <v>287</v>
      </c>
      <c r="J18" s="9" t="s">
        <v>287</v>
      </c>
      <c r="K18" s="9" t="s">
        <v>635</v>
      </c>
      <c r="L18" s="9" t="s">
        <v>567</v>
      </c>
    </row>
    <row r="19" spans="1:12" ht="30" customHeight="1" x14ac:dyDescent="0.3">
      <c r="A19" s="9" t="s">
        <v>636</v>
      </c>
      <c r="B19" s="9" t="s">
        <v>619</v>
      </c>
      <c r="C19" s="9" t="s">
        <v>637</v>
      </c>
      <c r="D19" s="16">
        <v>3</v>
      </c>
      <c r="E19" s="9" t="s">
        <v>633</v>
      </c>
      <c r="F19" s="9" t="s">
        <v>287</v>
      </c>
      <c r="G19" s="9" t="s">
        <v>638</v>
      </c>
      <c r="H19" s="9" t="s">
        <v>287</v>
      </c>
      <c r="I19" s="9" t="s">
        <v>287</v>
      </c>
      <c r="J19" s="9" t="s">
        <v>578</v>
      </c>
      <c r="K19" s="9" t="s">
        <v>639</v>
      </c>
      <c r="L19" s="9" t="s">
        <v>610</v>
      </c>
    </row>
    <row r="20" spans="1:12" ht="30" customHeight="1" x14ac:dyDescent="0.3">
      <c r="A20" s="9" t="s">
        <v>640</v>
      </c>
      <c r="B20" s="9" t="s">
        <v>641</v>
      </c>
      <c r="C20" s="9" t="s">
        <v>642</v>
      </c>
      <c r="D20" s="16">
        <v>10179</v>
      </c>
      <c r="E20" s="9" t="s">
        <v>643</v>
      </c>
      <c r="F20" s="9" t="s">
        <v>644</v>
      </c>
      <c r="G20" s="9" t="s">
        <v>645</v>
      </c>
      <c r="H20" s="9" t="s">
        <v>646</v>
      </c>
      <c r="I20" s="9" t="s">
        <v>647</v>
      </c>
      <c r="J20" s="9" t="s">
        <v>648</v>
      </c>
      <c r="K20" s="9" t="s">
        <v>232</v>
      </c>
      <c r="L20" s="9" t="s">
        <v>567</v>
      </c>
    </row>
    <row r="21" spans="1:12" ht="30" customHeight="1" x14ac:dyDescent="0.3">
      <c r="A21" s="9" t="s">
        <v>649</v>
      </c>
      <c r="B21" s="9" t="s">
        <v>641</v>
      </c>
      <c r="C21" s="9" t="s">
        <v>650</v>
      </c>
      <c r="D21" s="16">
        <v>6664</v>
      </c>
      <c r="E21" s="9" t="s">
        <v>643</v>
      </c>
      <c r="F21" s="9" t="s">
        <v>644</v>
      </c>
      <c r="G21" s="9" t="s">
        <v>645</v>
      </c>
      <c r="H21" s="9" t="s">
        <v>651</v>
      </c>
      <c r="I21" s="9" t="s">
        <v>647</v>
      </c>
      <c r="J21" s="9" t="s">
        <v>648</v>
      </c>
      <c r="K21" s="9" t="s">
        <v>652</v>
      </c>
      <c r="L21" s="9" t="s">
        <v>194</v>
      </c>
    </row>
    <row r="22" spans="1:12" ht="30" customHeight="1" x14ac:dyDescent="0.3">
      <c r="A22" s="9" t="s">
        <v>653</v>
      </c>
      <c r="B22" s="9" t="s">
        <v>641</v>
      </c>
      <c r="C22" s="9" t="s">
        <v>654</v>
      </c>
      <c r="D22" s="16" t="s">
        <v>655</v>
      </c>
      <c r="E22" s="9" t="s">
        <v>656</v>
      </c>
      <c r="F22" s="9" t="s">
        <v>644</v>
      </c>
      <c r="G22" s="9" t="s">
        <v>645</v>
      </c>
      <c r="H22" s="9" t="s">
        <v>646</v>
      </c>
      <c r="I22" s="9" t="s">
        <v>647</v>
      </c>
      <c r="J22" s="9" t="s">
        <v>648</v>
      </c>
      <c r="K22" s="9" t="s">
        <v>287</v>
      </c>
      <c r="L22" s="9" t="s">
        <v>657</v>
      </c>
    </row>
    <row r="23" spans="1:12" ht="30" customHeight="1" x14ac:dyDescent="0.3">
      <c r="A23" s="9" t="s">
        <v>658</v>
      </c>
      <c r="B23" s="9" t="s">
        <v>659</v>
      </c>
      <c r="C23" s="9" t="s">
        <v>660</v>
      </c>
      <c r="D23" s="16">
        <v>45000</v>
      </c>
      <c r="E23" s="9" t="s">
        <v>661</v>
      </c>
      <c r="F23" s="9" t="s">
        <v>662</v>
      </c>
      <c r="G23" s="9" t="s">
        <v>663</v>
      </c>
      <c r="H23" s="9" t="s">
        <v>664</v>
      </c>
      <c r="I23" s="9" t="s">
        <v>287</v>
      </c>
      <c r="J23" s="9" t="s">
        <v>287</v>
      </c>
      <c r="K23" s="9" t="s">
        <v>665</v>
      </c>
      <c r="L23" s="9" t="s">
        <v>567</v>
      </c>
    </row>
    <row r="24" spans="1:12" ht="30" customHeight="1" x14ac:dyDescent="0.3">
      <c r="A24" s="9" t="s">
        <v>666</v>
      </c>
      <c r="B24" s="9" t="s">
        <v>659</v>
      </c>
      <c r="C24" s="9" t="s">
        <v>667</v>
      </c>
      <c r="D24" s="16">
        <v>32000</v>
      </c>
      <c r="E24" s="9" t="s">
        <v>661</v>
      </c>
      <c r="F24" s="9" t="s">
        <v>662</v>
      </c>
      <c r="G24" s="9" t="s">
        <v>663</v>
      </c>
      <c r="H24" s="9" t="s">
        <v>287</v>
      </c>
      <c r="I24" s="9" t="s">
        <v>287</v>
      </c>
      <c r="J24" s="9" t="s">
        <v>287</v>
      </c>
      <c r="K24" s="9" t="s">
        <v>668</v>
      </c>
      <c r="L24" s="9" t="s">
        <v>567</v>
      </c>
    </row>
    <row r="25" spans="1:12" ht="30" customHeight="1" x14ac:dyDescent="0.3">
      <c r="A25" s="9" t="s">
        <v>669</v>
      </c>
      <c r="B25" s="9" t="s">
        <v>659</v>
      </c>
      <c r="C25" s="9" t="s">
        <v>670</v>
      </c>
      <c r="D25" s="16">
        <v>3500</v>
      </c>
      <c r="E25" s="9" t="s">
        <v>661</v>
      </c>
      <c r="F25" s="9" t="s">
        <v>662</v>
      </c>
      <c r="G25" s="9" t="s">
        <v>663</v>
      </c>
      <c r="H25" s="9" t="s">
        <v>287</v>
      </c>
      <c r="I25" s="9" t="s">
        <v>287</v>
      </c>
      <c r="J25" s="9" t="s">
        <v>287</v>
      </c>
      <c r="K25" s="9" t="s">
        <v>671</v>
      </c>
      <c r="L25" s="9" t="s">
        <v>567</v>
      </c>
    </row>
    <row r="26" spans="1:12" ht="30" customHeight="1" x14ac:dyDescent="0.3">
      <c r="A26" s="9" t="s">
        <v>672</v>
      </c>
      <c r="B26" s="9" t="s">
        <v>659</v>
      </c>
      <c r="C26" s="9" t="s">
        <v>673</v>
      </c>
      <c r="D26" s="16" t="s">
        <v>674</v>
      </c>
      <c r="E26" s="9" t="s">
        <v>656</v>
      </c>
      <c r="F26" s="9" t="s">
        <v>662</v>
      </c>
      <c r="G26" s="9" t="s">
        <v>663</v>
      </c>
      <c r="H26" s="9" t="s">
        <v>664</v>
      </c>
      <c r="I26" s="9" t="s">
        <v>287</v>
      </c>
      <c r="J26" s="9" t="s">
        <v>287</v>
      </c>
      <c r="K26" s="9" t="s">
        <v>675</v>
      </c>
      <c r="L26" s="9" t="s">
        <v>610</v>
      </c>
    </row>
    <row r="27" spans="1:12" ht="30" customHeight="1" x14ac:dyDescent="0.3">
      <c r="A27" s="9" t="s">
        <v>676</v>
      </c>
      <c r="B27" s="9" t="s">
        <v>677</v>
      </c>
      <c r="C27" s="9" t="s">
        <v>678</v>
      </c>
      <c r="D27" s="16">
        <v>888.1</v>
      </c>
      <c r="E27" s="9" t="s">
        <v>621</v>
      </c>
      <c r="F27" s="9" t="s">
        <v>679</v>
      </c>
      <c r="G27" s="9" t="s">
        <v>680</v>
      </c>
      <c r="H27" s="9" t="s">
        <v>681</v>
      </c>
      <c r="I27" s="9" t="s">
        <v>682</v>
      </c>
      <c r="J27" s="9" t="s">
        <v>578</v>
      </c>
      <c r="K27" s="9" t="s">
        <v>683</v>
      </c>
      <c r="L27" s="9" t="s">
        <v>567</v>
      </c>
    </row>
    <row r="28" spans="1:12" ht="30" customHeight="1" x14ac:dyDescent="0.3">
      <c r="A28" s="9" t="s">
        <v>684</v>
      </c>
      <c r="B28" s="9" t="s">
        <v>677</v>
      </c>
      <c r="C28" s="9" t="s">
        <v>283</v>
      </c>
      <c r="D28" s="16">
        <v>0.11899999999999999</v>
      </c>
      <c r="E28" s="9" t="s">
        <v>352</v>
      </c>
      <c r="F28" s="9" t="s">
        <v>679</v>
      </c>
      <c r="G28" s="9" t="s">
        <v>680</v>
      </c>
      <c r="H28" s="9" t="s">
        <v>685</v>
      </c>
      <c r="I28" s="9" t="s">
        <v>682</v>
      </c>
      <c r="J28" s="9" t="s">
        <v>578</v>
      </c>
      <c r="K28" s="9" t="s">
        <v>686</v>
      </c>
      <c r="L28" s="9" t="s">
        <v>567</v>
      </c>
    </row>
    <row r="29" spans="1:12" ht="30" customHeight="1" x14ac:dyDescent="0.3">
      <c r="A29" s="9" t="s">
        <v>687</v>
      </c>
      <c r="B29" s="9" t="s">
        <v>677</v>
      </c>
      <c r="C29" s="9" t="s">
        <v>688</v>
      </c>
      <c r="D29" s="16">
        <v>129.5</v>
      </c>
      <c r="E29" s="9" t="s">
        <v>621</v>
      </c>
      <c r="F29" s="9" t="s">
        <v>679</v>
      </c>
      <c r="G29" s="9" t="s">
        <v>689</v>
      </c>
      <c r="H29" s="9" t="s">
        <v>690</v>
      </c>
      <c r="I29" s="9" t="s">
        <v>287</v>
      </c>
      <c r="J29" s="9" t="s">
        <v>578</v>
      </c>
      <c r="K29" s="9" t="s">
        <v>691</v>
      </c>
      <c r="L29" s="9" t="s">
        <v>567</v>
      </c>
    </row>
    <row r="30" spans="1:12" ht="30" customHeight="1" x14ac:dyDescent="0.3">
      <c r="A30" s="9" t="s">
        <v>692</v>
      </c>
      <c r="B30" s="9" t="s">
        <v>677</v>
      </c>
      <c r="C30" s="9" t="s">
        <v>693</v>
      </c>
      <c r="D30" s="16">
        <v>2.15</v>
      </c>
      <c r="E30" s="9" t="s">
        <v>621</v>
      </c>
      <c r="F30" s="9" t="s">
        <v>679</v>
      </c>
      <c r="G30" s="9" t="s">
        <v>689</v>
      </c>
      <c r="H30" s="9" t="s">
        <v>690</v>
      </c>
      <c r="I30" s="9" t="s">
        <v>694</v>
      </c>
      <c r="J30" s="9" t="s">
        <v>287</v>
      </c>
      <c r="K30" s="9" t="s">
        <v>691</v>
      </c>
      <c r="L30" s="9" t="s">
        <v>567</v>
      </c>
    </row>
    <row r="31" spans="1:12" ht="30" customHeight="1" x14ac:dyDescent="0.3">
      <c r="A31" s="9" t="s">
        <v>695</v>
      </c>
      <c r="B31" s="9" t="s">
        <v>677</v>
      </c>
      <c r="C31" s="9" t="s">
        <v>696</v>
      </c>
      <c r="D31" s="16">
        <v>104.1</v>
      </c>
      <c r="E31" s="9" t="s">
        <v>621</v>
      </c>
      <c r="F31" s="9" t="s">
        <v>679</v>
      </c>
      <c r="G31" s="9" t="s">
        <v>689</v>
      </c>
      <c r="H31" s="9" t="s">
        <v>697</v>
      </c>
      <c r="I31" s="9" t="s">
        <v>287</v>
      </c>
      <c r="J31" s="9" t="s">
        <v>287</v>
      </c>
      <c r="K31" s="9" t="s">
        <v>691</v>
      </c>
      <c r="L31" s="9" t="s">
        <v>567</v>
      </c>
    </row>
    <row r="32" spans="1:12" ht="30" customHeight="1" x14ac:dyDescent="0.3">
      <c r="A32" s="9" t="s">
        <v>698</v>
      </c>
      <c r="B32" s="9" t="s">
        <v>677</v>
      </c>
      <c r="C32" s="9" t="s">
        <v>699</v>
      </c>
      <c r="D32" s="16">
        <v>0.80400000000000005</v>
      </c>
      <c r="E32" s="9" t="s">
        <v>352</v>
      </c>
      <c r="F32" s="9" t="s">
        <v>679</v>
      </c>
      <c r="G32" s="9" t="s">
        <v>689</v>
      </c>
      <c r="H32" s="9" t="s">
        <v>697</v>
      </c>
      <c r="I32" s="9" t="s">
        <v>287</v>
      </c>
      <c r="J32" s="9" t="s">
        <v>578</v>
      </c>
      <c r="K32" s="9" t="s">
        <v>700</v>
      </c>
      <c r="L32" s="9" t="s">
        <v>567</v>
      </c>
    </row>
    <row r="33" spans="1:12" ht="30" customHeight="1" x14ac:dyDescent="0.3">
      <c r="A33" s="9" t="s">
        <v>701</v>
      </c>
      <c r="B33" s="9" t="s">
        <v>677</v>
      </c>
      <c r="C33" s="9" t="s">
        <v>702</v>
      </c>
      <c r="D33" s="16">
        <v>0.59699999999999998</v>
      </c>
      <c r="E33" s="9" t="s">
        <v>352</v>
      </c>
      <c r="F33" s="9" t="s">
        <v>679</v>
      </c>
      <c r="G33" s="9" t="s">
        <v>689</v>
      </c>
      <c r="H33" s="9" t="s">
        <v>703</v>
      </c>
      <c r="I33" s="9" t="s">
        <v>704</v>
      </c>
      <c r="J33" s="9" t="s">
        <v>578</v>
      </c>
      <c r="K33" s="9" t="s">
        <v>705</v>
      </c>
      <c r="L33" s="9" t="s">
        <v>194</v>
      </c>
    </row>
    <row r="34" spans="1:12" ht="30" customHeight="1" x14ac:dyDescent="0.3">
      <c r="A34" s="9" t="s">
        <v>706</v>
      </c>
      <c r="B34" s="9" t="s">
        <v>707</v>
      </c>
      <c r="C34" s="9" t="s">
        <v>708</v>
      </c>
      <c r="D34" s="16">
        <f>AVERAGE(tbl_pegada_produto[gCO2e_por_Unidade])</f>
        <v>61.394622508456379</v>
      </c>
      <c r="E34" s="9" t="s">
        <v>709</v>
      </c>
      <c r="F34" s="9" t="s">
        <v>287</v>
      </c>
      <c r="G34" s="9" t="s">
        <v>710</v>
      </c>
      <c r="H34" s="9" t="s">
        <v>287</v>
      </c>
      <c r="I34" s="9" t="s">
        <v>287</v>
      </c>
      <c r="J34" s="9" t="s">
        <v>711</v>
      </c>
      <c r="K34" s="9" t="s">
        <v>712</v>
      </c>
      <c r="L34" s="9" t="s">
        <v>194</v>
      </c>
    </row>
    <row r="35" spans="1:12" ht="30" customHeight="1" x14ac:dyDescent="0.3">
      <c r="A35" s="9" t="s">
        <v>713</v>
      </c>
      <c r="B35" s="9" t="s">
        <v>714</v>
      </c>
      <c r="C35" s="9" t="s">
        <v>715</v>
      </c>
      <c r="D35" s="16">
        <f>COUNTIFS(tbl_incidentes_ref,"&gt;="&amp;DATE(2025,9,1))</f>
        <v>15</v>
      </c>
      <c r="E35" s="9" t="s">
        <v>633</v>
      </c>
      <c r="F35" s="9" t="s">
        <v>287</v>
      </c>
      <c r="G35" s="9" t="s">
        <v>716</v>
      </c>
      <c r="H35" s="9" t="s">
        <v>287</v>
      </c>
      <c r="I35" s="9" t="s">
        <v>287</v>
      </c>
      <c r="J35" s="9" t="s">
        <v>578</v>
      </c>
      <c r="K35" s="9" t="s">
        <v>717</v>
      </c>
      <c r="L35" s="9" t="s">
        <v>567</v>
      </c>
    </row>
    <row r="36" spans="1:12" ht="30" customHeight="1" x14ac:dyDescent="0.3">
      <c r="A36" s="9" t="s">
        <v>718</v>
      </c>
      <c r="B36" s="9" t="s">
        <v>714</v>
      </c>
      <c r="C36" s="9" t="s">
        <v>719</v>
      </c>
      <c r="D36" s="16">
        <v>0</v>
      </c>
      <c r="E36" s="9" t="s">
        <v>720</v>
      </c>
      <c r="F36" s="9" t="s">
        <v>287</v>
      </c>
      <c r="G36" s="9" t="s">
        <v>721</v>
      </c>
      <c r="H36" s="9" t="s">
        <v>722</v>
      </c>
      <c r="I36" s="9" t="s">
        <v>287</v>
      </c>
      <c r="J36" s="9" t="s">
        <v>578</v>
      </c>
      <c r="K36" s="9" t="s">
        <v>723</v>
      </c>
      <c r="L36" s="9" t="s">
        <v>567</v>
      </c>
    </row>
    <row r="37" spans="1:12" ht="30" customHeight="1" x14ac:dyDescent="0.3">
      <c r="A37" s="9" t="s">
        <v>724</v>
      </c>
      <c r="B37" s="9" t="s">
        <v>714</v>
      </c>
      <c r="C37" s="9" t="s">
        <v>725</v>
      </c>
      <c r="D37" s="16" t="s">
        <v>726</v>
      </c>
      <c r="E37" s="9" t="s">
        <v>656</v>
      </c>
      <c r="F37" s="9" t="s">
        <v>727</v>
      </c>
      <c r="G37" s="9" t="s">
        <v>728</v>
      </c>
      <c r="H37" s="9" t="s">
        <v>287</v>
      </c>
      <c r="I37" s="9" t="s">
        <v>287</v>
      </c>
      <c r="J37" s="9" t="s">
        <v>578</v>
      </c>
      <c r="K37" s="9" t="s">
        <v>729</v>
      </c>
      <c r="L37" s="9" t="s">
        <v>567</v>
      </c>
    </row>
    <row r="38" spans="1:12" ht="30" customHeight="1" x14ac:dyDescent="0.3">
      <c r="A38" s="9" t="s">
        <v>730</v>
      </c>
      <c r="B38" s="9" t="s">
        <v>731</v>
      </c>
      <c r="C38" s="9" t="s">
        <v>732</v>
      </c>
      <c r="D38" s="16">
        <v>1</v>
      </c>
      <c r="E38" s="9" t="s">
        <v>352</v>
      </c>
      <c r="F38" s="9" t="s">
        <v>287</v>
      </c>
      <c r="G38" s="9" t="s">
        <v>733</v>
      </c>
      <c r="H38" s="9" t="s">
        <v>734</v>
      </c>
      <c r="I38" s="9" t="s">
        <v>287</v>
      </c>
      <c r="J38" s="9" t="s">
        <v>735</v>
      </c>
      <c r="K38" s="9" t="s">
        <v>736</v>
      </c>
      <c r="L38" s="9" t="s">
        <v>567</v>
      </c>
    </row>
    <row r="39" spans="1:12" ht="30" customHeight="1" x14ac:dyDescent="0.3">
      <c r="A39" s="9"/>
      <c r="B39" s="9"/>
      <c r="C39" s="9"/>
      <c r="D39" s="16"/>
      <c r="E39" s="9"/>
      <c r="F39" s="9"/>
      <c r="G39" s="9"/>
      <c r="H39" s="9"/>
      <c r="I39" s="9"/>
      <c r="J39" s="9"/>
      <c r="K39" s="9"/>
      <c r="L39" s="9"/>
    </row>
    <row r="40" spans="1:12" ht="30" customHeight="1" x14ac:dyDescent="0.3">
      <c r="A40" s="9"/>
      <c r="B40" s="9"/>
      <c r="C40" s="9"/>
      <c r="D40" s="16"/>
      <c r="E40" s="9"/>
      <c r="F40" s="9"/>
      <c r="G40" s="9"/>
      <c r="H40" s="9"/>
      <c r="I40" s="9"/>
      <c r="J40" s="9"/>
      <c r="K40" s="9"/>
      <c r="L40" s="9"/>
    </row>
    <row r="41" spans="1:12" ht="30" customHeight="1" x14ac:dyDescent="0.3">
      <c r="A41" s="9"/>
      <c r="B41" s="9"/>
      <c r="C41" s="9"/>
      <c r="D41" s="16"/>
      <c r="E41" s="9"/>
      <c r="F41" s="9"/>
      <c r="G41" s="9"/>
      <c r="H41" s="9"/>
      <c r="I41" s="9"/>
      <c r="J41" s="9"/>
      <c r="K41" s="9"/>
      <c r="L41" s="9"/>
    </row>
    <row r="42" spans="1:12" ht="30" customHeight="1" x14ac:dyDescent="0.3">
      <c r="A42" s="9"/>
      <c r="B42" s="9"/>
      <c r="C42" s="9"/>
      <c r="D42" s="16"/>
      <c r="E42" s="9"/>
      <c r="F42" s="9"/>
      <c r="G42" s="9"/>
      <c r="H42" s="9"/>
      <c r="I42" s="9"/>
      <c r="J42" s="9"/>
      <c r="K42" s="9"/>
      <c r="L42" s="9"/>
    </row>
    <row r="43" spans="1:12" ht="30" customHeight="1" x14ac:dyDescent="0.3">
      <c r="A43" s="9"/>
      <c r="B43" s="9"/>
      <c r="C43" s="9"/>
      <c r="D43" s="16"/>
      <c r="E43" s="9"/>
      <c r="F43" s="9"/>
      <c r="G43" s="9"/>
      <c r="H43" s="9"/>
      <c r="I43" s="9"/>
      <c r="J43" s="9"/>
      <c r="K43" s="9"/>
      <c r="L43" s="9"/>
    </row>
    <row r="44" spans="1:12" ht="30" customHeight="1" x14ac:dyDescent="0.3">
      <c r="A44" s="9"/>
      <c r="B44" s="9"/>
      <c r="C44" s="9"/>
      <c r="D44" s="16"/>
      <c r="E44" s="9"/>
      <c r="F44" s="9"/>
      <c r="G44" s="9"/>
      <c r="H44" s="9"/>
      <c r="I44" s="9"/>
      <c r="J44" s="9"/>
      <c r="K44" s="9"/>
      <c r="L44" s="9"/>
    </row>
    <row r="45" spans="1:12" ht="30" customHeight="1" x14ac:dyDescent="0.3">
      <c r="A45" s="9"/>
      <c r="B45" s="9"/>
      <c r="C45" s="9"/>
      <c r="D45" s="16"/>
      <c r="E45" s="9"/>
      <c r="F45" s="9"/>
      <c r="G45" s="9"/>
      <c r="H45" s="9"/>
      <c r="I45" s="9"/>
      <c r="J45" s="9"/>
      <c r="K45" s="9"/>
      <c r="L45" s="9"/>
    </row>
    <row r="46" spans="1:12" ht="30" customHeight="1" x14ac:dyDescent="0.3">
      <c r="A46" s="9"/>
      <c r="B46" s="9"/>
      <c r="C46" s="9"/>
      <c r="D46" s="16"/>
      <c r="E46" s="9"/>
      <c r="F46" s="9"/>
      <c r="G46" s="9"/>
      <c r="H46" s="9"/>
      <c r="I46" s="9"/>
      <c r="J46" s="9"/>
      <c r="K46" s="9"/>
      <c r="L46" s="9"/>
    </row>
    <row r="47" spans="1:12" ht="30" customHeight="1" x14ac:dyDescent="0.3">
      <c r="A47" s="9"/>
      <c r="B47" s="9"/>
      <c r="C47" s="9"/>
      <c r="D47" s="16"/>
      <c r="E47" s="9"/>
      <c r="F47" s="9"/>
      <c r="G47" s="9"/>
      <c r="H47" s="9"/>
      <c r="I47" s="9"/>
      <c r="J47" s="9"/>
      <c r="K47" s="9"/>
      <c r="L47" s="9"/>
    </row>
    <row r="48" spans="1:12" ht="30" customHeight="1" x14ac:dyDescent="0.3">
      <c r="A48" s="9"/>
      <c r="B48" s="9"/>
      <c r="C48" s="9"/>
      <c r="D48" s="16"/>
      <c r="E48" s="9"/>
      <c r="F48" s="9"/>
      <c r="G48" s="9"/>
      <c r="H48" s="9"/>
      <c r="I48" s="9"/>
      <c r="J48" s="9"/>
      <c r="K48" s="9"/>
      <c r="L48" s="9"/>
    </row>
    <row r="49" spans="1:12" ht="30" customHeight="1" x14ac:dyDescent="0.3">
      <c r="A49" s="9"/>
      <c r="B49" s="9"/>
      <c r="C49" s="9"/>
      <c r="D49" s="16"/>
      <c r="E49" s="9"/>
      <c r="F49" s="9"/>
      <c r="G49" s="9"/>
      <c r="H49" s="9"/>
      <c r="I49" s="9"/>
      <c r="J49" s="9"/>
      <c r="K49" s="9"/>
      <c r="L49" s="9"/>
    </row>
    <row r="50" spans="1:12" ht="30" customHeight="1" x14ac:dyDescent="0.3">
      <c r="A50" s="9"/>
      <c r="B50" s="9"/>
      <c r="C50" s="9"/>
      <c r="D50" s="16"/>
      <c r="E50" s="9"/>
      <c r="F50" s="9"/>
      <c r="G50" s="9"/>
      <c r="H50" s="9"/>
      <c r="I50" s="9"/>
      <c r="J50" s="9"/>
      <c r="K50" s="9"/>
      <c r="L50" s="9"/>
    </row>
    <row r="51" spans="1:12" ht="30" customHeight="1" x14ac:dyDescent="0.3">
      <c r="A51" s="9"/>
      <c r="B51" s="9"/>
      <c r="C51" s="9"/>
      <c r="D51" s="16"/>
      <c r="E51" s="9"/>
      <c r="F51" s="9"/>
      <c r="G51" s="9"/>
      <c r="H51" s="9"/>
      <c r="I51" s="9"/>
      <c r="J51" s="9"/>
      <c r="K51" s="9"/>
      <c r="L51" s="9"/>
    </row>
    <row r="52" spans="1:12" ht="30" customHeight="1" x14ac:dyDescent="0.3">
      <c r="A52" s="9"/>
      <c r="B52" s="9"/>
      <c r="C52" s="9"/>
      <c r="D52" s="16"/>
      <c r="E52" s="9"/>
      <c r="F52" s="9"/>
      <c r="G52" s="9"/>
      <c r="H52" s="9"/>
      <c r="I52" s="9"/>
      <c r="J52" s="9"/>
      <c r="K52" s="9"/>
      <c r="L52" s="9"/>
    </row>
    <row r="53" spans="1:12" ht="30" customHeight="1" x14ac:dyDescent="0.3">
      <c r="A53" s="9"/>
      <c r="B53" s="9"/>
      <c r="C53" s="9"/>
      <c r="D53" s="16"/>
      <c r="E53" s="9"/>
      <c r="F53" s="9"/>
      <c r="G53" s="9"/>
      <c r="H53" s="9"/>
      <c r="I53" s="9"/>
      <c r="J53" s="9"/>
      <c r="K53" s="9"/>
      <c r="L53" s="9"/>
    </row>
    <row r="54" spans="1:12" ht="30" customHeight="1" x14ac:dyDescent="0.3">
      <c r="A54" s="9"/>
      <c r="B54" s="9"/>
      <c r="C54" s="9"/>
      <c r="D54" s="16"/>
      <c r="E54" s="9"/>
      <c r="F54" s="9"/>
      <c r="G54" s="9"/>
      <c r="H54" s="9"/>
      <c r="I54" s="9"/>
      <c r="J54" s="9"/>
      <c r="K54" s="9"/>
      <c r="L54" s="9"/>
    </row>
    <row r="55" spans="1:12" ht="30" customHeight="1" x14ac:dyDescent="0.3">
      <c r="A55" s="9"/>
      <c r="B55" s="9"/>
      <c r="C55" s="9"/>
      <c r="D55" s="16"/>
      <c r="E55" s="9"/>
      <c r="F55" s="9"/>
      <c r="G55" s="9"/>
      <c r="H55" s="9"/>
      <c r="I55" s="9"/>
      <c r="J55" s="9"/>
      <c r="K55" s="9"/>
      <c r="L55" s="9"/>
    </row>
    <row r="56" spans="1:12" ht="30" customHeight="1" x14ac:dyDescent="0.3">
      <c r="A56" s="9"/>
      <c r="B56" s="9"/>
      <c r="C56" s="9"/>
      <c r="D56" s="16"/>
      <c r="E56" s="9"/>
      <c r="F56" s="9"/>
      <c r="G56" s="9"/>
      <c r="H56" s="9"/>
      <c r="I56" s="9"/>
      <c r="J56" s="9"/>
      <c r="K56" s="9"/>
      <c r="L56" s="9"/>
    </row>
    <row r="57" spans="1:12" ht="30" customHeight="1" x14ac:dyDescent="0.3">
      <c r="A57" s="9"/>
      <c r="B57" s="9"/>
      <c r="C57" s="9"/>
      <c r="D57" s="16"/>
      <c r="E57" s="9"/>
      <c r="F57" s="9"/>
      <c r="G57" s="9"/>
      <c r="H57" s="9"/>
      <c r="I57" s="9"/>
      <c r="J57" s="9"/>
      <c r="K57" s="9"/>
      <c r="L57" s="9"/>
    </row>
    <row r="58" spans="1:12" ht="30" customHeight="1" x14ac:dyDescent="0.3">
      <c r="A58" s="9"/>
      <c r="B58" s="9"/>
      <c r="C58" s="9"/>
      <c r="D58" s="16"/>
      <c r="E58" s="9"/>
      <c r="F58" s="9"/>
      <c r="G58" s="9"/>
      <c r="H58" s="9"/>
      <c r="I58" s="9"/>
      <c r="J58" s="9"/>
      <c r="K58" s="9"/>
      <c r="L58" s="9"/>
    </row>
  </sheetData>
  <conditionalFormatting sqref="L5:L258">
    <cfRule type="expression" dxfId="6" priority="1">
      <formula>ISNUMBER(SEARCH("Lacuna",L5))</formula>
    </cfRule>
    <cfRule type="expression" dxfId="5" priority="2">
      <formula>ISNUMBER(SEARCH("Parcial",L5))</formula>
    </cfRule>
    <cfRule type="expression" dxfId="4" priority="3">
      <formula>ISNUMBER(SEARCH("Estimado",L5))</formula>
    </cfRule>
    <cfRule type="expression" dxfId="3" priority="4">
      <formula>ISNUMBER(SEARCH("Disponível",L5))</formula>
    </cfRule>
  </conditionalFormatting>
  <dataValidations count="1">
    <dataValidation type="list" allowBlank="1" showErrorMessage="1" errorTitle="Valor inválido" error="Valor fora da lista controlada (ver folha Listas)." sqref="L5:L258" xr:uid="{00000000-0002-0000-0600-000000000000}">
      <formula1>lst_EstadoESG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"/>
  <sheetViews>
    <sheetView showGridLines="0" workbookViewId="0"/>
  </sheetViews>
  <sheetFormatPr defaultRowHeight="14.4" x14ac:dyDescent="0.3"/>
  <cols>
    <col min="1" max="2" width="34" customWidth="1"/>
  </cols>
  <sheetData>
    <row r="1" spans="1:2" x14ac:dyDescent="0.3">
      <c r="A1" s="33" t="s">
        <v>737</v>
      </c>
      <c r="B1" s="33" t="s">
        <v>738</v>
      </c>
    </row>
    <row r="2" spans="1:2" x14ac:dyDescent="0.3">
      <c r="B2" s="34">
        <v>45734</v>
      </c>
    </row>
    <row r="3" spans="1:2" x14ac:dyDescent="0.3">
      <c r="B3" s="34">
        <v>45769</v>
      </c>
    </row>
    <row r="4" spans="1:2" x14ac:dyDescent="0.3">
      <c r="B4" s="34">
        <v>45807</v>
      </c>
    </row>
    <row r="5" spans="1:2" x14ac:dyDescent="0.3">
      <c r="B5" s="34">
        <v>45834</v>
      </c>
    </row>
    <row r="6" spans="1:2" x14ac:dyDescent="0.3">
      <c r="B6" s="34">
        <v>45853</v>
      </c>
    </row>
    <row r="7" spans="1:2" x14ac:dyDescent="0.3">
      <c r="B7" s="34">
        <v>45881</v>
      </c>
    </row>
    <row r="8" spans="1:2" x14ac:dyDescent="0.3">
      <c r="B8" s="34">
        <v>45979</v>
      </c>
    </row>
    <row r="9" spans="1:2" x14ac:dyDescent="0.3">
      <c r="B9" s="34">
        <v>46000</v>
      </c>
    </row>
    <row r="10" spans="1:2" x14ac:dyDescent="0.3">
      <c r="B10" s="34">
        <v>46042</v>
      </c>
    </row>
    <row r="11" spans="1:2" x14ac:dyDescent="0.3">
      <c r="B11" s="34">
        <v>46064</v>
      </c>
    </row>
    <row r="12" spans="1:2" x14ac:dyDescent="0.3">
      <c r="B12" s="34">
        <v>46086</v>
      </c>
    </row>
    <row r="13" spans="1:2" x14ac:dyDescent="0.3">
      <c r="B13" s="34">
        <v>46129</v>
      </c>
    </row>
    <row r="14" spans="1:2" x14ac:dyDescent="0.3">
      <c r="B14" s="34">
        <v>46170</v>
      </c>
    </row>
    <row r="15" spans="1:2" x14ac:dyDescent="0.3">
      <c r="B15" s="34">
        <v>46196</v>
      </c>
    </row>
    <row r="16" spans="1:2" x14ac:dyDescent="0.3">
      <c r="B16" s="34">
        <v>46211</v>
      </c>
    </row>
    <row r="17" spans="2:2" x14ac:dyDescent="0.3">
      <c r="B17" s="34">
        <v>46224</v>
      </c>
    </row>
    <row r="18" spans="2:2" x14ac:dyDescent="0.3">
      <c r="B18" s="34">
        <v>46238</v>
      </c>
    </row>
    <row r="19" spans="2:2" x14ac:dyDescent="0.3">
      <c r="B19" s="34">
        <v>46253</v>
      </c>
    </row>
    <row r="20" spans="2:2" x14ac:dyDescent="0.3">
      <c r="B20" s="34">
        <v>46277</v>
      </c>
    </row>
    <row r="21" spans="2:2" x14ac:dyDescent="0.3">
      <c r="B21" s="34">
        <v>46332</v>
      </c>
    </row>
    <row r="22" spans="2:2" x14ac:dyDescent="0.3">
      <c r="B22" s="34">
        <v>46373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2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4" customWidth="1"/>
    <col min="3" max="3" width="14" customWidth="1"/>
    <col min="4" max="4" width="46" customWidth="1"/>
    <col min="5" max="5" width="40" customWidth="1"/>
    <col min="6" max="6" width="9" customWidth="1"/>
    <col min="7" max="7" width="44" customWidth="1"/>
    <col min="8" max="8" width="7" customWidth="1"/>
  </cols>
  <sheetData>
    <row r="1" spans="1:8" ht="17.399999999999999" x14ac:dyDescent="0.3">
      <c r="A1" s="1" t="s">
        <v>739</v>
      </c>
    </row>
    <row r="2" spans="1:8" x14ac:dyDescent="0.3">
      <c r="A2" s="2" t="s">
        <v>740</v>
      </c>
    </row>
    <row r="4" spans="1:8" ht="26.4" x14ac:dyDescent="0.3">
      <c r="A4" s="8" t="s">
        <v>741</v>
      </c>
      <c r="B4" s="8" t="s">
        <v>742</v>
      </c>
      <c r="C4" s="8" t="s">
        <v>552</v>
      </c>
      <c r="D4" s="8" t="s">
        <v>743</v>
      </c>
      <c r="E4" s="8" t="s">
        <v>744</v>
      </c>
      <c r="F4" s="8" t="s">
        <v>14</v>
      </c>
      <c r="G4" s="8" t="s">
        <v>745</v>
      </c>
      <c r="H4" s="12" t="s">
        <v>746</v>
      </c>
    </row>
    <row r="5" spans="1:8" ht="36" customHeight="1" x14ac:dyDescent="0.3">
      <c r="A5" s="9" t="s">
        <v>747</v>
      </c>
      <c r="B5" s="9" t="s">
        <v>748</v>
      </c>
      <c r="C5" s="9" t="s">
        <v>749</v>
      </c>
      <c r="D5" s="9" t="s">
        <v>750</v>
      </c>
      <c r="E5" s="9" t="s">
        <v>751</v>
      </c>
      <c r="F5" s="9" t="s">
        <v>752</v>
      </c>
      <c r="G5" s="9"/>
      <c r="H5" s="35">
        <f t="shared" ref="H5:H25" si="0">IF(F5="","",IF(F5="Conforme",1,IF(F5="Parcial",0.5,0)))</f>
        <v>1</v>
      </c>
    </row>
    <row r="6" spans="1:8" ht="36" customHeight="1" x14ac:dyDescent="0.3">
      <c r="A6" s="9" t="s">
        <v>753</v>
      </c>
      <c r="B6" s="9" t="s">
        <v>754</v>
      </c>
      <c r="C6" s="9" t="s">
        <v>749</v>
      </c>
      <c r="D6" s="9" t="s">
        <v>755</v>
      </c>
      <c r="E6" s="9" t="s">
        <v>68</v>
      </c>
      <c r="F6" s="9" t="s">
        <v>752</v>
      </c>
      <c r="G6" s="9"/>
      <c r="H6" s="35">
        <f t="shared" si="0"/>
        <v>1</v>
      </c>
    </row>
    <row r="7" spans="1:8" ht="36" customHeight="1" x14ac:dyDescent="0.3">
      <c r="A7" s="9" t="s">
        <v>756</v>
      </c>
      <c r="B7" s="9" t="s">
        <v>757</v>
      </c>
      <c r="C7" s="9" t="s">
        <v>581</v>
      </c>
      <c r="D7" s="9" t="s">
        <v>758</v>
      </c>
      <c r="E7" s="9" t="s">
        <v>759</v>
      </c>
      <c r="F7" s="9" t="s">
        <v>610</v>
      </c>
      <c r="G7" s="9" t="s">
        <v>760</v>
      </c>
      <c r="H7" s="35">
        <f t="shared" si="0"/>
        <v>0.5</v>
      </c>
    </row>
    <row r="8" spans="1:8" ht="36" customHeight="1" x14ac:dyDescent="0.3">
      <c r="A8" s="9" t="s">
        <v>761</v>
      </c>
      <c r="B8" s="9" t="s">
        <v>762</v>
      </c>
      <c r="C8" s="9" t="s">
        <v>581</v>
      </c>
      <c r="D8" s="9" t="s">
        <v>763</v>
      </c>
      <c r="E8" s="9" t="s">
        <v>764</v>
      </c>
      <c r="F8" s="9" t="s">
        <v>610</v>
      </c>
      <c r="G8" s="9" t="s">
        <v>765</v>
      </c>
      <c r="H8" s="35">
        <f t="shared" si="0"/>
        <v>0.5</v>
      </c>
    </row>
    <row r="9" spans="1:8" ht="36" customHeight="1" x14ac:dyDescent="0.3">
      <c r="A9" s="9" t="s">
        <v>766</v>
      </c>
      <c r="B9" s="9" t="s">
        <v>767</v>
      </c>
      <c r="C9" s="9" t="s">
        <v>581</v>
      </c>
      <c r="D9" s="9" t="s">
        <v>768</v>
      </c>
      <c r="E9" s="9" t="s">
        <v>609</v>
      </c>
      <c r="F9" s="9" t="s">
        <v>610</v>
      </c>
      <c r="G9" s="9" t="s">
        <v>769</v>
      </c>
      <c r="H9" s="35">
        <f t="shared" si="0"/>
        <v>0.5</v>
      </c>
    </row>
    <row r="10" spans="1:8" ht="36" customHeight="1" x14ac:dyDescent="0.3">
      <c r="A10" s="9" t="s">
        <v>770</v>
      </c>
      <c r="B10" s="9" t="s">
        <v>771</v>
      </c>
      <c r="C10" s="9" t="s">
        <v>581</v>
      </c>
      <c r="D10" s="9" t="s">
        <v>772</v>
      </c>
      <c r="E10" s="9" t="s">
        <v>773</v>
      </c>
      <c r="F10" s="9" t="s">
        <v>752</v>
      </c>
      <c r="G10" s="9"/>
      <c r="H10" s="35">
        <f t="shared" si="0"/>
        <v>1</v>
      </c>
    </row>
    <row r="11" spans="1:8" ht="36" customHeight="1" x14ac:dyDescent="0.3">
      <c r="A11" s="9" t="s">
        <v>774</v>
      </c>
      <c r="B11" s="9" t="s">
        <v>775</v>
      </c>
      <c r="C11" s="9" t="s">
        <v>581</v>
      </c>
      <c r="D11" s="9" t="s">
        <v>776</v>
      </c>
      <c r="E11" s="9" t="s">
        <v>777</v>
      </c>
      <c r="F11" s="9" t="s">
        <v>752</v>
      </c>
      <c r="G11" s="9" t="s">
        <v>778</v>
      </c>
      <c r="H11" s="35">
        <f t="shared" si="0"/>
        <v>1</v>
      </c>
    </row>
    <row r="12" spans="1:8" ht="36" customHeight="1" x14ac:dyDescent="0.3">
      <c r="A12" s="9" t="s">
        <v>779</v>
      </c>
      <c r="B12" s="9" t="s">
        <v>780</v>
      </c>
      <c r="C12" s="9" t="s">
        <v>581</v>
      </c>
      <c r="D12" s="9" t="s">
        <v>781</v>
      </c>
      <c r="E12" s="9" t="s">
        <v>287</v>
      </c>
      <c r="F12" s="9" t="s">
        <v>657</v>
      </c>
      <c r="G12" s="9" t="s">
        <v>782</v>
      </c>
      <c r="H12" s="35">
        <f t="shared" si="0"/>
        <v>0</v>
      </c>
    </row>
    <row r="13" spans="1:8" ht="36" customHeight="1" x14ac:dyDescent="0.3">
      <c r="A13" s="9" t="s">
        <v>783</v>
      </c>
      <c r="B13" s="9" t="s">
        <v>784</v>
      </c>
      <c r="C13" s="9" t="s">
        <v>707</v>
      </c>
      <c r="D13" s="9" t="s">
        <v>785</v>
      </c>
      <c r="E13" s="9" t="s">
        <v>712</v>
      </c>
      <c r="F13" s="9" t="s">
        <v>610</v>
      </c>
      <c r="G13" s="9" t="s">
        <v>786</v>
      </c>
      <c r="H13" s="35">
        <f t="shared" si="0"/>
        <v>0.5</v>
      </c>
    </row>
    <row r="14" spans="1:8" ht="36" customHeight="1" x14ac:dyDescent="0.3">
      <c r="A14" s="9" t="s">
        <v>787</v>
      </c>
      <c r="B14" s="9" t="s">
        <v>788</v>
      </c>
      <c r="C14" s="9" t="s">
        <v>619</v>
      </c>
      <c r="D14" s="9" t="s">
        <v>789</v>
      </c>
      <c r="E14" s="9" t="s">
        <v>790</v>
      </c>
      <c r="F14" s="9" t="s">
        <v>752</v>
      </c>
      <c r="G14" s="9"/>
      <c r="H14" s="35">
        <f t="shared" si="0"/>
        <v>1</v>
      </c>
    </row>
    <row r="15" spans="1:8" ht="36" customHeight="1" x14ac:dyDescent="0.3">
      <c r="A15" s="9" t="s">
        <v>791</v>
      </c>
      <c r="B15" s="9" t="s">
        <v>792</v>
      </c>
      <c r="C15" s="9" t="s">
        <v>619</v>
      </c>
      <c r="D15" s="9" t="s">
        <v>793</v>
      </c>
      <c r="E15" s="9" t="s">
        <v>794</v>
      </c>
      <c r="F15" s="9" t="s">
        <v>610</v>
      </c>
      <c r="G15" s="9" t="s">
        <v>795</v>
      </c>
      <c r="H15" s="35">
        <f t="shared" si="0"/>
        <v>0.5</v>
      </c>
    </row>
    <row r="16" spans="1:8" ht="36" customHeight="1" x14ac:dyDescent="0.3">
      <c r="A16" s="9" t="s">
        <v>796</v>
      </c>
      <c r="B16" s="9" t="s">
        <v>797</v>
      </c>
      <c r="C16" s="9" t="s">
        <v>619</v>
      </c>
      <c r="D16" s="9" t="s">
        <v>798</v>
      </c>
      <c r="E16" s="9" t="s">
        <v>799</v>
      </c>
      <c r="F16" s="9" t="s">
        <v>610</v>
      </c>
      <c r="G16" s="9" t="s">
        <v>800</v>
      </c>
      <c r="H16" s="35">
        <f t="shared" si="0"/>
        <v>0.5</v>
      </c>
    </row>
    <row r="17" spans="1:8" ht="36" customHeight="1" x14ac:dyDescent="0.3">
      <c r="A17" s="9" t="s">
        <v>801</v>
      </c>
      <c r="B17" s="9" t="s">
        <v>802</v>
      </c>
      <c r="C17" s="9" t="s">
        <v>641</v>
      </c>
      <c r="D17" s="9" t="s">
        <v>803</v>
      </c>
      <c r="E17" s="9" t="s">
        <v>804</v>
      </c>
      <c r="F17" s="9" t="s">
        <v>610</v>
      </c>
      <c r="G17" s="9" t="s">
        <v>805</v>
      </c>
      <c r="H17" s="35">
        <f t="shared" si="0"/>
        <v>0.5</v>
      </c>
    </row>
    <row r="18" spans="1:8" ht="36" customHeight="1" x14ac:dyDescent="0.3">
      <c r="A18" s="9" t="s">
        <v>806</v>
      </c>
      <c r="B18" s="9" t="s">
        <v>807</v>
      </c>
      <c r="C18" s="9" t="s">
        <v>659</v>
      </c>
      <c r="D18" s="9" t="s">
        <v>808</v>
      </c>
      <c r="E18" s="9" t="s">
        <v>809</v>
      </c>
      <c r="F18" s="9" t="s">
        <v>610</v>
      </c>
      <c r="G18" s="9" t="s">
        <v>810</v>
      </c>
      <c r="H18" s="35">
        <f t="shared" si="0"/>
        <v>0.5</v>
      </c>
    </row>
    <row r="19" spans="1:8" ht="36" customHeight="1" x14ac:dyDescent="0.3">
      <c r="A19" s="9" t="s">
        <v>811</v>
      </c>
      <c r="B19" s="9" t="s">
        <v>812</v>
      </c>
      <c r="C19" s="9" t="s">
        <v>677</v>
      </c>
      <c r="D19" s="9" t="s">
        <v>813</v>
      </c>
      <c r="E19" s="9" t="s">
        <v>814</v>
      </c>
      <c r="F19" s="9" t="s">
        <v>752</v>
      </c>
      <c r="G19" s="9"/>
      <c r="H19" s="35">
        <f t="shared" si="0"/>
        <v>1</v>
      </c>
    </row>
    <row r="20" spans="1:8" ht="36" customHeight="1" x14ac:dyDescent="0.3">
      <c r="A20" s="9" t="s">
        <v>815</v>
      </c>
      <c r="B20" s="9" t="s">
        <v>816</v>
      </c>
      <c r="C20" s="9" t="s">
        <v>677</v>
      </c>
      <c r="D20" s="9" t="s">
        <v>817</v>
      </c>
      <c r="E20" s="9" t="s">
        <v>818</v>
      </c>
      <c r="F20" s="9" t="s">
        <v>752</v>
      </c>
      <c r="G20" s="9"/>
      <c r="H20" s="35">
        <f t="shared" si="0"/>
        <v>1</v>
      </c>
    </row>
    <row r="21" spans="1:8" ht="36" customHeight="1" x14ac:dyDescent="0.3">
      <c r="A21" s="9" t="s">
        <v>819</v>
      </c>
      <c r="B21" s="9" t="s">
        <v>820</v>
      </c>
      <c r="C21" s="9" t="s">
        <v>677</v>
      </c>
      <c r="D21" s="9" t="s">
        <v>821</v>
      </c>
      <c r="E21" s="9" t="s">
        <v>822</v>
      </c>
      <c r="F21" s="9" t="s">
        <v>610</v>
      </c>
      <c r="G21" s="9" t="s">
        <v>823</v>
      </c>
      <c r="H21" s="35">
        <f t="shared" si="0"/>
        <v>0.5</v>
      </c>
    </row>
    <row r="22" spans="1:8" ht="36" customHeight="1" x14ac:dyDescent="0.3">
      <c r="A22" s="9" t="s">
        <v>824</v>
      </c>
      <c r="B22" s="9" t="s">
        <v>825</v>
      </c>
      <c r="C22" s="9" t="s">
        <v>707</v>
      </c>
      <c r="D22" s="9" t="s">
        <v>826</v>
      </c>
      <c r="E22" s="9" t="s">
        <v>827</v>
      </c>
      <c r="F22" s="9" t="s">
        <v>610</v>
      </c>
      <c r="G22" s="9" t="s">
        <v>828</v>
      </c>
      <c r="H22" s="35">
        <f t="shared" si="0"/>
        <v>0.5</v>
      </c>
    </row>
    <row r="23" spans="1:8" ht="36" customHeight="1" x14ac:dyDescent="0.3">
      <c r="A23" s="9" t="s">
        <v>829</v>
      </c>
      <c r="B23" s="9" t="s">
        <v>830</v>
      </c>
      <c r="C23" s="9" t="s">
        <v>731</v>
      </c>
      <c r="D23" s="9" t="s">
        <v>831</v>
      </c>
      <c r="E23" s="9" t="s">
        <v>64</v>
      </c>
      <c r="F23" s="9" t="s">
        <v>752</v>
      </c>
      <c r="G23" s="9"/>
      <c r="H23" s="35">
        <f t="shared" si="0"/>
        <v>1</v>
      </c>
    </row>
    <row r="24" spans="1:8" ht="36" customHeight="1" x14ac:dyDescent="0.3">
      <c r="A24" s="9" t="s">
        <v>832</v>
      </c>
      <c r="B24" s="9" t="s">
        <v>833</v>
      </c>
      <c r="C24" s="9" t="s">
        <v>834</v>
      </c>
      <c r="D24" s="9" t="s">
        <v>835</v>
      </c>
      <c r="E24" s="9" t="s">
        <v>287</v>
      </c>
      <c r="F24" s="9" t="s">
        <v>657</v>
      </c>
      <c r="G24" s="9" t="s">
        <v>836</v>
      </c>
      <c r="H24" s="35">
        <f t="shared" si="0"/>
        <v>0</v>
      </c>
    </row>
    <row r="25" spans="1:8" ht="36" customHeight="1" x14ac:dyDescent="0.3">
      <c r="A25" s="9" t="s">
        <v>837</v>
      </c>
      <c r="B25" s="9" t="s">
        <v>838</v>
      </c>
      <c r="C25" s="9" t="s">
        <v>839</v>
      </c>
      <c r="D25" s="9" t="s">
        <v>840</v>
      </c>
      <c r="E25" s="9" t="s">
        <v>841</v>
      </c>
      <c r="F25" s="9" t="s">
        <v>610</v>
      </c>
      <c r="G25" s="9" t="s">
        <v>842</v>
      </c>
      <c r="H25" s="35">
        <f t="shared" si="0"/>
        <v>0.5</v>
      </c>
    </row>
  </sheetData>
  <conditionalFormatting sqref="F5:F225">
    <cfRule type="expression" dxfId="2" priority="1">
      <formula>ISNUMBER(SEARCH("Conforme",F5))</formula>
    </cfRule>
    <cfRule type="expression" dxfId="1" priority="2">
      <formula>ISNUMBER(SEARCH("Parcial",F5))</formula>
    </cfRule>
    <cfRule type="expression" dxfId="0" priority="3">
      <formula>ISNUMBER(SEARCH("Lacuna",F5))</formula>
    </cfRule>
  </conditionalFormatting>
  <dataValidations count="1">
    <dataValidation type="list" allowBlank="1" showErrorMessage="1" errorTitle="Valor inválido" error="Valor fora da lista controlada (ver folha Listas)." sqref="F5:F225" xr:uid="{00000000-0002-0000-0800-000000000000}">
      <formula1>lst_EstadoReqE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16" customWidth="1"/>
    <col min="6" max="6" width="38" customWidth="1"/>
    <col min="7" max="7" width="16" customWidth="1"/>
    <col min="8" max="8" width="48" customWidth="1"/>
    <col min="9" max="9" width="16" customWidth="1"/>
  </cols>
  <sheetData>
    <row r="1" spans="1:9" x14ac:dyDescent="0.3">
      <c r="A1" s="33" t="s">
        <v>843</v>
      </c>
    </row>
    <row r="2" spans="1:9" x14ac:dyDescent="0.3">
      <c r="A2" s="36" t="s">
        <v>844</v>
      </c>
      <c r="B2" s="36" t="s">
        <v>173</v>
      </c>
      <c r="C2" s="36" t="s">
        <v>845</v>
      </c>
      <c r="D2" s="36" t="s">
        <v>81</v>
      </c>
      <c r="E2" s="36" t="s">
        <v>846</v>
      </c>
      <c r="F2" s="36" t="s">
        <v>847</v>
      </c>
      <c r="G2" s="36" t="s">
        <v>848</v>
      </c>
      <c r="H2" s="36" t="s">
        <v>849</v>
      </c>
      <c r="I2" s="36" t="s">
        <v>850</v>
      </c>
    </row>
    <row r="3" spans="1:9" x14ac:dyDescent="0.3">
      <c r="A3" s="37">
        <v>46387</v>
      </c>
      <c r="B3" s="6" t="s">
        <v>182</v>
      </c>
      <c r="C3" s="6" t="s">
        <v>186</v>
      </c>
      <c r="D3" s="6" t="s">
        <v>95</v>
      </c>
      <c r="E3" s="6" t="s">
        <v>188</v>
      </c>
      <c r="F3" s="6" t="s">
        <v>272</v>
      </c>
      <c r="G3" s="6" t="s">
        <v>567</v>
      </c>
      <c r="H3" s="6" t="s">
        <v>851</v>
      </c>
      <c r="I3" s="6" t="s">
        <v>752</v>
      </c>
    </row>
    <row r="4" spans="1:9" x14ac:dyDescent="0.3">
      <c r="B4" s="6" t="s">
        <v>201</v>
      </c>
      <c r="C4" s="6" t="s">
        <v>205</v>
      </c>
      <c r="D4" s="6" t="s">
        <v>87</v>
      </c>
      <c r="E4" s="6" t="s">
        <v>218</v>
      </c>
      <c r="F4" s="6" t="s">
        <v>852</v>
      </c>
      <c r="G4" s="6" t="s">
        <v>194</v>
      </c>
      <c r="H4" s="6" t="s">
        <v>853</v>
      </c>
      <c r="I4" s="6" t="s">
        <v>610</v>
      </c>
    </row>
    <row r="5" spans="1:9" x14ac:dyDescent="0.3">
      <c r="B5" s="6" t="s">
        <v>214</v>
      </c>
      <c r="C5" s="6" t="s">
        <v>210</v>
      </c>
      <c r="D5" s="6" t="s">
        <v>91</v>
      </c>
      <c r="E5" s="6" t="s">
        <v>194</v>
      </c>
      <c r="F5" s="6" t="s">
        <v>854</v>
      </c>
      <c r="G5" s="6" t="s">
        <v>610</v>
      </c>
      <c r="H5" s="6" t="s">
        <v>855</v>
      </c>
      <c r="I5" s="6" t="s">
        <v>657</v>
      </c>
    </row>
    <row r="6" spans="1:9" x14ac:dyDescent="0.3">
      <c r="F6" s="6" t="s">
        <v>856</v>
      </c>
      <c r="G6" s="6" t="s">
        <v>657</v>
      </c>
      <c r="H6" s="6" t="s">
        <v>857</v>
      </c>
    </row>
    <row r="7" spans="1:9" x14ac:dyDescent="0.3">
      <c r="H7" s="6" t="s">
        <v>858</v>
      </c>
    </row>
    <row r="8" spans="1:9" x14ac:dyDescent="0.3">
      <c r="H8" s="6" t="s">
        <v>859</v>
      </c>
    </row>
    <row r="9" spans="1:9" x14ac:dyDescent="0.3">
      <c r="H9" s="6" t="s">
        <v>860</v>
      </c>
    </row>
    <row r="10" spans="1:9" x14ac:dyDescent="0.3">
      <c r="H10" s="6" t="s">
        <v>861</v>
      </c>
    </row>
    <row r="11" spans="1:9" x14ac:dyDescent="0.3">
      <c r="H11" s="6" t="s">
        <v>862</v>
      </c>
    </row>
    <row r="12" spans="1:9" x14ac:dyDescent="0.3">
      <c r="H12" s="6" t="s">
        <v>863</v>
      </c>
    </row>
    <row r="13" spans="1:9" x14ac:dyDescent="0.3">
      <c r="H13" s="6" t="s">
        <v>864</v>
      </c>
    </row>
    <row r="14" spans="1:9" x14ac:dyDescent="0.3">
      <c r="H14" s="6" t="s">
        <v>865</v>
      </c>
    </row>
    <row r="15" spans="1:9" x14ac:dyDescent="0.3">
      <c r="H15" s="6" t="s">
        <v>866</v>
      </c>
    </row>
    <row r="16" spans="1:9" x14ac:dyDescent="0.3">
      <c r="H16" s="6" t="s">
        <v>867</v>
      </c>
    </row>
    <row r="17" spans="8:8" x14ac:dyDescent="0.3">
      <c r="H17" s="6" t="s">
        <v>868</v>
      </c>
    </row>
    <row r="18" spans="8:8" x14ac:dyDescent="0.3">
      <c r="H18" s="6" t="s">
        <v>869</v>
      </c>
    </row>
    <row r="19" spans="8:8" x14ac:dyDescent="0.3">
      <c r="H19" s="6" t="s">
        <v>870</v>
      </c>
    </row>
    <row r="20" spans="8:8" x14ac:dyDescent="0.3">
      <c r="H20" s="6" t="s">
        <v>871</v>
      </c>
    </row>
    <row r="21" spans="8:8" x14ac:dyDescent="0.3">
      <c r="H21" s="6" t="s">
        <v>872</v>
      </c>
    </row>
    <row r="22" spans="8:8" x14ac:dyDescent="0.3">
      <c r="H22" s="6" t="s">
        <v>873</v>
      </c>
    </row>
    <row r="23" spans="8:8" x14ac:dyDescent="0.3">
      <c r="H23" s="6" t="s">
        <v>874</v>
      </c>
    </row>
    <row r="24" spans="8:8" x14ac:dyDescent="0.3">
      <c r="H24" s="6" t="s">
        <v>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876</v>
      </c>
      <c r="B1" s="8" t="s">
        <v>877</v>
      </c>
      <c r="C1" s="8" t="s">
        <v>878</v>
      </c>
      <c r="D1" s="8" t="s">
        <v>364</v>
      </c>
      <c r="E1" s="8" t="s">
        <v>879</v>
      </c>
      <c r="F1" s="8" t="s">
        <v>76</v>
      </c>
      <c r="G1" s="8" t="s">
        <v>880</v>
      </c>
      <c r="H1" s="8" t="s">
        <v>881</v>
      </c>
      <c r="I1" s="8" t="s">
        <v>882</v>
      </c>
    </row>
    <row r="2" spans="1:9" x14ac:dyDescent="0.3">
      <c r="A2" s="20" t="s">
        <v>28</v>
      </c>
      <c r="B2" s="20" t="s">
        <v>883</v>
      </c>
      <c r="C2" s="20" t="s">
        <v>74</v>
      </c>
      <c r="D2" s="20" t="s">
        <v>884</v>
      </c>
      <c r="E2" s="20" t="s">
        <v>885</v>
      </c>
      <c r="F2" s="20" t="s">
        <v>886</v>
      </c>
      <c r="G2" s="20"/>
      <c r="H2" s="20" t="s">
        <v>387</v>
      </c>
      <c r="I2" s="20" t="s">
        <v>887</v>
      </c>
    </row>
    <row r="3" spans="1:9" x14ac:dyDescent="0.3">
      <c r="A3" s="20" t="s">
        <v>28</v>
      </c>
      <c r="B3" s="20" t="s">
        <v>883</v>
      </c>
      <c r="C3" s="20" t="s">
        <v>75</v>
      </c>
      <c r="D3" s="20" t="s">
        <v>884</v>
      </c>
      <c r="E3" s="20" t="s">
        <v>885</v>
      </c>
      <c r="F3" s="20" t="s">
        <v>888</v>
      </c>
      <c r="G3" s="20"/>
      <c r="H3" s="20" t="s">
        <v>387</v>
      </c>
      <c r="I3" s="20"/>
    </row>
    <row r="4" spans="1:9" x14ac:dyDescent="0.3">
      <c r="A4" s="20" t="s">
        <v>28</v>
      </c>
      <c r="B4" s="20" t="s">
        <v>883</v>
      </c>
      <c r="C4" s="20" t="s">
        <v>76</v>
      </c>
      <c r="D4" s="20" t="s">
        <v>884</v>
      </c>
      <c r="E4" s="20" t="s">
        <v>885</v>
      </c>
      <c r="F4" s="20" t="s">
        <v>889</v>
      </c>
      <c r="G4" s="20"/>
      <c r="H4" s="20" t="s">
        <v>387</v>
      </c>
      <c r="I4" s="20"/>
    </row>
    <row r="5" spans="1:9" x14ac:dyDescent="0.3">
      <c r="A5" s="20" t="s">
        <v>28</v>
      </c>
      <c r="B5" s="20" t="s">
        <v>883</v>
      </c>
      <c r="C5" s="20" t="s">
        <v>77</v>
      </c>
      <c r="D5" s="20" t="s">
        <v>890</v>
      </c>
      <c r="E5" s="20" t="s">
        <v>885</v>
      </c>
      <c r="F5" s="20" t="s">
        <v>891</v>
      </c>
      <c r="G5" s="20"/>
      <c r="H5" s="20" t="s">
        <v>387</v>
      </c>
      <c r="I5" s="20"/>
    </row>
    <row r="6" spans="1:9" x14ac:dyDescent="0.3">
      <c r="A6" s="20" t="s">
        <v>28</v>
      </c>
      <c r="B6" s="20" t="s">
        <v>883</v>
      </c>
      <c r="C6" s="20" t="s">
        <v>78</v>
      </c>
      <c r="D6" s="20" t="s">
        <v>884</v>
      </c>
      <c r="E6" s="20" t="s">
        <v>885</v>
      </c>
      <c r="F6" s="20" t="s">
        <v>892</v>
      </c>
      <c r="G6" s="20"/>
      <c r="H6" s="20" t="s">
        <v>387</v>
      </c>
      <c r="I6" s="20"/>
    </row>
    <row r="7" spans="1:9" x14ac:dyDescent="0.3">
      <c r="A7" s="20" t="s">
        <v>28</v>
      </c>
      <c r="B7" s="20" t="s">
        <v>883</v>
      </c>
      <c r="C7" s="20" t="s">
        <v>79</v>
      </c>
      <c r="D7" s="20" t="s">
        <v>884</v>
      </c>
      <c r="E7" s="20" t="s">
        <v>885</v>
      </c>
      <c r="F7" s="20" t="s">
        <v>893</v>
      </c>
      <c r="G7" s="20"/>
      <c r="H7" s="20" t="s">
        <v>387</v>
      </c>
      <c r="I7" s="20"/>
    </row>
    <row r="8" spans="1:9" x14ac:dyDescent="0.3">
      <c r="A8" s="20" t="s">
        <v>28</v>
      </c>
      <c r="B8" s="20" t="s">
        <v>883</v>
      </c>
      <c r="C8" s="20" t="s">
        <v>80</v>
      </c>
      <c r="D8" s="20" t="s">
        <v>894</v>
      </c>
      <c r="E8" s="20" t="s">
        <v>885</v>
      </c>
      <c r="F8" s="20" t="s">
        <v>895</v>
      </c>
      <c r="G8" s="20"/>
      <c r="H8" s="20" t="s">
        <v>387</v>
      </c>
      <c r="I8" s="20"/>
    </row>
    <row r="9" spans="1:9" x14ac:dyDescent="0.3">
      <c r="A9" s="20" t="s">
        <v>28</v>
      </c>
      <c r="B9" s="20" t="s">
        <v>883</v>
      </c>
      <c r="C9" s="20" t="s">
        <v>81</v>
      </c>
      <c r="D9" s="20" t="s">
        <v>884</v>
      </c>
      <c r="E9" s="20" t="s">
        <v>885</v>
      </c>
      <c r="F9" s="20" t="s">
        <v>896</v>
      </c>
      <c r="G9" s="20" t="s">
        <v>897</v>
      </c>
      <c r="H9" s="20" t="s">
        <v>387</v>
      </c>
      <c r="I9" s="20"/>
    </row>
    <row r="10" spans="1:9" x14ac:dyDescent="0.3">
      <c r="A10" s="20" t="s">
        <v>30</v>
      </c>
      <c r="B10" s="20" t="s">
        <v>587</v>
      </c>
      <c r="C10" s="20" t="s">
        <v>169</v>
      </c>
      <c r="D10" s="20" t="s">
        <v>884</v>
      </c>
      <c r="E10" s="20" t="s">
        <v>898</v>
      </c>
      <c r="F10" s="20" t="s">
        <v>899</v>
      </c>
      <c r="G10" s="20"/>
      <c r="H10" s="20" t="s">
        <v>387</v>
      </c>
      <c r="I10" s="20"/>
    </row>
    <row r="11" spans="1:9" ht="26.4" x14ac:dyDescent="0.3">
      <c r="A11" s="20" t="s">
        <v>30</v>
      </c>
      <c r="B11" s="20" t="s">
        <v>587</v>
      </c>
      <c r="C11" s="20" t="s">
        <v>170</v>
      </c>
      <c r="D11" s="20" t="s">
        <v>900</v>
      </c>
      <c r="E11" s="20" t="s">
        <v>885</v>
      </c>
      <c r="F11" s="20" t="s">
        <v>901</v>
      </c>
      <c r="G11" s="20"/>
      <c r="H11" s="20" t="s">
        <v>387</v>
      </c>
      <c r="I11" s="20"/>
    </row>
    <row r="12" spans="1:9" x14ac:dyDescent="0.3">
      <c r="A12" s="20" t="s">
        <v>30</v>
      </c>
      <c r="B12" s="20" t="s">
        <v>587</v>
      </c>
      <c r="C12" s="20" t="s">
        <v>171</v>
      </c>
      <c r="D12" s="20" t="s">
        <v>894</v>
      </c>
      <c r="E12" s="20" t="s">
        <v>898</v>
      </c>
      <c r="F12" s="20" t="s">
        <v>902</v>
      </c>
      <c r="G12" s="20"/>
      <c r="H12" s="20" t="s">
        <v>387</v>
      </c>
      <c r="I12" s="20"/>
    </row>
    <row r="13" spans="1:9" x14ac:dyDescent="0.3">
      <c r="A13" s="20" t="s">
        <v>30</v>
      </c>
      <c r="B13" s="20" t="s">
        <v>587</v>
      </c>
      <c r="C13" s="20" t="s">
        <v>172</v>
      </c>
      <c r="D13" s="20" t="s">
        <v>884</v>
      </c>
      <c r="E13" s="20" t="s">
        <v>898</v>
      </c>
      <c r="F13" s="20" t="s">
        <v>903</v>
      </c>
      <c r="G13" s="20"/>
      <c r="H13" s="20" t="s">
        <v>387</v>
      </c>
      <c r="I13" s="20"/>
    </row>
    <row r="14" spans="1:9" x14ac:dyDescent="0.3">
      <c r="A14" s="20" t="s">
        <v>30</v>
      </c>
      <c r="B14" s="20" t="s">
        <v>587</v>
      </c>
      <c r="C14" s="20" t="s">
        <v>173</v>
      </c>
      <c r="D14" s="20" t="s">
        <v>884</v>
      </c>
      <c r="E14" s="20" t="s">
        <v>885</v>
      </c>
      <c r="F14" s="20" t="s">
        <v>904</v>
      </c>
      <c r="G14" s="20" t="s">
        <v>905</v>
      </c>
      <c r="H14" s="20" t="s">
        <v>387</v>
      </c>
      <c r="I14" s="20"/>
    </row>
    <row r="15" spans="1:9" x14ac:dyDescent="0.3">
      <c r="A15" s="20" t="s">
        <v>30</v>
      </c>
      <c r="B15" s="20" t="s">
        <v>587</v>
      </c>
      <c r="C15" s="20" t="s">
        <v>75</v>
      </c>
      <c r="D15" s="20" t="s">
        <v>884</v>
      </c>
      <c r="E15" s="20" t="s">
        <v>885</v>
      </c>
      <c r="F15" s="20" t="s">
        <v>906</v>
      </c>
      <c r="G15" s="20"/>
      <c r="H15" s="20" t="s">
        <v>387</v>
      </c>
      <c r="I15" s="20"/>
    </row>
    <row r="16" spans="1:9" x14ac:dyDescent="0.3">
      <c r="A16" s="20" t="s">
        <v>30</v>
      </c>
      <c r="B16" s="20" t="s">
        <v>587</v>
      </c>
      <c r="C16" s="20" t="s">
        <v>174</v>
      </c>
      <c r="D16" s="20" t="s">
        <v>884</v>
      </c>
      <c r="E16" s="20" t="s">
        <v>885</v>
      </c>
      <c r="F16" s="20" t="s">
        <v>907</v>
      </c>
      <c r="G16" s="20"/>
      <c r="H16" s="20" t="s">
        <v>387</v>
      </c>
      <c r="I16" s="20"/>
    </row>
    <row r="17" spans="1:9" x14ac:dyDescent="0.3">
      <c r="A17" s="20" t="s">
        <v>30</v>
      </c>
      <c r="B17" s="20" t="s">
        <v>587</v>
      </c>
      <c r="C17" s="20" t="s">
        <v>79</v>
      </c>
      <c r="D17" s="20" t="s">
        <v>884</v>
      </c>
      <c r="E17" s="20" t="s">
        <v>885</v>
      </c>
      <c r="F17" s="20" t="s">
        <v>908</v>
      </c>
      <c r="G17" s="20"/>
      <c r="H17" s="20" t="s">
        <v>387</v>
      </c>
      <c r="I17" s="20"/>
    </row>
    <row r="18" spans="1:9" x14ac:dyDescent="0.3">
      <c r="A18" s="20" t="s">
        <v>30</v>
      </c>
      <c r="B18" s="20" t="s">
        <v>587</v>
      </c>
      <c r="C18" s="20" t="s">
        <v>175</v>
      </c>
      <c r="D18" s="20" t="s">
        <v>884</v>
      </c>
      <c r="E18" s="20" t="s">
        <v>885</v>
      </c>
      <c r="F18" s="20" t="s">
        <v>909</v>
      </c>
      <c r="G18" s="20" t="s">
        <v>910</v>
      </c>
      <c r="H18" s="20" t="s">
        <v>387</v>
      </c>
      <c r="I18" s="20"/>
    </row>
    <row r="19" spans="1:9" x14ac:dyDescent="0.3">
      <c r="A19" s="20" t="s">
        <v>30</v>
      </c>
      <c r="B19" s="20" t="s">
        <v>587</v>
      </c>
      <c r="C19" s="20" t="s">
        <v>176</v>
      </c>
      <c r="D19" s="20" t="s">
        <v>890</v>
      </c>
      <c r="E19" s="20" t="s">
        <v>885</v>
      </c>
      <c r="F19" s="20" t="s">
        <v>911</v>
      </c>
      <c r="G19" s="20"/>
      <c r="H19" s="20" t="s">
        <v>387</v>
      </c>
      <c r="I19" s="20"/>
    </row>
    <row r="20" spans="1:9" x14ac:dyDescent="0.3">
      <c r="A20" s="20" t="s">
        <v>30</v>
      </c>
      <c r="B20" s="20" t="s">
        <v>587</v>
      </c>
      <c r="C20" s="20" t="s">
        <v>78</v>
      </c>
      <c r="D20" s="20" t="s">
        <v>884</v>
      </c>
      <c r="E20" s="20" t="s">
        <v>885</v>
      </c>
      <c r="F20" s="20" t="s">
        <v>912</v>
      </c>
      <c r="G20" s="20"/>
      <c r="H20" s="20" t="s">
        <v>387</v>
      </c>
      <c r="I20" s="20"/>
    </row>
    <row r="21" spans="1:9" ht="39.6" x14ac:dyDescent="0.3">
      <c r="A21" s="20" t="s">
        <v>30</v>
      </c>
      <c r="B21" s="20" t="s">
        <v>587</v>
      </c>
      <c r="C21" s="20" t="s">
        <v>74</v>
      </c>
      <c r="D21" s="20" t="s">
        <v>884</v>
      </c>
      <c r="E21" s="20" t="s">
        <v>885</v>
      </c>
      <c r="F21" s="20" t="s">
        <v>913</v>
      </c>
      <c r="G21" s="20"/>
      <c r="H21" s="20" t="s">
        <v>387</v>
      </c>
      <c r="I21" s="20" t="s">
        <v>914</v>
      </c>
    </row>
    <row r="22" spans="1:9" x14ac:dyDescent="0.3">
      <c r="A22" s="20" t="s">
        <v>30</v>
      </c>
      <c r="B22" s="20" t="s">
        <v>587</v>
      </c>
      <c r="C22" s="20" t="s">
        <v>177</v>
      </c>
      <c r="D22" s="20" t="s">
        <v>890</v>
      </c>
      <c r="E22" s="20" t="s">
        <v>898</v>
      </c>
      <c r="F22" s="20" t="s">
        <v>915</v>
      </c>
      <c r="G22" s="20"/>
      <c r="H22" s="20" t="s">
        <v>387</v>
      </c>
      <c r="I22" s="20"/>
    </row>
    <row r="23" spans="1:9" x14ac:dyDescent="0.3">
      <c r="A23" s="20" t="s">
        <v>30</v>
      </c>
      <c r="B23" s="20" t="s">
        <v>587</v>
      </c>
      <c r="C23" s="20" t="s">
        <v>178</v>
      </c>
      <c r="D23" s="20" t="s">
        <v>890</v>
      </c>
      <c r="E23" s="20" t="s">
        <v>898</v>
      </c>
      <c r="F23" s="20" t="s">
        <v>916</v>
      </c>
      <c r="G23" s="20"/>
      <c r="H23" s="20" t="s">
        <v>387</v>
      </c>
      <c r="I23" s="20"/>
    </row>
    <row r="24" spans="1:9" x14ac:dyDescent="0.3">
      <c r="A24" s="20" t="s">
        <v>30</v>
      </c>
      <c r="B24" s="20" t="s">
        <v>587</v>
      </c>
      <c r="C24" s="20" t="s">
        <v>179</v>
      </c>
      <c r="D24" s="20" t="s">
        <v>884</v>
      </c>
      <c r="E24" s="20" t="s">
        <v>885</v>
      </c>
      <c r="F24" s="20" t="s">
        <v>917</v>
      </c>
      <c r="G24" s="20" t="s">
        <v>918</v>
      </c>
      <c r="H24" s="20" t="s">
        <v>387</v>
      </c>
      <c r="I24" s="20"/>
    </row>
    <row r="25" spans="1:9" x14ac:dyDescent="0.3">
      <c r="A25" s="20" t="s">
        <v>30</v>
      </c>
      <c r="B25" s="20" t="s">
        <v>587</v>
      </c>
      <c r="C25" s="20" t="s">
        <v>180</v>
      </c>
      <c r="D25" s="20" t="s">
        <v>884</v>
      </c>
      <c r="E25" s="20" t="s">
        <v>885</v>
      </c>
      <c r="F25" s="20" t="s">
        <v>919</v>
      </c>
      <c r="G25" s="20"/>
      <c r="H25" s="20" t="s">
        <v>387</v>
      </c>
      <c r="I25" s="20"/>
    </row>
    <row r="26" spans="1:9" x14ac:dyDescent="0.3">
      <c r="A26" s="20" t="s">
        <v>30</v>
      </c>
      <c r="B26" s="20" t="s">
        <v>587</v>
      </c>
      <c r="C26" s="20" t="s">
        <v>181</v>
      </c>
      <c r="D26" s="20" t="s">
        <v>884</v>
      </c>
      <c r="E26" s="20" t="s">
        <v>885</v>
      </c>
      <c r="F26" s="20" t="s">
        <v>920</v>
      </c>
      <c r="G26" s="20"/>
      <c r="H26" s="20" t="s">
        <v>383</v>
      </c>
      <c r="I26" s="20"/>
    </row>
    <row r="27" spans="1:9" x14ac:dyDescent="0.3">
      <c r="A27" s="20" t="s">
        <v>34</v>
      </c>
      <c r="B27" s="20" t="s">
        <v>609</v>
      </c>
      <c r="C27" s="20" t="s">
        <v>333</v>
      </c>
      <c r="D27" s="20" t="s">
        <v>884</v>
      </c>
      <c r="E27" s="20" t="s">
        <v>885</v>
      </c>
      <c r="F27" s="20" t="s">
        <v>921</v>
      </c>
      <c r="G27" s="20"/>
      <c r="H27" s="20" t="s">
        <v>387</v>
      </c>
      <c r="I27" s="20" t="s">
        <v>887</v>
      </c>
    </row>
    <row r="28" spans="1:9" x14ac:dyDescent="0.3">
      <c r="A28" s="20" t="s">
        <v>34</v>
      </c>
      <c r="B28" s="20" t="s">
        <v>609</v>
      </c>
      <c r="C28" s="20" t="s">
        <v>311</v>
      </c>
      <c r="D28" s="20" t="s">
        <v>884</v>
      </c>
      <c r="E28" s="20" t="s">
        <v>885</v>
      </c>
      <c r="F28" s="20" t="s">
        <v>922</v>
      </c>
      <c r="G28" s="20"/>
      <c r="H28" s="20" t="s">
        <v>387</v>
      </c>
      <c r="I28" s="20"/>
    </row>
    <row r="29" spans="1:9" x14ac:dyDescent="0.3">
      <c r="A29" s="20" t="s">
        <v>34</v>
      </c>
      <c r="B29" s="20" t="s">
        <v>609</v>
      </c>
      <c r="C29" s="20" t="s">
        <v>78</v>
      </c>
      <c r="D29" s="20" t="s">
        <v>884</v>
      </c>
      <c r="E29" s="20" t="s">
        <v>885</v>
      </c>
      <c r="F29" s="20" t="s">
        <v>892</v>
      </c>
      <c r="G29" s="20"/>
      <c r="H29" s="20" t="s">
        <v>387</v>
      </c>
      <c r="I29" s="20"/>
    </row>
    <row r="30" spans="1:9" x14ac:dyDescent="0.3">
      <c r="A30" s="20" t="s">
        <v>34</v>
      </c>
      <c r="B30" s="20" t="s">
        <v>609</v>
      </c>
      <c r="C30" s="20" t="s">
        <v>334</v>
      </c>
      <c r="D30" s="20" t="s">
        <v>884</v>
      </c>
      <c r="E30" s="20" t="s">
        <v>885</v>
      </c>
      <c r="F30" s="20" t="s">
        <v>923</v>
      </c>
      <c r="G30" s="20"/>
      <c r="H30" s="20" t="s">
        <v>387</v>
      </c>
      <c r="I30" s="20"/>
    </row>
    <row r="31" spans="1:9" x14ac:dyDescent="0.3">
      <c r="A31" s="20" t="s">
        <v>34</v>
      </c>
      <c r="B31" s="20" t="s">
        <v>609</v>
      </c>
      <c r="C31" s="20" t="s">
        <v>335</v>
      </c>
      <c r="D31" s="20" t="s">
        <v>890</v>
      </c>
      <c r="E31" s="20" t="s">
        <v>885</v>
      </c>
      <c r="F31" s="20" t="s">
        <v>924</v>
      </c>
      <c r="G31" s="20"/>
      <c r="H31" s="20" t="s">
        <v>387</v>
      </c>
      <c r="I31" s="20"/>
    </row>
    <row r="32" spans="1:9" x14ac:dyDescent="0.3">
      <c r="A32" s="20" t="s">
        <v>34</v>
      </c>
      <c r="B32" s="20" t="s">
        <v>609</v>
      </c>
      <c r="C32" s="20" t="s">
        <v>336</v>
      </c>
      <c r="D32" s="20" t="s">
        <v>894</v>
      </c>
      <c r="E32" s="20" t="s">
        <v>885</v>
      </c>
      <c r="F32" s="20" t="s">
        <v>925</v>
      </c>
      <c r="G32" s="20"/>
      <c r="H32" s="20" t="s">
        <v>387</v>
      </c>
      <c r="I32" s="20"/>
    </row>
    <row r="33" spans="1:9" x14ac:dyDescent="0.3">
      <c r="A33" s="20" t="s">
        <v>34</v>
      </c>
      <c r="B33" s="20" t="s">
        <v>609</v>
      </c>
      <c r="C33" s="20" t="s">
        <v>337</v>
      </c>
      <c r="D33" s="20" t="s">
        <v>884</v>
      </c>
      <c r="E33" s="20" t="s">
        <v>885</v>
      </c>
      <c r="F33" s="20" t="s">
        <v>926</v>
      </c>
      <c r="G33" s="20"/>
      <c r="H33" s="20" t="s">
        <v>387</v>
      </c>
      <c r="I33" s="20"/>
    </row>
    <row r="34" spans="1:9" ht="26.4" x14ac:dyDescent="0.3">
      <c r="A34" s="20" t="s">
        <v>34</v>
      </c>
      <c r="B34" s="20" t="s">
        <v>609</v>
      </c>
      <c r="C34" s="20" t="s">
        <v>338</v>
      </c>
      <c r="D34" s="20" t="s">
        <v>927</v>
      </c>
      <c r="E34" s="20" t="s">
        <v>885</v>
      </c>
      <c r="F34" s="20" t="s">
        <v>928</v>
      </c>
      <c r="G34" s="20"/>
      <c r="H34" s="20" t="s">
        <v>387</v>
      </c>
      <c r="I34" s="20"/>
    </row>
    <row r="35" spans="1:9" x14ac:dyDescent="0.3">
      <c r="A35" s="20" t="s">
        <v>34</v>
      </c>
      <c r="B35" s="20" t="s">
        <v>609</v>
      </c>
      <c r="C35" s="20" t="s">
        <v>339</v>
      </c>
      <c r="D35" s="20" t="s">
        <v>890</v>
      </c>
      <c r="E35" s="20" t="s">
        <v>898</v>
      </c>
      <c r="F35" s="20" t="s">
        <v>929</v>
      </c>
      <c r="G35" s="20"/>
      <c r="H35" s="20" t="s">
        <v>387</v>
      </c>
      <c r="I35" s="20"/>
    </row>
    <row r="36" spans="1:9" x14ac:dyDescent="0.3">
      <c r="A36" s="20" t="s">
        <v>34</v>
      </c>
      <c r="B36" s="20" t="s">
        <v>609</v>
      </c>
      <c r="C36" s="20" t="s">
        <v>340</v>
      </c>
      <c r="D36" s="20" t="s">
        <v>890</v>
      </c>
      <c r="E36" s="20" t="s">
        <v>885</v>
      </c>
      <c r="F36" s="20" t="s">
        <v>930</v>
      </c>
      <c r="G36" s="20"/>
      <c r="H36" s="20" t="s">
        <v>387</v>
      </c>
      <c r="I36" s="20"/>
    </row>
    <row r="37" spans="1:9" x14ac:dyDescent="0.3">
      <c r="A37" s="20" t="s">
        <v>34</v>
      </c>
      <c r="B37" s="20" t="s">
        <v>609</v>
      </c>
      <c r="C37" s="20" t="s">
        <v>14</v>
      </c>
      <c r="D37" s="20" t="s">
        <v>884</v>
      </c>
      <c r="E37" s="20" t="s">
        <v>898</v>
      </c>
      <c r="F37" s="20" t="s">
        <v>931</v>
      </c>
      <c r="G37" s="20"/>
      <c r="H37" s="20" t="s">
        <v>387</v>
      </c>
      <c r="I37" s="20"/>
    </row>
    <row r="38" spans="1:9" x14ac:dyDescent="0.3">
      <c r="A38" s="20" t="s">
        <v>34</v>
      </c>
      <c r="B38" s="20" t="s">
        <v>609</v>
      </c>
      <c r="C38" s="20" t="s">
        <v>341</v>
      </c>
      <c r="D38" s="20" t="s">
        <v>884</v>
      </c>
      <c r="E38" s="20" t="s">
        <v>885</v>
      </c>
      <c r="F38" s="20" t="s">
        <v>932</v>
      </c>
      <c r="G38" s="20"/>
      <c r="H38" s="20" t="s">
        <v>387</v>
      </c>
      <c r="I38" s="20"/>
    </row>
    <row r="39" spans="1:9" x14ac:dyDescent="0.3">
      <c r="A39" s="20" t="s">
        <v>36</v>
      </c>
      <c r="B39" s="20" t="s">
        <v>712</v>
      </c>
      <c r="C39" s="20" t="s">
        <v>363</v>
      </c>
      <c r="D39" s="20" t="s">
        <v>884</v>
      </c>
      <c r="E39" s="20" t="s">
        <v>885</v>
      </c>
      <c r="F39" s="20" t="s">
        <v>933</v>
      </c>
      <c r="G39" s="20"/>
      <c r="H39" s="20" t="s">
        <v>387</v>
      </c>
      <c r="I39" s="20" t="s">
        <v>887</v>
      </c>
    </row>
    <row r="40" spans="1:9" x14ac:dyDescent="0.3">
      <c r="A40" s="20" t="s">
        <v>36</v>
      </c>
      <c r="B40" s="20" t="s">
        <v>712</v>
      </c>
      <c r="C40" s="20" t="s">
        <v>364</v>
      </c>
      <c r="D40" s="20" t="s">
        <v>884</v>
      </c>
      <c r="E40" s="20" t="s">
        <v>885</v>
      </c>
      <c r="F40" s="20" t="s">
        <v>934</v>
      </c>
      <c r="G40" s="20"/>
      <c r="H40" s="20" t="s">
        <v>387</v>
      </c>
      <c r="I40" s="20"/>
    </row>
    <row r="41" spans="1:9" x14ac:dyDescent="0.3">
      <c r="A41" s="20" t="s">
        <v>36</v>
      </c>
      <c r="B41" s="20" t="s">
        <v>712</v>
      </c>
      <c r="C41" s="20" t="s">
        <v>365</v>
      </c>
      <c r="D41" s="20" t="s">
        <v>884</v>
      </c>
      <c r="E41" s="20" t="s">
        <v>885</v>
      </c>
      <c r="F41" s="20" t="s">
        <v>935</v>
      </c>
      <c r="G41" s="20"/>
      <c r="H41" s="20" t="s">
        <v>387</v>
      </c>
      <c r="I41" s="20"/>
    </row>
    <row r="42" spans="1:9" ht="39.6" x14ac:dyDescent="0.3">
      <c r="A42" s="20" t="s">
        <v>36</v>
      </c>
      <c r="B42" s="20" t="s">
        <v>712</v>
      </c>
      <c r="C42" s="20" t="s">
        <v>366</v>
      </c>
      <c r="D42" s="20" t="s">
        <v>884</v>
      </c>
      <c r="E42" s="20" t="s">
        <v>885</v>
      </c>
      <c r="F42" s="20" t="s">
        <v>936</v>
      </c>
      <c r="G42" s="20"/>
      <c r="H42" s="20" t="s">
        <v>387</v>
      </c>
      <c r="I42" s="20" t="s">
        <v>914</v>
      </c>
    </row>
    <row r="43" spans="1:9" x14ac:dyDescent="0.3">
      <c r="A43" s="20" t="s">
        <v>36</v>
      </c>
      <c r="B43" s="20" t="s">
        <v>712</v>
      </c>
      <c r="C43" s="20" t="s">
        <v>367</v>
      </c>
      <c r="D43" s="20" t="s">
        <v>884</v>
      </c>
      <c r="E43" s="20" t="s">
        <v>885</v>
      </c>
      <c r="F43" s="20" t="s">
        <v>937</v>
      </c>
      <c r="G43" s="20"/>
      <c r="H43" s="20" t="s">
        <v>387</v>
      </c>
      <c r="I43" s="20"/>
    </row>
    <row r="44" spans="1:9" x14ac:dyDescent="0.3">
      <c r="A44" s="20" t="s">
        <v>36</v>
      </c>
      <c r="B44" s="20" t="s">
        <v>712</v>
      </c>
      <c r="C44" s="20" t="s">
        <v>368</v>
      </c>
      <c r="D44" s="20" t="s">
        <v>890</v>
      </c>
      <c r="E44" s="20" t="s">
        <v>885</v>
      </c>
      <c r="F44" s="20" t="s">
        <v>938</v>
      </c>
      <c r="G44" s="20"/>
      <c r="H44" s="20" t="s">
        <v>383</v>
      </c>
      <c r="I44" s="20"/>
    </row>
    <row r="45" spans="1:9" x14ac:dyDescent="0.3">
      <c r="A45" s="20" t="s">
        <v>36</v>
      </c>
      <c r="B45" s="20" t="s">
        <v>712</v>
      </c>
      <c r="C45" s="20" t="s">
        <v>369</v>
      </c>
      <c r="D45" s="20" t="s">
        <v>890</v>
      </c>
      <c r="E45" s="20" t="s">
        <v>885</v>
      </c>
      <c r="F45" s="20" t="s">
        <v>939</v>
      </c>
      <c r="G45" s="20"/>
      <c r="H45" s="20" t="s">
        <v>387</v>
      </c>
      <c r="I45" s="20"/>
    </row>
    <row r="46" spans="1:9" x14ac:dyDescent="0.3">
      <c r="A46" s="20" t="s">
        <v>36</v>
      </c>
      <c r="B46" s="20" t="s">
        <v>712</v>
      </c>
      <c r="C46" s="20" t="s">
        <v>370</v>
      </c>
      <c r="D46" s="20" t="s">
        <v>884</v>
      </c>
      <c r="E46" s="20" t="s">
        <v>885</v>
      </c>
      <c r="F46" s="20" t="s">
        <v>940</v>
      </c>
      <c r="G46" s="20"/>
      <c r="H46" s="20" t="s">
        <v>387</v>
      </c>
      <c r="I46" s="20"/>
    </row>
    <row r="47" spans="1:9" ht="26.4" x14ac:dyDescent="0.3">
      <c r="A47" s="20" t="s">
        <v>36</v>
      </c>
      <c r="B47" s="20" t="s">
        <v>712</v>
      </c>
      <c r="C47" s="20" t="s">
        <v>371</v>
      </c>
      <c r="D47" s="20" t="s">
        <v>927</v>
      </c>
      <c r="E47" s="20" t="s">
        <v>885</v>
      </c>
      <c r="F47" s="20" t="s">
        <v>941</v>
      </c>
      <c r="G47" s="20"/>
      <c r="H47" s="20" t="s">
        <v>387</v>
      </c>
      <c r="I47" s="20"/>
    </row>
    <row r="48" spans="1:9" ht="26.4" x14ac:dyDescent="0.3">
      <c r="A48" s="20" t="s">
        <v>36</v>
      </c>
      <c r="B48" s="20" t="s">
        <v>712</v>
      </c>
      <c r="C48" s="20" t="s">
        <v>372</v>
      </c>
      <c r="D48" s="20" t="s">
        <v>927</v>
      </c>
      <c r="E48" s="20" t="s">
        <v>885</v>
      </c>
      <c r="F48" s="20" t="s">
        <v>942</v>
      </c>
      <c r="G48" s="20"/>
      <c r="H48" s="20" t="s">
        <v>387</v>
      </c>
      <c r="I48" s="20"/>
    </row>
    <row r="49" spans="1:9" x14ac:dyDescent="0.3">
      <c r="A49" s="20" t="s">
        <v>36</v>
      </c>
      <c r="B49" s="20" t="s">
        <v>712</v>
      </c>
      <c r="C49" s="20" t="s">
        <v>373</v>
      </c>
      <c r="D49" s="20" t="s">
        <v>890</v>
      </c>
      <c r="E49" s="20" t="s">
        <v>885</v>
      </c>
      <c r="F49" s="20" t="s">
        <v>943</v>
      </c>
      <c r="G49" s="20"/>
      <c r="H49" s="20" t="s">
        <v>387</v>
      </c>
      <c r="I49" s="20"/>
    </row>
    <row r="50" spans="1:9" x14ac:dyDescent="0.3">
      <c r="A50" s="20" t="s">
        <v>36</v>
      </c>
      <c r="B50" s="20" t="s">
        <v>712</v>
      </c>
      <c r="C50" s="20" t="s">
        <v>374</v>
      </c>
      <c r="D50" s="20" t="s">
        <v>890</v>
      </c>
      <c r="E50" s="20" t="s">
        <v>898</v>
      </c>
      <c r="F50" s="20" t="s">
        <v>944</v>
      </c>
      <c r="G50" s="20"/>
      <c r="H50" s="20" t="s">
        <v>387</v>
      </c>
      <c r="I50" s="20"/>
    </row>
    <row r="51" spans="1:9" x14ac:dyDescent="0.3">
      <c r="A51" s="20" t="s">
        <v>36</v>
      </c>
      <c r="B51" s="20" t="s">
        <v>712</v>
      </c>
      <c r="C51" s="20" t="s">
        <v>375</v>
      </c>
      <c r="D51" s="20" t="s">
        <v>890</v>
      </c>
      <c r="E51" s="20" t="s">
        <v>898</v>
      </c>
      <c r="F51" s="20" t="s">
        <v>945</v>
      </c>
      <c r="G51" s="20"/>
      <c r="H51" s="20" t="s">
        <v>387</v>
      </c>
      <c r="I51" s="20"/>
    </row>
    <row r="52" spans="1:9" x14ac:dyDescent="0.3">
      <c r="A52" s="20" t="s">
        <v>36</v>
      </c>
      <c r="B52" s="20" t="s">
        <v>712</v>
      </c>
      <c r="C52" s="20" t="s">
        <v>376</v>
      </c>
      <c r="D52" s="20" t="s">
        <v>890</v>
      </c>
      <c r="E52" s="20" t="s">
        <v>898</v>
      </c>
      <c r="F52" s="20" t="s">
        <v>946</v>
      </c>
      <c r="G52" s="20"/>
      <c r="H52" s="20" t="s">
        <v>387</v>
      </c>
      <c r="I52" s="20"/>
    </row>
    <row r="53" spans="1:9" x14ac:dyDescent="0.3">
      <c r="A53" s="20" t="s">
        <v>36</v>
      </c>
      <c r="B53" s="20" t="s">
        <v>712</v>
      </c>
      <c r="C53" s="20" t="s">
        <v>377</v>
      </c>
      <c r="D53" s="20" t="s">
        <v>890</v>
      </c>
      <c r="E53" s="20" t="s">
        <v>898</v>
      </c>
      <c r="F53" s="20" t="s">
        <v>947</v>
      </c>
      <c r="G53" s="20"/>
      <c r="H53" s="20" t="s">
        <v>387</v>
      </c>
      <c r="I53" s="20"/>
    </row>
    <row r="54" spans="1:9" x14ac:dyDescent="0.3">
      <c r="A54" s="20" t="s">
        <v>36</v>
      </c>
      <c r="B54" s="20" t="s">
        <v>712</v>
      </c>
      <c r="C54" s="20" t="s">
        <v>378</v>
      </c>
      <c r="D54" s="20" t="s">
        <v>890</v>
      </c>
      <c r="E54" s="20" t="s">
        <v>898</v>
      </c>
      <c r="F54" s="20" t="s">
        <v>948</v>
      </c>
      <c r="G54" s="20"/>
      <c r="H54" s="20" t="s">
        <v>387</v>
      </c>
      <c r="I54" s="20"/>
    </row>
    <row r="55" spans="1:9" ht="26.4" x14ac:dyDescent="0.3">
      <c r="A55" s="20" t="s">
        <v>36</v>
      </c>
      <c r="B55" s="20" t="s">
        <v>712</v>
      </c>
      <c r="C55" s="20" t="s">
        <v>379</v>
      </c>
      <c r="D55" s="20" t="s">
        <v>927</v>
      </c>
      <c r="E55" s="20" t="s">
        <v>898</v>
      </c>
      <c r="F55" s="20" t="s">
        <v>949</v>
      </c>
      <c r="G55" s="20"/>
      <c r="H55" s="20" t="s">
        <v>387</v>
      </c>
      <c r="I55" s="20"/>
    </row>
    <row r="56" spans="1:9" x14ac:dyDescent="0.3">
      <c r="A56" s="20" t="s">
        <v>38</v>
      </c>
      <c r="B56" s="20" t="s">
        <v>841</v>
      </c>
      <c r="C56" s="20" t="s">
        <v>551</v>
      </c>
      <c r="D56" s="20" t="s">
        <v>884</v>
      </c>
      <c r="E56" s="20" t="s">
        <v>885</v>
      </c>
      <c r="F56" s="20" t="s">
        <v>950</v>
      </c>
      <c r="G56" s="20"/>
      <c r="H56" s="20" t="s">
        <v>387</v>
      </c>
      <c r="I56" s="20" t="s">
        <v>887</v>
      </c>
    </row>
    <row r="57" spans="1:9" x14ac:dyDescent="0.3">
      <c r="A57" s="20" t="s">
        <v>38</v>
      </c>
      <c r="B57" s="20" t="s">
        <v>841</v>
      </c>
      <c r="C57" s="20" t="s">
        <v>552</v>
      </c>
      <c r="D57" s="20" t="s">
        <v>884</v>
      </c>
      <c r="E57" s="20" t="s">
        <v>885</v>
      </c>
      <c r="F57" s="20" t="s">
        <v>951</v>
      </c>
      <c r="G57" s="20"/>
      <c r="H57" s="20" t="s">
        <v>387</v>
      </c>
      <c r="I57" s="20"/>
    </row>
    <row r="58" spans="1:9" x14ac:dyDescent="0.3">
      <c r="A58" s="20" t="s">
        <v>38</v>
      </c>
      <c r="B58" s="20" t="s">
        <v>841</v>
      </c>
      <c r="C58" s="20" t="s">
        <v>311</v>
      </c>
      <c r="D58" s="20" t="s">
        <v>884</v>
      </c>
      <c r="E58" s="20" t="s">
        <v>885</v>
      </c>
      <c r="F58" s="20" t="s">
        <v>922</v>
      </c>
      <c r="G58" s="20"/>
      <c r="H58" s="20" t="s">
        <v>387</v>
      </c>
      <c r="I58" s="20"/>
    </row>
    <row r="59" spans="1:9" ht="26.4" x14ac:dyDescent="0.3">
      <c r="A59" s="20" t="s">
        <v>38</v>
      </c>
      <c r="B59" s="20" t="s">
        <v>841</v>
      </c>
      <c r="C59" s="20" t="s">
        <v>77</v>
      </c>
      <c r="D59" s="20" t="s">
        <v>890</v>
      </c>
      <c r="E59" s="20" t="s">
        <v>885</v>
      </c>
      <c r="F59" s="20" t="s">
        <v>952</v>
      </c>
      <c r="G59" s="20"/>
      <c r="H59" s="20" t="s">
        <v>387</v>
      </c>
      <c r="I59" s="20"/>
    </row>
    <row r="60" spans="1:9" x14ac:dyDescent="0.3">
      <c r="A60" s="20" t="s">
        <v>38</v>
      </c>
      <c r="B60" s="20" t="s">
        <v>841</v>
      </c>
      <c r="C60" s="20" t="s">
        <v>78</v>
      </c>
      <c r="D60" s="20" t="s">
        <v>884</v>
      </c>
      <c r="E60" s="20" t="s">
        <v>885</v>
      </c>
      <c r="F60" s="20" t="s">
        <v>892</v>
      </c>
      <c r="G60" s="20"/>
      <c r="H60" s="20" t="s">
        <v>387</v>
      </c>
      <c r="I60" s="20"/>
    </row>
    <row r="61" spans="1:9" x14ac:dyDescent="0.3">
      <c r="A61" s="20" t="s">
        <v>38</v>
      </c>
      <c r="B61" s="20" t="s">
        <v>841</v>
      </c>
      <c r="C61" s="20" t="s">
        <v>553</v>
      </c>
      <c r="D61" s="20" t="s">
        <v>884</v>
      </c>
      <c r="E61" s="20" t="s">
        <v>885</v>
      </c>
      <c r="F61" s="20" t="s">
        <v>953</v>
      </c>
      <c r="G61" s="20"/>
      <c r="H61" s="20" t="s">
        <v>387</v>
      </c>
      <c r="I61" s="20"/>
    </row>
    <row r="62" spans="1:9" x14ac:dyDescent="0.3">
      <c r="A62" s="20" t="s">
        <v>38</v>
      </c>
      <c r="B62" s="20" t="s">
        <v>841</v>
      </c>
      <c r="C62" s="20" t="s">
        <v>554</v>
      </c>
      <c r="D62" s="20" t="s">
        <v>884</v>
      </c>
      <c r="E62" s="20" t="s">
        <v>885</v>
      </c>
      <c r="F62" s="20" t="s">
        <v>954</v>
      </c>
      <c r="G62" s="20"/>
      <c r="H62" s="20" t="s">
        <v>387</v>
      </c>
      <c r="I62" s="20"/>
    </row>
    <row r="63" spans="1:9" x14ac:dyDescent="0.3">
      <c r="A63" s="20" t="s">
        <v>38</v>
      </c>
      <c r="B63" s="20" t="s">
        <v>841</v>
      </c>
      <c r="C63" s="20" t="s">
        <v>555</v>
      </c>
      <c r="D63" s="20" t="s">
        <v>884</v>
      </c>
      <c r="E63" s="20" t="s">
        <v>885</v>
      </c>
      <c r="F63" s="20" t="s">
        <v>955</v>
      </c>
      <c r="G63" s="20"/>
      <c r="H63" s="20" t="s">
        <v>387</v>
      </c>
      <c r="I63" s="20"/>
    </row>
    <row r="64" spans="1:9" x14ac:dyDescent="0.3">
      <c r="A64" s="20" t="s">
        <v>38</v>
      </c>
      <c r="B64" s="20" t="s">
        <v>841</v>
      </c>
      <c r="C64" s="20" t="s">
        <v>556</v>
      </c>
      <c r="D64" s="20" t="s">
        <v>884</v>
      </c>
      <c r="E64" s="20" t="s">
        <v>885</v>
      </c>
      <c r="F64" s="20" t="s">
        <v>956</v>
      </c>
      <c r="G64" s="20"/>
      <c r="H64" s="20" t="s">
        <v>387</v>
      </c>
      <c r="I64" s="20"/>
    </row>
    <row r="65" spans="1:9" x14ac:dyDescent="0.3">
      <c r="A65" s="20" t="s">
        <v>38</v>
      </c>
      <c r="B65" s="20" t="s">
        <v>841</v>
      </c>
      <c r="C65" s="20" t="s">
        <v>557</v>
      </c>
      <c r="D65" s="20" t="s">
        <v>884</v>
      </c>
      <c r="E65" s="20" t="s">
        <v>885</v>
      </c>
      <c r="F65" s="20" t="s">
        <v>957</v>
      </c>
      <c r="G65" s="20"/>
      <c r="H65" s="20" t="s">
        <v>387</v>
      </c>
      <c r="I65" s="20"/>
    </row>
    <row r="66" spans="1:9" x14ac:dyDescent="0.3">
      <c r="A66" s="20" t="s">
        <v>38</v>
      </c>
      <c r="B66" s="20" t="s">
        <v>841</v>
      </c>
      <c r="C66" s="20" t="s">
        <v>180</v>
      </c>
      <c r="D66" s="20" t="s">
        <v>884</v>
      </c>
      <c r="E66" s="20" t="s">
        <v>885</v>
      </c>
      <c r="F66" s="20" t="s">
        <v>958</v>
      </c>
      <c r="G66" s="20"/>
      <c r="H66" s="20" t="s">
        <v>387</v>
      </c>
      <c r="I66" s="20"/>
    </row>
    <row r="67" spans="1:9" x14ac:dyDescent="0.3">
      <c r="A67" s="20" t="s">
        <v>38</v>
      </c>
      <c r="B67" s="20" t="s">
        <v>841</v>
      </c>
      <c r="C67" s="20" t="s">
        <v>14</v>
      </c>
      <c r="D67" s="20" t="s">
        <v>884</v>
      </c>
      <c r="E67" s="20" t="s">
        <v>885</v>
      </c>
      <c r="F67" s="20" t="s">
        <v>959</v>
      </c>
      <c r="G67" s="20" t="s">
        <v>960</v>
      </c>
      <c r="H67" s="20" t="s">
        <v>387</v>
      </c>
      <c r="I67" s="20"/>
    </row>
    <row r="68" spans="1:9" x14ac:dyDescent="0.3">
      <c r="A68" s="20" t="s">
        <v>42</v>
      </c>
      <c r="B68" s="20" t="s">
        <v>961</v>
      </c>
      <c r="C68" s="20" t="s">
        <v>741</v>
      </c>
      <c r="D68" s="20" t="s">
        <v>884</v>
      </c>
      <c r="E68" s="20" t="s">
        <v>885</v>
      </c>
      <c r="F68" s="20" t="s">
        <v>950</v>
      </c>
      <c r="G68" s="20"/>
      <c r="H68" s="20" t="s">
        <v>387</v>
      </c>
      <c r="I68" s="20" t="s">
        <v>887</v>
      </c>
    </row>
    <row r="69" spans="1:9" x14ac:dyDescent="0.3">
      <c r="A69" s="20" t="s">
        <v>42</v>
      </c>
      <c r="B69" s="20" t="s">
        <v>961</v>
      </c>
      <c r="C69" s="20" t="s">
        <v>742</v>
      </c>
      <c r="D69" s="20" t="s">
        <v>884</v>
      </c>
      <c r="E69" s="20" t="s">
        <v>885</v>
      </c>
      <c r="F69" s="20" t="s">
        <v>962</v>
      </c>
      <c r="G69" s="20"/>
      <c r="H69" s="20" t="s">
        <v>387</v>
      </c>
      <c r="I69" s="20"/>
    </row>
    <row r="70" spans="1:9" x14ac:dyDescent="0.3">
      <c r="A70" s="20" t="s">
        <v>42</v>
      </c>
      <c r="B70" s="20" t="s">
        <v>961</v>
      </c>
      <c r="C70" s="20" t="s">
        <v>552</v>
      </c>
      <c r="D70" s="20" t="s">
        <v>884</v>
      </c>
      <c r="E70" s="20" t="s">
        <v>885</v>
      </c>
      <c r="F70" s="20" t="s">
        <v>963</v>
      </c>
      <c r="G70" s="20"/>
      <c r="H70" s="20" t="s">
        <v>387</v>
      </c>
      <c r="I70" s="20"/>
    </row>
    <row r="71" spans="1:9" x14ac:dyDescent="0.3">
      <c r="A71" s="20" t="s">
        <v>42</v>
      </c>
      <c r="B71" s="20" t="s">
        <v>961</v>
      </c>
      <c r="C71" s="20" t="s">
        <v>743</v>
      </c>
      <c r="D71" s="20" t="s">
        <v>884</v>
      </c>
      <c r="E71" s="20" t="s">
        <v>885</v>
      </c>
      <c r="F71" s="20" t="s">
        <v>964</v>
      </c>
      <c r="G71" s="20"/>
      <c r="H71" s="20" t="s">
        <v>387</v>
      </c>
      <c r="I71" s="20"/>
    </row>
    <row r="72" spans="1:9" x14ac:dyDescent="0.3">
      <c r="A72" s="20" t="s">
        <v>42</v>
      </c>
      <c r="B72" s="20" t="s">
        <v>961</v>
      </c>
      <c r="C72" s="20" t="s">
        <v>744</v>
      </c>
      <c r="D72" s="20" t="s">
        <v>884</v>
      </c>
      <c r="E72" s="20" t="s">
        <v>885</v>
      </c>
      <c r="F72" s="20" t="s">
        <v>965</v>
      </c>
      <c r="G72" s="20"/>
      <c r="H72" s="20" t="s">
        <v>387</v>
      </c>
      <c r="I72" s="20"/>
    </row>
    <row r="73" spans="1:9" x14ac:dyDescent="0.3">
      <c r="A73" s="20" t="s">
        <v>42</v>
      </c>
      <c r="B73" s="20" t="s">
        <v>961</v>
      </c>
      <c r="C73" s="20" t="s">
        <v>14</v>
      </c>
      <c r="D73" s="20" t="s">
        <v>884</v>
      </c>
      <c r="E73" s="20" t="s">
        <v>885</v>
      </c>
      <c r="F73" s="20" t="s">
        <v>966</v>
      </c>
      <c r="G73" s="20" t="s">
        <v>967</v>
      </c>
      <c r="H73" s="20" t="s">
        <v>387</v>
      </c>
      <c r="I73" s="20"/>
    </row>
    <row r="74" spans="1:9" x14ac:dyDescent="0.3">
      <c r="A74" s="20" t="s">
        <v>42</v>
      </c>
      <c r="B74" s="20" t="s">
        <v>961</v>
      </c>
      <c r="C74" s="20" t="s">
        <v>745</v>
      </c>
      <c r="D74" s="20" t="s">
        <v>884</v>
      </c>
      <c r="E74" s="20" t="s">
        <v>885</v>
      </c>
      <c r="F74" s="20" t="s">
        <v>968</v>
      </c>
      <c r="G74" s="20"/>
      <c r="H74" s="20" t="s">
        <v>383</v>
      </c>
      <c r="I74" s="20"/>
    </row>
    <row r="75" spans="1:9" x14ac:dyDescent="0.3">
      <c r="A75" s="20" t="s">
        <v>42</v>
      </c>
      <c r="B75" s="20" t="s">
        <v>961</v>
      </c>
      <c r="C75" s="20" t="s">
        <v>746</v>
      </c>
      <c r="D75" s="20" t="s">
        <v>890</v>
      </c>
      <c r="E75" s="20" t="s">
        <v>898</v>
      </c>
      <c r="F75" s="20" t="s">
        <v>969</v>
      </c>
      <c r="G75" s="20"/>
      <c r="H75" s="20" t="s">
        <v>387</v>
      </c>
      <c r="I75" s="2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11</vt:i4>
      </vt:variant>
      <vt:variant>
        <vt:lpstr>Intervalos com Nome</vt:lpstr>
      </vt:variant>
      <vt:variant>
        <vt:i4>30</vt:i4>
      </vt:variant>
    </vt:vector>
  </HeadingPairs>
  <TitlesOfParts>
    <vt:vector size="41" baseType="lpstr">
      <vt:lpstr>00_LEIA-ME</vt:lpstr>
      <vt:lpstr>Fatores_Emissao</vt:lpstr>
      <vt:lpstr>Inventario_GEE</vt:lpstr>
      <vt:lpstr>Calculadora_GEE</vt:lpstr>
      <vt:lpstr>Metas_Clima</vt:lpstr>
      <vt:lpstr>Pegada_Produto</vt:lpstr>
      <vt:lpstr>Indicadores_ESG_E</vt:lpstr>
      <vt:lpstr>Refs_Outros_Registos</vt:lpstr>
      <vt:lpstr>Matriz_ESG_E</vt:lpstr>
      <vt:lpstr>Listas</vt:lpstr>
      <vt:lpstr>Dicionario_Dados</vt:lpstr>
      <vt:lpstr>calc_INT_2030</vt:lpstr>
      <vt:lpstr>calc_INT_base</vt:lpstr>
      <vt:lpstr>calc_PCR_2030</vt:lpstr>
      <vt:lpstr>calc_PCR_base</vt:lpstr>
      <vt:lpstr>calc_PROD_t</vt:lpstr>
      <vt:lpstr>calc_REN_2030</vt:lpstr>
      <vt:lpstr>calc_REN_base</vt:lpstr>
      <vt:lpstr>calc_S12_2030</vt:lpstr>
      <vt:lpstr>calc_S12_base</vt:lpstr>
      <vt:lpstr>calc_S3_2030</vt:lpstr>
      <vt:lpstr>calc_S3_base</vt:lpstr>
      <vt:lpstr>calc_TOT_MB_base</vt:lpstr>
      <vt:lpstr>DataRef</vt:lpstr>
      <vt:lpstr>lst_Ambito</vt:lpstr>
      <vt:lpstr>lst_DataReferencia</vt:lpstr>
      <vt:lpstr>lst_EstadoESG</vt:lpstr>
      <vt:lpstr>lst_EstadoReqE</vt:lpstr>
      <vt:lpstr>lst_Funcao</vt:lpstr>
      <vt:lpstr>lst_Metodo</vt:lpstr>
      <vt:lpstr>lst_Periodo</vt:lpstr>
      <vt:lpstr>lst_Qualidade</vt:lpstr>
      <vt:lpstr>lst_QualidadeDado</vt:lpstr>
      <vt:lpstr>tbl_analises_ref</vt:lpstr>
      <vt:lpstr>tbl_incidentes_ref</vt:lpstr>
      <vt:lpstr>Fatores_Emissao!Títulos_de_Impressão</vt:lpstr>
      <vt:lpstr>Indicadores_ESG_E!Títulos_de_Impressão</vt:lpstr>
      <vt:lpstr>Inventario_GEE!Títulos_de_Impressão</vt:lpstr>
      <vt:lpstr>Matriz_ESG_E!Títulos_de_Impressão</vt:lpstr>
      <vt:lpstr>Metas_Clima!Títulos_de_Impressão</vt:lpstr>
      <vt:lpstr>Pegada_Produto!Títulos_de_Impressão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RG-SGA-19 ESG Ambiental — Calculadora de GEE, Metas Climáticas e Indicadores</dc:title>
  <dc:subject>SGA NP EN ISO 14001:2026 — Plasticom</dc:subject>
  <dc:creator>Gestor(a) do SGA / EHS</dc:creator>
  <cp:lastModifiedBy>Aline Meireles</cp:lastModifiedBy>
  <dcterms:created xsi:type="dcterms:W3CDTF">2026-09-30T09:57:26Z</dcterms:created>
  <dcterms:modified xsi:type="dcterms:W3CDTF">2026-09-30T09:57:43Z</dcterms:modified>
</cp:coreProperties>
</file>