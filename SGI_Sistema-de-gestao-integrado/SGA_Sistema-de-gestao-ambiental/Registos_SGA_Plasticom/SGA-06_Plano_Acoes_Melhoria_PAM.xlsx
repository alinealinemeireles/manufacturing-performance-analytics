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A_Sistema-de-gestao-ambiental\Registos_SGA_Plasticom\"/>
    </mc:Choice>
  </mc:AlternateContent>
  <xr:revisionPtr revIDLastSave="0" documentId="13_ncr:1_{FD99AEBC-FD8A-4C82-963D-E0445F2AD88A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PAM" sheetId="2" r:id="rId2"/>
    <sheet name="Mod.G.10.00_Vista" sheetId="3" r:id="rId3"/>
    <sheet name="Painel" sheetId="4" r:id="rId4"/>
    <sheet name="Listas" sheetId="5" r:id="rId5"/>
    <sheet name="Dicionario_Dados" sheetId="6" r:id="rId6"/>
  </sheets>
  <definedNames>
    <definedName name="DataRef">Listas!$A$3</definedName>
    <definedName name="lst_Cat6M">Listas!$F$3:$F$9</definedName>
    <definedName name="lst_DataReferencia">Listas!$A$3:$A$3</definedName>
    <definedName name="lst_Eficacia">Listas!$H$3:$H$5</definedName>
    <definedName name="lst_Evolucao">Listas!$G$3:$G$7</definedName>
    <definedName name="lst_Fonte">Listas!$B$3:$B$15</definedName>
    <definedName name="lst_Funcao">Listas!$I$3:$I$24</definedName>
    <definedName name="lst_Hierarquia">Listas!$E$3:$E$7</definedName>
    <definedName name="lst_SimNao">Listas!$C$3:$C$4</definedName>
    <definedName name="lst_TipoAcao">Listas!$D$3:$D$5</definedName>
    <definedName name="_xlnm.Print_Titles" localSheetId="2">'Mod.G.10.00_Vista'!$5:$5</definedName>
    <definedName name="_xlnm.Print_Titles" localSheetId="1">PAM!$4:$4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4" l="1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F7" i="4"/>
  <c r="F6" i="4"/>
  <c r="E6" i="4"/>
  <c r="B6" i="4"/>
  <c r="F5" i="4"/>
  <c r="E5" i="4"/>
  <c r="B5" i="4"/>
  <c r="B7" i="4" s="1"/>
  <c r="F4" i="4"/>
  <c r="E4" i="4"/>
  <c r="E7" i="4" s="1"/>
  <c r="B4" i="4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A42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A41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40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A39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A38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37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36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A35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A34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A33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A32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31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A30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A29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A28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27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A26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A25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A24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A23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A22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A21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A19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A18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17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16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A15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A14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13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11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A9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A8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A7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6" i="3"/>
  <c r="Y41" i="2"/>
  <c r="T41" i="2"/>
  <c r="S41" i="2"/>
  <c r="AF41" i="2" s="1"/>
  <c r="Y40" i="2"/>
  <c r="T40" i="2"/>
  <c r="S40" i="2"/>
  <c r="AF40" i="2" s="1"/>
  <c r="Y39" i="2"/>
  <c r="T39" i="2"/>
  <c r="S39" i="2"/>
  <c r="AF39" i="2" s="1"/>
  <c r="Y38" i="2"/>
  <c r="T38" i="2"/>
  <c r="S38" i="2"/>
  <c r="AF38" i="2" s="1"/>
  <c r="Y37" i="2"/>
  <c r="T37" i="2"/>
  <c r="S37" i="2"/>
  <c r="AF37" i="2" s="1"/>
  <c r="Y36" i="2"/>
  <c r="T36" i="2"/>
  <c r="S36" i="2"/>
  <c r="AF36" i="2" s="1"/>
  <c r="Y35" i="2"/>
  <c r="T35" i="2"/>
  <c r="S35" i="2"/>
  <c r="AF35" i="2" s="1"/>
  <c r="Y34" i="2"/>
  <c r="T34" i="2"/>
  <c r="S34" i="2"/>
  <c r="AF34" i="2" s="1"/>
  <c r="Y33" i="2"/>
  <c r="T33" i="2"/>
  <c r="S33" i="2"/>
  <c r="AF33" i="2" s="1"/>
  <c r="Y32" i="2"/>
  <c r="T32" i="2"/>
  <c r="S32" i="2"/>
  <c r="AF32" i="2" s="1"/>
  <c r="Y31" i="2"/>
  <c r="T31" i="2"/>
  <c r="S31" i="2"/>
  <c r="AF31" i="2" s="1"/>
  <c r="Y30" i="2"/>
  <c r="T30" i="2"/>
  <c r="S30" i="2"/>
  <c r="AF30" i="2" s="1"/>
  <c r="Y29" i="2"/>
  <c r="T29" i="2"/>
  <c r="S29" i="2"/>
  <c r="AF29" i="2" s="1"/>
  <c r="Y28" i="2"/>
  <c r="T28" i="2"/>
  <c r="S28" i="2"/>
  <c r="AF28" i="2" s="1"/>
  <c r="Y27" i="2"/>
  <c r="T27" i="2"/>
  <c r="S27" i="2"/>
  <c r="AF27" i="2" s="1"/>
  <c r="Y26" i="2"/>
  <c r="T26" i="2"/>
  <c r="S26" i="2"/>
  <c r="AF26" i="2" s="1"/>
  <c r="Y25" i="2"/>
  <c r="T25" i="2"/>
  <c r="S25" i="2"/>
  <c r="AF25" i="2" s="1"/>
  <c r="Y24" i="2"/>
  <c r="T24" i="2"/>
  <c r="S24" i="2"/>
  <c r="AF24" i="2" s="1"/>
  <c r="Y23" i="2"/>
  <c r="T23" i="2"/>
  <c r="S23" i="2"/>
  <c r="AF23" i="2" s="1"/>
  <c r="Y22" i="2"/>
  <c r="T22" i="2"/>
  <c r="S22" i="2"/>
  <c r="AF22" i="2" s="1"/>
  <c r="Y21" i="2"/>
  <c r="T21" i="2"/>
  <c r="S21" i="2"/>
  <c r="AF21" i="2" s="1"/>
  <c r="Y20" i="2"/>
  <c r="T20" i="2"/>
  <c r="S20" i="2"/>
  <c r="AF20" i="2" s="1"/>
  <c r="Y19" i="2"/>
  <c r="T19" i="2"/>
  <c r="S19" i="2"/>
  <c r="AF19" i="2" s="1"/>
  <c r="Y18" i="2"/>
  <c r="T18" i="2"/>
  <c r="S18" i="2"/>
  <c r="AF18" i="2" s="1"/>
  <c r="Y17" i="2"/>
  <c r="T17" i="2"/>
  <c r="S17" i="2"/>
  <c r="AF17" i="2" s="1"/>
  <c r="Y16" i="2"/>
  <c r="T16" i="2"/>
  <c r="S16" i="2"/>
  <c r="AF16" i="2" s="1"/>
  <c r="Y15" i="2"/>
  <c r="T15" i="2"/>
  <c r="S15" i="2"/>
  <c r="AF15" i="2" s="1"/>
  <c r="Y14" i="2"/>
  <c r="T14" i="2"/>
  <c r="S14" i="2"/>
  <c r="AF14" i="2" s="1"/>
  <c r="Y13" i="2"/>
  <c r="T13" i="2"/>
  <c r="S13" i="2"/>
  <c r="AF13" i="2" s="1"/>
  <c r="Y12" i="2"/>
  <c r="T12" i="2"/>
  <c r="S12" i="2"/>
  <c r="AF12" i="2" s="1"/>
  <c r="Y11" i="2"/>
  <c r="T11" i="2"/>
  <c r="S11" i="2"/>
  <c r="AF11" i="2" s="1"/>
  <c r="AF10" i="2"/>
  <c r="Y10" i="2"/>
  <c r="T10" i="2"/>
  <c r="S10" i="2"/>
  <c r="AF9" i="2"/>
  <c r="Y9" i="2"/>
  <c r="T9" i="2"/>
  <c r="S9" i="2"/>
  <c r="D5" i="4" s="1"/>
  <c r="AF8" i="2"/>
  <c r="Y8" i="2"/>
  <c r="T8" i="2"/>
  <c r="S8" i="2"/>
  <c r="AF7" i="2"/>
  <c r="Y7" i="2"/>
  <c r="T7" i="2"/>
  <c r="S7" i="2"/>
  <c r="D4" i="4" s="1"/>
  <c r="AF6" i="2"/>
  <c r="Y6" i="2"/>
  <c r="T6" i="2"/>
  <c r="S6" i="2"/>
  <c r="AF5" i="2"/>
  <c r="Y5" i="2"/>
  <c r="T5" i="2"/>
  <c r="S5" i="2"/>
  <c r="B24" i="4" l="1"/>
  <c r="C5" i="4"/>
  <c r="C6" i="4"/>
  <c r="D6" i="4"/>
  <c r="D7" i="4" s="1"/>
  <c r="C4" i="4"/>
  <c r="C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Identificador da ação.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N.º no formato do Mod.G.10.00 (nn/AA).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Data de registo.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Fonte / documento afetado (legenda do Mod.G.10.00).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ID do registo de origem.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Se transita do plano anterior.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Não conformidade / ocorrência / oportunidade.</t>
        </r>
      </text>
    </comment>
    <comment ref="H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Investigação de causas (5 porquês).</t>
        </r>
      </text>
    </comment>
    <comment ref="I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Causa raiz.</t>
        </r>
      </text>
    </comment>
    <comment ref="J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Categoria Ishikawa (6M).</t>
        </r>
      </text>
    </comment>
    <comment ref="K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Ação a implementar.</t>
        </r>
      </text>
    </comment>
    <comment ref="L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C1 correção (resolve o imediato); C2 ação corretiva (elimina a causa); M melhoria (proativa).</t>
        </r>
      </text>
    </comment>
    <comment ref="M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Nível na hierarquia de eficácia (Eliminação &gt; Substituição &gt; Engenharia &gt; Administrativa &gt; EPI).</t>
        </r>
      </text>
    </comment>
    <comment ref="N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Responsável.</t>
        </r>
      </text>
    </comment>
    <comment ref="O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Início.</t>
        </r>
      </text>
    </comment>
    <comment ref="P4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Prazo.</t>
        </r>
      </text>
    </comment>
    <comment ref="Q4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Evolução (0, 25, 50, 75, 100%).</t>
        </r>
      </text>
    </comment>
    <comment ref="R4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Data de conclusão.</t>
        </r>
      </text>
    </comment>
    <comment ref="S4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Estado calculado face à data de referência.
[calculado]</t>
        </r>
      </text>
    </comment>
    <comment ref="T4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Dias até ao prazo (negativo = atraso).
[calculado]</t>
        </r>
      </text>
    </comment>
    <comment ref="U4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Sim se a ação altera a pontuação da matriz de riscos.</t>
        </r>
      </text>
    </comment>
    <comment ref="V4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Risco/oportunidade afetado.</t>
        </r>
      </text>
    </comment>
    <comment ref="W4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Custo previsto (CAPEX + OPEX).</t>
        </r>
      </text>
    </comment>
    <comment ref="X4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Poupança anual estimada.</t>
        </r>
      </text>
    </comment>
    <comment ref="Y4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Retorno do investimento (meses).
[calculado]</t>
        </r>
      </text>
    </comment>
    <comment ref="Z4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Benefício ambiental esperado.</t>
        </r>
      </text>
    </comment>
    <comment ref="AA4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Quantidade do benefício.</t>
        </r>
      </text>
    </comment>
    <comment ref="AB4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Unidade do benefício.</t>
        </r>
      </text>
    </comment>
    <comment ref="AC4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Observações: 'Eficaz se...'.</t>
        </r>
      </text>
    </comment>
    <comment ref="AD4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Data prevista/real da avaliação da eficácia.</t>
        </r>
      </text>
    </comment>
    <comment ref="AE4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Resultado da avaliação da eficácia.</t>
        </r>
      </text>
    </comment>
    <comment ref="AF4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Regras de qualidade do registo.
[calculado]</t>
        </r>
      </text>
    </comment>
    <comment ref="AG4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Atividade do curso a que a linha responde (— = ação do SGA sem exercício associado).</t>
        </r>
      </text>
    </comment>
  </commentList>
</comments>
</file>

<file path=xl/sharedStrings.xml><?xml version="1.0" encoding="utf-8"?>
<sst xmlns="http://schemas.openxmlformats.org/spreadsheetml/2006/main" count="1179" uniqueCount="581">
  <si>
    <t>RG-SGA-06 — Plano de Ações de Melhoria — PAM 2026 (Mod.G.10.00)</t>
  </si>
  <si>
    <t>Sistema de Gestão Ambiental NP EN ISO 14001:2026 · Plasticom — Unidade 1 (Marinha Grande, Portugal) · Registo do SGA (fábrica simulada)</t>
  </si>
  <si>
    <t>CONTROLO DO DOCUMENTO (7.5 — informação documentada)</t>
  </si>
  <si>
    <t>Código do registo</t>
  </si>
  <si>
    <t>RG-SGA-06</t>
  </si>
  <si>
    <t>Título</t>
  </si>
  <si>
    <t>Plano de Ações de Melhoria — PAM 2026 (Mod.G.10.00)</t>
  </si>
  <si>
    <t>Versão / Revisão</t>
  </si>
  <si>
    <t>01</t>
  </si>
  <si>
    <t>Data de emissão</t>
  </si>
  <si>
    <t>Elaborado por</t>
  </si>
  <si>
    <t>Gestor(a) do SGA / EHS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</si>
  <si>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</si>
  <si>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</si>
  <si>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</si>
  <si>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</si>
  <si>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</si>
  <si>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</si>
  <si>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</si>
  <si>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SGA &gt; Registos_SGA_Plasticom (versão eletrónica é a versão controlada; cópias impressas são não controladas)</t>
  </si>
  <si>
    <t>FINALIDADE E ÂMBITO</t>
  </si>
  <si>
    <t>Finalidade</t>
  </si>
  <si>
    <t>Documento mestre de todas as ações do SGA (objetivos, riscos, aspetos, NC, auditorias, revisão pela gestão, Kaizen). Classifica o tipo de ação (C1 correção, C2 ação corretiva, M melhoria), mantém a análise de causas, o responsável, o prazo, a evolução, o impacto nos riscos e a avaliação da eficácia. Estados, atrasos, payback e alertas são calculados.</t>
  </si>
  <si>
    <t>Atividades do curso</t>
  </si>
  <si>
    <t>Atividade 3.5 (ações 01/26 e 02/26); Atividade 6.1 Tarefa 2 (04/26 C1 e 05/26 C2); Atividade 6.2 Tarefa 2 (06/26 M); ações de 5.2 (07/26, 08/26), 5.3 (15/26, 17/26) e 5.4 (10/26, 13/26, 18/26).</t>
  </si>
  <si>
    <t>Requisitos ISO 14001:2026</t>
  </si>
  <si>
    <t>6.1.5 Planeamento de ações; 6.2.2; 10.1 Melhoria contínua; 10.2 Não conformidade e ação corretiva (ISO 14001:2026)</t>
  </si>
  <si>
    <t>ESTRUTURA DO FICHEIRO</t>
  </si>
  <si>
    <t>PAM</t>
  </si>
  <si>
    <t>Plano de Ações de Melhoria (registo mestre, 1 linha por ação).</t>
  </si>
  <si>
    <t>Mod.G.10.00_Vista</t>
  </si>
  <si>
    <t>Plano no formato do modelo do curso (Mod.G.10.00), calculado a partir de tbl_pam, para impressão/fórum.</t>
  </si>
  <si>
    <t>Painel</t>
  </si>
  <si>
    <t>Indicadores do PAM (calculados): ações por tipo, estado e fonte; custos, poupanças e cumprimento de prazos.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</si>
  <si>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</si>
  <si>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</si>
  <si>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</si>
  <si>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</si>
  <si>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</si>
  <si>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</si>
  <si>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</si>
  <si>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</si>
  <si>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</si>
  <si>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</si>
  <si>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</si>
  <si>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</si>
  <si>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— ver SGA-00_Indice_Modelo_Dados.xlsx.</t>
  </si>
  <si>
    <t>Datas e unidades</t>
  </si>
  <si>
    <t>Datas em formato data (aaaa-mm-dd); números como números; a unidade está no nome da coluna ou no dicionário. Data de referência do SGA: 2026-12-31 (fecho do ano).</t>
  </si>
  <si>
    <t>Dados simulados</t>
  </si>
  <si>
    <t>Fábrica simulada Plasticom. Dados operacionais derivados do dataset do projeto (datasets/silver); dados ambientais e de conformidade são simulação didática — confirmar aplicabilidade legal e números antes de uso real.</t>
  </si>
  <si>
    <t>LIGAÇÕES A OUTROS REGISTOS</t>
  </si>
  <si>
    <t>Origens</t>
  </si>
  <si>
    <t>ID_Origem aponta para OBJ (RG-SGA-05), RO (RG-SGA-02), LEG (RG-SGA-04), NC (RG-SGA-07), MED (RG-SGA-13), CONST (RG-SGA-14), RG (RG-SGA-15) e KZ (RG-SGA-16).</t>
  </si>
  <si>
    <t>Mod.G.10.00</t>
  </si>
  <si>
    <t>A folha Mod.G.10.00_Vista reproduz o formato do curso (evolução 25/50/75/100%) a partir da tabela.</t>
  </si>
  <si>
    <t>PLANO DE AÇÕES DE MELHORIA — PAM n.º 01/2026 (Mod.G.10.00) — PLASTICOM</t>
  </si>
  <si>
    <t>C1 = Correção · C2 = Ação corretiva · M = Melhoria · Estado, atraso, payback e controlo de qualidade calculados · Data de referência 2026-12-31</t>
  </si>
  <si>
    <t>ID_Acao</t>
  </si>
  <si>
    <t>N_Acao_Mod</t>
  </si>
  <si>
    <t>Data_Abertura</t>
  </si>
  <si>
    <t>Fonte_Doc_Afetado</t>
  </si>
  <si>
    <t>ID_Origem</t>
  </si>
  <si>
    <t>Proveniente_Plano_Anterior</t>
  </si>
  <si>
    <t>NC_Ocorrencia</t>
  </si>
  <si>
    <t>Investigacao_Causas</t>
  </si>
  <si>
    <t>Causa_Raiz</t>
  </si>
  <si>
    <t>Categoria_Causa_6M</t>
  </si>
  <si>
    <t>Acao_Descricao</t>
  </si>
  <si>
    <t>Tipo_Acao</t>
  </si>
  <si>
    <t>Hierarquia_Controlo</t>
  </si>
  <si>
    <t>Responsavel</t>
  </si>
  <si>
    <t>Data_Inicio</t>
  </si>
  <si>
    <t>Prazo</t>
  </si>
  <si>
    <t>Evolucao</t>
  </si>
  <si>
    <t>Data_Fecho</t>
  </si>
  <si>
    <t>Dias_para_Prazo</t>
  </si>
  <si>
    <t>Impacto_Riscos</t>
  </si>
  <si>
    <t>ID_RO_Afetado</t>
  </si>
  <si>
    <t>Custo_Previsto_EUR</t>
  </si>
  <si>
    <t>Poupanca_Anual_EUR</t>
  </si>
  <si>
    <t>Payback_Meses</t>
  </si>
  <si>
    <t>Beneficio_Ambiental</t>
  </si>
  <si>
    <t>Beneficio_Quantidade</t>
  </si>
  <si>
    <t>Beneficio_Unidade</t>
  </si>
  <si>
    <t>Criterio_Eficacia</t>
  </si>
  <si>
    <t>Data_Avaliacao_Eficacia</t>
  </si>
  <si>
    <t>Resultado_Eficacia</t>
  </si>
  <si>
    <t>Controlo_Qualidade</t>
  </si>
  <si>
    <t>Atividade_Curso</t>
  </si>
  <si>
    <t>PAM-26-01</t>
  </si>
  <si>
    <t>01/26</t>
  </si>
  <si>
    <t>Objetivos Ambientais</t>
  </si>
  <si>
    <t>OBJ-01</t>
  </si>
  <si>
    <t>Não</t>
  </si>
  <si>
    <t>Consumo específico de eletricidade elevado (≈ 110 kWh/1.000 un); o ar comprimido representa ≈ 14% da energia, com fugas audíveis e pressão de rede de 7,5 bar.</t>
  </si>
  <si>
    <t>1. Porquê consumo alto no ar comprimido? Compressores em carga mesmo com poucas máquinas a trabalhar.
2. Porquê? Fugas na rede ≈ 25% do caudal (teste de vazio ao fim de semana).
3. Porquê não são reparadas? Só se reparam as fugas audíveis, quando alguém se queixa.
4. Porquê? A manutenção preventiva não inclui a rede de ar e não há indicador que mostre a perda.</t>
  </si>
  <si>
    <t>Ausência de um programa de gestão de fugas e de indicador do ar comprimido.</t>
  </si>
  <si>
    <t>Método</t>
  </si>
  <si>
    <t>Campanha trimestral de deteção de fugas por ultrassom (etiquetar e reparar em ≤ 15 dias), reduzir a pressão de 7,5 para 6,8 bar e instalar variador de velocidade no compressor CMP-02.</t>
  </si>
  <si>
    <t>M</t>
  </si>
  <si>
    <t>Engenharia</t>
  </si>
  <si>
    <t>Gerente de Manutenção</t>
  </si>
  <si>
    <t>Sim</t>
  </si>
  <si>
    <t>RO-02</t>
  </si>
  <si>
    <t>Menos energia no ar comprimido</t>
  </si>
  <si>
    <t>MWh/ano</t>
  </si>
  <si>
    <t>Eficaz se as fugas em teste de vazio forem &lt; 10% do caudal e o KPI-01 ≤ 106 kWh/1.000 un em média no 1.º trimestre de 2027.</t>
  </si>
  <si>
    <t>Por avaliar</t>
  </si>
  <si>
    <t>3.5 (ação 1 — objetivo)</t>
  </si>
  <si>
    <t>PAM-26-02</t>
  </si>
  <si>
    <t>02/26</t>
  </si>
  <si>
    <t>Matriz de Riscos e Oportunidades</t>
  </si>
  <si>
    <t>Risco significativo RO-02 (nível -6): sem submedição de energia e água, o desempenho e a eficácia das ações não são demonstráveis.</t>
  </si>
  <si>
    <t>1. Porquê não sabemos o consumo por processo? Só há contador geral.
2. Porquê? O projeto elétrico original não previa submedição.
3. Porquê nunca foi instalada? Nunca foi orçamentada.
4. Porquê? O benefício não era visível sem dados (círculo vicioso).</t>
  </si>
  <si>
    <t>Falta de infraestrutura de medição por processo (decisão de investimento adiada).</t>
  </si>
  <si>
    <t>Medição</t>
  </si>
  <si>
    <t>Instalar 6 analisadores de energia (Injeção, Sopro, Decoração, Compressores, Arrefecimento, Geral) e 3 contadores de água com telemetria, ligados ao Power BI; procedimento de validação mensal (fatura vs soma dos submedidores).</t>
  </si>
  <si>
    <t>Dados por processo para gerir energia e água</t>
  </si>
  <si>
    <t>Eficaz se ≥ 90% do consumo tiver submedição e a diferença fatura vs soma dos submedidores for ≤ 3% durante 3 meses.</t>
  </si>
  <si>
    <t>3.5 (ação 2 — risco)</t>
  </si>
  <si>
    <t>PAM-26-03</t>
  </si>
  <si>
    <t>03/26</t>
  </si>
  <si>
    <t>Tabela de Legislação</t>
  </si>
  <si>
    <t>LEG-05</t>
  </si>
  <si>
    <t>NC legal: não existe avaliação acústica após a substituição dos compressores (fev/2026); a última (2023) já não representa o funcionamento noturno.</t>
  </si>
  <si>
    <t>1. Porquê não há avaliação? Ninguém a pediu após a troca dos compressores.
2. Porquê? A alteração foi tratada só como investimento técnico.
3. Porquê? O pedido de alteração não tem checklist ambiental/legal.
4. Porquê? A gestão de mudanças (6.3) ainda não está implementada.</t>
  </si>
  <si>
    <t>Controlo de mudanças sem avaliação de requisitos ambientais e legais.</t>
  </si>
  <si>
    <t>Contratar avaliação acústica (critério de incomodidade, período noturno) a laboratório acreditado.</t>
  </si>
  <si>
    <t>C1</t>
  </si>
  <si>
    <t>Administrativa</t>
  </si>
  <si>
    <t>Gestor do SGA / EHS (Responsável Ambiental)</t>
  </si>
  <si>
    <t>RO-12</t>
  </si>
  <si>
    <t>Confirmação da conformidade acústica</t>
  </si>
  <si>
    <t>Eficaz se o relatório demonstrar o cumprimento do critério de incomodidade noturno ou, se não cumprir, for aberta ação C2 com atenuação.</t>
  </si>
  <si>
    <t>Eficaz</t>
  </si>
  <si>
    <t>—</t>
  </si>
  <si>
    <t>PAM-26-04</t>
  </si>
  <si>
    <t>04/26</t>
  </si>
  <si>
    <t>Ronda Ambiental Mensal</t>
  </si>
  <si>
    <t>NC-SGA-26-03</t>
  </si>
  <si>
    <t>Kit antipoluição da zona de injeção/serigrafia com selo quebrado, praticamente vazio e sem registo de utilização.</t>
  </si>
  <si>
    <t>Ver investigação em PAM-26-05 (5 porquês).</t>
  </si>
  <si>
    <t>Ausência de regra de reporte e reposição após uso do kit.</t>
  </si>
  <si>
    <t>Repor imediatamente o kit (absorventes, barreiras, luvas, sacos), selar com selo numerado, inspecionar a zona para vestígios de derrame e encaminhar os absorventes usados como 15 02 02*.</t>
  </si>
  <si>
    <t>Responsável de Armazém e Logística</t>
  </si>
  <si>
    <t>RO-10</t>
  </si>
  <si>
    <t>Capacidade de resposta a derrames reposta</t>
  </si>
  <si>
    <t>Eficaz se o kit estiver completo e selado na verificação de 22/09/2026.</t>
  </si>
  <si>
    <t>6.1 (Tarefa 2 — C1)</t>
  </si>
  <si>
    <t>PAM-26-05</t>
  </si>
  <si>
    <t>05/26</t>
  </si>
  <si>
    <t>Kit antipoluição com selo quebrado, vazio e sem registo de utilização (derrame não reportado).</t>
  </si>
  <si>
    <t>1. Porquê o kit está vazio? Foi usado para conter um derrame e não foi reposto.
2. Porquê não foi reposto? O utilizador não informou o armazém nem o SGA.
3. Porquê não informou? A IT-SGA-01 termina na limpeza: não diz que é preciso registar e pedir reposição.
4. Porquê a IT não prevê? Foi escrita só para a resposta; não há responsável pela reposição nem stock mínimo.
5. Porquê não foi detetado antes? A ronda só verificava a presença do kit (não o selo nem o conteúdo) e a formação de derrames só ensinou a usar o kit.</t>
  </si>
  <si>
    <t>Falha de procedimento (IT-SGA-01 sem etapa pós-uso, sem stock mínimo nem responsável pela reposição) e de formação (ciclo pós-utilização não ensinado).</t>
  </si>
  <si>
    <t>1) Rever IT-SGA-01: passo obrigatório pós-uso (registar incidente, pedir reposição, selar). 2) Stock mínimo de 2 kits no armazém com ponto de encomenda. 3) Selo numerado e verificação semanal do conteúdo na ronda (RON-06). 4) Formação toolbox de 15 min nos 3 turnos, com exercício prático.</t>
  </si>
  <si>
    <t>C2</t>
  </si>
  <si>
    <t>Resposta eficaz a derrames; incidentes rastreados</t>
  </si>
  <si>
    <t>Eficaz se, em 3 rondas mensais consecutivas, 100% dos kits estiverem completos e selados e 100% das utilizações tiverem registo de incidente.</t>
  </si>
  <si>
    <t>6.1 (Tarefa 2 — C2)</t>
  </si>
  <si>
    <t>PAM-26-06</t>
  </si>
  <si>
    <t>06/26</t>
  </si>
  <si>
    <t>Caixa de Sugestões / Kaizen</t>
  </si>
  <si>
    <t>KZ-01</t>
  </si>
  <si>
    <t>Oportunidade de melhoria: na pausa de refeição do turno 3 (80 min, sem equipa de rendição) as máquinas de injeção e sopro ficam aquecidas e em vazio.</t>
  </si>
  <si>
    <t>Hábito: manter a máquina quente para arrancar mais depressa; não existe modo standby padronizado.</t>
  </si>
  <si>
    <t>Rotina de pausa não padronizada.</t>
  </si>
  <si>
    <t>1) Definir o modo standby por máquina (resistências a 60%, bomba hidráulica desligada, chiller em modo eco). 2) Etiqueta 'Pausa 3.º turno' no painel. 3) Checklist de pausa assinado pelo chefe de turno. 4) Medir a poupança com a submedição (PAM-26-02).</t>
  </si>
  <si>
    <t>Gerente de Produção</t>
  </si>
  <si>
    <t>Menos energia em vazio (≈ 2,9 tCO2e/ano)</t>
  </si>
  <si>
    <t>Eficaz se ≥ 90% das pausas do turno 3 tiverem standby registado e a poupança medida for ≥ 1.500 kWh/mês.</t>
  </si>
  <si>
    <t>6.2 (Tarefa 2 — M)</t>
  </si>
  <si>
    <t>PAM-26-07</t>
  </si>
  <si>
    <t>07/26</t>
  </si>
  <si>
    <t>Monitorização e Medição</t>
  </si>
  <si>
    <t>MED-06</t>
  </si>
  <si>
    <t>Desvio: consumo de solvente de limpeza na serigrafia +15% em jun–ago/2026 face a mar–mai/2026, com produção estável.</t>
  </si>
  <si>
    <t>Hipóteses em RG-SGA-13 (folha Analise_Desvio_5_2).</t>
  </si>
  <si>
    <t>Em investigação.</t>
  </si>
  <si>
    <t>Conter e investigar: pesagem diária do solvente por máquina e turno; fechar e identificar todos os recipientes; observar a limpeza nos 3 turnos; conferir inventário e compras de jun–ago.</t>
  </si>
  <si>
    <t>Travar a subida do consumo e das emissões de COV</t>
  </si>
  <si>
    <t>Eficaz se as causas forem confirmadas com dados até 30/09/2026 e o consumo diário voltar a ≤ 0,165 kg/1.000 peças.</t>
  </si>
  <si>
    <t>5.2 (Parte 1)</t>
  </si>
  <si>
    <t>PAM-26-08</t>
  </si>
  <si>
    <t>08/26</t>
  </si>
  <si>
    <t>Desvio de +15% no solvente de limpeza (confirmado): limpezas com recipiente aberto e aumento de limpezas após o overhaul da SS-001.</t>
  </si>
  <si>
    <t>Causas confirmadas na investigação PAM-26-07: (1) recipientes abertos no posto → evaporação; (2) após o overhaul de jul/2026, a nova rasqueta exige mais limpezas; (3) limpeza por hábito em cada mudança de turno.</t>
  </si>
  <si>
    <t>Método de limpeza não normalizado e recipientes inadequados.</t>
  </si>
  <si>
    <t>Dispensadores de segurança com tampa (2 por máquina); norma de limpeza (quando limpar e volume máximo); afinação da rasqueta da SS-001; formação dos operadores de serigrafia.</t>
  </si>
  <si>
    <t>Menos COV emitidos e menos resíduos perigosos</t>
  </si>
  <si>
    <t>kg solvente/ano</t>
  </si>
  <si>
    <t>Eficaz se o KPI-06 ≤ 0,160 kg/1.000 peças durante 3 meses consecutivos.</t>
  </si>
  <si>
    <t>PAM-26-09</t>
  </si>
  <si>
    <t>09/26</t>
  </si>
  <si>
    <t>RO-01</t>
  </si>
  <si>
    <t>Oportunidade significativa RO-01 (nível 9): usar a infraestrutura de dados industriais para gestão ambiental.</t>
  </si>
  <si>
    <t>Painel ambiental em Power BI com energia, água, resíduos (LER), solventes e KPI por máquina/turno/mês; relatório mensal automático para a gestão.</t>
  </si>
  <si>
    <t>Decisões baseadas em dados</t>
  </si>
  <si>
    <t>Eficaz se ≥ 80% dos KPI ambientais tiverem carregamento automático e o painel for usado na reunião mensal durante 3 meses.</t>
  </si>
  <si>
    <t>PAM-26-10</t>
  </si>
  <si>
    <t>10/26</t>
  </si>
  <si>
    <t>LEG-09</t>
  </si>
  <si>
    <t>NC legal PPWR: só 9 de 22 famílias com documentação técnica e declaração UE de conformidade (aplicável desde 12/08/2026).</t>
  </si>
  <si>
    <t>1. Porquê só 41%? O trabalho começou em junho/2026.
2. Porquê tão tarde? O PPWR não estava na matriz legal até 2026.
3. Porquê? A vigilância legal não acompanhava regulamentos europeus de produto.</t>
  </si>
  <si>
    <t>Vigilância legal limitada a legislação nacional ambiental de instalação.</t>
  </si>
  <si>
    <t>Plano de conformidade PPWR: ensaios de metais pesados por família, dossier técnico e declaração UE para as 13 famílias em falta (prioridade por volume); incluir EUR-Lex na vigilância legal mensal.</t>
  </si>
  <si>
    <t>Responsável de R&amp;D</t>
  </si>
  <si>
    <t>RO-06</t>
  </si>
  <si>
    <t>Conformidade legal do produto</t>
  </si>
  <si>
    <t>famílias</t>
  </si>
  <si>
    <t>Eficaz se 100% das famílias tiverem declaração UE de conformidade em 31/12/2026 e a vigilância legal mensal incluir EUR-Lex.</t>
  </si>
  <si>
    <t>5.4 (decisão D2)</t>
  </si>
  <si>
    <t>PAM-26-11</t>
  </si>
  <si>
    <t>11/26</t>
  </si>
  <si>
    <t>OBJ-06</t>
  </si>
  <si>
    <t>Perdas de granulado para a rede pluvial; 6 de 14 pontos críticos com contenção.</t>
  </si>
  <si>
    <t>Programa Operation Clean Sweep: filtros nas 9 sarjetas, tabuleiros de descarga de big bags, aspirador industrial, kits de recolha e inspeção semanal do perímetro.</t>
  </si>
  <si>
    <t>RO-07</t>
  </si>
  <si>
    <t>Menos microplásticos no meio aquático</t>
  </si>
  <si>
    <t>Eficaz se 100% dos pontos críticos tiverem contenção e não houver granulado nas sarjetas em 12 inspeções semanais consecutivas.</t>
  </si>
  <si>
    <t>PAM-26-12</t>
  </si>
  <si>
    <t>12/26</t>
  </si>
  <si>
    <t>OBJ-02</t>
  </si>
  <si>
    <t>Scrap ≈ 31 t/ano e taxa de reintegração de ≈ 37% (scrap misturado por cor e polímero).</t>
  </si>
  <si>
    <t>Segregar o scrap na fonte com caixas coloridas por polímero/cor, receitas de arranque validadas após mudança de molde e Pareto mensal de scrap por máquina.</t>
  </si>
  <si>
    <t>RO-11</t>
  </si>
  <si>
    <t>Menos polímero virgem e menos resíduos</t>
  </si>
  <si>
    <t>t/ano</t>
  </si>
  <si>
    <t>Eficaz se o KPI-03 ≤ 0,423 kg/1.000 un e a reintegração ≥ 45% no 2.º trimestre de 2027.</t>
  </si>
  <si>
    <t>PAM-26-13</t>
  </si>
  <si>
    <t>13/26</t>
  </si>
  <si>
    <t>Revisão pela Gestão</t>
  </si>
  <si>
    <t>RG-26-D01</t>
  </si>
  <si>
    <t>Consumo de solvente em subida e AAS de COV (IRA 40); o solvente usado é enviado como resíduo perigoso.</t>
  </si>
  <si>
    <t>Adquirir e instalar uma unidade de recuperação de solvente (destilador de 60 L) na serigrafia, com reutilização do solvente recuperado.</t>
  </si>
  <si>
    <t>Substituição</t>
  </si>
  <si>
    <t>Menos compra de solvente e menos resíduo 08 03 12*</t>
  </si>
  <si>
    <t>kg/ano</t>
  </si>
  <si>
    <t>Eficaz se ≥ 60% do solvente usado for recuperado e o resíduo 08 03 12* baixar ≥ 40% no 2.º trimestre de 2027.</t>
  </si>
  <si>
    <t>5.4 (decisão D1)</t>
  </si>
  <si>
    <t>PAM-26-14</t>
  </si>
  <si>
    <t>14/26</t>
  </si>
  <si>
    <t>OBJ-05</t>
  </si>
  <si>
    <t>Água da torre de arrefecimento ≈ 80% do consumo; purga manual por tempo e não por qualidade da água.</t>
  </si>
  <si>
    <t>Controlo automático da purga da torre por condutividade e estudo de torre adiabática em circuito fechado.</t>
  </si>
  <si>
    <t>Diretor Industrial</t>
  </si>
  <si>
    <t>RO-04</t>
  </si>
  <si>
    <t>Menos água de rede</t>
  </si>
  <si>
    <t>m³/ano</t>
  </si>
  <si>
    <t>Eficaz se o KPI-02 normalizado pela temperatura baixar ≥ 10% face ao mesmo período do ano anterior.</t>
  </si>
  <si>
    <t>PAM-26-15</t>
  </si>
  <si>
    <t>15/26</t>
  </si>
  <si>
    <t>Auditoria Interna</t>
  </si>
  <si>
    <t>CONST-03</t>
  </si>
  <si>
    <t>NC menor de auditoria: contentor de absorventes contaminados (15 02 02*) sem identificação LER e sem tampa no parque de resíduos.</t>
  </si>
  <si>
    <t>1. Porquê sem etiqueta? O contentor foi trocado e o novo não foi etiquetado.
2. Porquê? Não há etiquetas LER padronizadas em stock.
3. Porquê não foi detetado? A ronda de resíduos não verifica identificação e tampas dos perigosos.</t>
  </si>
  <si>
    <t>Ausência de etiquetas padronizadas e de ponto de verificação na ronda.</t>
  </si>
  <si>
    <t>Material</t>
  </si>
  <si>
    <t>Etiquetas LER padronizadas para todos os contentores; contentores de perigosos com tampa; incluir verificação no ponto RON-08.</t>
  </si>
  <si>
    <t>Resíduos perigosos corretamente identificados e fechados</t>
  </si>
  <si>
    <t>Eficaz se 100% dos contentores de perigosos estiverem identificados e fechados em 3 rondas consecutivas.</t>
  </si>
  <si>
    <t>5.3 (Parte 1)</t>
  </si>
  <si>
    <t>PAM-26-16</t>
  </si>
  <si>
    <t>16/26</t>
  </si>
  <si>
    <t>RO-05</t>
  </si>
  <si>
    <t>Risco significativo RO-05: resina fora de especificação e conteúdo reciclado não verificado (SUP-005 e PCR).</t>
  </si>
  <si>
    <t>Aplicar a avaliação ambiental de fornecedores (RG-SGA-11) aos 10 fornecedores de resina e exigir certificação EuCertPlast/RecyClass para PCR.</t>
  </si>
  <si>
    <t>Responsável de Compras</t>
  </si>
  <si>
    <t>Fornecedores avaliados e conteúdo reciclado comprovado</t>
  </si>
  <si>
    <t>fornecedores</t>
  </si>
  <si>
    <t>Eficaz se ≥ 90% das compras de resina forem a fornecedores classificados A ou B.</t>
  </si>
  <si>
    <t>PAM-26-17</t>
  </si>
  <si>
    <t>17/26</t>
  </si>
  <si>
    <t>CONST-05</t>
  </si>
  <si>
    <t>NC menor de auditoria (6.3): a substituição dos compressores não passou por avaliação de impactes ambientais e requisitos legais.</t>
  </si>
  <si>
    <t>Ver PAM-26-03: o pedido de alteração não tem checklist ambiental/legal.</t>
  </si>
  <si>
    <t>Processo de gestão de mudanças (6.3) inexistente.</t>
  </si>
  <si>
    <t>Criar o formulário de pedido de alteração com checklist ambiental e legal (aspetos, requisitos, riscos, emergência) e aprovação do SGA antes de qualquer alteração de equipamento, processo ou layout.</t>
  </si>
  <si>
    <t>Mudanças planeadas sem novos impactes não avaliados</t>
  </si>
  <si>
    <t>Eficaz se 100% das alterações de out/2026–mar/2027 tiverem checklist ambiental aprovado antes da execução.</t>
  </si>
  <si>
    <t>PAM-26-18</t>
  </si>
  <si>
    <t>18/26</t>
  </si>
  <si>
    <t>RG-26-D04</t>
  </si>
  <si>
    <t>Oportunidade RO-09: autoconsumo fotovoltaico para reduzir emissões do âmbito 2 e o custo de energia.</t>
  </si>
  <si>
    <t>Estudo de viabilidade de uma UPAC de ≈ 1 MWp na cobertura, com candidatura a financiamento.</t>
  </si>
  <si>
    <t>Diretor Financeiro</t>
  </si>
  <si>
    <t>RO-09</t>
  </si>
  <si>
    <t>Decisão de investimento fundamentada</t>
  </si>
  <si>
    <t>MWh/ano (potencial)</t>
  </si>
  <si>
    <t>Eficaz se o estudo for apresentado à gestão com decisão registada em ata até 31/03/2027.</t>
  </si>
  <si>
    <t>5.4 (decisão D4)</t>
  </si>
  <si>
    <t>PAM-26-19</t>
  </si>
  <si>
    <t>19/26</t>
  </si>
  <si>
    <t>CONST-01</t>
  </si>
  <si>
    <t>NC menor de auditoria: 3 bidões de 200 L de óleo hidráulico novo pousados no chão do armazém de químicos, sem bacia de retenção (2 bacias para 5 bidões).</t>
  </si>
  <si>
    <t>1. Porquê no chão? As bacias existentes estavam cheias.
2. Porquê? A compra de óleo passou a ser feita em lotes maiores (desconto de quantidade).
3. Porquê não se ajustou a contenção? A decisão de compra não considerou a capacidade de armazenagem com retenção.</t>
  </si>
  <si>
    <t>Capacidade de retenção não dimensionada para o stock máximo; compras sem critério de armazenagem.</t>
  </si>
  <si>
    <t>Adquirir 2 bacias de retenção de 4 bidões; definir lotação máxima por bacia sinalizada no local; incluir 'capacidade de retenção' no pedido de compra de químicos.</t>
  </si>
  <si>
    <t>Contenção de derrames no armazém</t>
  </si>
  <si>
    <t>Eficaz se 100% dos recipientes &gt; 20 L estiverem em bacia em 3 rondas consecutivas.</t>
  </si>
  <si>
    <t>PAM-26-20</t>
  </si>
  <si>
    <t>20/26</t>
  </si>
  <si>
    <t>CONST-06</t>
  </si>
  <si>
    <t>NC menor de auditoria (9.1.1): a balança de plataforma do parque de resíduos (EQP-02) não é verificada desde 03/2024 (periodicidade anual).</t>
  </si>
  <si>
    <t>1. Porquê não foi verificada? Não constava do plano de calibração.
2. Porquê? Foi comprada pela logística e não foi registada como equipamento de medição ambiental.</t>
  </si>
  <si>
    <t>Inventário de equipamentos de monitorização incompleto.</t>
  </si>
  <si>
    <t>Verificar a balança com massas-padrão (entidade acreditada); registar todos os equipamentos de medição ambiental no RG-SGA-13 com periodicidade e alerta.</t>
  </si>
  <si>
    <t>Gerente da Qualidade</t>
  </si>
  <si>
    <t>Dados de resíduos (MIRR) fiáveis</t>
  </si>
  <si>
    <t>Eficaz se 100% dos equipamentos do RG-SGA-13 estiverem dentro do prazo de calibração/verificação em 31/12/2026.</t>
  </si>
  <si>
    <t>PAM-26-21</t>
  </si>
  <si>
    <t>21/26</t>
  </si>
  <si>
    <t>CONST-10</t>
  </si>
  <si>
    <t>NC menor de auditoria (8.2): nunca foi realizado simulacro de derrame; no simulacro de incêndio (11/2025) a válvula de corte pluvial demorou 9 min (meta ≤ 5 min).</t>
  </si>
  <si>
    <t>1. Porquê só simulacro de incêndio? O plano de simulacros cumpre só o SCIE.
2. Porquê? Os cenários ambientais (derrame, águas de combate) não foram incluídos no plano de emergência.</t>
  </si>
  <si>
    <t>Plano de simulacros não cobre os cenários ambientais de emergência.</t>
  </si>
  <si>
    <t>Incluir no plano anual 2 simulacros de derrame (armazém de químicos e serigrafia) e treino trimestral de fecho da válvula de corte pelo turno.</t>
  </si>
  <si>
    <t>RO-08</t>
  </si>
  <si>
    <t>Resposta a emergências ambientais testada</t>
  </si>
  <si>
    <t>Eficaz se o simulacro de derrame tiver contenção em ≤ 10 min e a válvula de corte for fechada em ≤ 5 min.</t>
  </si>
  <si>
    <t>PAM-26-22</t>
  </si>
  <si>
    <t>22/26</t>
  </si>
  <si>
    <t>OBJ-07</t>
  </si>
  <si>
    <t>Autoavaliação RecyClass: 4 SKUs de PVC e 8 de PETG em classe F (sem fluxo de reciclagem) — não poderão ser colocados no mercado a partir de 2030.</t>
  </si>
  <si>
    <t>Plano de substituição: PVC → PET (moldes FR-007/019/022) e PETG → PET ou PP, validado com os clientes; parar novos projetos em PVC/PETG.</t>
  </si>
  <si>
    <t>SKUs recicláveis (grau ≥ C)</t>
  </si>
  <si>
    <t>SKUs</t>
  </si>
  <si>
    <t>Eficaz se 0 SKUs de PVC/PETG estiverem ativos em 31/12/2027 sem perda de clientes.</t>
  </si>
  <si>
    <t>PAM-26-23</t>
  </si>
  <si>
    <t>23/26</t>
  </si>
  <si>
    <t>7 SKUs com masterbatch preto de negro de carbono (Matte Black) não são detetados por NIR na triagem → classe F.</t>
  </si>
  <si>
    <t>Substituir o masterbatch preto por pigmento preto detetável por NIR (SUP-008) e validar com ensaio de triagem num reciclador.</t>
  </si>
  <si>
    <t>SKUs pretos recicláveis</t>
  </si>
  <si>
    <t>Eficaz se os 7 SKUs forem identificados corretamente no ensaio de triagem NIR.</t>
  </si>
  <si>
    <t>PAM-26-24</t>
  </si>
  <si>
    <t>24/26</t>
  </si>
  <si>
    <t>SKUs de PET/rPET com serigrafia ou hot foil direto e rótulos com adesivo não lavável ficam abaixo do grau C; a autoavaliação não está certificada.</t>
  </si>
  <si>
    <t>Redesenhar a decoração de PET (rótulo PE/PP ou tinta destintável validada), exigir adesivo lavável a 80 °C nas especificações de rótulo dos clientes e pedir certificação RecyClass das 3 famílias de maior volume.</t>
  </si>
  <si>
    <t>SKUs de PET em grau A–C e certificação</t>
  </si>
  <si>
    <t>Eficaz se o KPI-18 ≥ 90% em 31/12/2027 e 3 famílias tiverem certificado RecyClass.</t>
  </si>
  <si>
    <t>PAM-26-25</t>
  </si>
  <si>
    <t>25/26</t>
  </si>
  <si>
    <t>Certificado de rPET do SUP-004 (CERT-03) expirado em 30/06/2026: o conteúdo reciclado declarado não é comprovável; a meta de 35% (art. 7.º) exige mais PCR certificado.</t>
  </si>
  <si>
    <t>1. Porquê expirou? O fornecedor não renovou a auditoria EuCertPlast.
2. Porquê não foi detetado? Não havia controlo de validade dos certificados.</t>
  </si>
  <si>
    <t>Ausência de controlo de validade dos certificados de reciclado.</t>
  </si>
  <si>
    <t>Controlo mensal de validade (tbl_certificados_pcr); exigir EN 15343 em todos os lotes de PCR; suspender a alegação ALG-05; plano para subir o PCR de 12% para 35% até 2030 (incl. reciclado químico ISCC PLUS para alimentar).</t>
  </si>
  <si>
    <t>Conteúdo reciclado comprovado</t>
  </si>
  <si>
    <t>certificados</t>
  </si>
  <si>
    <t>Eficaz se 100% dos materiais com PCR tiverem certificado válido durante 6 meses seguidos.</t>
  </si>
  <si>
    <t>PAM-26-26</t>
  </si>
  <si>
    <t>26/26</t>
  </si>
  <si>
    <t>LEG-19</t>
  </si>
  <si>
    <t>Requisitos por verificar: uso dos frascos alimentares para bebidas (tampas presas), óleos minerais nas tintas (França) e reutilização de paletes (PPWR art. 29.º).</t>
  </si>
  <si>
    <t>Obter declaração de utilização de CUST-015/016, declaração MOSH/MOAH das tintas e estudo de pool de paletes com retorno para clientes em Portugal.</t>
  </si>
  <si>
    <t>Aplicabilidade confirmada</t>
  </si>
  <si>
    <t>requisitos</t>
  </si>
  <si>
    <t>Eficaz se os 3 requisitos tiverem estado confirmado na matriz (tbl_requisitos_emb) até 30/11/2026.</t>
  </si>
  <si>
    <t>PAM-26-27</t>
  </si>
  <si>
    <t>27/26</t>
  </si>
  <si>
    <t>LEG-18</t>
  </si>
  <si>
    <t>Alegações no site e catálogo proibidas pela Diretiva 2024/825 a partir de 27/09/2026 ('eco-friendly', '100% recicláveis', 'neutra em carbono').</t>
  </si>
  <si>
    <t>1. Porquê existem? Foram criadas pelo marketing em 2023.
2. Porquê não foram revistas? PR-SGA-14 só foi emitido em 09/2026.</t>
  </si>
  <si>
    <t>Comunicações comerciais sem validação ambiental.</t>
  </si>
  <si>
    <t>Retirar ALG-01, 02 e 08 do site e catálogo; suspender ALG-05; formar a área comercial no PR-SGA-14.</t>
  </si>
  <si>
    <t>Eliminação</t>
  </si>
  <si>
    <t>Diretor Geral (Gestão de Topo)</t>
  </si>
  <si>
    <t>Sem alegações enganosas</t>
  </si>
  <si>
    <t>alegações</t>
  </si>
  <si>
    <t>Eficaz se, na verificação de 30/09/2026, não existir nenhuma alegação com estado Retirar/Proibida no site e catálogo.</t>
  </si>
  <si>
    <t>PAM-26-28</t>
  </si>
  <si>
    <t>28/26</t>
  </si>
  <si>
    <t>LEG-06</t>
  </si>
  <si>
    <t>REACH: polímeros importados do Reino Unido (SUP-004) e de Singapura (SUP-005) sem representante único — a Plasticom é importadora sem registo dos monómeros/aditivos ≥ 1 t/ano; PVC spot sem declaração de ftalatos/chumbo.</t>
  </si>
  <si>
    <t>1. Porquê sem RU? Nunca foi pedido na qualificação do fornecedor.
2. Porquê? O critério de compra só pedia FDS e certificado de qualidade; o Brexit mudou o estatuto do SUP-004 sem revisão.</t>
  </si>
  <si>
    <t>Qualificação de fornecedores sem verificação do papel REACH (importador vs utilizador a jusante).</t>
  </si>
  <si>
    <t>Obter carta de RU (SUP-004) ou comprar via importador UE; manter suspensas as compras spot do SUP-005 e analisar os SKUs de PVC; incluir 'origem EEE / RU' no critério CRIT-07 de fornecedores (RG-SGA-21 tbl_registo_reach).</t>
  </si>
  <si>
    <t>Substâncias registadas na cadeia</t>
  </si>
  <si>
    <t>Eficaz se 0 lacunas em tbl_registo_reach (RG-SGA-21) em 31/12/2026.</t>
  </si>
  <si>
    <t>PAM-26-29</t>
  </si>
  <si>
    <t>29/26</t>
  </si>
  <si>
    <t>Tinta UV do ensaio na SS-002 (ALT-2025-01) contém fotoiniciador 71868-10-5 (Repr. 1B, SVHC) — mistura H360FD; sem lista de trabalhadores expostos (DL 301/2000).</t>
  </si>
  <si>
    <t>1. Porquê entrou? O ensaio avaliou COV e energia, não a toxicidade.
2. Porquê? A aprovação de químicos novos não tinha verificação de CMR/SVHC (antes do PR-SGA-16).</t>
  </si>
  <si>
    <t>Aprovação de produtos químicos sem triagem CMR/SVHC.</t>
  </si>
  <si>
    <t>Substituir por tinta UV sem fotoiniciadores Repr. 1B; até lá: 3 operadores formados, sem grávidas/lactantes, lista de expostos e vigilância da saúde; triagem CMR/SVHC obrigatória na aprovação (PR-SGA-16).</t>
  </si>
  <si>
    <t>Eliminação de CMR 1A/1B</t>
  </si>
  <si>
    <t>produtos</t>
  </si>
  <si>
    <t>Eficaz se 0 produtos CMR 1A/1B no inventário (RG-SGA-21) em 31/12/2026.</t>
  </si>
  <si>
    <t>PAM-26-30</t>
  </si>
  <si>
    <t>30/26</t>
  </si>
  <si>
    <t>Limpa-moldes em aerossol com n-hexano (SVHC desde 02/2026; Repr. 2, STOT RE 2) pulverizado sem captação (prioridade P1); uso industrial fora do cenário de exposição do fornecedor.</t>
  </si>
  <si>
    <t>Substituir por limpa-moldes sem n-hexano (base de ésteres/álcool) validado em 2 moldes; medir n-hexano até à substituição.</t>
  </si>
  <si>
    <t>SVHC eliminada da manutenção</t>
  </si>
  <si>
    <t>Eficaz se o produto for retirado do inventário e dos armários até 15/12/2026.</t>
  </si>
  <si>
    <t>PAM-26-31</t>
  </si>
  <si>
    <t>31/26</t>
  </si>
  <si>
    <t>Cenários de exposição do solvente de limpeza (CE-01) e do diluente (CE-02) não cumpridos na SS-001: limpeza manual 2 h/turno sem captação; CE-02 com o prazo de 12 meses (art. 39.º) ultrapassado.</t>
  </si>
  <si>
    <t>1. Porquê? A SS-001 é a máquina antiga sem mesa aspirante.
2. Porquê não se tratou? Os CE recebidos com as FDS nunca eram comparados com o uso real.</t>
  </si>
  <si>
    <t>Ausência de verificação dos cenários de exposição.</t>
  </si>
  <si>
    <t>Instalar mesa aspirante na SS-001; luvas de butilo; verificar cada CE recebido em tbl_ce_reach (RG-SGA-21) no prazo de 12 meses.</t>
  </si>
  <si>
    <t>Exposição a COV reduzida</t>
  </si>
  <si>
    <t>Eficaz se a medição de 11/2026 na SS-001 der índice de exposição &lt; 0,1 (teste preliminar NP EN 689).</t>
  </si>
  <si>
    <t>PAM-26-32</t>
  </si>
  <si>
    <t>32/26</t>
  </si>
  <si>
    <t>Formação obrigatória em falta: 2 operadores de serigrafia sem formação em diisocianatos (anexo XVII, entrada 74) e técnicos de utilidades com formação em biocidas vencida.</t>
  </si>
  <si>
    <t>1. Porquê? Os novos operadores começaram antes da formação.
2. Porquê? O acolhimento não bloqueia tarefas que exigem formação legal prévia.</t>
  </si>
  <si>
    <t>Acolhimento sem verificação de formações obrigatórias por tarefa.</t>
  </si>
  <si>
    <t>Mão de obra</t>
  </si>
  <si>
    <t>Formar os 2 operadores antes de usarem a tinta 2K; renovar a formação em biocidas (FOR-12); tornar FOR-13 obrigatória no acolhimento da serigrafia (RG-SGA-08).</t>
  </si>
  <si>
    <t>Responsável de Recursos Humanos</t>
  </si>
  <si>
    <t>Trabalhadores formados</t>
  </si>
  <si>
    <t>trabalhadores</t>
  </si>
  <si>
    <t>Eficaz se 0 registos pendentes ou fora de validade de FOR-12 e FOR-13 no RG-SGA-08 em 30/11/2026.</t>
  </si>
  <si>
    <t>PAM-26-33</t>
  </si>
  <si>
    <t>33/26</t>
  </si>
  <si>
    <t>Armazenagem e EPI de químicos: hipoclorito (EUH031) na mesma bacia do anti-incrustante ácido (ARM-04); sala de baterias sem viseira facial (CE-08, prazo do art. 39.º ultrapassado); 6 locais de químicos fora do armazém sem ponto de ronda.</t>
  </si>
  <si>
    <t>1. Porquê? Os produtos da torre foram entregues juntos pelo fornecedor.
2. Porquê não se detetou? A ronda só cobria o armazém principal e a serigrafia.</t>
  </si>
  <si>
    <t>Ronda ambiental sem cobertura dos locais de químicos fora do armazém.</t>
  </si>
  <si>
    <t>Bacias separadas e sinalização da incompatibilidade na torre; viseira facial na sala de carga; novo ponto de ronda RON-11 (RG-SGA-10) para torre, oficina, gases, gasóleo, laboratório e baterias.</t>
  </si>
  <si>
    <t>Contenção e segregação de químicos</t>
  </si>
  <si>
    <t>locais</t>
  </si>
  <si>
    <t>Eficaz se as 2 primeiras rondas RON-11 (out. e nov./2026) forem conformes.</t>
  </si>
  <si>
    <t>PAM-26-34</t>
  </si>
  <si>
    <t>34/26</t>
  </si>
  <si>
    <t>Informação de fornecedores incompleta: 6 FDS a corrigir ou atualizar (2 de 2021), 7 declarações SVHC desatualizadas ou em falta (lista de 253 entradas), D4/D5/D6 do desmoldante por confirmar e verificação da lista candidata de junho/2026 em atraso (OBR-19).</t>
  </si>
  <si>
    <t>1. Porquê? Os pedidos aos fornecedores não tinham prazo nem seguimento.
2. Porquê? Não havia registo da versão da lista coberta por cada declaração.</t>
  </si>
  <si>
    <t>Gestão da informação de fornecedores sem controlo de versão.</t>
  </si>
  <si>
    <t>Pedidos formais com prazo de 30 dias; declaração com n.º de entradas da lista coberta (RG-SGA-21 tbl_declaracoes); compras bloqueadas para produtos sem FDS válida; verificação semestral da lista (OBR-19).</t>
  </si>
  <si>
    <t>Informação REACH completa</t>
  </si>
  <si>
    <t>documentos</t>
  </si>
  <si>
    <t>Eficaz se 0 FDS 'Pedir correção' e 0 declarações 'Desatualizada/Em falta' em 31/12/2026.</t>
  </si>
  <si>
    <t>PAM-26-35</t>
  </si>
  <si>
    <t>35/26</t>
  </si>
  <si>
    <t>LEG-22</t>
  </si>
  <si>
    <t>Avaliação de riscos químicos incompleta: 5 produtos perigosos sem avaliação (retardador, removedor de emulsão, trava-roscas, cianoacrilato, anti-incrustante); acetaldeído da purga das ISBM e n-hexano sem medição.</t>
  </si>
  <si>
    <t>Completar as avaliações (RG-SGA-21 tbl_risco_quimico) e medir acetaldeído e n-hexano com laboratório acreditado (NP EN 689).</t>
  </si>
  <si>
    <t>Riscos químicos avaliados</t>
  </si>
  <si>
    <t>avaliações/medições</t>
  </si>
  <si>
    <t>Eficaz se todos os produtos perigosos tiverem avaliação e as 2 medições tiverem conclusão em 31/12/2026.</t>
  </si>
  <si>
    <t>PAM-26-36</t>
  </si>
  <si>
    <t>36/26</t>
  </si>
  <si>
    <t>LEG-03</t>
  </si>
  <si>
    <t>Risco R32 (RG-SGA-02): título de utilização de recursos hídricos e condições de descarga do efluente ainda não disponibilizados; aplicabilidade a confirmar.</t>
  </si>
  <si>
    <t>Verificação documental do título de recursos hídricos e das condições de descarga; parecer técnico quando aplicável (antes PAC 202629 no RG-SGA-02).</t>
  </si>
  <si>
    <t>Conformidade legal em água</t>
  </si>
  <si>
    <t>Eficaz se o título e as condições de descarga estiverem confirmados e arquivados e não houver NC legal em água.</t>
  </si>
  <si>
    <t>PAM-26-37</t>
  </si>
  <si>
    <t>37/26</t>
  </si>
  <si>
    <t>LEG-01</t>
  </si>
  <si>
    <t>Risco R31 (RG-SGA-02): obrigações do RGGR (MIRR/SILiAmb, e-GAR) dependentes de rotina manual; scrap elevado.</t>
  </si>
  <si>
    <t>Checklist das obrigações de resíduos do calendário RG-SGA-04 (OBR-01, OBR-02) e auditoria trimestral de evidências (antes PAC 202628 no RG-SGA-02).</t>
  </si>
  <si>
    <t>Técnico de Qualidade/Ambiente</t>
  </si>
  <si>
    <t>Obrigações de resíduos cumpridas</t>
  </si>
  <si>
    <t>Eficaz se 100% das obrigações de resíduos forem cumpridas no prazo em 2 trimestres seguidos.</t>
  </si>
  <si>
    <t>PLASTICOM</t>
  </si>
  <si>
    <t>PLANO DE AÇÕES DE MELHORIA</t>
  </si>
  <si>
    <t>PM n.º 01/2026</t>
  </si>
  <si>
    <t>Plasticom — Unidade 1 (Marinha Grande, Portugal) · NP EN ISO 14001:2026</t>
  </si>
  <si>
    <t>Rev. 01 · 31/12/2026</t>
  </si>
  <si>
    <t>Evolução (%)</t>
  </si>
  <si>
    <t>Nº Ação</t>
  </si>
  <si>
    <t>Fonte / Doc. Afecto</t>
  </si>
  <si>
    <t>Proveniente Plano Anterior?</t>
  </si>
  <si>
    <t>Não conformidade / Ocorrência</t>
  </si>
  <si>
    <t>Investigação Causas</t>
  </si>
  <si>
    <t>Ações (Descrição) C1|C2|M</t>
  </si>
  <si>
    <t>Resp.</t>
  </si>
  <si>
    <t>25</t>
  </si>
  <si>
    <t>50</t>
  </si>
  <si>
    <t>75</t>
  </si>
  <si>
    <t>100</t>
  </si>
  <si>
    <t>Prazo / Data Fecho</t>
  </si>
  <si>
    <t>Impacto Riscos?</t>
  </si>
  <si>
    <t>Avaliação da Eficácia</t>
  </si>
  <si>
    <t>Análise SWOT, Matriz de AA (Aspetos), Tabela de Legislação, Política, Objetivos, Reclamações, Rondas, Auditorias, Revisão pela Gestão.</t>
  </si>
  <si>
    <t>Tipo de Ação</t>
  </si>
  <si>
    <t>C1 — Correção: resolver o problema imediato (ex.: limpar o derrame). C2 — Ação corretiva: eliminar a causa para não voltar a acontecer (ex.: mudar a válvula que verteu). M — Melhoria: ação proativa para melhorar o desempenho.</t>
  </si>
  <si>
    <t>Impacto nos Riscos</t>
  </si>
  <si>
    <t>'Sim' se a ação altera a pontuação na Matriz de Riscos (ex.: reduz a probabilidade de um acidente).</t>
  </si>
  <si>
    <t>PAINEL DO PLANO DE AÇÕES — calculado</t>
  </si>
  <si>
    <t>Tipo</t>
  </si>
  <si>
    <t>N.º ações</t>
  </si>
  <si>
    <t>Concluídas</t>
  </si>
  <si>
    <t>Atrasadas</t>
  </si>
  <si>
    <t>Custo (€)</t>
  </si>
  <si>
    <t>Poupança anual (€)</t>
  </si>
  <si>
    <t>C1 — Correção</t>
  </si>
  <si>
    <t>C2 — Ação corretiva</t>
  </si>
  <si>
    <t>M — Melhoria</t>
  </si>
  <si>
    <t>TOTAL</t>
  </si>
  <si>
    <t>Fonte</t>
  </si>
  <si>
    <t>Análise SWOT</t>
  </si>
  <si>
    <t>Matriz de Aspetos Ambientais</t>
  </si>
  <si>
    <t>Política Ambiental</t>
  </si>
  <si>
    <t>Reclamações / partes interessadas</t>
  </si>
  <si>
    <t>Incidente / Emergência</t>
  </si>
  <si>
    <t>% ações não atrasadas</t>
  </si>
  <si>
    <t>Evolução média do plano</t>
  </si>
  <si>
    <t>LISTAS CONTROLADAS (domínios de validação de dados) — editar aqui para alterar opções</t>
  </si>
  <si>
    <t>DataReferencia</t>
  </si>
  <si>
    <t>SimNao</t>
  </si>
  <si>
    <t>TipoAcao</t>
  </si>
  <si>
    <t>Hierarquia</t>
  </si>
  <si>
    <t>Cat6M</t>
  </si>
  <si>
    <t>Eficacia</t>
  </si>
  <si>
    <t>Funcao</t>
  </si>
  <si>
    <t>Máquina</t>
  </si>
  <si>
    <t>Não eficaz</t>
  </si>
  <si>
    <t>EPI</t>
  </si>
  <si>
    <t>Meio ambiente</t>
  </si>
  <si>
    <t>Operador de Serigrafia</t>
  </si>
  <si>
    <t>Operador de Injeção</t>
  </si>
  <si>
    <t>Operador de Sopro (ISBM)</t>
  </si>
  <si>
    <t>Operador de Hot Foil</t>
  </si>
  <si>
    <t>Técnico de Manutenção</t>
  </si>
  <si>
    <t>Técnico de Utilidades</t>
  </si>
  <si>
    <t>Operador de Armazém / Empilhador</t>
  </si>
  <si>
    <t>Chefe de Turno</t>
  </si>
  <si>
    <t>Auditor Interno do SGA</t>
  </si>
  <si>
    <t>Representante dos Trabalhadores (SST/Ambiente)</t>
  </si>
  <si>
    <t>Folha</t>
  </si>
  <si>
    <t>Tabela</t>
  </si>
  <si>
    <t>Coluna</t>
  </si>
  <si>
    <t>Origem</t>
  </si>
  <si>
    <t>Descricao</t>
  </si>
  <si>
    <t>Dominio_Unidade</t>
  </si>
  <si>
    <t>Obrigatorio</t>
  </si>
  <si>
    <t>Chave</t>
  </si>
  <si>
    <t>tbl_pam</t>
  </si>
  <si>
    <t>Texto</t>
  </si>
  <si>
    <t>Entrada</t>
  </si>
  <si>
    <t>Identificador da ação.</t>
  </si>
  <si>
    <t>PAM-AA-nn</t>
  </si>
  <si>
    <t>PK</t>
  </si>
  <si>
    <t>N.º no formato do Mod.G.10.00 (nn/AA).</t>
  </si>
  <si>
    <t>Data (aaaa-mm-dd)</t>
  </si>
  <si>
    <t>Data de registo.</t>
  </si>
  <si>
    <t>Fonte / documento afetado (legenda do Mod.G.10.00).</t>
  </si>
  <si>
    <t>Lista lst_Fonte</t>
  </si>
  <si>
    <t>ID do registo de origem.</t>
  </si>
  <si>
    <t>FK → vários registos</t>
  </si>
  <si>
    <t>Se transita do plano anterior.</t>
  </si>
  <si>
    <t>Lista lst_SimNao</t>
  </si>
  <si>
    <t>Não conformidade / ocorrência / oportunidade.</t>
  </si>
  <si>
    <t>Investigação de causas (5 porquês).</t>
  </si>
  <si>
    <t>Causa raiz.</t>
  </si>
  <si>
    <t>Categoria Ishikawa (6M).</t>
  </si>
  <si>
    <t>Lista lst_Cat6M</t>
  </si>
  <si>
    <t>Ação a implementar.</t>
  </si>
  <si>
    <t>C1 correção (resolve o imediato); C2 ação corretiva (elimina a causa); M melhoria (proativa).</t>
  </si>
  <si>
    <t>Lista lst_TipoAcao</t>
  </si>
  <si>
    <t>Nível na hierarquia de eficácia (Eliminação &gt; Substituição &gt; Engenharia &gt; Administrativa &gt; EPI).</t>
  </si>
  <si>
    <t>Lista lst_Hierarquia</t>
  </si>
  <si>
    <t>Responsável.</t>
  </si>
  <si>
    <t>Lista lst_Funcao</t>
  </si>
  <si>
    <t>Início.</t>
  </si>
  <si>
    <t>Prazo.</t>
  </si>
  <si>
    <t>Percentagem (fração 0-1)</t>
  </si>
  <si>
    <t>Evolução (0, 25, 50, 75, 100%).</t>
  </si>
  <si>
    <t>Lista lst_Evolucao</t>
  </si>
  <si>
    <t>Data de conclusão.</t>
  </si>
  <si>
    <t>Calculado (fórmula)</t>
  </si>
  <si>
    <t>Estado calculado face à data de referência.</t>
  </si>
  <si>
    <t>Inteiro</t>
  </si>
  <si>
    <t>Dias até ao prazo (negativo = atraso).</t>
  </si>
  <si>
    <t>Sim se a ação altera a pontuação da matriz de riscos.</t>
  </si>
  <si>
    <t>Risco/oportunidade afetado.</t>
  </si>
  <si>
    <t>FK → RG-SGA-02</t>
  </si>
  <si>
    <t>Moeda (EUR)</t>
  </si>
  <si>
    <t>Custo previsto (CAPEX + OPEX).</t>
  </si>
  <si>
    <t>Poupança anual estimada.</t>
  </si>
  <si>
    <t>Decimal</t>
  </si>
  <si>
    <t>Retorno do investimento (meses).</t>
  </si>
  <si>
    <t>Benefício ambiental esperado.</t>
  </si>
  <si>
    <t>Quantidade do benefício.</t>
  </si>
  <si>
    <t>Unidade do benefício.</t>
  </si>
  <si>
    <t>Observações: 'Eficaz se...'.</t>
  </si>
  <si>
    <t>Data prevista/real da avaliação da eficácia.</t>
  </si>
  <si>
    <t>Resultado da avaliação da eficácia.</t>
  </si>
  <si>
    <t>Lista lst_Eficacia</t>
  </si>
  <si>
    <t>Regras de qualidade do registo.</t>
  </si>
  <si>
    <t>Atividade do curso a que a linha responde (— = ação do SGA sem exercício associado).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</si>
</sst>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#,##0\ \€"/>
    <numFmt numFmtId="166" formatCode="#,##0.0"/>
  </numFmts>
  <fonts count="9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i/>
      <sz val="10"/>
      <color rgb="FF4A5A60"/>
      <name val="Arial"/>
    </font>
    <font>
      <b/>
      <sz val="10"/>
      <color rgb="FFFFFFFF"/>
      <name val="Arial"/>
    </font>
    <font>
      <sz val="10"/>
      <name val="Arial"/>
    </font>
    <font>
      <b/>
      <sz val="16"/>
      <color rgb="FF1F4E5F"/>
      <name val="Arial"/>
    </font>
    <font>
      <b/>
      <sz val="13"/>
      <color rgb="FF0F2F3A"/>
      <name val="Arial"/>
    </font>
    <font>
      <b/>
      <sz val="10"/>
      <name val="Arial"/>
    </font>
    <font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E2EFDA"/>
      </patternFill>
    </fill>
    <fill>
      <patternFill patternType="solid">
        <fgColor rgb="FFDCEBEF"/>
      </patternFill>
    </fill>
  </fills>
  <borders count="3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  <border>
      <left/>
      <right/>
      <top/>
      <bottom style="medium">
        <color rgb="FF1F4E5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7" fillId="6" borderId="0" xfId="0" applyFont="1" applyFill="1"/>
    <xf numFmtId="0" fontId="0" fillId="6" borderId="0" xfId="0" applyFill="1"/>
    <xf numFmtId="0" fontId="7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49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9" fontId="4" fillId="0" borderId="1" xfId="0" applyNumberFormat="1" applyFont="1" applyBorder="1" applyAlignment="1">
      <alignment vertical="top" wrapText="1"/>
    </xf>
    <xf numFmtId="49" fontId="4" fillId="4" borderId="1" xfId="0" applyNumberFormat="1" applyFont="1" applyFill="1" applyBorder="1" applyAlignment="1">
      <alignment vertical="top" wrapText="1"/>
    </xf>
    <xf numFmtId="1" fontId="4" fillId="4" borderId="1" xfId="0" applyNumberFormat="1" applyFont="1" applyFill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166" fontId="4" fillId="4" borderId="1" xfId="0" applyNumberFormat="1" applyFont="1" applyFill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/>
    <xf numFmtId="0" fontId="0" fillId="0" borderId="2" xfId="0" applyBorder="1"/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vertical="top" wrapText="1"/>
    </xf>
    <xf numFmtId="14" fontId="8" fillId="0" borderId="1" xfId="0" applyNumberFormat="1" applyFont="1" applyBorder="1" applyAlignment="1">
      <alignment horizontal="center" vertical="top" wrapText="1"/>
    </xf>
    <xf numFmtId="0" fontId="8" fillId="5" borderId="1" xfId="0" applyFont="1" applyFill="1" applyBorder="1" applyAlignment="1">
      <alignment horizontal="center" vertical="top" wrapText="1"/>
    </xf>
    <xf numFmtId="165" fontId="0" fillId="0" borderId="0" xfId="0" applyNumberFormat="1"/>
    <xf numFmtId="165" fontId="7" fillId="0" borderId="0" xfId="0" applyNumberFormat="1" applyFont="1"/>
    <xf numFmtId="9" fontId="0" fillId="0" borderId="0" xfId="0" applyNumberFormat="1"/>
    <xf numFmtId="0" fontId="3" fillId="2" borderId="0" xfId="0" applyFont="1" applyFill="1" applyAlignment="1">
      <alignment horizontal="center" vertical="top" wrapText="1"/>
    </xf>
    <xf numFmtId="164" fontId="4" fillId="0" borderId="0" xfId="0" applyNumberFormat="1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16">
    <dxf>
      <font>
        <b/>
        <color rgb="FF3B1F66"/>
        <name val="Arial"/>
      </font>
      <fill>
        <patternFill patternType="solid">
          <fgColor rgb="FFE4D7F5"/>
        </patternFill>
      </fill>
    </dxf>
    <dxf>
      <font>
        <b/>
        <color rgb="FF3B1F66"/>
        <name val="Arial"/>
      </font>
      <fill>
        <patternFill patternType="solid">
          <fgColor rgb="FFE4D7F5"/>
        </patternFill>
      </fill>
    </dxf>
    <dxf>
      <font>
        <b/>
        <color rgb="FF3B1F66"/>
        <name val="Arial"/>
      </font>
      <fill>
        <patternFill patternType="solid">
          <fgColor rgb="FFE4D7F5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404040"/>
        <name val="Arial"/>
      </font>
      <fill>
        <patternFill patternType="solid">
          <fgColor rgb="FFE7E7E7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pam" displayName="tbl_pam" ref="A4:AG41">
  <autoFilter ref="A4:AG41" xr:uid="{00000000-0009-0000-0100-000001000000}"/>
  <tableColumns count="33">
    <tableColumn id="1" xr3:uid="{00000000-0010-0000-0000-000001000000}" name="ID_Acao"/>
    <tableColumn id="2" xr3:uid="{00000000-0010-0000-0000-000002000000}" name="N_Acao_Mod"/>
    <tableColumn id="3" xr3:uid="{00000000-0010-0000-0000-000003000000}" name="Data_Abertura"/>
    <tableColumn id="4" xr3:uid="{00000000-0010-0000-0000-000004000000}" name="Fonte_Doc_Afetado"/>
    <tableColumn id="5" xr3:uid="{00000000-0010-0000-0000-000005000000}" name="ID_Origem"/>
    <tableColumn id="6" xr3:uid="{00000000-0010-0000-0000-000006000000}" name="Proveniente_Plano_Anterior"/>
    <tableColumn id="7" xr3:uid="{00000000-0010-0000-0000-000007000000}" name="NC_Ocorrencia"/>
    <tableColumn id="8" xr3:uid="{00000000-0010-0000-0000-000008000000}" name="Investigacao_Causas"/>
    <tableColumn id="9" xr3:uid="{00000000-0010-0000-0000-000009000000}" name="Causa_Raiz"/>
    <tableColumn id="10" xr3:uid="{00000000-0010-0000-0000-00000A000000}" name="Categoria_Causa_6M"/>
    <tableColumn id="11" xr3:uid="{00000000-0010-0000-0000-00000B000000}" name="Acao_Descricao"/>
    <tableColumn id="12" xr3:uid="{00000000-0010-0000-0000-00000C000000}" name="Tipo_Acao"/>
    <tableColumn id="13" xr3:uid="{00000000-0010-0000-0000-00000D000000}" name="Hierarquia_Controlo"/>
    <tableColumn id="14" xr3:uid="{00000000-0010-0000-0000-00000E000000}" name="Responsavel"/>
    <tableColumn id="15" xr3:uid="{00000000-0010-0000-0000-00000F000000}" name="Data_Inicio"/>
    <tableColumn id="16" xr3:uid="{00000000-0010-0000-0000-000010000000}" name="Prazo"/>
    <tableColumn id="17" xr3:uid="{00000000-0010-0000-0000-000011000000}" name="Evolucao"/>
    <tableColumn id="18" xr3:uid="{00000000-0010-0000-0000-000012000000}" name="Data_Fecho"/>
    <tableColumn id="19" xr3:uid="{00000000-0010-0000-0000-000013000000}" name="Estado"/>
    <tableColumn id="20" xr3:uid="{00000000-0010-0000-0000-000014000000}" name="Dias_para_Prazo"/>
    <tableColumn id="21" xr3:uid="{00000000-0010-0000-0000-000015000000}" name="Impacto_Riscos"/>
    <tableColumn id="22" xr3:uid="{00000000-0010-0000-0000-000016000000}" name="ID_RO_Afetado"/>
    <tableColumn id="23" xr3:uid="{00000000-0010-0000-0000-000017000000}" name="Custo_Previsto_EUR"/>
    <tableColumn id="24" xr3:uid="{00000000-0010-0000-0000-000018000000}" name="Poupanca_Anual_EUR"/>
    <tableColumn id="25" xr3:uid="{00000000-0010-0000-0000-000019000000}" name="Payback_Meses"/>
    <tableColumn id="26" xr3:uid="{00000000-0010-0000-0000-00001A000000}" name="Beneficio_Ambiental"/>
    <tableColumn id="27" xr3:uid="{00000000-0010-0000-0000-00001B000000}" name="Beneficio_Quantidade"/>
    <tableColumn id="28" xr3:uid="{00000000-0010-0000-0000-00001C000000}" name="Beneficio_Unidade"/>
    <tableColumn id="29" xr3:uid="{00000000-0010-0000-0000-00001D000000}" name="Criterio_Eficacia"/>
    <tableColumn id="30" xr3:uid="{00000000-0010-0000-0000-00001E000000}" name="Data_Avaliacao_Eficacia"/>
    <tableColumn id="31" xr3:uid="{00000000-0010-0000-0000-00001F000000}" name="Resultado_Eficacia"/>
    <tableColumn id="32" xr3:uid="{00000000-0010-0000-0000-000020000000}" name="Controlo_Qualidade"/>
    <tableColumn id="33" xr3:uid="{00000000-0010-0000-0000-000021000000}" name="Atividade_Curso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dicionario" displayName="tbl_dicionario" ref="A1:I34">
  <autoFilter ref="A1:I34" xr:uid="{00000000-0009-0000-0100-000002000000}"/>
  <tableColumns count="9">
    <tableColumn id="1" xr3:uid="{00000000-0010-0000-0100-000001000000}" name="Folha"/>
    <tableColumn id="2" xr3:uid="{00000000-0010-0000-0100-000002000000}" name="Tabela"/>
    <tableColumn id="3" xr3:uid="{00000000-0010-0000-0100-000003000000}" name="Coluna"/>
    <tableColumn id="4" xr3:uid="{00000000-0010-0000-0100-000004000000}" name="Tipo"/>
    <tableColumn id="5" xr3:uid="{00000000-0010-0000-0100-000005000000}" name="Origem"/>
    <tableColumn id="6" xr3:uid="{00000000-0010-0000-0100-000006000000}" name="Descricao"/>
    <tableColumn id="7" xr3:uid="{00000000-0010-0000-0100-000007000000}" name="Dominio_Unidade"/>
    <tableColumn id="8" xr3:uid="{00000000-0010-0000-0100-000008000000}" name="Obrigatorio"/>
    <tableColumn id="9" xr3:uid="{00000000-0010-0000-01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37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26.4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39.6" x14ac:dyDescent="0.3">
      <c r="A16" s="5" t="s">
        <v>21</v>
      </c>
      <c r="B16" s="6" t="s">
        <v>22</v>
      </c>
    </row>
    <row r="17" spans="1:2" ht="26.4" x14ac:dyDescent="0.3">
      <c r="A17" s="5" t="s">
        <v>23</v>
      </c>
      <c r="B17" s="6" t="s">
        <v>24</v>
      </c>
    </row>
    <row r="18" spans="1:2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x14ac:dyDescent="0.3">
      <c r="A21" s="5" t="s">
        <v>28</v>
      </c>
      <c r="B21" s="6" t="s">
        <v>29</v>
      </c>
    </row>
    <row r="22" spans="1:2" x14ac:dyDescent="0.3">
      <c r="A22" s="5" t="s">
        <v>30</v>
      </c>
      <c r="B22" s="6" t="s">
        <v>31</v>
      </c>
    </row>
    <row r="23" spans="1:2" x14ac:dyDescent="0.3">
      <c r="A23" s="5" t="s">
        <v>32</v>
      </c>
      <c r="B23" s="6" t="s">
        <v>33</v>
      </c>
    </row>
    <row r="24" spans="1:2" x14ac:dyDescent="0.3">
      <c r="A24" s="5" t="s">
        <v>34</v>
      </c>
      <c r="B24" s="6" t="s">
        <v>35</v>
      </c>
    </row>
    <row r="25" spans="1:2" x14ac:dyDescent="0.3">
      <c r="A25" s="5" t="s">
        <v>36</v>
      </c>
      <c r="B25" s="6" t="s">
        <v>37</v>
      </c>
    </row>
    <row r="27" spans="1:2" x14ac:dyDescent="0.3">
      <c r="A27" s="3" t="s">
        <v>38</v>
      </c>
      <c r="B27" s="4"/>
    </row>
    <row r="28" spans="1:2" ht="26.4" x14ac:dyDescent="0.3">
      <c r="A28" s="5" t="s">
        <v>39</v>
      </c>
      <c r="B28" s="6" t="s">
        <v>40</v>
      </c>
    </row>
    <row r="29" spans="1:2" x14ac:dyDescent="0.3">
      <c r="A29" s="5" t="s">
        <v>41</v>
      </c>
      <c r="B29" s="6" t="s">
        <v>42</v>
      </c>
    </row>
    <row r="30" spans="1:2" x14ac:dyDescent="0.3">
      <c r="A30" s="5" t="s">
        <v>43</v>
      </c>
      <c r="B30" s="6" t="s">
        <v>44</v>
      </c>
    </row>
    <row r="31" spans="1:2" ht="26.4" x14ac:dyDescent="0.3">
      <c r="A31" s="5" t="s">
        <v>45</v>
      </c>
      <c r="B31" s="6" t="s">
        <v>46</v>
      </c>
    </row>
    <row r="32" spans="1:2" ht="26.4" x14ac:dyDescent="0.3">
      <c r="A32" s="5" t="s">
        <v>47</v>
      </c>
      <c r="B32" s="6" t="s">
        <v>48</v>
      </c>
    </row>
    <row r="33" spans="1:2" ht="26.4" x14ac:dyDescent="0.3">
      <c r="A33" s="5" t="s">
        <v>49</v>
      </c>
      <c r="B33" s="6" t="s">
        <v>50</v>
      </c>
    </row>
    <row r="35" spans="1:2" x14ac:dyDescent="0.3">
      <c r="A35" s="3" t="s">
        <v>51</v>
      </c>
      <c r="B35" s="4"/>
    </row>
    <row r="36" spans="1:2" ht="26.4" x14ac:dyDescent="0.3">
      <c r="A36" s="5" t="s">
        <v>52</v>
      </c>
      <c r="B36" s="6" t="s">
        <v>53</v>
      </c>
    </row>
    <row r="37" spans="1:2" x14ac:dyDescent="0.3">
      <c r="A37" s="5" t="s">
        <v>54</v>
      </c>
      <c r="B37" s="6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G41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7" customWidth="1"/>
    <col min="3" max="3" width="11" customWidth="1"/>
    <col min="4" max="4" width="20" customWidth="1"/>
    <col min="5" max="5" width="11" customWidth="1"/>
    <col min="6" max="6" width="10" customWidth="1"/>
    <col min="7" max="7" width="44" customWidth="1"/>
    <col min="8" max="8" width="52" customWidth="1"/>
    <col min="9" max="9" width="36" customWidth="1"/>
    <col min="10" max="10" width="11" customWidth="1"/>
    <col min="11" max="11" width="52" customWidth="1"/>
    <col min="12" max="12" width="7" customWidth="1"/>
    <col min="13" max="13" width="13" customWidth="1"/>
    <col min="14" max="14" width="26" customWidth="1"/>
    <col min="15" max="16" width="11" customWidth="1"/>
    <col min="17" max="17" width="8" customWidth="1"/>
    <col min="18" max="19" width="11" customWidth="1"/>
    <col min="20" max="22" width="9" customWidth="1"/>
    <col min="23" max="24" width="11" customWidth="1"/>
    <col min="25" max="25" width="9" customWidth="1"/>
    <col min="26" max="26" width="30" customWidth="1"/>
    <col min="27" max="27" width="10" customWidth="1"/>
    <col min="28" max="28" width="14" customWidth="1"/>
    <col min="29" max="29" width="46" customWidth="1"/>
    <col min="30" max="31" width="11" customWidth="1"/>
    <col min="32" max="32" width="20" customWidth="1"/>
    <col min="33" max="33" width="16" customWidth="1"/>
  </cols>
  <sheetData>
    <row r="1" spans="1:33" ht="17.399999999999999" x14ac:dyDescent="0.3">
      <c r="A1" s="1" t="s">
        <v>56</v>
      </c>
    </row>
    <row r="2" spans="1:33" x14ac:dyDescent="0.3">
      <c r="A2" s="2" t="s">
        <v>57</v>
      </c>
    </row>
    <row r="4" spans="1:33" ht="39.6" x14ac:dyDescent="0.3">
      <c r="A4" s="8" t="s">
        <v>58</v>
      </c>
      <c r="B4" s="8" t="s">
        <v>59</v>
      </c>
      <c r="C4" s="8" t="s">
        <v>60</v>
      </c>
      <c r="D4" s="8" t="s">
        <v>61</v>
      </c>
      <c r="E4" s="8" t="s">
        <v>62</v>
      </c>
      <c r="F4" s="8" t="s">
        <v>63</v>
      </c>
      <c r="G4" s="8" t="s">
        <v>64</v>
      </c>
      <c r="H4" s="8" t="s">
        <v>65</v>
      </c>
      <c r="I4" s="8" t="s">
        <v>66</v>
      </c>
      <c r="J4" s="8" t="s">
        <v>67</v>
      </c>
      <c r="K4" s="8" t="s">
        <v>68</v>
      </c>
      <c r="L4" s="8" t="s">
        <v>69</v>
      </c>
      <c r="M4" s="8" t="s">
        <v>70</v>
      </c>
      <c r="N4" s="8" t="s">
        <v>71</v>
      </c>
      <c r="O4" s="8" t="s">
        <v>72</v>
      </c>
      <c r="P4" s="8" t="s">
        <v>73</v>
      </c>
      <c r="Q4" s="8" t="s">
        <v>74</v>
      </c>
      <c r="R4" s="8" t="s">
        <v>75</v>
      </c>
      <c r="S4" s="9" t="s">
        <v>14</v>
      </c>
      <c r="T4" s="9" t="s">
        <v>76</v>
      </c>
      <c r="U4" s="8" t="s">
        <v>77</v>
      </c>
      <c r="V4" s="8" t="s">
        <v>78</v>
      </c>
      <c r="W4" s="8" t="s">
        <v>79</v>
      </c>
      <c r="X4" s="8" t="s">
        <v>80</v>
      </c>
      <c r="Y4" s="9" t="s">
        <v>81</v>
      </c>
      <c r="Z4" s="8" t="s">
        <v>82</v>
      </c>
      <c r="AA4" s="8" t="s">
        <v>83</v>
      </c>
      <c r="AB4" s="8" t="s">
        <v>84</v>
      </c>
      <c r="AC4" s="8" t="s">
        <v>85</v>
      </c>
      <c r="AD4" s="8" t="s">
        <v>86</v>
      </c>
      <c r="AE4" s="8" t="s">
        <v>87</v>
      </c>
      <c r="AF4" s="9" t="s">
        <v>88</v>
      </c>
      <c r="AG4" s="8" t="s">
        <v>89</v>
      </c>
    </row>
    <row r="5" spans="1:33" ht="150" customHeight="1" x14ac:dyDescent="0.3">
      <c r="A5" s="10" t="s">
        <v>90</v>
      </c>
      <c r="B5" s="10" t="s">
        <v>91</v>
      </c>
      <c r="C5" s="11">
        <v>46188</v>
      </c>
      <c r="D5" s="10" t="s">
        <v>92</v>
      </c>
      <c r="E5" s="10" t="s">
        <v>93</v>
      </c>
      <c r="F5" s="10" t="s">
        <v>94</v>
      </c>
      <c r="G5" s="10" t="s">
        <v>95</v>
      </c>
      <c r="H5" s="10" t="s">
        <v>96</v>
      </c>
      <c r="I5" s="10" t="s">
        <v>97</v>
      </c>
      <c r="J5" s="10" t="s">
        <v>98</v>
      </c>
      <c r="K5" s="10" t="s">
        <v>99</v>
      </c>
      <c r="L5" s="10" t="s">
        <v>100</v>
      </c>
      <c r="M5" s="10" t="s">
        <v>101</v>
      </c>
      <c r="N5" s="10" t="s">
        <v>102</v>
      </c>
      <c r="O5" s="11">
        <v>46204</v>
      </c>
      <c r="P5" s="11">
        <v>46387</v>
      </c>
      <c r="Q5" s="12">
        <v>1</v>
      </c>
      <c r="R5" s="11">
        <v>46371</v>
      </c>
      <c r="S5" s="13" t="str">
        <f t="shared" ref="S5:S41" si="0">IF(Q5&gt;=1,IF(R5&gt;P5,"Concluída com atraso","Concluída"),IF(P5&lt;DataRef,"Atrasada",IF(Q5=0,"Planeada","Em curso")))</f>
        <v>Concluída</v>
      </c>
      <c r="T5" s="14" t="str">
        <f t="shared" ref="T5:T41" si="1">IF(Q5&gt;=1,"",P5-DataRef)</f>
        <v/>
      </c>
      <c r="U5" s="10" t="s">
        <v>103</v>
      </c>
      <c r="V5" s="10" t="s">
        <v>104</v>
      </c>
      <c r="W5" s="15">
        <v>14000</v>
      </c>
      <c r="X5" s="15">
        <v>24500</v>
      </c>
      <c r="Y5" s="16">
        <f t="shared" ref="Y5:Y41" si="2">IF(OR(X5="",X5=0),"",W5/X5*12)</f>
        <v>6.8571428571428568</v>
      </c>
      <c r="Z5" s="10" t="s">
        <v>105</v>
      </c>
      <c r="AA5" s="17">
        <v>175</v>
      </c>
      <c r="AB5" s="10" t="s">
        <v>106</v>
      </c>
      <c r="AC5" s="10" t="s">
        <v>107</v>
      </c>
      <c r="AD5" s="11">
        <v>46492</v>
      </c>
      <c r="AE5" s="10" t="s">
        <v>108</v>
      </c>
      <c r="AF5" s="13" t="str">
        <f t="shared" ref="AF5:AF41" si="3">IF(AND(L5="C2",I5=""),"FALTA causa raiz (C2)",IF(AC5="","FALTA critério de eficácia",IF(AND(S5="Concluída",AE5="Por avaliar",AD5&lt;DataRef),"Avaliar eficácia","OK")))</f>
        <v>OK</v>
      </c>
      <c r="AG5" s="10" t="s">
        <v>109</v>
      </c>
    </row>
    <row r="6" spans="1:33" ht="150" customHeight="1" x14ac:dyDescent="0.3">
      <c r="A6" s="10" t="s">
        <v>110</v>
      </c>
      <c r="B6" s="10" t="s">
        <v>111</v>
      </c>
      <c r="C6" s="11">
        <v>46132</v>
      </c>
      <c r="D6" s="10" t="s">
        <v>112</v>
      </c>
      <c r="E6" s="10" t="s">
        <v>104</v>
      </c>
      <c r="F6" s="10" t="s">
        <v>94</v>
      </c>
      <c r="G6" s="10" t="s">
        <v>113</v>
      </c>
      <c r="H6" s="10" t="s">
        <v>114</v>
      </c>
      <c r="I6" s="10" t="s">
        <v>115</v>
      </c>
      <c r="J6" s="10" t="s">
        <v>116</v>
      </c>
      <c r="K6" s="10" t="s">
        <v>117</v>
      </c>
      <c r="L6" s="10" t="s">
        <v>100</v>
      </c>
      <c r="M6" s="10" t="s">
        <v>101</v>
      </c>
      <c r="N6" s="10" t="s">
        <v>102</v>
      </c>
      <c r="O6" s="11">
        <v>46174</v>
      </c>
      <c r="P6" s="11">
        <v>46387</v>
      </c>
      <c r="Q6" s="12">
        <v>1</v>
      </c>
      <c r="R6" s="11">
        <v>46371</v>
      </c>
      <c r="S6" s="13" t="str">
        <f t="shared" si="0"/>
        <v>Concluída</v>
      </c>
      <c r="T6" s="14" t="str">
        <f t="shared" si="1"/>
        <v/>
      </c>
      <c r="U6" s="10" t="s">
        <v>103</v>
      </c>
      <c r="V6" s="10" t="s">
        <v>104</v>
      </c>
      <c r="W6" s="15">
        <v>24000</v>
      </c>
      <c r="X6" s="15"/>
      <c r="Y6" s="16" t="str">
        <f t="shared" si="2"/>
        <v/>
      </c>
      <c r="Z6" s="10" t="s">
        <v>118</v>
      </c>
      <c r="AA6" s="17"/>
      <c r="AB6" s="10"/>
      <c r="AC6" s="10" t="s">
        <v>119</v>
      </c>
      <c r="AD6" s="11">
        <v>46477</v>
      </c>
      <c r="AE6" s="10" t="s">
        <v>108</v>
      </c>
      <c r="AF6" s="13" t="str">
        <f t="shared" si="3"/>
        <v>OK</v>
      </c>
      <c r="AG6" s="10" t="s">
        <v>120</v>
      </c>
    </row>
    <row r="7" spans="1:33" ht="150" customHeight="1" x14ac:dyDescent="0.3">
      <c r="A7" s="10" t="s">
        <v>121</v>
      </c>
      <c r="B7" s="10" t="s">
        <v>122</v>
      </c>
      <c r="C7" s="11">
        <v>46275</v>
      </c>
      <c r="D7" s="10" t="s">
        <v>123</v>
      </c>
      <c r="E7" s="10" t="s">
        <v>124</v>
      </c>
      <c r="F7" s="10" t="s">
        <v>94</v>
      </c>
      <c r="G7" s="10" t="s">
        <v>125</v>
      </c>
      <c r="H7" s="10" t="s">
        <v>126</v>
      </c>
      <c r="I7" s="10" t="s">
        <v>127</v>
      </c>
      <c r="J7" s="10" t="s">
        <v>98</v>
      </c>
      <c r="K7" s="10" t="s">
        <v>128</v>
      </c>
      <c r="L7" s="10" t="s">
        <v>129</v>
      </c>
      <c r="M7" s="10" t="s">
        <v>130</v>
      </c>
      <c r="N7" s="10" t="s">
        <v>131</v>
      </c>
      <c r="O7" s="11">
        <v>46280</v>
      </c>
      <c r="P7" s="11">
        <v>46326</v>
      </c>
      <c r="Q7" s="12">
        <v>1</v>
      </c>
      <c r="R7" s="11">
        <v>46323</v>
      </c>
      <c r="S7" s="13" t="str">
        <f t="shared" si="0"/>
        <v>Concluída</v>
      </c>
      <c r="T7" s="14" t="str">
        <f t="shared" si="1"/>
        <v/>
      </c>
      <c r="U7" s="10" t="s">
        <v>103</v>
      </c>
      <c r="V7" s="10" t="s">
        <v>132</v>
      </c>
      <c r="W7" s="15">
        <v>1800</v>
      </c>
      <c r="X7" s="15"/>
      <c r="Y7" s="16" t="str">
        <f t="shared" si="2"/>
        <v/>
      </c>
      <c r="Z7" s="10" t="s">
        <v>133</v>
      </c>
      <c r="AA7" s="17"/>
      <c r="AB7" s="10"/>
      <c r="AC7" s="10" t="s">
        <v>134</v>
      </c>
      <c r="AD7" s="11">
        <v>46366</v>
      </c>
      <c r="AE7" s="10" t="s">
        <v>135</v>
      </c>
      <c r="AF7" s="13" t="str">
        <f t="shared" si="3"/>
        <v>OK</v>
      </c>
      <c r="AG7" s="10" t="s">
        <v>136</v>
      </c>
    </row>
    <row r="8" spans="1:33" ht="150" customHeight="1" x14ac:dyDescent="0.3">
      <c r="A8" s="10" t="s">
        <v>137</v>
      </c>
      <c r="B8" s="10" t="s">
        <v>138</v>
      </c>
      <c r="C8" s="11">
        <v>46280</v>
      </c>
      <c r="D8" s="10" t="s">
        <v>139</v>
      </c>
      <c r="E8" s="10" t="s">
        <v>140</v>
      </c>
      <c r="F8" s="10" t="s">
        <v>94</v>
      </c>
      <c r="G8" s="10" t="s">
        <v>141</v>
      </c>
      <c r="H8" s="10" t="s">
        <v>142</v>
      </c>
      <c r="I8" s="10" t="s">
        <v>143</v>
      </c>
      <c r="J8" s="10" t="s">
        <v>98</v>
      </c>
      <c r="K8" s="10" t="s">
        <v>144</v>
      </c>
      <c r="L8" s="10" t="s">
        <v>129</v>
      </c>
      <c r="M8" s="10" t="s">
        <v>130</v>
      </c>
      <c r="N8" s="10" t="s">
        <v>145</v>
      </c>
      <c r="O8" s="11">
        <v>46280</v>
      </c>
      <c r="P8" s="11">
        <v>46281</v>
      </c>
      <c r="Q8" s="12">
        <v>1</v>
      </c>
      <c r="R8" s="11">
        <v>46281</v>
      </c>
      <c r="S8" s="13" t="str">
        <f t="shared" si="0"/>
        <v>Concluída</v>
      </c>
      <c r="T8" s="14" t="str">
        <f t="shared" si="1"/>
        <v/>
      </c>
      <c r="U8" s="10" t="s">
        <v>103</v>
      </c>
      <c r="V8" s="10" t="s">
        <v>146</v>
      </c>
      <c r="W8" s="15">
        <v>180</v>
      </c>
      <c r="X8" s="15"/>
      <c r="Y8" s="16" t="str">
        <f t="shared" si="2"/>
        <v/>
      </c>
      <c r="Z8" s="10" t="s">
        <v>147</v>
      </c>
      <c r="AA8" s="17"/>
      <c r="AB8" s="10"/>
      <c r="AC8" s="10" t="s">
        <v>148</v>
      </c>
      <c r="AD8" s="11">
        <v>46287</v>
      </c>
      <c r="AE8" s="10" t="s">
        <v>135</v>
      </c>
      <c r="AF8" s="13" t="str">
        <f t="shared" si="3"/>
        <v>OK</v>
      </c>
      <c r="AG8" s="10" t="s">
        <v>149</v>
      </c>
    </row>
    <row r="9" spans="1:33" ht="150" customHeight="1" x14ac:dyDescent="0.3">
      <c r="A9" s="10" t="s">
        <v>150</v>
      </c>
      <c r="B9" s="10" t="s">
        <v>151</v>
      </c>
      <c r="C9" s="11">
        <v>46280</v>
      </c>
      <c r="D9" s="10" t="s">
        <v>139</v>
      </c>
      <c r="E9" s="10" t="s">
        <v>140</v>
      </c>
      <c r="F9" s="10" t="s">
        <v>94</v>
      </c>
      <c r="G9" s="10" t="s">
        <v>152</v>
      </c>
      <c r="H9" s="10" t="s">
        <v>153</v>
      </c>
      <c r="I9" s="10" t="s">
        <v>154</v>
      </c>
      <c r="J9" s="10" t="s">
        <v>98</v>
      </c>
      <c r="K9" s="10" t="s">
        <v>155</v>
      </c>
      <c r="L9" s="10" t="s">
        <v>156</v>
      </c>
      <c r="M9" s="10" t="s">
        <v>130</v>
      </c>
      <c r="N9" s="10" t="s">
        <v>131</v>
      </c>
      <c r="O9" s="11">
        <v>46282</v>
      </c>
      <c r="P9" s="11">
        <v>46326</v>
      </c>
      <c r="Q9" s="12">
        <v>1</v>
      </c>
      <c r="R9" s="11">
        <v>46324</v>
      </c>
      <c r="S9" s="13" t="str">
        <f t="shared" si="0"/>
        <v>Concluída</v>
      </c>
      <c r="T9" s="14" t="str">
        <f t="shared" si="1"/>
        <v/>
      </c>
      <c r="U9" s="10" t="s">
        <v>103</v>
      </c>
      <c r="V9" s="10" t="s">
        <v>146</v>
      </c>
      <c r="W9" s="15">
        <v>950</v>
      </c>
      <c r="X9" s="15"/>
      <c r="Y9" s="16" t="str">
        <f t="shared" si="2"/>
        <v/>
      </c>
      <c r="Z9" s="10" t="s">
        <v>157</v>
      </c>
      <c r="AA9" s="17"/>
      <c r="AB9" s="10"/>
      <c r="AC9" s="10" t="s">
        <v>158</v>
      </c>
      <c r="AD9" s="11">
        <v>46371</v>
      </c>
      <c r="AE9" s="10" t="s">
        <v>135</v>
      </c>
      <c r="AF9" s="13" t="str">
        <f t="shared" si="3"/>
        <v>OK</v>
      </c>
      <c r="AG9" s="10" t="s">
        <v>159</v>
      </c>
    </row>
    <row r="10" spans="1:33" ht="150" customHeight="1" x14ac:dyDescent="0.3">
      <c r="A10" s="10" t="s">
        <v>160</v>
      </c>
      <c r="B10" s="10" t="s">
        <v>161</v>
      </c>
      <c r="C10" s="11">
        <v>46283</v>
      </c>
      <c r="D10" s="10" t="s">
        <v>162</v>
      </c>
      <c r="E10" s="10" t="s">
        <v>163</v>
      </c>
      <c r="F10" s="10" t="s">
        <v>94</v>
      </c>
      <c r="G10" s="10" t="s">
        <v>164</v>
      </c>
      <c r="H10" s="10" t="s">
        <v>165</v>
      </c>
      <c r="I10" s="10" t="s">
        <v>166</v>
      </c>
      <c r="J10" s="10" t="s">
        <v>98</v>
      </c>
      <c r="K10" s="10" t="s">
        <v>167</v>
      </c>
      <c r="L10" s="10" t="s">
        <v>100</v>
      </c>
      <c r="M10" s="10" t="s">
        <v>130</v>
      </c>
      <c r="N10" s="10" t="s">
        <v>168</v>
      </c>
      <c r="O10" s="11">
        <v>46296</v>
      </c>
      <c r="P10" s="11">
        <v>46356</v>
      </c>
      <c r="Q10" s="12">
        <v>1</v>
      </c>
      <c r="R10" s="11">
        <v>46325</v>
      </c>
      <c r="S10" s="13" t="str">
        <f t="shared" si="0"/>
        <v>Concluída</v>
      </c>
      <c r="T10" s="14" t="str">
        <f t="shared" si="1"/>
        <v/>
      </c>
      <c r="U10" s="10" t="s">
        <v>94</v>
      </c>
      <c r="V10" s="10"/>
      <c r="W10" s="15">
        <v>300</v>
      </c>
      <c r="X10" s="15">
        <v>3700</v>
      </c>
      <c r="Y10" s="16">
        <f t="shared" si="2"/>
        <v>0.97297297297297303</v>
      </c>
      <c r="Z10" s="10" t="s">
        <v>169</v>
      </c>
      <c r="AA10" s="17">
        <v>26</v>
      </c>
      <c r="AB10" s="10" t="s">
        <v>106</v>
      </c>
      <c r="AC10" s="10" t="s">
        <v>170</v>
      </c>
      <c r="AD10" s="11">
        <v>46376</v>
      </c>
      <c r="AE10" s="10" t="s">
        <v>135</v>
      </c>
      <c r="AF10" s="13" t="str">
        <f t="shared" si="3"/>
        <v>OK</v>
      </c>
      <c r="AG10" s="10" t="s">
        <v>171</v>
      </c>
    </row>
    <row r="11" spans="1:33" ht="150" customHeight="1" x14ac:dyDescent="0.3">
      <c r="A11" s="10" t="s">
        <v>172</v>
      </c>
      <c r="B11" s="10" t="s">
        <v>173</v>
      </c>
      <c r="C11" s="11">
        <v>46273</v>
      </c>
      <c r="D11" s="10" t="s">
        <v>174</v>
      </c>
      <c r="E11" s="10" t="s">
        <v>175</v>
      </c>
      <c r="F11" s="10" t="s">
        <v>94</v>
      </c>
      <c r="G11" s="10" t="s">
        <v>176</v>
      </c>
      <c r="H11" s="10" t="s">
        <v>177</v>
      </c>
      <c r="I11" s="10" t="s">
        <v>178</v>
      </c>
      <c r="J11" s="10" t="s">
        <v>98</v>
      </c>
      <c r="K11" s="10" t="s">
        <v>179</v>
      </c>
      <c r="L11" s="10" t="s">
        <v>129</v>
      </c>
      <c r="M11" s="10" t="s">
        <v>130</v>
      </c>
      <c r="N11" s="10" t="s">
        <v>131</v>
      </c>
      <c r="O11" s="11">
        <v>46273</v>
      </c>
      <c r="P11" s="11">
        <v>46295</v>
      </c>
      <c r="Q11" s="12">
        <v>1</v>
      </c>
      <c r="R11" s="11">
        <v>46301</v>
      </c>
      <c r="S11" s="13" t="str">
        <f t="shared" si="0"/>
        <v>Concluída com atraso</v>
      </c>
      <c r="T11" s="14" t="str">
        <f t="shared" si="1"/>
        <v/>
      </c>
      <c r="U11" s="10" t="s">
        <v>103</v>
      </c>
      <c r="V11" s="10"/>
      <c r="W11" s="15">
        <v>0</v>
      </c>
      <c r="X11" s="15"/>
      <c r="Y11" s="16" t="str">
        <f t="shared" si="2"/>
        <v/>
      </c>
      <c r="Z11" s="10" t="s">
        <v>180</v>
      </c>
      <c r="AA11" s="17"/>
      <c r="AB11" s="10"/>
      <c r="AC11" s="10" t="s">
        <v>181</v>
      </c>
      <c r="AD11" s="11">
        <v>46366</v>
      </c>
      <c r="AE11" s="10" t="s">
        <v>135</v>
      </c>
      <c r="AF11" s="13" t="str">
        <f t="shared" si="3"/>
        <v>OK</v>
      </c>
      <c r="AG11" s="10" t="s">
        <v>182</v>
      </c>
    </row>
    <row r="12" spans="1:33" ht="150" customHeight="1" x14ac:dyDescent="0.3">
      <c r="A12" s="10" t="s">
        <v>183</v>
      </c>
      <c r="B12" s="10" t="s">
        <v>184</v>
      </c>
      <c r="C12" s="11">
        <v>46288</v>
      </c>
      <c r="D12" s="10" t="s">
        <v>174</v>
      </c>
      <c r="E12" s="10" t="s">
        <v>175</v>
      </c>
      <c r="F12" s="10" t="s">
        <v>94</v>
      </c>
      <c r="G12" s="10" t="s">
        <v>185</v>
      </c>
      <c r="H12" s="10" t="s">
        <v>186</v>
      </c>
      <c r="I12" s="10" t="s">
        <v>187</v>
      </c>
      <c r="J12" s="10" t="s">
        <v>98</v>
      </c>
      <c r="K12" s="10" t="s">
        <v>188</v>
      </c>
      <c r="L12" s="10" t="s">
        <v>156</v>
      </c>
      <c r="M12" s="10" t="s">
        <v>101</v>
      </c>
      <c r="N12" s="10" t="s">
        <v>131</v>
      </c>
      <c r="O12" s="11">
        <v>46289</v>
      </c>
      <c r="P12" s="11">
        <v>46341</v>
      </c>
      <c r="Q12" s="12">
        <v>1</v>
      </c>
      <c r="R12" s="11">
        <v>46336</v>
      </c>
      <c r="S12" s="13" t="str">
        <f t="shared" si="0"/>
        <v>Concluída</v>
      </c>
      <c r="T12" s="14" t="str">
        <f t="shared" si="1"/>
        <v/>
      </c>
      <c r="U12" s="10" t="s">
        <v>103</v>
      </c>
      <c r="V12" s="10"/>
      <c r="W12" s="15">
        <v>1600</v>
      </c>
      <c r="X12" s="15">
        <v>900</v>
      </c>
      <c r="Y12" s="16">
        <f t="shared" si="2"/>
        <v>21.333333333333332</v>
      </c>
      <c r="Z12" s="10" t="s">
        <v>189</v>
      </c>
      <c r="AA12" s="17">
        <v>120</v>
      </c>
      <c r="AB12" s="10" t="s">
        <v>190</v>
      </c>
      <c r="AC12" s="10" t="s">
        <v>191</v>
      </c>
      <c r="AD12" s="11">
        <v>46366</v>
      </c>
      <c r="AE12" s="10" t="s">
        <v>135</v>
      </c>
      <c r="AF12" s="13" t="str">
        <f t="shared" si="3"/>
        <v>OK</v>
      </c>
      <c r="AG12" s="10" t="s">
        <v>182</v>
      </c>
    </row>
    <row r="13" spans="1:33" ht="150" customHeight="1" x14ac:dyDescent="0.3">
      <c r="A13" s="10" t="s">
        <v>192</v>
      </c>
      <c r="B13" s="10" t="s">
        <v>193</v>
      </c>
      <c r="C13" s="11">
        <v>46132</v>
      </c>
      <c r="D13" s="10" t="s">
        <v>112</v>
      </c>
      <c r="E13" s="10" t="s">
        <v>194</v>
      </c>
      <c r="F13" s="10" t="s">
        <v>94</v>
      </c>
      <c r="G13" s="10" t="s">
        <v>195</v>
      </c>
      <c r="H13" s="10" t="s">
        <v>136</v>
      </c>
      <c r="I13" s="10" t="s">
        <v>136</v>
      </c>
      <c r="J13" s="10" t="s">
        <v>136</v>
      </c>
      <c r="K13" s="10" t="s">
        <v>196</v>
      </c>
      <c r="L13" s="10" t="s">
        <v>100</v>
      </c>
      <c r="M13" s="10" t="s">
        <v>130</v>
      </c>
      <c r="N13" s="10" t="s">
        <v>131</v>
      </c>
      <c r="O13" s="11">
        <v>46143</v>
      </c>
      <c r="P13" s="11">
        <v>46387</v>
      </c>
      <c r="Q13" s="12">
        <v>1</v>
      </c>
      <c r="R13" s="11">
        <v>46374</v>
      </c>
      <c r="S13" s="13" t="str">
        <f t="shared" si="0"/>
        <v>Concluída</v>
      </c>
      <c r="T13" s="14" t="str">
        <f t="shared" si="1"/>
        <v/>
      </c>
      <c r="U13" s="10" t="s">
        <v>103</v>
      </c>
      <c r="V13" s="10" t="s">
        <v>194</v>
      </c>
      <c r="W13" s="15">
        <v>6000</v>
      </c>
      <c r="X13" s="15"/>
      <c r="Y13" s="16" t="str">
        <f t="shared" si="2"/>
        <v/>
      </c>
      <c r="Z13" s="10" t="s">
        <v>197</v>
      </c>
      <c r="AA13" s="17"/>
      <c r="AB13" s="10"/>
      <c r="AC13" s="10" t="s">
        <v>198</v>
      </c>
      <c r="AD13" s="11">
        <v>46477</v>
      </c>
      <c r="AE13" s="10" t="s">
        <v>108</v>
      </c>
      <c r="AF13" s="13" t="str">
        <f t="shared" si="3"/>
        <v>OK</v>
      </c>
      <c r="AG13" s="10" t="s">
        <v>136</v>
      </c>
    </row>
    <row r="14" spans="1:33" ht="150" customHeight="1" x14ac:dyDescent="0.3">
      <c r="A14" s="10" t="s">
        <v>199</v>
      </c>
      <c r="B14" s="10" t="s">
        <v>200</v>
      </c>
      <c r="C14" s="11">
        <v>46275</v>
      </c>
      <c r="D14" s="10" t="s">
        <v>123</v>
      </c>
      <c r="E14" s="10" t="s">
        <v>201</v>
      </c>
      <c r="F14" s="10" t="s">
        <v>94</v>
      </c>
      <c r="G14" s="10" t="s">
        <v>202</v>
      </c>
      <c r="H14" s="10" t="s">
        <v>203</v>
      </c>
      <c r="I14" s="10" t="s">
        <v>204</v>
      </c>
      <c r="J14" s="10" t="s">
        <v>98</v>
      </c>
      <c r="K14" s="10" t="s">
        <v>205</v>
      </c>
      <c r="L14" s="10" t="s">
        <v>156</v>
      </c>
      <c r="M14" s="10" t="s">
        <v>130</v>
      </c>
      <c r="N14" s="10" t="s">
        <v>206</v>
      </c>
      <c r="O14" s="11">
        <v>46280</v>
      </c>
      <c r="P14" s="11">
        <v>46387</v>
      </c>
      <c r="Q14" s="12">
        <v>1</v>
      </c>
      <c r="R14" s="11">
        <v>46378</v>
      </c>
      <c r="S14" s="13" t="str">
        <f t="shared" si="0"/>
        <v>Concluída</v>
      </c>
      <c r="T14" s="14" t="str">
        <f t="shared" si="1"/>
        <v/>
      </c>
      <c r="U14" s="10" t="s">
        <v>103</v>
      </c>
      <c r="V14" s="10" t="s">
        <v>207</v>
      </c>
      <c r="W14" s="15">
        <v>26000</v>
      </c>
      <c r="X14" s="15"/>
      <c r="Y14" s="16" t="str">
        <f t="shared" si="2"/>
        <v/>
      </c>
      <c r="Z14" s="10" t="s">
        <v>208</v>
      </c>
      <c r="AA14" s="17">
        <v>13</v>
      </c>
      <c r="AB14" s="10" t="s">
        <v>209</v>
      </c>
      <c r="AC14" s="10" t="s">
        <v>210</v>
      </c>
      <c r="AD14" s="11">
        <v>46402</v>
      </c>
      <c r="AE14" s="10" t="s">
        <v>108</v>
      </c>
      <c r="AF14" s="13" t="str">
        <f t="shared" si="3"/>
        <v>OK</v>
      </c>
      <c r="AG14" s="10" t="s">
        <v>211</v>
      </c>
    </row>
    <row r="15" spans="1:33" ht="150" customHeight="1" x14ac:dyDescent="0.3">
      <c r="A15" s="10" t="s">
        <v>212</v>
      </c>
      <c r="B15" s="10" t="s">
        <v>213</v>
      </c>
      <c r="C15" s="11">
        <v>46204</v>
      </c>
      <c r="D15" s="10" t="s">
        <v>92</v>
      </c>
      <c r="E15" s="10" t="s">
        <v>214</v>
      </c>
      <c r="F15" s="10" t="s">
        <v>94</v>
      </c>
      <c r="G15" s="10" t="s">
        <v>215</v>
      </c>
      <c r="H15" s="10" t="s">
        <v>136</v>
      </c>
      <c r="I15" s="10" t="s">
        <v>136</v>
      </c>
      <c r="J15" s="10" t="s">
        <v>136</v>
      </c>
      <c r="K15" s="10" t="s">
        <v>216</v>
      </c>
      <c r="L15" s="10" t="s">
        <v>100</v>
      </c>
      <c r="M15" s="10" t="s">
        <v>101</v>
      </c>
      <c r="N15" s="10" t="s">
        <v>131</v>
      </c>
      <c r="O15" s="11">
        <v>46204</v>
      </c>
      <c r="P15" s="11">
        <v>46477</v>
      </c>
      <c r="Q15" s="12">
        <v>0.75</v>
      </c>
      <c r="R15" s="11"/>
      <c r="S15" s="13" t="str">
        <f t="shared" si="0"/>
        <v>Em curso</v>
      </c>
      <c r="T15" s="14">
        <f t="shared" si="1"/>
        <v>90</v>
      </c>
      <c r="U15" s="10" t="s">
        <v>103</v>
      </c>
      <c r="V15" s="10" t="s">
        <v>217</v>
      </c>
      <c r="W15" s="15">
        <v>14000</v>
      </c>
      <c r="X15" s="15"/>
      <c r="Y15" s="16" t="str">
        <f t="shared" si="2"/>
        <v/>
      </c>
      <c r="Z15" s="10" t="s">
        <v>218</v>
      </c>
      <c r="AA15" s="17"/>
      <c r="AB15" s="10"/>
      <c r="AC15" s="10" t="s">
        <v>219</v>
      </c>
      <c r="AD15" s="11">
        <v>46568</v>
      </c>
      <c r="AE15" s="10" t="s">
        <v>108</v>
      </c>
      <c r="AF15" s="13" t="str">
        <f t="shared" si="3"/>
        <v>OK</v>
      </c>
      <c r="AG15" s="10" t="s">
        <v>136</v>
      </c>
    </row>
    <row r="16" spans="1:33" ht="150" customHeight="1" x14ac:dyDescent="0.3">
      <c r="A16" s="10" t="s">
        <v>220</v>
      </c>
      <c r="B16" s="10" t="s">
        <v>221</v>
      </c>
      <c r="C16" s="11">
        <v>46204</v>
      </c>
      <c r="D16" s="10" t="s">
        <v>92</v>
      </c>
      <c r="E16" s="10" t="s">
        <v>222</v>
      </c>
      <c r="F16" s="10" t="s">
        <v>94</v>
      </c>
      <c r="G16" s="10" t="s">
        <v>223</v>
      </c>
      <c r="H16" s="10" t="s">
        <v>136</v>
      </c>
      <c r="I16" s="10" t="s">
        <v>136</v>
      </c>
      <c r="J16" s="10" t="s">
        <v>136</v>
      </c>
      <c r="K16" s="10" t="s">
        <v>224</v>
      </c>
      <c r="L16" s="10" t="s">
        <v>100</v>
      </c>
      <c r="M16" s="10" t="s">
        <v>130</v>
      </c>
      <c r="N16" s="10" t="s">
        <v>168</v>
      </c>
      <c r="O16" s="11">
        <v>46204</v>
      </c>
      <c r="P16" s="11">
        <v>46568</v>
      </c>
      <c r="Q16" s="12">
        <v>0.5</v>
      </c>
      <c r="R16" s="11"/>
      <c r="S16" s="13" t="str">
        <f t="shared" si="0"/>
        <v>Em curso</v>
      </c>
      <c r="T16" s="14">
        <f t="shared" si="1"/>
        <v>181</v>
      </c>
      <c r="U16" s="10" t="s">
        <v>103</v>
      </c>
      <c r="V16" s="10" t="s">
        <v>225</v>
      </c>
      <c r="W16" s="15">
        <v>8500</v>
      </c>
      <c r="X16" s="15">
        <v>15000</v>
      </c>
      <c r="Y16" s="16">
        <f t="shared" si="2"/>
        <v>6.8</v>
      </c>
      <c r="Z16" s="10" t="s">
        <v>226</v>
      </c>
      <c r="AA16" s="17">
        <v>4</v>
      </c>
      <c r="AB16" s="10" t="s">
        <v>227</v>
      </c>
      <c r="AC16" s="10" t="s">
        <v>228</v>
      </c>
      <c r="AD16" s="11">
        <v>46599</v>
      </c>
      <c r="AE16" s="10" t="s">
        <v>108</v>
      </c>
      <c r="AF16" s="13" t="str">
        <f t="shared" si="3"/>
        <v>OK</v>
      </c>
      <c r="AG16" s="10" t="s">
        <v>136</v>
      </c>
    </row>
    <row r="17" spans="1:33" ht="150" customHeight="1" x14ac:dyDescent="0.3">
      <c r="A17" s="10" t="s">
        <v>229</v>
      </c>
      <c r="B17" s="10" t="s">
        <v>230</v>
      </c>
      <c r="C17" s="11">
        <v>46288</v>
      </c>
      <c r="D17" s="10" t="s">
        <v>231</v>
      </c>
      <c r="E17" s="10" t="s">
        <v>232</v>
      </c>
      <c r="F17" s="10" t="s">
        <v>94</v>
      </c>
      <c r="G17" s="10" t="s">
        <v>233</v>
      </c>
      <c r="H17" s="10" t="s">
        <v>136</v>
      </c>
      <c r="I17" s="10" t="s">
        <v>136</v>
      </c>
      <c r="J17" s="10" t="s">
        <v>136</v>
      </c>
      <c r="K17" s="10" t="s">
        <v>234</v>
      </c>
      <c r="L17" s="10" t="s">
        <v>100</v>
      </c>
      <c r="M17" s="10" t="s">
        <v>235</v>
      </c>
      <c r="N17" s="10" t="s">
        <v>131</v>
      </c>
      <c r="O17" s="11">
        <v>46310</v>
      </c>
      <c r="P17" s="11">
        <v>46477</v>
      </c>
      <c r="Q17" s="12">
        <v>0.25</v>
      </c>
      <c r="R17" s="11"/>
      <c r="S17" s="13" t="str">
        <f t="shared" si="0"/>
        <v>Em curso</v>
      </c>
      <c r="T17" s="14">
        <f t="shared" si="1"/>
        <v>90</v>
      </c>
      <c r="U17" s="10" t="s">
        <v>103</v>
      </c>
      <c r="V17" s="10"/>
      <c r="W17" s="15">
        <v>12500</v>
      </c>
      <c r="X17" s="15">
        <v>3100</v>
      </c>
      <c r="Y17" s="16">
        <f t="shared" si="2"/>
        <v>48.387096774193552</v>
      </c>
      <c r="Z17" s="10" t="s">
        <v>236</v>
      </c>
      <c r="AA17" s="17">
        <v>450</v>
      </c>
      <c r="AB17" s="10" t="s">
        <v>237</v>
      </c>
      <c r="AC17" s="10" t="s">
        <v>238</v>
      </c>
      <c r="AD17" s="11">
        <v>46599</v>
      </c>
      <c r="AE17" s="10" t="s">
        <v>108</v>
      </c>
      <c r="AF17" s="13" t="str">
        <f t="shared" si="3"/>
        <v>OK</v>
      </c>
      <c r="AG17" s="10" t="s">
        <v>239</v>
      </c>
    </row>
    <row r="18" spans="1:33" ht="150" customHeight="1" x14ac:dyDescent="0.3">
      <c r="A18" s="10" t="s">
        <v>240</v>
      </c>
      <c r="B18" s="10" t="s">
        <v>241</v>
      </c>
      <c r="C18" s="11">
        <v>46188</v>
      </c>
      <c r="D18" s="10" t="s">
        <v>92</v>
      </c>
      <c r="E18" s="10" t="s">
        <v>242</v>
      </c>
      <c r="F18" s="10" t="s">
        <v>94</v>
      </c>
      <c r="G18" s="10" t="s">
        <v>243</v>
      </c>
      <c r="H18" s="10" t="s">
        <v>136</v>
      </c>
      <c r="I18" s="10" t="s">
        <v>136</v>
      </c>
      <c r="J18" s="10" t="s">
        <v>136</v>
      </c>
      <c r="K18" s="10" t="s">
        <v>244</v>
      </c>
      <c r="L18" s="10" t="s">
        <v>100</v>
      </c>
      <c r="M18" s="10" t="s">
        <v>101</v>
      </c>
      <c r="N18" s="10" t="s">
        <v>245</v>
      </c>
      <c r="O18" s="11">
        <v>46327</v>
      </c>
      <c r="P18" s="11">
        <v>46568</v>
      </c>
      <c r="Q18" s="12">
        <v>0.25</v>
      </c>
      <c r="R18" s="11"/>
      <c r="S18" s="13" t="str">
        <f t="shared" si="0"/>
        <v>Em curso</v>
      </c>
      <c r="T18" s="14">
        <f t="shared" si="1"/>
        <v>181</v>
      </c>
      <c r="U18" s="10" t="s">
        <v>103</v>
      </c>
      <c r="V18" s="10" t="s">
        <v>246</v>
      </c>
      <c r="W18" s="15">
        <v>65000</v>
      </c>
      <c r="X18" s="15">
        <v>3800</v>
      </c>
      <c r="Y18" s="16">
        <f t="shared" si="2"/>
        <v>205.26315789473682</v>
      </c>
      <c r="Z18" s="10" t="s">
        <v>247</v>
      </c>
      <c r="AA18" s="17">
        <v>900</v>
      </c>
      <c r="AB18" s="10" t="s">
        <v>248</v>
      </c>
      <c r="AC18" s="10" t="s">
        <v>249</v>
      </c>
      <c r="AD18" s="11">
        <v>46691</v>
      </c>
      <c r="AE18" s="10" t="s">
        <v>108</v>
      </c>
      <c r="AF18" s="13" t="str">
        <f t="shared" si="3"/>
        <v>OK</v>
      </c>
      <c r="AG18" s="10" t="s">
        <v>136</v>
      </c>
    </row>
    <row r="19" spans="1:33" ht="150" customHeight="1" x14ac:dyDescent="0.3">
      <c r="A19" s="10" t="s">
        <v>250</v>
      </c>
      <c r="B19" s="10" t="s">
        <v>251</v>
      </c>
      <c r="C19" s="11">
        <v>46282</v>
      </c>
      <c r="D19" s="10" t="s">
        <v>252</v>
      </c>
      <c r="E19" s="10" t="s">
        <v>253</v>
      </c>
      <c r="F19" s="10" t="s">
        <v>94</v>
      </c>
      <c r="G19" s="10" t="s">
        <v>254</v>
      </c>
      <c r="H19" s="10" t="s">
        <v>255</v>
      </c>
      <c r="I19" s="10" t="s">
        <v>256</v>
      </c>
      <c r="J19" s="10" t="s">
        <v>257</v>
      </c>
      <c r="K19" s="10" t="s">
        <v>258</v>
      </c>
      <c r="L19" s="10" t="s">
        <v>156</v>
      </c>
      <c r="M19" s="10" t="s">
        <v>130</v>
      </c>
      <c r="N19" s="10" t="s">
        <v>145</v>
      </c>
      <c r="O19" s="11">
        <v>46283</v>
      </c>
      <c r="P19" s="11">
        <v>46310</v>
      </c>
      <c r="Q19" s="12">
        <v>1</v>
      </c>
      <c r="R19" s="11">
        <v>46309</v>
      </c>
      <c r="S19" s="13" t="str">
        <f t="shared" si="0"/>
        <v>Concluída</v>
      </c>
      <c r="T19" s="14" t="str">
        <f t="shared" si="1"/>
        <v/>
      </c>
      <c r="U19" s="10" t="s">
        <v>94</v>
      </c>
      <c r="V19" s="10"/>
      <c r="W19" s="15">
        <v>400</v>
      </c>
      <c r="X19" s="15"/>
      <c r="Y19" s="16" t="str">
        <f t="shared" si="2"/>
        <v/>
      </c>
      <c r="Z19" s="10" t="s">
        <v>259</v>
      </c>
      <c r="AA19" s="17"/>
      <c r="AB19" s="10"/>
      <c r="AC19" s="10" t="s">
        <v>260</v>
      </c>
      <c r="AD19" s="11">
        <v>46361</v>
      </c>
      <c r="AE19" s="10" t="s">
        <v>135</v>
      </c>
      <c r="AF19" s="13" t="str">
        <f t="shared" si="3"/>
        <v>OK</v>
      </c>
      <c r="AG19" s="10" t="s">
        <v>261</v>
      </c>
    </row>
    <row r="20" spans="1:33" ht="150" customHeight="1" x14ac:dyDescent="0.3">
      <c r="A20" s="10" t="s">
        <v>262</v>
      </c>
      <c r="B20" s="10" t="s">
        <v>263</v>
      </c>
      <c r="C20" s="11">
        <v>46132</v>
      </c>
      <c r="D20" s="10" t="s">
        <v>112</v>
      </c>
      <c r="E20" s="10" t="s">
        <v>264</v>
      </c>
      <c r="F20" s="10" t="s">
        <v>94</v>
      </c>
      <c r="G20" s="10" t="s">
        <v>265</v>
      </c>
      <c r="H20" s="10" t="s">
        <v>136</v>
      </c>
      <c r="I20" s="10" t="s">
        <v>136</v>
      </c>
      <c r="J20" s="10" t="s">
        <v>136</v>
      </c>
      <c r="K20" s="10" t="s">
        <v>266</v>
      </c>
      <c r="L20" s="10" t="s">
        <v>100</v>
      </c>
      <c r="M20" s="10" t="s">
        <v>130</v>
      </c>
      <c r="N20" s="10" t="s">
        <v>267</v>
      </c>
      <c r="O20" s="11">
        <v>46143</v>
      </c>
      <c r="P20" s="11">
        <v>46387</v>
      </c>
      <c r="Q20" s="12">
        <v>1</v>
      </c>
      <c r="R20" s="11">
        <v>46376</v>
      </c>
      <c r="S20" s="13" t="str">
        <f t="shared" si="0"/>
        <v>Concluída</v>
      </c>
      <c r="T20" s="14" t="str">
        <f t="shared" si="1"/>
        <v/>
      </c>
      <c r="U20" s="10" t="s">
        <v>103</v>
      </c>
      <c r="V20" s="10" t="s">
        <v>264</v>
      </c>
      <c r="W20" s="15">
        <v>2000</v>
      </c>
      <c r="X20" s="15"/>
      <c r="Y20" s="16" t="str">
        <f t="shared" si="2"/>
        <v/>
      </c>
      <c r="Z20" s="10" t="s">
        <v>268</v>
      </c>
      <c r="AA20" s="17">
        <v>10</v>
      </c>
      <c r="AB20" s="10" t="s">
        <v>269</v>
      </c>
      <c r="AC20" s="10" t="s">
        <v>270</v>
      </c>
      <c r="AD20" s="11">
        <v>46477</v>
      </c>
      <c r="AE20" s="10" t="s">
        <v>108</v>
      </c>
      <c r="AF20" s="13" t="str">
        <f t="shared" si="3"/>
        <v>OK</v>
      </c>
      <c r="AG20" s="10" t="s">
        <v>136</v>
      </c>
    </row>
    <row r="21" spans="1:33" ht="150" customHeight="1" x14ac:dyDescent="0.3">
      <c r="A21" s="10" t="s">
        <v>271</v>
      </c>
      <c r="B21" s="10" t="s">
        <v>272</v>
      </c>
      <c r="C21" s="11">
        <v>46282</v>
      </c>
      <c r="D21" s="10" t="s">
        <v>252</v>
      </c>
      <c r="E21" s="10" t="s">
        <v>273</v>
      </c>
      <c r="F21" s="10" t="s">
        <v>94</v>
      </c>
      <c r="G21" s="10" t="s">
        <v>274</v>
      </c>
      <c r="H21" s="10" t="s">
        <v>275</v>
      </c>
      <c r="I21" s="10" t="s">
        <v>276</v>
      </c>
      <c r="J21" s="10" t="s">
        <v>98</v>
      </c>
      <c r="K21" s="10" t="s">
        <v>277</v>
      </c>
      <c r="L21" s="10" t="s">
        <v>156</v>
      </c>
      <c r="M21" s="10" t="s">
        <v>130</v>
      </c>
      <c r="N21" s="10" t="s">
        <v>131</v>
      </c>
      <c r="O21" s="11">
        <v>46285</v>
      </c>
      <c r="P21" s="11">
        <v>46356</v>
      </c>
      <c r="Q21" s="12">
        <v>1</v>
      </c>
      <c r="R21" s="11">
        <v>46351</v>
      </c>
      <c r="S21" s="13" t="str">
        <f t="shared" si="0"/>
        <v>Concluída</v>
      </c>
      <c r="T21" s="14" t="str">
        <f t="shared" si="1"/>
        <v/>
      </c>
      <c r="U21" s="10" t="s">
        <v>103</v>
      </c>
      <c r="V21" s="10" t="s">
        <v>132</v>
      </c>
      <c r="W21" s="15">
        <v>0</v>
      </c>
      <c r="X21" s="15"/>
      <c r="Y21" s="16" t="str">
        <f t="shared" si="2"/>
        <v/>
      </c>
      <c r="Z21" s="10" t="s">
        <v>278</v>
      </c>
      <c r="AA21" s="17"/>
      <c r="AB21" s="10"/>
      <c r="AC21" s="10" t="s">
        <v>279</v>
      </c>
      <c r="AD21" s="11">
        <v>46492</v>
      </c>
      <c r="AE21" s="10" t="s">
        <v>108</v>
      </c>
      <c r="AF21" s="13" t="str">
        <f t="shared" si="3"/>
        <v>OK</v>
      </c>
      <c r="AG21" s="10" t="s">
        <v>261</v>
      </c>
    </row>
    <row r="22" spans="1:33" ht="150" customHeight="1" x14ac:dyDescent="0.3">
      <c r="A22" s="10" t="s">
        <v>280</v>
      </c>
      <c r="B22" s="10" t="s">
        <v>281</v>
      </c>
      <c r="C22" s="11">
        <v>46288</v>
      </c>
      <c r="D22" s="10" t="s">
        <v>231</v>
      </c>
      <c r="E22" s="10" t="s">
        <v>282</v>
      </c>
      <c r="F22" s="10" t="s">
        <v>94</v>
      </c>
      <c r="G22" s="10" t="s">
        <v>283</v>
      </c>
      <c r="H22" s="10" t="s">
        <v>136</v>
      </c>
      <c r="I22" s="10" t="s">
        <v>136</v>
      </c>
      <c r="J22" s="10" t="s">
        <v>136</v>
      </c>
      <c r="K22" s="10" t="s">
        <v>284</v>
      </c>
      <c r="L22" s="10" t="s">
        <v>100</v>
      </c>
      <c r="M22" s="10" t="s">
        <v>235</v>
      </c>
      <c r="N22" s="10" t="s">
        <v>285</v>
      </c>
      <c r="O22" s="11">
        <v>46296</v>
      </c>
      <c r="P22" s="11">
        <v>46477</v>
      </c>
      <c r="Q22" s="12">
        <v>0.75</v>
      </c>
      <c r="R22" s="11"/>
      <c r="S22" s="13" t="str">
        <f t="shared" si="0"/>
        <v>Em curso</v>
      </c>
      <c r="T22" s="14">
        <f t="shared" si="1"/>
        <v>90</v>
      </c>
      <c r="U22" s="10" t="s">
        <v>103</v>
      </c>
      <c r="V22" s="10" t="s">
        <v>286</v>
      </c>
      <c r="W22" s="15">
        <v>4000</v>
      </c>
      <c r="X22" s="15"/>
      <c r="Y22" s="16" t="str">
        <f t="shared" si="2"/>
        <v/>
      </c>
      <c r="Z22" s="10" t="s">
        <v>287</v>
      </c>
      <c r="AA22" s="17">
        <v>1400</v>
      </c>
      <c r="AB22" s="10" t="s">
        <v>288</v>
      </c>
      <c r="AC22" s="10" t="s">
        <v>289</v>
      </c>
      <c r="AD22" s="11">
        <v>46507</v>
      </c>
      <c r="AE22" s="10" t="s">
        <v>108</v>
      </c>
      <c r="AF22" s="13" t="str">
        <f t="shared" si="3"/>
        <v>OK</v>
      </c>
      <c r="AG22" s="10" t="s">
        <v>290</v>
      </c>
    </row>
    <row r="23" spans="1:33" ht="150" customHeight="1" x14ac:dyDescent="0.3">
      <c r="A23" s="10" t="s">
        <v>291</v>
      </c>
      <c r="B23" s="10" t="s">
        <v>292</v>
      </c>
      <c r="C23" s="11">
        <v>46282</v>
      </c>
      <c r="D23" s="10" t="s">
        <v>252</v>
      </c>
      <c r="E23" s="10" t="s">
        <v>293</v>
      </c>
      <c r="F23" s="10" t="s">
        <v>94</v>
      </c>
      <c r="G23" s="10" t="s">
        <v>294</v>
      </c>
      <c r="H23" s="10" t="s">
        <v>295</v>
      </c>
      <c r="I23" s="10" t="s">
        <v>296</v>
      </c>
      <c r="J23" s="10" t="s">
        <v>257</v>
      </c>
      <c r="K23" s="10" t="s">
        <v>297</v>
      </c>
      <c r="L23" s="10" t="s">
        <v>156</v>
      </c>
      <c r="M23" s="10" t="s">
        <v>101</v>
      </c>
      <c r="N23" s="10" t="s">
        <v>145</v>
      </c>
      <c r="O23" s="11">
        <v>46283</v>
      </c>
      <c r="P23" s="11">
        <v>46310</v>
      </c>
      <c r="Q23" s="12">
        <v>1</v>
      </c>
      <c r="R23" s="11">
        <v>46315</v>
      </c>
      <c r="S23" s="13" t="str">
        <f t="shared" si="0"/>
        <v>Concluída com atraso</v>
      </c>
      <c r="T23" s="14" t="str">
        <f t="shared" si="1"/>
        <v/>
      </c>
      <c r="U23" s="10" t="s">
        <v>103</v>
      </c>
      <c r="V23" s="10" t="s">
        <v>146</v>
      </c>
      <c r="W23" s="15">
        <v>1200</v>
      </c>
      <c r="X23" s="15"/>
      <c r="Y23" s="16" t="str">
        <f t="shared" si="2"/>
        <v/>
      </c>
      <c r="Z23" s="10" t="s">
        <v>298</v>
      </c>
      <c r="AA23" s="17"/>
      <c r="AB23" s="10"/>
      <c r="AC23" s="10" t="s">
        <v>299</v>
      </c>
      <c r="AD23" s="11">
        <v>46361</v>
      </c>
      <c r="AE23" s="10" t="s">
        <v>135</v>
      </c>
      <c r="AF23" s="13" t="str">
        <f t="shared" si="3"/>
        <v>OK</v>
      </c>
      <c r="AG23" s="10" t="s">
        <v>261</v>
      </c>
    </row>
    <row r="24" spans="1:33" ht="150" customHeight="1" x14ac:dyDescent="0.3">
      <c r="A24" s="10" t="s">
        <v>300</v>
      </c>
      <c r="B24" s="10" t="s">
        <v>301</v>
      </c>
      <c r="C24" s="11">
        <v>46282</v>
      </c>
      <c r="D24" s="10" t="s">
        <v>252</v>
      </c>
      <c r="E24" s="10" t="s">
        <v>302</v>
      </c>
      <c r="F24" s="10" t="s">
        <v>94</v>
      </c>
      <c r="G24" s="10" t="s">
        <v>303</v>
      </c>
      <c r="H24" s="10" t="s">
        <v>304</v>
      </c>
      <c r="I24" s="10" t="s">
        <v>305</v>
      </c>
      <c r="J24" s="10" t="s">
        <v>116</v>
      </c>
      <c r="K24" s="10" t="s">
        <v>306</v>
      </c>
      <c r="L24" s="10" t="s">
        <v>156</v>
      </c>
      <c r="M24" s="10" t="s">
        <v>130</v>
      </c>
      <c r="N24" s="10" t="s">
        <v>307</v>
      </c>
      <c r="O24" s="11">
        <v>46283</v>
      </c>
      <c r="P24" s="11">
        <v>46326</v>
      </c>
      <c r="Q24" s="12">
        <v>1</v>
      </c>
      <c r="R24" s="11">
        <v>46318</v>
      </c>
      <c r="S24" s="13" t="str">
        <f t="shared" si="0"/>
        <v>Concluída</v>
      </c>
      <c r="T24" s="14" t="str">
        <f t="shared" si="1"/>
        <v/>
      </c>
      <c r="U24" s="10" t="s">
        <v>94</v>
      </c>
      <c r="V24" s="10"/>
      <c r="W24" s="15">
        <v>350</v>
      </c>
      <c r="X24" s="15"/>
      <c r="Y24" s="16" t="str">
        <f t="shared" si="2"/>
        <v/>
      </c>
      <c r="Z24" s="10" t="s">
        <v>308</v>
      </c>
      <c r="AA24" s="17"/>
      <c r="AB24" s="10"/>
      <c r="AC24" s="10" t="s">
        <v>309</v>
      </c>
      <c r="AD24" s="11">
        <v>46346</v>
      </c>
      <c r="AE24" s="10" t="s">
        <v>135</v>
      </c>
      <c r="AF24" s="13" t="str">
        <f t="shared" si="3"/>
        <v>OK</v>
      </c>
      <c r="AG24" s="10" t="s">
        <v>261</v>
      </c>
    </row>
    <row r="25" spans="1:33" ht="150" customHeight="1" x14ac:dyDescent="0.3">
      <c r="A25" s="10" t="s">
        <v>310</v>
      </c>
      <c r="B25" s="10" t="s">
        <v>311</v>
      </c>
      <c r="C25" s="11">
        <v>46282</v>
      </c>
      <c r="D25" s="10" t="s">
        <v>252</v>
      </c>
      <c r="E25" s="10" t="s">
        <v>312</v>
      </c>
      <c r="F25" s="10" t="s">
        <v>94</v>
      </c>
      <c r="G25" s="10" t="s">
        <v>313</v>
      </c>
      <c r="H25" s="10" t="s">
        <v>314</v>
      </c>
      <c r="I25" s="10" t="s">
        <v>315</v>
      </c>
      <c r="J25" s="10" t="s">
        <v>98</v>
      </c>
      <c r="K25" s="10" t="s">
        <v>316</v>
      </c>
      <c r="L25" s="10" t="s">
        <v>156</v>
      </c>
      <c r="M25" s="10" t="s">
        <v>130</v>
      </c>
      <c r="N25" s="10" t="s">
        <v>131</v>
      </c>
      <c r="O25" s="11">
        <v>46285</v>
      </c>
      <c r="P25" s="11">
        <v>46371</v>
      </c>
      <c r="Q25" s="12">
        <v>1</v>
      </c>
      <c r="R25" s="11">
        <v>46367</v>
      </c>
      <c r="S25" s="13" t="str">
        <f t="shared" si="0"/>
        <v>Concluída</v>
      </c>
      <c r="T25" s="14" t="str">
        <f t="shared" si="1"/>
        <v/>
      </c>
      <c r="U25" s="10" t="s">
        <v>103</v>
      </c>
      <c r="V25" s="10" t="s">
        <v>317</v>
      </c>
      <c r="W25" s="15">
        <v>800</v>
      </c>
      <c r="X25" s="15"/>
      <c r="Y25" s="16" t="str">
        <f t="shared" si="2"/>
        <v/>
      </c>
      <c r="Z25" s="10" t="s">
        <v>318</v>
      </c>
      <c r="AA25" s="17"/>
      <c r="AB25" s="10"/>
      <c r="AC25" s="10" t="s">
        <v>319</v>
      </c>
      <c r="AD25" s="11">
        <v>46367</v>
      </c>
      <c r="AE25" s="10" t="s">
        <v>135</v>
      </c>
      <c r="AF25" s="13" t="str">
        <f t="shared" si="3"/>
        <v>OK</v>
      </c>
      <c r="AG25" s="10" t="s">
        <v>261</v>
      </c>
    </row>
    <row r="26" spans="1:33" ht="150" customHeight="1" x14ac:dyDescent="0.3">
      <c r="A26" s="10" t="s">
        <v>320</v>
      </c>
      <c r="B26" s="10" t="s">
        <v>321</v>
      </c>
      <c r="C26" s="11">
        <v>46287</v>
      </c>
      <c r="D26" s="10" t="s">
        <v>92</v>
      </c>
      <c r="E26" s="10" t="s">
        <v>322</v>
      </c>
      <c r="F26" s="10" t="s">
        <v>94</v>
      </c>
      <c r="G26" s="10" t="s">
        <v>323</v>
      </c>
      <c r="H26" s="10" t="s">
        <v>136</v>
      </c>
      <c r="I26" s="10" t="s">
        <v>136</v>
      </c>
      <c r="J26" s="10" t="s">
        <v>136</v>
      </c>
      <c r="K26" s="10" t="s">
        <v>324</v>
      </c>
      <c r="L26" s="10" t="s">
        <v>100</v>
      </c>
      <c r="M26" s="10" t="s">
        <v>235</v>
      </c>
      <c r="N26" s="10" t="s">
        <v>206</v>
      </c>
      <c r="O26" s="11">
        <v>46296</v>
      </c>
      <c r="P26" s="11">
        <v>46752</v>
      </c>
      <c r="Q26" s="12">
        <v>0.25</v>
      </c>
      <c r="R26" s="11"/>
      <c r="S26" s="13" t="str">
        <f t="shared" si="0"/>
        <v>Em curso</v>
      </c>
      <c r="T26" s="14">
        <f t="shared" si="1"/>
        <v>365</v>
      </c>
      <c r="U26" s="10" t="s">
        <v>103</v>
      </c>
      <c r="V26" s="10" t="s">
        <v>207</v>
      </c>
      <c r="W26" s="15">
        <v>42000</v>
      </c>
      <c r="X26" s="15"/>
      <c r="Y26" s="16" t="str">
        <f t="shared" si="2"/>
        <v/>
      </c>
      <c r="Z26" s="10" t="s">
        <v>325</v>
      </c>
      <c r="AA26" s="17">
        <v>12</v>
      </c>
      <c r="AB26" s="10" t="s">
        <v>326</v>
      </c>
      <c r="AC26" s="10" t="s">
        <v>327</v>
      </c>
      <c r="AD26" s="11">
        <v>46843</v>
      </c>
      <c r="AE26" s="10" t="s">
        <v>108</v>
      </c>
      <c r="AF26" s="13" t="str">
        <f t="shared" si="3"/>
        <v>OK</v>
      </c>
      <c r="AG26" s="10" t="s">
        <v>136</v>
      </c>
    </row>
    <row r="27" spans="1:33" ht="150" customHeight="1" x14ac:dyDescent="0.3">
      <c r="A27" s="10" t="s">
        <v>328</v>
      </c>
      <c r="B27" s="10" t="s">
        <v>329</v>
      </c>
      <c r="C27" s="11">
        <v>46287</v>
      </c>
      <c r="D27" s="10" t="s">
        <v>92</v>
      </c>
      <c r="E27" s="10" t="s">
        <v>322</v>
      </c>
      <c r="F27" s="10" t="s">
        <v>94</v>
      </c>
      <c r="G27" s="10" t="s">
        <v>330</v>
      </c>
      <c r="H27" s="10" t="s">
        <v>136</v>
      </c>
      <c r="I27" s="10" t="s">
        <v>136</v>
      </c>
      <c r="J27" s="10" t="s">
        <v>136</v>
      </c>
      <c r="K27" s="10" t="s">
        <v>331</v>
      </c>
      <c r="L27" s="10" t="s">
        <v>100</v>
      </c>
      <c r="M27" s="10" t="s">
        <v>235</v>
      </c>
      <c r="N27" s="10" t="s">
        <v>267</v>
      </c>
      <c r="O27" s="11">
        <v>46310</v>
      </c>
      <c r="P27" s="11">
        <v>46477</v>
      </c>
      <c r="Q27" s="12">
        <v>0.5</v>
      </c>
      <c r="R27" s="11"/>
      <c r="S27" s="13" t="str">
        <f t="shared" si="0"/>
        <v>Em curso</v>
      </c>
      <c r="T27" s="14">
        <f t="shared" si="1"/>
        <v>90</v>
      </c>
      <c r="U27" s="10" t="s">
        <v>103</v>
      </c>
      <c r="V27" s="10" t="s">
        <v>207</v>
      </c>
      <c r="W27" s="15">
        <v>6000</v>
      </c>
      <c r="X27" s="15"/>
      <c r="Y27" s="16" t="str">
        <f t="shared" si="2"/>
        <v/>
      </c>
      <c r="Z27" s="10" t="s">
        <v>332</v>
      </c>
      <c r="AA27" s="17">
        <v>7</v>
      </c>
      <c r="AB27" s="10" t="s">
        <v>326</v>
      </c>
      <c r="AC27" s="10" t="s">
        <v>333</v>
      </c>
      <c r="AD27" s="11">
        <v>46507</v>
      </c>
      <c r="AE27" s="10" t="s">
        <v>108</v>
      </c>
      <c r="AF27" s="13" t="str">
        <f t="shared" si="3"/>
        <v>OK</v>
      </c>
      <c r="AG27" s="10" t="s">
        <v>136</v>
      </c>
    </row>
    <row r="28" spans="1:33" ht="150" customHeight="1" x14ac:dyDescent="0.3">
      <c r="A28" s="10" t="s">
        <v>334</v>
      </c>
      <c r="B28" s="10" t="s">
        <v>335</v>
      </c>
      <c r="C28" s="11">
        <v>46287</v>
      </c>
      <c r="D28" s="10" t="s">
        <v>92</v>
      </c>
      <c r="E28" s="10" t="s">
        <v>322</v>
      </c>
      <c r="F28" s="10" t="s">
        <v>94</v>
      </c>
      <c r="G28" s="10" t="s">
        <v>336</v>
      </c>
      <c r="H28" s="10" t="s">
        <v>136</v>
      </c>
      <c r="I28" s="10" t="s">
        <v>136</v>
      </c>
      <c r="J28" s="10" t="s">
        <v>136</v>
      </c>
      <c r="K28" s="10" t="s">
        <v>337</v>
      </c>
      <c r="L28" s="10" t="s">
        <v>100</v>
      </c>
      <c r="M28" s="10" t="s">
        <v>235</v>
      </c>
      <c r="N28" s="10" t="s">
        <v>206</v>
      </c>
      <c r="O28" s="11">
        <v>46327</v>
      </c>
      <c r="P28" s="11">
        <v>46934</v>
      </c>
      <c r="Q28" s="12">
        <v>0.25</v>
      </c>
      <c r="R28" s="11"/>
      <c r="S28" s="13" t="str">
        <f t="shared" si="0"/>
        <v>Em curso</v>
      </c>
      <c r="T28" s="14">
        <f t="shared" si="1"/>
        <v>547</v>
      </c>
      <c r="U28" s="10" t="s">
        <v>103</v>
      </c>
      <c r="V28" s="10" t="s">
        <v>207</v>
      </c>
      <c r="W28" s="15">
        <v>37000</v>
      </c>
      <c r="X28" s="15"/>
      <c r="Y28" s="16" t="str">
        <f t="shared" si="2"/>
        <v/>
      </c>
      <c r="Z28" s="10" t="s">
        <v>338</v>
      </c>
      <c r="AA28" s="17">
        <v>17</v>
      </c>
      <c r="AB28" s="10" t="s">
        <v>326</v>
      </c>
      <c r="AC28" s="10" t="s">
        <v>339</v>
      </c>
      <c r="AD28" s="11">
        <v>46783</v>
      </c>
      <c r="AE28" s="10" t="s">
        <v>108</v>
      </c>
      <c r="AF28" s="13" t="str">
        <f t="shared" si="3"/>
        <v>OK</v>
      </c>
      <c r="AG28" s="10" t="s">
        <v>136</v>
      </c>
    </row>
    <row r="29" spans="1:33" ht="150" customHeight="1" x14ac:dyDescent="0.3">
      <c r="A29" s="10" t="s">
        <v>340</v>
      </c>
      <c r="B29" s="10" t="s">
        <v>341</v>
      </c>
      <c r="C29" s="11">
        <v>46287</v>
      </c>
      <c r="D29" s="10" t="s">
        <v>112</v>
      </c>
      <c r="E29" s="10" t="s">
        <v>264</v>
      </c>
      <c r="F29" s="10" t="s">
        <v>94</v>
      </c>
      <c r="G29" s="10" t="s">
        <v>342</v>
      </c>
      <c r="H29" s="10" t="s">
        <v>343</v>
      </c>
      <c r="I29" s="10" t="s">
        <v>344</v>
      </c>
      <c r="J29" s="10" t="s">
        <v>98</v>
      </c>
      <c r="K29" s="10" t="s">
        <v>345</v>
      </c>
      <c r="L29" s="10" t="s">
        <v>156</v>
      </c>
      <c r="M29" s="10" t="s">
        <v>130</v>
      </c>
      <c r="N29" s="10" t="s">
        <v>267</v>
      </c>
      <c r="O29" s="11">
        <v>46288</v>
      </c>
      <c r="P29" s="11">
        <v>46387</v>
      </c>
      <c r="Q29" s="12">
        <v>1</v>
      </c>
      <c r="R29" s="11">
        <v>46374</v>
      </c>
      <c r="S29" s="13" t="str">
        <f t="shared" si="0"/>
        <v>Concluída</v>
      </c>
      <c r="T29" s="14" t="str">
        <f t="shared" si="1"/>
        <v/>
      </c>
      <c r="U29" s="10" t="s">
        <v>103</v>
      </c>
      <c r="V29" s="10" t="s">
        <v>264</v>
      </c>
      <c r="W29" s="15">
        <v>1500</v>
      </c>
      <c r="X29" s="15"/>
      <c r="Y29" s="16" t="str">
        <f t="shared" si="2"/>
        <v/>
      </c>
      <c r="Z29" s="10" t="s">
        <v>346</v>
      </c>
      <c r="AA29" s="17">
        <v>3</v>
      </c>
      <c r="AB29" s="10" t="s">
        <v>347</v>
      </c>
      <c r="AC29" s="10" t="s">
        <v>348</v>
      </c>
      <c r="AD29" s="11">
        <v>46568</v>
      </c>
      <c r="AE29" s="10" t="s">
        <v>108</v>
      </c>
      <c r="AF29" s="13" t="str">
        <f t="shared" si="3"/>
        <v>OK</v>
      </c>
      <c r="AG29" s="10" t="s">
        <v>136</v>
      </c>
    </row>
    <row r="30" spans="1:33" ht="150" customHeight="1" x14ac:dyDescent="0.3">
      <c r="A30" s="10" t="s">
        <v>349</v>
      </c>
      <c r="B30" s="10" t="s">
        <v>350</v>
      </c>
      <c r="C30" s="11">
        <v>46287</v>
      </c>
      <c r="D30" s="10" t="s">
        <v>123</v>
      </c>
      <c r="E30" s="10" t="s">
        <v>351</v>
      </c>
      <c r="F30" s="10" t="s">
        <v>94</v>
      </c>
      <c r="G30" s="10" t="s">
        <v>352</v>
      </c>
      <c r="H30" s="10" t="s">
        <v>136</v>
      </c>
      <c r="I30" s="10" t="s">
        <v>136</v>
      </c>
      <c r="J30" s="10" t="s">
        <v>136</v>
      </c>
      <c r="K30" s="10" t="s">
        <v>353</v>
      </c>
      <c r="L30" s="10" t="s">
        <v>100</v>
      </c>
      <c r="M30" s="10" t="s">
        <v>130</v>
      </c>
      <c r="N30" s="10" t="s">
        <v>206</v>
      </c>
      <c r="O30" s="11">
        <v>46288</v>
      </c>
      <c r="P30" s="11">
        <v>46356</v>
      </c>
      <c r="Q30" s="12">
        <v>1</v>
      </c>
      <c r="R30" s="11">
        <v>46360</v>
      </c>
      <c r="S30" s="13" t="str">
        <f t="shared" si="0"/>
        <v>Concluída com atraso</v>
      </c>
      <c r="T30" s="14" t="str">
        <f t="shared" si="1"/>
        <v/>
      </c>
      <c r="U30" s="10" t="s">
        <v>103</v>
      </c>
      <c r="V30" s="10" t="s">
        <v>207</v>
      </c>
      <c r="W30" s="15">
        <v>1000</v>
      </c>
      <c r="X30" s="15"/>
      <c r="Y30" s="16" t="str">
        <f t="shared" si="2"/>
        <v/>
      </c>
      <c r="Z30" s="10" t="s">
        <v>354</v>
      </c>
      <c r="AA30" s="17">
        <v>3</v>
      </c>
      <c r="AB30" s="10" t="s">
        <v>355</v>
      </c>
      <c r="AC30" s="10" t="s">
        <v>356</v>
      </c>
      <c r="AD30" s="11">
        <v>46371</v>
      </c>
      <c r="AE30" s="10" t="s">
        <v>108</v>
      </c>
      <c r="AF30" s="13" t="str">
        <f t="shared" si="3"/>
        <v>OK</v>
      </c>
      <c r="AG30" s="10" t="s">
        <v>136</v>
      </c>
    </row>
    <row r="31" spans="1:33" ht="150" customHeight="1" x14ac:dyDescent="0.3">
      <c r="A31" s="10" t="s">
        <v>357</v>
      </c>
      <c r="B31" s="10" t="s">
        <v>358</v>
      </c>
      <c r="C31" s="11">
        <v>46287</v>
      </c>
      <c r="D31" s="10" t="s">
        <v>123</v>
      </c>
      <c r="E31" s="10" t="s">
        <v>359</v>
      </c>
      <c r="F31" s="10" t="s">
        <v>94</v>
      </c>
      <c r="G31" s="10" t="s">
        <v>360</v>
      </c>
      <c r="H31" s="10" t="s">
        <v>361</v>
      </c>
      <c r="I31" s="10" t="s">
        <v>362</v>
      </c>
      <c r="J31" s="10" t="s">
        <v>98</v>
      </c>
      <c r="K31" s="10" t="s">
        <v>363</v>
      </c>
      <c r="L31" s="10" t="s">
        <v>129</v>
      </c>
      <c r="M31" s="10" t="s">
        <v>364</v>
      </c>
      <c r="N31" s="10" t="s">
        <v>365</v>
      </c>
      <c r="O31" s="11">
        <v>46288</v>
      </c>
      <c r="P31" s="11">
        <v>46292</v>
      </c>
      <c r="Q31" s="12">
        <v>1</v>
      </c>
      <c r="R31" s="11">
        <v>46294</v>
      </c>
      <c r="S31" s="13" t="str">
        <f t="shared" si="0"/>
        <v>Concluída com atraso</v>
      </c>
      <c r="T31" s="14" t="str">
        <f t="shared" si="1"/>
        <v/>
      </c>
      <c r="U31" s="10" t="s">
        <v>103</v>
      </c>
      <c r="V31" s="10" t="s">
        <v>207</v>
      </c>
      <c r="W31" s="15">
        <v>500</v>
      </c>
      <c r="X31" s="15"/>
      <c r="Y31" s="16" t="str">
        <f t="shared" si="2"/>
        <v/>
      </c>
      <c r="Z31" s="10" t="s">
        <v>366</v>
      </c>
      <c r="AA31" s="17">
        <v>4</v>
      </c>
      <c r="AB31" s="10" t="s">
        <v>367</v>
      </c>
      <c r="AC31" s="10" t="s">
        <v>368</v>
      </c>
      <c r="AD31" s="11">
        <v>46356</v>
      </c>
      <c r="AE31" s="10" t="s">
        <v>135</v>
      </c>
      <c r="AF31" s="13" t="str">
        <f t="shared" si="3"/>
        <v>OK</v>
      </c>
      <c r="AG31" s="10" t="s">
        <v>136</v>
      </c>
    </row>
    <row r="32" spans="1:33" ht="150" customHeight="1" x14ac:dyDescent="0.3">
      <c r="A32" s="10" t="s">
        <v>369</v>
      </c>
      <c r="B32" s="10" t="s">
        <v>370</v>
      </c>
      <c r="C32" s="11">
        <v>46289</v>
      </c>
      <c r="D32" s="10" t="s">
        <v>123</v>
      </c>
      <c r="E32" s="10" t="s">
        <v>371</v>
      </c>
      <c r="F32" s="10" t="s">
        <v>94</v>
      </c>
      <c r="G32" s="10" t="s">
        <v>372</v>
      </c>
      <c r="H32" s="10" t="s">
        <v>373</v>
      </c>
      <c r="I32" s="10" t="s">
        <v>374</v>
      </c>
      <c r="J32" s="10" t="s">
        <v>98</v>
      </c>
      <c r="K32" s="10" t="s">
        <v>375</v>
      </c>
      <c r="L32" s="10" t="s">
        <v>156</v>
      </c>
      <c r="M32" s="10" t="s">
        <v>130</v>
      </c>
      <c r="N32" s="10" t="s">
        <v>267</v>
      </c>
      <c r="O32" s="11">
        <v>46289</v>
      </c>
      <c r="P32" s="11">
        <v>46356</v>
      </c>
      <c r="Q32" s="12">
        <v>0.75</v>
      </c>
      <c r="R32" s="11"/>
      <c r="S32" s="13" t="str">
        <f t="shared" si="0"/>
        <v>Atrasada</v>
      </c>
      <c r="T32" s="14">
        <f t="shared" si="1"/>
        <v>-31</v>
      </c>
      <c r="U32" s="10" t="s">
        <v>103</v>
      </c>
      <c r="V32" s="10" t="s">
        <v>264</v>
      </c>
      <c r="W32" s="15">
        <v>800</v>
      </c>
      <c r="X32" s="15"/>
      <c r="Y32" s="16" t="str">
        <f t="shared" si="2"/>
        <v/>
      </c>
      <c r="Z32" s="10" t="s">
        <v>376</v>
      </c>
      <c r="AA32" s="17">
        <v>2</v>
      </c>
      <c r="AB32" s="10" t="s">
        <v>269</v>
      </c>
      <c r="AC32" s="10" t="s">
        <v>377</v>
      </c>
      <c r="AD32" s="11">
        <v>46402</v>
      </c>
      <c r="AE32" s="10" t="s">
        <v>108</v>
      </c>
      <c r="AF32" s="13" t="str">
        <f t="shared" si="3"/>
        <v>OK</v>
      </c>
      <c r="AG32" s="10" t="s">
        <v>136</v>
      </c>
    </row>
    <row r="33" spans="1:33" ht="150" customHeight="1" x14ac:dyDescent="0.3">
      <c r="A33" s="10" t="s">
        <v>378</v>
      </c>
      <c r="B33" s="10" t="s">
        <v>379</v>
      </c>
      <c r="C33" s="11">
        <v>46289</v>
      </c>
      <c r="D33" s="10" t="s">
        <v>123</v>
      </c>
      <c r="E33" s="10" t="s">
        <v>371</v>
      </c>
      <c r="F33" s="10" t="s">
        <v>94</v>
      </c>
      <c r="G33" s="10" t="s">
        <v>380</v>
      </c>
      <c r="H33" s="10" t="s">
        <v>381</v>
      </c>
      <c r="I33" s="10" t="s">
        <v>382</v>
      </c>
      <c r="J33" s="10" t="s">
        <v>257</v>
      </c>
      <c r="K33" s="10" t="s">
        <v>383</v>
      </c>
      <c r="L33" s="10" t="s">
        <v>156</v>
      </c>
      <c r="M33" s="10" t="s">
        <v>235</v>
      </c>
      <c r="N33" s="10" t="s">
        <v>206</v>
      </c>
      <c r="O33" s="11">
        <v>46289</v>
      </c>
      <c r="P33" s="11">
        <v>46387</v>
      </c>
      <c r="Q33" s="12">
        <v>0.5</v>
      </c>
      <c r="R33" s="11"/>
      <c r="S33" s="13" t="str">
        <f t="shared" si="0"/>
        <v>Em curso</v>
      </c>
      <c r="T33" s="14">
        <f t="shared" si="1"/>
        <v>0</v>
      </c>
      <c r="U33" s="10" t="s">
        <v>103</v>
      </c>
      <c r="V33" s="10" t="s">
        <v>146</v>
      </c>
      <c r="W33" s="15">
        <v>3000</v>
      </c>
      <c r="X33" s="15"/>
      <c r="Y33" s="16" t="str">
        <f t="shared" si="2"/>
        <v/>
      </c>
      <c r="Z33" s="10" t="s">
        <v>384</v>
      </c>
      <c r="AA33" s="17">
        <v>1</v>
      </c>
      <c r="AB33" s="10" t="s">
        <v>385</v>
      </c>
      <c r="AC33" s="10" t="s">
        <v>386</v>
      </c>
      <c r="AD33" s="11">
        <v>46418</v>
      </c>
      <c r="AE33" s="10" t="s">
        <v>108</v>
      </c>
      <c r="AF33" s="13" t="str">
        <f t="shared" si="3"/>
        <v>OK</v>
      </c>
      <c r="AG33" s="10" t="s">
        <v>136</v>
      </c>
    </row>
    <row r="34" spans="1:33" ht="150" customHeight="1" x14ac:dyDescent="0.3">
      <c r="A34" s="10" t="s">
        <v>387</v>
      </c>
      <c r="B34" s="10" t="s">
        <v>388</v>
      </c>
      <c r="C34" s="11">
        <v>46289</v>
      </c>
      <c r="D34" s="10" t="s">
        <v>123</v>
      </c>
      <c r="E34" s="10" t="s">
        <v>371</v>
      </c>
      <c r="F34" s="10" t="s">
        <v>94</v>
      </c>
      <c r="G34" s="10" t="s">
        <v>389</v>
      </c>
      <c r="H34" s="10" t="s">
        <v>136</v>
      </c>
      <c r="I34" s="10" t="s">
        <v>136</v>
      </c>
      <c r="J34" s="10" t="s">
        <v>136</v>
      </c>
      <c r="K34" s="10" t="s">
        <v>390</v>
      </c>
      <c r="L34" s="10" t="s">
        <v>156</v>
      </c>
      <c r="M34" s="10" t="s">
        <v>235</v>
      </c>
      <c r="N34" s="10" t="s">
        <v>102</v>
      </c>
      <c r="O34" s="11">
        <v>46289</v>
      </c>
      <c r="P34" s="11">
        <v>46371</v>
      </c>
      <c r="Q34" s="12">
        <v>1</v>
      </c>
      <c r="R34" s="11">
        <v>46366</v>
      </c>
      <c r="S34" s="13" t="str">
        <f t="shared" si="0"/>
        <v>Concluída</v>
      </c>
      <c r="T34" s="14" t="str">
        <f t="shared" si="1"/>
        <v/>
      </c>
      <c r="U34" s="10" t="s">
        <v>103</v>
      </c>
      <c r="V34" s="10" t="s">
        <v>146</v>
      </c>
      <c r="W34" s="15">
        <v>600</v>
      </c>
      <c r="X34" s="15"/>
      <c r="Y34" s="16" t="str">
        <f t="shared" si="2"/>
        <v/>
      </c>
      <c r="Z34" s="10" t="s">
        <v>391</v>
      </c>
      <c r="AA34" s="17">
        <v>1</v>
      </c>
      <c r="AB34" s="10" t="s">
        <v>385</v>
      </c>
      <c r="AC34" s="10" t="s">
        <v>392</v>
      </c>
      <c r="AD34" s="11">
        <v>46402</v>
      </c>
      <c r="AE34" s="10" t="s">
        <v>108</v>
      </c>
      <c r="AF34" s="13" t="str">
        <f t="shared" si="3"/>
        <v>OK</v>
      </c>
      <c r="AG34" s="10" t="s">
        <v>136</v>
      </c>
    </row>
    <row r="35" spans="1:33" ht="150" customHeight="1" x14ac:dyDescent="0.3">
      <c r="A35" s="10" t="s">
        <v>393</v>
      </c>
      <c r="B35" s="10" t="s">
        <v>394</v>
      </c>
      <c r="C35" s="11">
        <v>46289</v>
      </c>
      <c r="D35" s="10" t="s">
        <v>123</v>
      </c>
      <c r="E35" s="10" t="s">
        <v>371</v>
      </c>
      <c r="F35" s="10" t="s">
        <v>94</v>
      </c>
      <c r="G35" s="10" t="s">
        <v>395</v>
      </c>
      <c r="H35" s="10" t="s">
        <v>396</v>
      </c>
      <c r="I35" s="10" t="s">
        <v>397</v>
      </c>
      <c r="J35" s="10" t="s">
        <v>98</v>
      </c>
      <c r="K35" s="10" t="s">
        <v>398</v>
      </c>
      <c r="L35" s="10" t="s">
        <v>156</v>
      </c>
      <c r="M35" s="10" t="s">
        <v>101</v>
      </c>
      <c r="N35" s="10" t="s">
        <v>168</v>
      </c>
      <c r="O35" s="11">
        <v>46289</v>
      </c>
      <c r="P35" s="11">
        <v>46387</v>
      </c>
      <c r="Q35" s="12">
        <v>1</v>
      </c>
      <c r="R35" s="11">
        <v>46373</v>
      </c>
      <c r="S35" s="13" t="str">
        <f t="shared" si="0"/>
        <v>Concluída</v>
      </c>
      <c r="T35" s="14" t="str">
        <f t="shared" si="1"/>
        <v/>
      </c>
      <c r="U35" s="10" t="s">
        <v>103</v>
      </c>
      <c r="V35" s="10" t="s">
        <v>146</v>
      </c>
      <c r="W35" s="15">
        <v>9500</v>
      </c>
      <c r="X35" s="15"/>
      <c r="Y35" s="16" t="str">
        <f t="shared" si="2"/>
        <v/>
      </c>
      <c r="Z35" s="10" t="s">
        <v>399</v>
      </c>
      <c r="AA35" s="17"/>
      <c r="AB35" s="10"/>
      <c r="AC35" s="10" t="s">
        <v>400</v>
      </c>
      <c r="AD35" s="11">
        <v>46418</v>
      </c>
      <c r="AE35" s="10" t="s">
        <v>108</v>
      </c>
      <c r="AF35" s="13" t="str">
        <f t="shared" si="3"/>
        <v>OK</v>
      </c>
      <c r="AG35" s="10" t="s">
        <v>136</v>
      </c>
    </row>
    <row r="36" spans="1:33" ht="150" customHeight="1" x14ac:dyDescent="0.3">
      <c r="A36" s="10" t="s">
        <v>401</v>
      </c>
      <c r="B36" s="10" t="s">
        <v>402</v>
      </c>
      <c r="C36" s="11">
        <v>46289</v>
      </c>
      <c r="D36" s="10" t="s">
        <v>123</v>
      </c>
      <c r="E36" s="10" t="s">
        <v>371</v>
      </c>
      <c r="F36" s="10" t="s">
        <v>94</v>
      </c>
      <c r="G36" s="10" t="s">
        <v>403</v>
      </c>
      <c r="H36" s="10" t="s">
        <v>404</v>
      </c>
      <c r="I36" s="10" t="s">
        <v>405</v>
      </c>
      <c r="J36" s="10" t="s">
        <v>406</v>
      </c>
      <c r="K36" s="10" t="s">
        <v>407</v>
      </c>
      <c r="L36" s="10" t="s">
        <v>156</v>
      </c>
      <c r="M36" s="10" t="s">
        <v>130</v>
      </c>
      <c r="N36" s="10" t="s">
        <v>408</v>
      </c>
      <c r="O36" s="11">
        <v>46289</v>
      </c>
      <c r="P36" s="11">
        <v>46326</v>
      </c>
      <c r="Q36" s="12">
        <v>1</v>
      </c>
      <c r="R36" s="11">
        <v>46322</v>
      </c>
      <c r="S36" s="13" t="str">
        <f t="shared" si="0"/>
        <v>Concluída</v>
      </c>
      <c r="T36" s="14" t="str">
        <f t="shared" si="1"/>
        <v/>
      </c>
      <c r="U36" s="10" t="s">
        <v>94</v>
      </c>
      <c r="V36" s="10"/>
      <c r="W36" s="15">
        <v>900</v>
      </c>
      <c r="X36" s="15"/>
      <c r="Y36" s="16" t="str">
        <f t="shared" si="2"/>
        <v/>
      </c>
      <c r="Z36" s="10" t="s">
        <v>409</v>
      </c>
      <c r="AA36" s="17">
        <v>5</v>
      </c>
      <c r="AB36" s="10" t="s">
        <v>410</v>
      </c>
      <c r="AC36" s="10" t="s">
        <v>411</v>
      </c>
      <c r="AD36" s="11">
        <v>46371</v>
      </c>
      <c r="AE36" s="10" t="s">
        <v>135</v>
      </c>
      <c r="AF36" s="13" t="str">
        <f t="shared" si="3"/>
        <v>OK</v>
      </c>
      <c r="AG36" s="10" t="s">
        <v>136</v>
      </c>
    </row>
    <row r="37" spans="1:33" ht="150" customHeight="1" x14ac:dyDescent="0.3">
      <c r="A37" s="10" t="s">
        <v>412</v>
      </c>
      <c r="B37" s="10" t="s">
        <v>413</v>
      </c>
      <c r="C37" s="11">
        <v>46289</v>
      </c>
      <c r="D37" s="10" t="s">
        <v>123</v>
      </c>
      <c r="E37" s="10" t="s">
        <v>371</v>
      </c>
      <c r="F37" s="10" t="s">
        <v>94</v>
      </c>
      <c r="G37" s="10" t="s">
        <v>414</v>
      </c>
      <c r="H37" s="10" t="s">
        <v>415</v>
      </c>
      <c r="I37" s="10" t="s">
        <v>416</v>
      </c>
      <c r="J37" s="10" t="s">
        <v>98</v>
      </c>
      <c r="K37" s="10" t="s">
        <v>417</v>
      </c>
      <c r="L37" s="10" t="s">
        <v>156</v>
      </c>
      <c r="M37" s="10" t="s">
        <v>101</v>
      </c>
      <c r="N37" s="10" t="s">
        <v>102</v>
      </c>
      <c r="O37" s="11">
        <v>46289</v>
      </c>
      <c r="P37" s="11">
        <v>46326</v>
      </c>
      <c r="Q37" s="12">
        <v>1</v>
      </c>
      <c r="R37" s="11">
        <v>46325</v>
      </c>
      <c r="S37" s="13" t="str">
        <f t="shared" si="0"/>
        <v>Concluída</v>
      </c>
      <c r="T37" s="14" t="str">
        <f t="shared" si="1"/>
        <v/>
      </c>
      <c r="U37" s="10" t="s">
        <v>103</v>
      </c>
      <c r="V37" s="10" t="s">
        <v>146</v>
      </c>
      <c r="W37" s="15">
        <v>900</v>
      </c>
      <c r="X37" s="15"/>
      <c r="Y37" s="16" t="str">
        <f t="shared" si="2"/>
        <v/>
      </c>
      <c r="Z37" s="10" t="s">
        <v>418</v>
      </c>
      <c r="AA37" s="17">
        <v>6</v>
      </c>
      <c r="AB37" s="10" t="s">
        <v>419</v>
      </c>
      <c r="AC37" s="10" t="s">
        <v>420</v>
      </c>
      <c r="AD37" s="11">
        <v>46371</v>
      </c>
      <c r="AE37" s="10" t="s">
        <v>108</v>
      </c>
      <c r="AF37" s="13" t="str">
        <f t="shared" si="3"/>
        <v>Avaliar eficácia</v>
      </c>
      <c r="AG37" s="10" t="s">
        <v>136</v>
      </c>
    </row>
    <row r="38" spans="1:33" ht="150" customHeight="1" x14ac:dyDescent="0.3">
      <c r="A38" s="10" t="s">
        <v>421</v>
      </c>
      <c r="B38" s="10" t="s">
        <v>422</v>
      </c>
      <c r="C38" s="11">
        <v>46289</v>
      </c>
      <c r="D38" s="10" t="s">
        <v>123</v>
      </c>
      <c r="E38" s="10" t="s">
        <v>371</v>
      </c>
      <c r="F38" s="10" t="s">
        <v>94</v>
      </c>
      <c r="G38" s="10" t="s">
        <v>423</v>
      </c>
      <c r="H38" s="10" t="s">
        <v>424</v>
      </c>
      <c r="I38" s="10" t="s">
        <v>425</v>
      </c>
      <c r="J38" s="10" t="s">
        <v>98</v>
      </c>
      <c r="K38" s="10" t="s">
        <v>426</v>
      </c>
      <c r="L38" s="10" t="s">
        <v>156</v>
      </c>
      <c r="M38" s="10" t="s">
        <v>130</v>
      </c>
      <c r="N38" s="10" t="s">
        <v>267</v>
      </c>
      <c r="O38" s="11">
        <v>46289</v>
      </c>
      <c r="P38" s="11">
        <v>46356</v>
      </c>
      <c r="Q38" s="12">
        <v>1</v>
      </c>
      <c r="R38" s="11">
        <v>46353</v>
      </c>
      <c r="S38" s="13" t="str">
        <f t="shared" si="0"/>
        <v>Concluída</v>
      </c>
      <c r="T38" s="14" t="str">
        <f t="shared" si="1"/>
        <v/>
      </c>
      <c r="U38" s="10" t="s">
        <v>94</v>
      </c>
      <c r="V38" s="10"/>
      <c r="W38" s="15">
        <v>0</v>
      </c>
      <c r="X38" s="15"/>
      <c r="Y38" s="16" t="str">
        <f t="shared" si="2"/>
        <v/>
      </c>
      <c r="Z38" s="10" t="s">
        <v>427</v>
      </c>
      <c r="AA38" s="17">
        <v>13</v>
      </c>
      <c r="AB38" s="10" t="s">
        <v>428</v>
      </c>
      <c r="AC38" s="10" t="s">
        <v>429</v>
      </c>
      <c r="AD38" s="11">
        <v>46402</v>
      </c>
      <c r="AE38" s="10" t="s">
        <v>108</v>
      </c>
      <c r="AF38" s="13" t="str">
        <f t="shared" si="3"/>
        <v>OK</v>
      </c>
      <c r="AG38" s="10" t="s">
        <v>136</v>
      </c>
    </row>
    <row r="39" spans="1:33" ht="150" customHeight="1" x14ac:dyDescent="0.3">
      <c r="A39" s="10" t="s">
        <v>430</v>
      </c>
      <c r="B39" s="10" t="s">
        <v>431</v>
      </c>
      <c r="C39" s="11">
        <v>46289</v>
      </c>
      <c r="D39" s="10" t="s">
        <v>123</v>
      </c>
      <c r="E39" s="10" t="s">
        <v>432</v>
      </c>
      <c r="F39" s="10" t="s">
        <v>94</v>
      </c>
      <c r="G39" s="10" t="s">
        <v>433</v>
      </c>
      <c r="H39" s="10" t="s">
        <v>136</v>
      </c>
      <c r="I39" s="10" t="s">
        <v>136</v>
      </c>
      <c r="J39" s="10" t="s">
        <v>136</v>
      </c>
      <c r="K39" s="10" t="s">
        <v>434</v>
      </c>
      <c r="L39" s="10" t="s">
        <v>156</v>
      </c>
      <c r="M39" s="10" t="s">
        <v>130</v>
      </c>
      <c r="N39" s="10" t="s">
        <v>131</v>
      </c>
      <c r="O39" s="11">
        <v>46289</v>
      </c>
      <c r="P39" s="11">
        <v>46356</v>
      </c>
      <c r="Q39" s="12">
        <v>0.75</v>
      </c>
      <c r="R39" s="11"/>
      <c r="S39" s="13" t="str">
        <f t="shared" si="0"/>
        <v>Atrasada</v>
      </c>
      <c r="T39" s="14">
        <f t="shared" si="1"/>
        <v>-31</v>
      </c>
      <c r="U39" s="10" t="s">
        <v>103</v>
      </c>
      <c r="V39" s="10" t="s">
        <v>146</v>
      </c>
      <c r="W39" s="15">
        <v>2500</v>
      </c>
      <c r="X39" s="15"/>
      <c r="Y39" s="16" t="str">
        <f t="shared" si="2"/>
        <v/>
      </c>
      <c r="Z39" s="10" t="s">
        <v>435</v>
      </c>
      <c r="AA39" s="17">
        <v>7</v>
      </c>
      <c r="AB39" s="10" t="s">
        <v>436</v>
      </c>
      <c r="AC39" s="10" t="s">
        <v>437</v>
      </c>
      <c r="AD39" s="11">
        <v>46402</v>
      </c>
      <c r="AE39" s="10" t="s">
        <v>108</v>
      </c>
      <c r="AF39" s="13" t="str">
        <f t="shared" si="3"/>
        <v>OK</v>
      </c>
      <c r="AG39" s="10" t="s">
        <v>136</v>
      </c>
    </row>
    <row r="40" spans="1:33" ht="150" customHeight="1" x14ac:dyDescent="0.3">
      <c r="A40" s="10" t="s">
        <v>438</v>
      </c>
      <c r="B40" s="10" t="s">
        <v>439</v>
      </c>
      <c r="C40" s="11">
        <v>46371</v>
      </c>
      <c r="D40" s="10" t="s">
        <v>112</v>
      </c>
      <c r="E40" s="10" t="s">
        <v>440</v>
      </c>
      <c r="F40" s="10" t="s">
        <v>94</v>
      </c>
      <c r="G40" s="10" t="s">
        <v>441</v>
      </c>
      <c r="H40" s="10" t="s">
        <v>136</v>
      </c>
      <c r="I40" s="10" t="s">
        <v>136</v>
      </c>
      <c r="J40" s="10" t="s">
        <v>136</v>
      </c>
      <c r="K40" s="10" t="s">
        <v>442</v>
      </c>
      <c r="L40" s="10" t="s">
        <v>156</v>
      </c>
      <c r="M40" s="10" t="s">
        <v>130</v>
      </c>
      <c r="N40" s="10" t="s">
        <v>131</v>
      </c>
      <c r="O40" s="11">
        <v>46371</v>
      </c>
      <c r="P40" s="11">
        <v>46444</v>
      </c>
      <c r="Q40" s="12">
        <v>0.25</v>
      </c>
      <c r="R40" s="11"/>
      <c r="S40" s="13" t="str">
        <f t="shared" si="0"/>
        <v>Em curso</v>
      </c>
      <c r="T40" s="14">
        <f t="shared" si="1"/>
        <v>57</v>
      </c>
      <c r="U40" s="10" t="s">
        <v>103</v>
      </c>
      <c r="V40" s="10"/>
      <c r="W40" s="15">
        <v>1500</v>
      </c>
      <c r="X40" s="15"/>
      <c r="Y40" s="16" t="str">
        <f t="shared" si="2"/>
        <v/>
      </c>
      <c r="Z40" s="10" t="s">
        <v>443</v>
      </c>
      <c r="AA40" s="17"/>
      <c r="AB40" s="10"/>
      <c r="AC40" s="10" t="s">
        <v>444</v>
      </c>
      <c r="AD40" s="11">
        <v>46477</v>
      </c>
      <c r="AE40" s="10" t="s">
        <v>108</v>
      </c>
      <c r="AF40" s="13" t="str">
        <f t="shared" si="3"/>
        <v>OK</v>
      </c>
      <c r="AG40" s="10" t="s">
        <v>136</v>
      </c>
    </row>
    <row r="41" spans="1:33" ht="150" customHeight="1" x14ac:dyDescent="0.3">
      <c r="A41" s="10" t="s">
        <v>445</v>
      </c>
      <c r="B41" s="10" t="s">
        <v>446</v>
      </c>
      <c r="C41" s="11">
        <v>46371</v>
      </c>
      <c r="D41" s="10" t="s">
        <v>112</v>
      </c>
      <c r="E41" s="10" t="s">
        <v>447</v>
      </c>
      <c r="F41" s="10" t="s">
        <v>94</v>
      </c>
      <c r="G41" s="10" t="s">
        <v>448</v>
      </c>
      <c r="H41" s="10" t="s">
        <v>136</v>
      </c>
      <c r="I41" s="10" t="s">
        <v>136</v>
      </c>
      <c r="J41" s="10" t="s">
        <v>136</v>
      </c>
      <c r="K41" s="10" t="s">
        <v>449</v>
      </c>
      <c r="L41" s="10" t="s">
        <v>100</v>
      </c>
      <c r="M41" s="10" t="s">
        <v>130</v>
      </c>
      <c r="N41" s="10" t="s">
        <v>450</v>
      </c>
      <c r="O41" s="11">
        <v>46371</v>
      </c>
      <c r="P41" s="11">
        <v>46444</v>
      </c>
      <c r="Q41" s="12">
        <v>0.25</v>
      </c>
      <c r="R41" s="11"/>
      <c r="S41" s="13" t="str">
        <f t="shared" si="0"/>
        <v>Em curso</v>
      </c>
      <c r="T41" s="14">
        <f t="shared" si="1"/>
        <v>57</v>
      </c>
      <c r="U41" s="10" t="s">
        <v>103</v>
      </c>
      <c r="V41" s="10"/>
      <c r="W41" s="15">
        <v>0</v>
      </c>
      <c r="X41" s="15"/>
      <c r="Y41" s="16" t="str">
        <f t="shared" si="2"/>
        <v/>
      </c>
      <c r="Z41" s="10" t="s">
        <v>451</v>
      </c>
      <c r="AA41" s="17"/>
      <c r="AB41" s="10"/>
      <c r="AC41" s="10" t="s">
        <v>452</v>
      </c>
      <c r="AD41" s="11">
        <v>46568</v>
      </c>
      <c r="AE41" s="10" t="s">
        <v>108</v>
      </c>
      <c r="AF41" s="13" t="str">
        <f t="shared" si="3"/>
        <v>OK</v>
      </c>
      <c r="AG41" s="10" t="s">
        <v>136</v>
      </c>
    </row>
  </sheetData>
  <conditionalFormatting sqref="L5:L241">
    <cfRule type="expression" dxfId="15" priority="1">
      <formula>ISNUMBER(SEARCH("C1",L5))</formula>
    </cfRule>
    <cfRule type="expression" dxfId="14" priority="2">
      <formula>ISNUMBER(SEARCH("C2",L5))</formula>
    </cfRule>
    <cfRule type="expression" dxfId="13" priority="3">
      <formula>ISNUMBER(SEARCH("M",L5))</formula>
    </cfRule>
  </conditionalFormatting>
  <conditionalFormatting sqref="S5:S241">
    <cfRule type="expression" dxfId="12" priority="4">
      <formula>ISNUMBER(SEARCH("Atrasada",S5))</formula>
    </cfRule>
    <cfRule type="expression" dxfId="11" priority="5">
      <formula>ISNUMBER(SEARCH("com atraso",S5))</formula>
    </cfRule>
    <cfRule type="expression" dxfId="10" priority="6">
      <formula>ISNUMBER(SEARCH("Concluída",S5))</formula>
    </cfRule>
    <cfRule type="expression" dxfId="9" priority="7">
      <formula>ISNUMBER(SEARCH("Em curso",S5))</formula>
    </cfRule>
    <cfRule type="expression" dxfId="8" priority="8">
      <formula>ISNUMBER(SEARCH("Planeada",S5))</formula>
    </cfRule>
  </conditionalFormatting>
  <conditionalFormatting sqref="AE5:AE241">
    <cfRule type="expression" dxfId="7" priority="9">
      <formula>ISNUMBER(SEARCH("Não eficaz",AE5))</formula>
    </cfRule>
    <cfRule type="expression" dxfId="6" priority="10">
      <formula>ISNUMBER(SEARCH("Eficaz",AE5))</formula>
    </cfRule>
  </conditionalFormatting>
  <conditionalFormatting sqref="AF5:AF241">
    <cfRule type="expression" dxfId="5" priority="11">
      <formula>ISNUMBER(SEARCH("FALTA",AF5))</formula>
    </cfRule>
    <cfRule type="expression" dxfId="4" priority="12">
      <formula>ISNUMBER(SEARCH("Avaliar",AF5))</formula>
    </cfRule>
    <cfRule type="expression" dxfId="3" priority="13">
      <formula>ISNUMBER(SEARCH("OK",AF5))</formula>
    </cfRule>
  </conditionalFormatting>
  <conditionalFormatting sqref="AG5:AG241">
    <cfRule type="expression" dxfId="2" priority="14">
      <formula>ISNUMBER(SEARCH("3.5",AG5))</formula>
    </cfRule>
    <cfRule type="expression" dxfId="1" priority="15">
      <formula>ISNUMBER(SEARCH("6.1",AG5))</formula>
    </cfRule>
    <cfRule type="expression" dxfId="0" priority="16">
      <formula>ISNUMBER(SEARCH("6.2",AG5))</formula>
    </cfRule>
  </conditionalFormatting>
  <dataValidations count="8">
    <dataValidation type="list" allowBlank="1" showErrorMessage="1" errorTitle="Valor inválido" error="Valor fora da lista controlada (ver folha Listas)." sqref="D5:D241" xr:uid="{00000000-0002-0000-0100-000000000000}">
      <formula1>lst_Fonte</formula1>
    </dataValidation>
    <dataValidation type="list" allowBlank="1" showErrorMessage="1" errorTitle="Valor inválido" error="Valor fora da lista controlada (ver folha Listas)." sqref="F5:F241 U5:U241" xr:uid="{00000000-0002-0000-0100-000001000000}">
      <formula1>lst_SimNao</formula1>
    </dataValidation>
    <dataValidation type="list" allowBlank="1" showErrorMessage="1" errorTitle="Valor inválido" error="Valor fora da lista controlada (ver folha Listas)." sqref="J5:J241" xr:uid="{00000000-0002-0000-0100-000002000000}">
      <formula1>lst_Cat6M</formula1>
    </dataValidation>
    <dataValidation type="list" allowBlank="1" showErrorMessage="1" errorTitle="Valor inválido" error="Valor fora da lista controlada (ver folha Listas)." sqref="L5:L241" xr:uid="{00000000-0002-0000-0100-000003000000}">
      <formula1>lst_TipoAcao</formula1>
    </dataValidation>
    <dataValidation type="list" allowBlank="1" showErrorMessage="1" errorTitle="Valor inválido" error="Valor fora da lista controlada (ver folha Listas)." sqref="M5:M241" xr:uid="{00000000-0002-0000-0100-000004000000}">
      <formula1>lst_Hierarquia</formula1>
    </dataValidation>
    <dataValidation type="list" allowBlank="1" showErrorMessage="1" errorTitle="Valor inválido" error="Valor fora da lista controlada (ver folha Listas)." sqref="N5:N241" xr:uid="{00000000-0002-0000-0100-000005000000}">
      <formula1>lst_Funcao</formula1>
    </dataValidation>
    <dataValidation type="list" allowBlank="1" showErrorMessage="1" errorTitle="Valor inválido" error="Valor fora da lista controlada (ver folha Listas)." sqref="Q5:Q241" xr:uid="{00000000-0002-0000-0100-000006000000}">
      <formula1>lst_Evolucao</formula1>
    </dataValidation>
    <dataValidation type="list" allowBlank="1" showErrorMessage="1" errorTitle="Valor inválido" error="Valor fora da lista controlada (ver folha Listas)." sqref="AE5:AE241" xr:uid="{00000000-0002-0000-0100-000008000000}">
      <formula1>lst_Eficacia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pageSetUpPr fitToPage="1"/>
  </sheetPr>
  <dimension ref="A1:O46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18" customWidth="1"/>
    <col min="3" max="3" width="10" customWidth="1"/>
    <col min="4" max="4" width="34" customWidth="1"/>
    <col min="5" max="5" width="46" customWidth="1"/>
    <col min="6" max="6" width="44" customWidth="1"/>
    <col min="7" max="7" width="18" customWidth="1"/>
    <col min="8" max="8" width="11" customWidth="1"/>
    <col min="9" max="12" width="4" customWidth="1"/>
    <col min="13" max="13" width="12" customWidth="1"/>
    <col min="14" max="14" width="9" customWidth="1"/>
    <col min="15" max="15" width="40" customWidth="1"/>
  </cols>
  <sheetData>
    <row r="1" spans="1:15" ht="21" x14ac:dyDescent="0.4">
      <c r="A1" s="18" t="s">
        <v>453</v>
      </c>
      <c r="F1" s="19" t="s">
        <v>454</v>
      </c>
      <c r="O1" s="20" t="s">
        <v>455</v>
      </c>
    </row>
    <row r="2" spans="1:15" x14ac:dyDescent="0.3">
      <c r="F2" s="2" t="s">
        <v>456</v>
      </c>
      <c r="O2" s="21" t="s">
        <v>457</v>
      </c>
    </row>
    <row r="3" spans="1:15" x14ac:dyDescent="0.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</row>
    <row r="4" spans="1:15" x14ac:dyDescent="0.3">
      <c r="I4" s="20" t="s">
        <v>458</v>
      </c>
    </row>
    <row r="5" spans="1:15" ht="39.6" x14ac:dyDescent="0.3">
      <c r="A5" s="8" t="s">
        <v>459</v>
      </c>
      <c r="B5" s="8" t="s">
        <v>460</v>
      </c>
      <c r="C5" s="8" t="s">
        <v>461</v>
      </c>
      <c r="D5" s="8" t="s">
        <v>462</v>
      </c>
      <c r="E5" s="8" t="s">
        <v>463</v>
      </c>
      <c r="F5" s="8" t="s">
        <v>464</v>
      </c>
      <c r="G5" s="8" t="s">
        <v>465</v>
      </c>
      <c r="H5" s="8" t="s">
        <v>73</v>
      </c>
      <c r="I5" s="8" t="s">
        <v>466</v>
      </c>
      <c r="J5" s="8" t="s">
        <v>467</v>
      </c>
      <c r="K5" s="8" t="s">
        <v>468</v>
      </c>
      <c r="L5" s="8" t="s">
        <v>469</v>
      </c>
      <c r="M5" s="8" t="s">
        <v>470</v>
      </c>
      <c r="N5" s="8" t="s">
        <v>471</v>
      </c>
      <c r="O5" s="8" t="s">
        <v>472</v>
      </c>
    </row>
    <row r="6" spans="1:15" ht="169.95" customHeight="1" x14ac:dyDescent="0.3">
      <c r="A6" s="23" t="str">
        <f>INDEX(PAM!$B$5:$B$41,1)</f>
        <v>01/26</v>
      </c>
      <c r="B6" s="24" t="str">
        <f>INDEX(PAM!$D$5:$D$41,1)&amp;" ("&amp;INDEX(PAM!$E$5:$E$41,1)&amp;")"</f>
        <v>Objetivos Ambientais (OBJ-01)</v>
      </c>
      <c r="C6" s="23" t="str">
        <f>INDEX(PAM!$F$5:$F$41,1)</f>
        <v>Não</v>
      </c>
      <c r="D6" s="24" t="str">
        <f>INDEX(PAM!$G$5:$G$41,1)</f>
        <v>Consumo específico de eletricidade elevado (≈ 110 kWh/1.000 un); o ar comprimido representa ≈ 14% da energia, com fugas audíveis e pressão de rede de 7,5 bar.</v>
      </c>
      <c r="E6" s="24" t="str">
        <f>INDEX(PAM!$H$5:$H$41,1)&amp;IF(INDEX(PAM!$I$5:$I$41,1)="—",""," CAUSA RAIZ: "&amp;INDEX(PAM!$I$5:$I$41,1))</f>
        <v>1. Porquê consumo alto no ar comprimido? Compressores em carga mesmo com poucas máquinas a trabalhar.
2. Porquê? Fugas na rede ≈ 25% do caudal (teste de vazio ao fim de semana).
3. Porquê não são reparadas? Só se reparam as fugas audíveis, quando alguém se queixa.
4. Porquê? A manutenção preventiva não inclui a rede de ar e não há indicador que mostre a perda. CAUSA RAIZ: Ausência de um programa de gestão de fugas e de indicador do ar comprimido.</v>
      </c>
      <c r="F6" s="24" t="str">
        <f>"("&amp;INDEX(PAM!$L$5:$L$41,1)&amp;") "&amp;INDEX(PAM!$K$5:$K$41,1)</f>
        <v>(M) Campanha trimestral de deteção de fugas por ultrassom (etiquetar e reparar em ≤ 15 dias), reduzir a pressão de 7,5 para 6,8 bar e instalar variador de velocidade no compressor CMP-02.</v>
      </c>
      <c r="G6" s="24" t="str">
        <f>INDEX(PAM!$N$5:$N$41,1)</f>
        <v>Gerente de Manutenção</v>
      </c>
      <c r="H6" s="25">
        <f>INDEX(PAM!$P$5:$P$41,1)</f>
        <v>46387</v>
      </c>
      <c r="I6" s="26" t="str">
        <f>IF(INDEX(PAM!$Q$5:$Q$41,1)&gt;=0.25,"X","")</f>
        <v>X</v>
      </c>
      <c r="J6" s="26" t="str">
        <f>IF(INDEX(PAM!$Q$5:$Q$41,1)&gt;=0.5,"X","")</f>
        <v>X</v>
      </c>
      <c r="K6" s="26" t="str">
        <f>IF(INDEX(PAM!$Q$5:$Q$41,1)&gt;=0.75,"X","")</f>
        <v>X</v>
      </c>
      <c r="L6" s="26" t="str">
        <f>IF(INDEX(PAM!$Q$5:$Q$41,1)&gt;=1,"X","")</f>
        <v>X</v>
      </c>
      <c r="M6" s="25">
        <f>IF(INDEX(PAM!$R$5:$R$41,1)="","—",INDEX(PAM!$R$5:$R$41,1))</f>
        <v>46371</v>
      </c>
      <c r="N6" s="23" t="str">
        <f>INDEX(PAM!$U$5:$U$41,1)</f>
        <v>Sim</v>
      </c>
      <c r="O6" s="24" t="str">
        <f>"A avaliar em: "&amp;TEXT(MONTH(INDEX(PAM!$AD$5:$AD$41,1)),"00")&amp;"/"&amp;YEAR(INDEX(PAM!$AD$5:$AD$41,1))&amp;" — "&amp;INDEX(PAM!$AC$5:$AC$41,1)&amp;" ["&amp;INDEX(PAM!$AE$5:$AE$41,1)&amp;"]"</f>
        <v>A avaliar em: 04/2027 — Eficaz se as fugas em teste de vazio forem &lt; 10% do caudal e o KPI-01 ≤ 106 kWh/1.000 un em média no 1.º trimestre de 2027. [Por avaliar]</v>
      </c>
    </row>
    <row r="7" spans="1:15" ht="169.95" customHeight="1" x14ac:dyDescent="0.3">
      <c r="A7" s="23" t="str">
        <f>INDEX(PAM!$B$5:$B$41,2)</f>
        <v>02/26</v>
      </c>
      <c r="B7" s="24" t="str">
        <f>INDEX(PAM!$D$5:$D$41,2)&amp;" ("&amp;INDEX(PAM!$E$5:$E$41,2)&amp;")"</f>
        <v>Matriz de Riscos e Oportunidades (RO-02)</v>
      </c>
      <c r="C7" s="23" t="str">
        <f>INDEX(PAM!$F$5:$F$41,2)</f>
        <v>Não</v>
      </c>
      <c r="D7" s="24" t="str">
        <f>INDEX(PAM!$G$5:$G$41,2)</f>
        <v>Risco significativo RO-02 (nível -6): sem submedição de energia e água, o desempenho e a eficácia das ações não são demonstráveis.</v>
      </c>
      <c r="E7" s="24" t="str">
        <f>INDEX(PAM!$H$5:$H$41,2)&amp;IF(INDEX(PAM!$I$5:$I$41,2)="—",""," CAUSA RAIZ: "&amp;INDEX(PAM!$I$5:$I$41,2))</f>
        <v>1. Porquê não sabemos o consumo por processo? Só há contador geral.
2. Porquê? O projeto elétrico original não previa submedição.
3. Porquê nunca foi instalada? Nunca foi orçamentada.
4. Porquê? O benefício não era visível sem dados (círculo vicioso). CAUSA RAIZ: Falta de infraestrutura de medição por processo (decisão de investimento adiada).</v>
      </c>
      <c r="F7" s="24" t="str">
        <f>"("&amp;INDEX(PAM!$L$5:$L$41,2)&amp;") "&amp;INDEX(PAM!$K$5:$K$41,2)</f>
        <v>(M) Instalar 6 analisadores de energia (Injeção, Sopro, Decoração, Compressores, Arrefecimento, Geral) e 3 contadores de água com telemetria, ligados ao Power BI; procedimento de validação mensal (fatura vs soma dos submedidores).</v>
      </c>
      <c r="G7" s="24" t="str">
        <f>INDEX(PAM!$N$5:$N$41,2)</f>
        <v>Gerente de Manutenção</v>
      </c>
      <c r="H7" s="25">
        <f>INDEX(PAM!$P$5:$P$41,2)</f>
        <v>46387</v>
      </c>
      <c r="I7" s="26" t="str">
        <f>IF(INDEX(PAM!$Q$5:$Q$41,2)&gt;=0.25,"X","")</f>
        <v>X</v>
      </c>
      <c r="J7" s="26" t="str">
        <f>IF(INDEX(PAM!$Q$5:$Q$41,2)&gt;=0.5,"X","")</f>
        <v>X</v>
      </c>
      <c r="K7" s="26" t="str">
        <f>IF(INDEX(PAM!$Q$5:$Q$41,2)&gt;=0.75,"X","")</f>
        <v>X</v>
      </c>
      <c r="L7" s="26" t="str">
        <f>IF(INDEX(PAM!$Q$5:$Q$41,2)&gt;=1,"X","")</f>
        <v>X</v>
      </c>
      <c r="M7" s="25">
        <f>IF(INDEX(PAM!$R$5:$R$41,2)="","—",INDEX(PAM!$R$5:$R$41,2))</f>
        <v>46371</v>
      </c>
      <c r="N7" s="23" t="str">
        <f>INDEX(PAM!$U$5:$U$41,2)</f>
        <v>Sim</v>
      </c>
      <c r="O7" s="24" t="str">
        <f>"A avaliar em: "&amp;TEXT(MONTH(INDEX(PAM!$AD$5:$AD$41,2)),"00")&amp;"/"&amp;YEAR(INDEX(PAM!$AD$5:$AD$41,2))&amp;" — "&amp;INDEX(PAM!$AC$5:$AC$41,2)&amp;" ["&amp;INDEX(PAM!$AE$5:$AE$41,2)&amp;"]"</f>
        <v>A avaliar em: 03/2027 — Eficaz se ≥ 90% do consumo tiver submedição e a diferença fatura vs soma dos submedidores for ≤ 3% durante 3 meses. [Por avaliar]</v>
      </c>
    </row>
    <row r="8" spans="1:15" ht="169.95" customHeight="1" x14ac:dyDescent="0.3">
      <c r="A8" s="23" t="str">
        <f>INDEX(PAM!$B$5:$B$41,3)</f>
        <v>03/26</v>
      </c>
      <c r="B8" s="24" t="str">
        <f>INDEX(PAM!$D$5:$D$41,3)&amp;" ("&amp;INDEX(PAM!$E$5:$E$41,3)&amp;")"</f>
        <v>Tabela de Legislação (LEG-05)</v>
      </c>
      <c r="C8" s="23" t="str">
        <f>INDEX(PAM!$F$5:$F$41,3)</f>
        <v>Não</v>
      </c>
      <c r="D8" s="24" t="str">
        <f>INDEX(PAM!$G$5:$G$41,3)</f>
        <v>NC legal: não existe avaliação acústica após a substituição dos compressores (fev/2026); a última (2023) já não representa o funcionamento noturno.</v>
      </c>
      <c r="E8" s="24" t="str">
        <f>INDEX(PAM!$H$5:$H$41,3)&amp;IF(INDEX(PAM!$I$5:$I$41,3)="—",""," CAUSA RAIZ: "&amp;INDEX(PAM!$I$5:$I$41,3))</f>
        <v>1. Porquê não há avaliação? Ninguém a pediu após a troca dos compressores.
2. Porquê? A alteração foi tratada só como investimento técnico.
3. Porquê? O pedido de alteração não tem checklist ambiental/legal.
4. Porquê? A gestão de mudanças (6.3) ainda não está implementada. CAUSA RAIZ: Controlo de mudanças sem avaliação de requisitos ambientais e legais.</v>
      </c>
      <c r="F8" s="24" t="str">
        <f>"("&amp;INDEX(PAM!$L$5:$L$41,3)&amp;") "&amp;INDEX(PAM!$K$5:$K$41,3)</f>
        <v>(C1) Contratar avaliação acústica (critério de incomodidade, período noturno) a laboratório acreditado.</v>
      </c>
      <c r="G8" s="24" t="str">
        <f>INDEX(PAM!$N$5:$N$41,3)</f>
        <v>Gestor do SGA / EHS (Responsável Ambiental)</v>
      </c>
      <c r="H8" s="25">
        <f>INDEX(PAM!$P$5:$P$41,3)</f>
        <v>46326</v>
      </c>
      <c r="I8" s="26" t="str">
        <f>IF(INDEX(PAM!$Q$5:$Q$41,3)&gt;=0.25,"X","")</f>
        <v>X</v>
      </c>
      <c r="J8" s="26" t="str">
        <f>IF(INDEX(PAM!$Q$5:$Q$41,3)&gt;=0.5,"X","")</f>
        <v>X</v>
      </c>
      <c r="K8" s="26" t="str">
        <f>IF(INDEX(PAM!$Q$5:$Q$41,3)&gt;=0.75,"X","")</f>
        <v>X</v>
      </c>
      <c r="L8" s="26" t="str">
        <f>IF(INDEX(PAM!$Q$5:$Q$41,3)&gt;=1,"X","")</f>
        <v>X</v>
      </c>
      <c r="M8" s="25">
        <f>IF(INDEX(PAM!$R$5:$R$41,3)="","—",INDEX(PAM!$R$5:$R$41,3))</f>
        <v>46323</v>
      </c>
      <c r="N8" s="23" t="str">
        <f>INDEX(PAM!$U$5:$U$41,3)</f>
        <v>Sim</v>
      </c>
      <c r="O8" s="24" t="str">
        <f>"A avaliar em: "&amp;TEXT(MONTH(INDEX(PAM!$AD$5:$AD$41,3)),"00")&amp;"/"&amp;YEAR(INDEX(PAM!$AD$5:$AD$41,3))&amp;" — "&amp;INDEX(PAM!$AC$5:$AC$41,3)&amp;" ["&amp;INDEX(PAM!$AE$5:$AE$41,3)&amp;"]"</f>
        <v>A avaliar em: 12/2026 — Eficaz se o relatório demonstrar o cumprimento do critério de incomodidade noturno ou, se não cumprir, for aberta ação C2 com atenuação. [Eficaz]</v>
      </c>
    </row>
    <row r="9" spans="1:15" ht="169.95" customHeight="1" x14ac:dyDescent="0.3">
      <c r="A9" s="23" t="str">
        <f>INDEX(PAM!$B$5:$B$41,4)</f>
        <v>04/26</v>
      </c>
      <c r="B9" s="24" t="str">
        <f>INDEX(PAM!$D$5:$D$41,4)&amp;" ("&amp;INDEX(PAM!$E$5:$E$41,4)&amp;")"</f>
        <v>Ronda Ambiental Mensal (NC-SGA-26-03)</v>
      </c>
      <c r="C9" s="23" t="str">
        <f>INDEX(PAM!$F$5:$F$41,4)</f>
        <v>Não</v>
      </c>
      <c r="D9" s="24" t="str">
        <f>INDEX(PAM!$G$5:$G$41,4)</f>
        <v>Kit antipoluição da zona de injeção/serigrafia com selo quebrado, praticamente vazio e sem registo de utilização.</v>
      </c>
      <c r="E9" s="24" t="str">
        <f>INDEX(PAM!$H$5:$H$41,4)&amp;IF(INDEX(PAM!$I$5:$I$41,4)="—",""," CAUSA RAIZ: "&amp;INDEX(PAM!$I$5:$I$41,4))</f>
        <v>Ver investigação em PAM-26-05 (5 porquês). CAUSA RAIZ: Ausência de regra de reporte e reposição após uso do kit.</v>
      </c>
      <c r="F9" s="24" t="str">
        <f>"("&amp;INDEX(PAM!$L$5:$L$41,4)&amp;") "&amp;INDEX(PAM!$K$5:$K$41,4)</f>
        <v>(C1) Repor imediatamente o kit (absorventes, barreiras, luvas, sacos), selar com selo numerado, inspecionar a zona para vestígios de derrame e encaminhar os absorventes usados como 15 02 02*.</v>
      </c>
      <c r="G9" s="24" t="str">
        <f>INDEX(PAM!$N$5:$N$41,4)</f>
        <v>Responsável de Armazém e Logística</v>
      </c>
      <c r="H9" s="25">
        <f>INDEX(PAM!$P$5:$P$41,4)</f>
        <v>46281</v>
      </c>
      <c r="I9" s="26" t="str">
        <f>IF(INDEX(PAM!$Q$5:$Q$41,4)&gt;=0.25,"X","")</f>
        <v>X</v>
      </c>
      <c r="J9" s="26" t="str">
        <f>IF(INDEX(PAM!$Q$5:$Q$41,4)&gt;=0.5,"X","")</f>
        <v>X</v>
      </c>
      <c r="K9" s="26" t="str">
        <f>IF(INDEX(PAM!$Q$5:$Q$41,4)&gt;=0.75,"X","")</f>
        <v>X</v>
      </c>
      <c r="L9" s="26" t="str">
        <f>IF(INDEX(PAM!$Q$5:$Q$41,4)&gt;=1,"X","")</f>
        <v>X</v>
      </c>
      <c r="M9" s="25">
        <f>IF(INDEX(PAM!$R$5:$R$41,4)="","—",INDEX(PAM!$R$5:$R$41,4))</f>
        <v>46281</v>
      </c>
      <c r="N9" s="23" t="str">
        <f>INDEX(PAM!$U$5:$U$41,4)</f>
        <v>Sim</v>
      </c>
      <c r="O9" s="24" t="str">
        <f>"A avaliar em: "&amp;TEXT(MONTH(INDEX(PAM!$AD$5:$AD$41,4)),"00")&amp;"/"&amp;YEAR(INDEX(PAM!$AD$5:$AD$41,4))&amp;" — "&amp;INDEX(PAM!$AC$5:$AC$41,4)&amp;" ["&amp;INDEX(PAM!$AE$5:$AE$41,4)&amp;"]"</f>
        <v>A avaliar em: 09/2026 — Eficaz se o kit estiver completo e selado na verificação de 22/09/2026. [Eficaz]</v>
      </c>
    </row>
    <row r="10" spans="1:15" ht="169.95" customHeight="1" x14ac:dyDescent="0.3">
      <c r="A10" s="23" t="str">
        <f>INDEX(PAM!$B$5:$B$41,5)</f>
        <v>05/26</v>
      </c>
      <c r="B10" s="24" t="str">
        <f>INDEX(PAM!$D$5:$D$41,5)&amp;" ("&amp;INDEX(PAM!$E$5:$E$41,5)&amp;")"</f>
        <v>Ronda Ambiental Mensal (NC-SGA-26-03)</v>
      </c>
      <c r="C10" s="23" t="str">
        <f>INDEX(PAM!$F$5:$F$41,5)</f>
        <v>Não</v>
      </c>
      <c r="D10" s="24" t="str">
        <f>INDEX(PAM!$G$5:$G$41,5)</f>
        <v>Kit antipoluição com selo quebrado, vazio e sem registo de utilização (derrame não reportado).</v>
      </c>
      <c r="E10" s="24" t="str">
        <f>INDEX(PAM!$H$5:$H$41,5)&amp;IF(INDEX(PAM!$I$5:$I$41,5)="—",""," CAUSA RAIZ: "&amp;INDEX(PAM!$I$5:$I$41,5))</f>
        <v>1. Porquê o kit está vazio? Foi usado para conter um derrame e não foi reposto.
2. Porquê não foi reposto? O utilizador não informou o armazém nem o SGA.
3. Porquê não informou? A IT-SGA-01 termina na limpeza: não diz que é preciso registar e pedir reposição.
4. Porquê a IT não prevê? Foi escrita só para a resposta; não há responsável pela reposição nem stock mínimo.
5. Porquê não foi detetado antes? A ronda só verificava a presença do kit (não o selo nem o conteúdo) e a formação de derrames só ensinou a usar o kit. CAUSA RAIZ: Falha de procedimento (IT-SGA-01 sem etapa pós-uso, sem stock mínimo nem responsável pela reposição) e de formação (ciclo pós-utilização não ensinado).</v>
      </c>
      <c r="F10" s="24" t="str">
        <f>"("&amp;INDEX(PAM!$L$5:$L$41,5)&amp;") "&amp;INDEX(PAM!$K$5:$K$41,5)</f>
        <v>(C2) 1) Rever IT-SGA-01: passo obrigatório pós-uso (registar incidente, pedir reposição, selar). 2) Stock mínimo de 2 kits no armazém com ponto de encomenda. 3) Selo numerado e verificação semanal do conteúdo na ronda (RON-06). 4) Formação toolbox de 15 min nos 3 turnos, com exercício prático.</v>
      </c>
      <c r="G10" s="24" t="str">
        <f>INDEX(PAM!$N$5:$N$41,5)</f>
        <v>Gestor do SGA / EHS (Responsável Ambiental)</v>
      </c>
      <c r="H10" s="25">
        <f>INDEX(PAM!$P$5:$P$41,5)</f>
        <v>46326</v>
      </c>
      <c r="I10" s="26" t="str">
        <f>IF(INDEX(PAM!$Q$5:$Q$41,5)&gt;=0.25,"X","")</f>
        <v>X</v>
      </c>
      <c r="J10" s="26" t="str">
        <f>IF(INDEX(PAM!$Q$5:$Q$41,5)&gt;=0.5,"X","")</f>
        <v>X</v>
      </c>
      <c r="K10" s="26" t="str">
        <f>IF(INDEX(PAM!$Q$5:$Q$41,5)&gt;=0.75,"X","")</f>
        <v>X</v>
      </c>
      <c r="L10" s="26" t="str">
        <f>IF(INDEX(PAM!$Q$5:$Q$41,5)&gt;=1,"X","")</f>
        <v>X</v>
      </c>
      <c r="M10" s="25">
        <f>IF(INDEX(PAM!$R$5:$R$41,5)="","—",INDEX(PAM!$R$5:$R$41,5))</f>
        <v>46324</v>
      </c>
      <c r="N10" s="23" t="str">
        <f>INDEX(PAM!$U$5:$U$41,5)</f>
        <v>Sim</v>
      </c>
      <c r="O10" s="24" t="str">
        <f>"A avaliar em: "&amp;TEXT(MONTH(INDEX(PAM!$AD$5:$AD$41,5)),"00")&amp;"/"&amp;YEAR(INDEX(PAM!$AD$5:$AD$41,5))&amp;" — "&amp;INDEX(PAM!$AC$5:$AC$41,5)&amp;" ["&amp;INDEX(PAM!$AE$5:$AE$41,5)&amp;"]"</f>
        <v>A avaliar em: 12/2026 — Eficaz se, em 3 rondas mensais consecutivas, 100% dos kits estiverem completos e selados e 100% das utilizações tiverem registo de incidente. [Eficaz]</v>
      </c>
    </row>
    <row r="11" spans="1:15" ht="169.95" customHeight="1" x14ac:dyDescent="0.3">
      <c r="A11" s="23" t="str">
        <f>INDEX(PAM!$B$5:$B$41,6)</f>
        <v>06/26</v>
      </c>
      <c r="B11" s="24" t="str">
        <f>INDEX(PAM!$D$5:$D$41,6)&amp;" ("&amp;INDEX(PAM!$E$5:$E$41,6)&amp;")"</f>
        <v>Caixa de Sugestões / Kaizen (KZ-01)</v>
      </c>
      <c r="C11" s="23" t="str">
        <f>INDEX(PAM!$F$5:$F$41,6)</f>
        <v>Não</v>
      </c>
      <c r="D11" s="24" t="str">
        <f>INDEX(PAM!$G$5:$G$41,6)</f>
        <v>Oportunidade de melhoria: na pausa de refeição do turno 3 (80 min, sem equipa de rendição) as máquinas de injeção e sopro ficam aquecidas e em vazio.</v>
      </c>
      <c r="E11" s="24" t="str">
        <f>INDEX(PAM!$H$5:$H$41,6)&amp;IF(INDEX(PAM!$I$5:$I$41,6)="—",""," CAUSA RAIZ: "&amp;INDEX(PAM!$I$5:$I$41,6))</f>
        <v>Hábito: manter a máquina quente para arrancar mais depressa; não existe modo standby padronizado. CAUSA RAIZ: Rotina de pausa não padronizada.</v>
      </c>
      <c r="F11" s="24" t="str">
        <f>"("&amp;INDEX(PAM!$L$5:$L$41,6)&amp;") "&amp;INDEX(PAM!$K$5:$K$41,6)</f>
        <v>(M) 1) Definir o modo standby por máquina (resistências a 60%, bomba hidráulica desligada, chiller em modo eco). 2) Etiqueta 'Pausa 3.º turno' no painel. 3) Checklist de pausa assinado pelo chefe de turno. 4) Medir a poupança com a submedição (PAM-26-02).</v>
      </c>
      <c r="G11" s="24" t="str">
        <f>INDEX(PAM!$N$5:$N$41,6)</f>
        <v>Gerente de Produção</v>
      </c>
      <c r="H11" s="25">
        <f>INDEX(PAM!$P$5:$P$41,6)</f>
        <v>46356</v>
      </c>
      <c r="I11" s="26" t="str">
        <f>IF(INDEX(PAM!$Q$5:$Q$41,6)&gt;=0.25,"X","")</f>
        <v>X</v>
      </c>
      <c r="J11" s="26" t="str">
        <f>IF(INDEX(PAM!$Q$5:$Q$41,6)&gt;=0.5,"X","")</f>
        <v>X</v>
      </c>
      <c r="K11" s="26" t="str">
        <f>IF(INDEX(PAM!$Q$5:$Q$41,6)&gt;=0.75,"X","")</f>
        <v>X</v>
      </c>
      <c r="L11" s="26" t="str">
        <f>IF(INDEX(PAM!$Q$5:$Q$41,6)&gt;=1,"X","")</f>
        <v>X</v>
      </c>
      <c r="M11" s="25">
        <f>IF(INDEX(PAM!$R$5:$R$41,6)="","—",INDEX(PAM!$R$5:$R$41,6))</f>
        <v>46325</v>
      </c>
      <c r="N11" s="23" t="str">
        <f>INDEX(PAM!$U$5:$U$41,6)</f>
        <v>Não</v>
      </c>
      <c r="O11" s="24" t="str">
        <f>"A avaliar em: "&amp;TEXT(MONTH(INDEX(PAM!$AD$5:$AD$41,6)),"00")&amp;"/"&amp;YEAR(INDEX(PAM!$AD$5:$AD$41,6))&amp;" — "&amp;INDEX(PAM!$AC$5:$AC$41,6)&amp;" ["&amp;INDEX(PAM!$AE$5:$AE$41,6)&amp;"]"</f>
        <v>A avaliar em: 12/2026 — Eficaz se ≥ 90% das pausas do turno 3 tiverem standby registado e a poupança medida for ≥ 1.500 kWh/mês. [Eficaz]</v>
      </c>
    </row>
    <row r="12" spans="1:15" ht="169.95" customHeight="1" x14ac:dyDescent="0.3">
      <c r="A12" s="23" t="str">
        <f>INDEX(PAM!$B$5:$B$41,7)</f>
        <v>07/26</v>
      </c>
      <c r="B12" s="24" t="str">
        <f>INDEX(PAM!$D$5:$D$41,7)&amp;" ("&amp;INDEX(PAM!$E$5:$E$41,7)&amp;")"</f>
        <v>Monitorização e Medição (MED-06)</v>
      </c>
      <c r="C12" s="23" t="str">
        <f>INDEX(PAM!$F$5:$F$41,7)</f>
        <v>Não</v>
      </c>
      <c r="D12" s="24" t="str">
        <f>INDEX(PAM!$G$5:$G$41,7)</f>
        <v>Desvio: consumo de solvente de limpeza na serigrafia +15% em jun–ago/2026 face a mar–mai/2026, com produção estável.</v>
      </c>
      <c r="E12" s="24" t="str">
        <f>INDEX(PAM!$H$5:$H$41,7)&amp;IF(INDEX(PAM!$I$5:$I$41,7)="—",""," CAUSA RAIZ: "&amp;INDEX(PAM!$I$5:$I$41,7))</f>
        <v>Hipóteses em RG-SGA-13 (folha Analise_Desvio_5_2). CAUSA RAIZ: Em investigação.</v>
      </c>
      <c r="F12" s="24" t="str">
        <f>"("&amp;INDEX(PAM!$L$5:$L$41,7)&amp;") "&amp;INDEX(PAM!$K$5:$K$41,7)</f>
        <v>(C1) Conter e investigar: pesagem diária do solvente por máquina e turno; fechar e identificar todos os recipientes; observar a limpeza nos 3 turnos; conferir inventário e compras de jun–ago.</v>
      </c>
      <c r="G12" s="24" t="str">
        <f>INDEX(PAM!$N$5:$N$41,7)</f>
        <v>Gestor do SGA / EHS (Responsável Ambiental)</v>
      </c>
      <c r="H12" s="25">
        <f>INDEX(PAM!$P$5:$P$41,7)</f>
        <v>46295</v>
      </c>
      <c r="I12" s="26" t="str">
        <f>IF(INDEX(PAM!$Q$5:$Q$41,7)&gt;=0.25,"X","")</f>
        <v>X</v>
      </c>
      <c r="J12" s="26" t="str">
        <f>IF(INDEX(PAM!$Q$5:$Q$41,7)&gt;=0.5,"X","")</f>
        <v>X</v>
      </c>
      <c r="K12" s="26" t="str">
        <f>IF(INDEX(PAM!$Q$5:$Q$41,7)&gt;=0.75,"X","")</f>
        <v>X</v>
      </c>
      <c r="L12" s="26" t="str">
        <f>IF(INDEX(PAM!$Q$5:$Q$41,7)&gt;=1,"X","")</f>
        <v>X</v>
      </c>
      <c r="M12" s="25">
        <f>IF(INDEX(PAM!$R$5:$R$41,7)="","—",INDEX(PAM!$R$5:$R$41,7))</f>
        <v>46301</v>
      </c>
      <c r="N12" s="23" t="str">
        <f>INDEX(PAM!$U$5:$U$41,7)</f>
        <v>Sim</v>
      </c>
      <c r="O12" s="24" t="str">
        <f>"A avaliar em: "&amp;TEXT(MONTH(INDEX(PAM!$AD$5:$AD$41,7)),"00")&amp;"/"&amp;YEAR(INDEX(PAM!$AD$5:$AD$41,7))&amp;" — "&amp;INDEX(PAM!$AC$5:$AC$41,7)&amp;" ["&amp;INDEX(PAM!$AE$5:$AE$41,7)&amp;"]"</f>
        <v>A avaliar em: 12/2026 — Eficaz se as causas forem confirmadas com dados até 30/09/2026 e o consumo diário voltar a ≤ 0,165 kg/1.000 peças. [Eficaz]</v>
      </c>
    </row>
    <row r="13" spans="1:15" ht="169.95" customHeight="1" x14ac:dyDescent="0.3">
      <c r="A13" s="23" t="str">
        <f>INDEX(PAM!$B$5:$B$41,8)</f>
        <v>08/26</v>
      </c>
      <c r="B13" s="24" t="str">
        <f>INDEX(PAM!$D$5:$D$41,8)&amp;" ("&amp;INDEX(PAM!$E$5:$E$41,8)&amp;")"</f>
        <v>Monitorização e Medição (MED-06)</v>
      </c>
      <c r="C13" s="23" t="str">
        <f>INDEX(PAM!$F$5:$F$41,8)</f>
        <v>Não</v>
      </c>
      <c r="D13" s="24" t="str">
        <f>INDEX(PAM!$G$5:$G$41,8)</f>
        <v>Desvio de +15% no solvente de limpeza (confirmado): limpezas com recipiente aberto e aumento de limpezas após o overhaul da SS-001.</v>
      </c>
      <c r="E13" s="24" t="str">
        <f>INDEX(PAM!$H$5:$H$41,8)&amp;IF(INDEX(PAM!$I$5:$I$41,8)="—",""," CAUSA RAIZ: "&amp;INDEX(PAM!$I$5:$I$41,8))</f>
        <v>Causas confirmadas na investigação PAM-26-07: (1) recipientes abertos no posto → evaporação; (2) após o overhaul de jul/2026, a nova rasqueta exige mais limpezas; (3) limpeza por hábito em cada mudança de turno. CAUSA RAIZ: Método de limpeza não normalizado e recipientes inadequados.</v>
      </c>
      <c r="F13" s="24" t="str">
        <f>"("&amp;INDEX(PAM!$L$5:$L$41,8)&amp;") "&amp;INDEX(PAM!$K$5:$K$41,8)</f>
        <v>(C2) Dispensadores de segurança com tampa (2 por máquina); norma de limpeza (quando limpar e volume máximo); afinação da rasqueta da SS-001; formação dos operadores de serigrafia.</v>
      </c>
      <c r="G13" s="24" t="str">
        <f>INDEX(PAM!$N$5:$N$41,8)</f>
        <v>Gestor do SGA / EHS (Responsável Ambiental)</v>
      </c>
      <c r="H13" s="25">
        <f>INDEX(PAM!$P$5:$P$41,8)</f>
        <v>46341</v>
      </c>
      <c r="I13" s="26" t="str">
        <f>IF(INDEX(PAM!$Q$5:$Q$41,8)&gt;=0.25,"X","")</f>
        <v>X</v>
      </c>
      <c r="J13" s="26" t="str">
        <f>IF(INDEX(PAM!$Q$5:$Q$41,8)&gt;=0.5,"X","")</f>
        <v>X</v>
      </c>
      <c r="K13" s="26" t="str">
        <f>IF(INDEX(PAM!$Q$5:$Q$41,8)&gt;=0.75,"X","")</f>
        <v>X</v>
      </c>
      <c r="L13" s="26" t="str">
        <f>IF(INDEX(PAM!$Q$5:$Q$41,8)&gt;=1,"X","")</f>
        <v>X</v>
      </c>
      <c r="M13" s="25">
        <f>IF(INDEX(PAM!$R$5:$R$41,8)="","—",INDEX(PAM!$R$5:$R$41,8))</f>
        <v>46336</v>
      </c>
      <c r="N13" s="23" t="str">
        <f>INDEX(PAM!$U$5:$U$41,8)</f>
        <v>Sim</v>
      </c>
      <c r="O13" s="24" t="str">
        <f>"A avaliar em: "&amp;TEXT(MONTH(INDEX(PAM!$AD$5:$AD$41,8)),"00")&amp;"/"&amp;YEAR(INDEX(PAM!$AD$5:$AD$41,8))&amp;" — "&amp;INDEX(PAM!$AC$5:$AC$41,8)&amp;" ["&amp;INDEX(PAM!$AE$5:$AE$41,8)&amp;"]"</f>
        <v>A avaliar em: 12/2026 — Eficaz se o KPI-06 ≤ 0,160 kg/1.000 peças durante 3 meses consecutivos. [Eficaz]</v>
      </c>
    </row>
    <row r="14" spans="1:15" ht="169.95" customHeight="1" x14ac:dyDescent="0.3">
      <c r="A14" s="23" t="str">
        <f>INDEX(PAM!$B$5:$B$41,9)</f>
        <v>09/26</v>
      </c>
      <c r="B14" s="24" t="str">
        <f>INDEX(PAM!$D$5:$D$41,9)&amp;" ("&amp;INDEX(PAM!$E$5:$E$41,9)&amp;")"</f>
        <v>Matriz de Riscos e Oportunidades (RO-01)</v>
      </c>
      <c r="C14" s="23" t="str">
        <f>INDEX(PAM!$F$5:$F$41,9)</f>
        <v>Não</v>
      </c>
      <c r="D14" s="24" t="str">
        <f>INDEX(PAM!$G$5:$G$41,9)</f>
        <v>Oportunidade significativa RO-01 (nível 9): usar a infraestrutura de dados industriais para gestão ambiental.</v>
      </c>
      <c r="E14" s="24" t="str">
        <f>INDEX(PAM!$H$5:$H$41,9)&amp;IF(INDEX(PAM!$I$5:$I$41,9)="—",""," CAUSA RAIZ: "&amp;INDEX(PAM!$I$5:$I$41,9))</f>
        <v>—</v>
      </c>
      <c r="F14" s="24" t="str">
        <f>"("&amp;INDEX(PAM!$L$5:$L$41,9)&amp;") "&amp;INDEX(PAM!$K$5:$K$41,9)</f>
        <v>(M) Painel ambiental em Power BI com energia, água, resíduos (LER), solventes e KPI por máquina/turno/mês; relatório mensal automático para a gestão.</v>
      </c>
      <c r="G14" s="24" t="str">
        <f>INDEX(PAM!$N$5:$N$41,9)</f>
        <v>Gestor do SGA / EHS (Responsável Ambiental)</v>
      </c>
      <c r="H14" s="25">
        <f>INDEX(PAM!$P$5:$P$41,9)</f>
        <v>46387</v>
      </c>
      <c r="I14" s="26" t="str">
        <f>IF(INDEX(PAM!$Q$5:$Q$41,9)&gt;=0.25,"X","")</f>
        <v>X</v>
      </c>
      <c r="J14" s="26" t="str">
        <f>IF(INDEX(PAM!$Q$5:$Q$41,9)&gt;=0.5,"X","")</f>
        <v>X</v>
      </c>
      <c r="K14" s="26" t="str">
        <f>IF(INDEX(PAM!$Q$5:$Q$41,9)&gt;=0.75,"X","")</f>
        <v>X</v>
      </c>
      <c r="L14" s="26" t="str">
        <f>IF(INDEX(PAM!$Q$5:$Q$41,9)&gt;=1,"X","")</f>
        <v>X</v>
      </c>
      <c r="M14" s="25">
        <f>IF(INDEX(PAM!$R$5:$R$41,9)="","—",INDEX(PAM!$R$5:$R$41,9))</f>
        <v>46374</v>
      </c>
      <c r="N14" s="23" t="str">
        <f>INDEX(PAM!$U$5:$U$41,9)</f>
        <v>Sim</v>
      </c>
      <c r="O14" s="24" t="str">
        <f>"A avaliar em: "&amp;TEXT(MONTH(INDEX(PAM!$AD$5:$AD$41,9)),"00")&amp;"/"&amp;YEAR(INDEX(PAM!$AD$5:$AD$41,9))&amp;" — "&amp;INDEX(PAM!$AC$5:$AC$41,9)&amp;" ["&amp;INDEX(PAM!$AE$5:$AE$41,9)&amp;"]"</f>
        <v>A avaliar em: 03/2027 — Eficaz se ≥ 80% dos KPI ambientais tiverem carregamento automático e o painel for usado na reunião mensal durante 3 meses. [Por avaliar]</v>
      </c>
    </row>
    <row r="15" spans="1:15" ht="169.95" customHeight="1" x14ac:dyDescent="0.3">
      <c r="A15" s="23" t="str">
        <f>INDEX(PAM!$B$5:$B$41,10)</f>
        <v>10/26</v>
      </c>
      <c r="B15" s="24" t="str">
        <f>INDEX(PAM!$D$5:$D$41,10)&amp;" ("&amp;INDEX(PAM!$E$5:$E$41,10)&amp;")"</f>
        <v>Tabela de Legislação (LEG-09)</v>
      </c>
      <c r="C15" s="23" t="str">
        <f>INDEX(PAM!$F$5:$F$41,10)</f>
        <v>Não</v>
      </c>
      <c r="D15" s="24" t="str">
        <f>INDEX(PAM!$G$5:$G$41,10)</f>
        <v>NC legal PPWR: só 9 de 22 famílias com documentação técnica e declaração UE de conformidade (aplicável desde 12/08/2026).</v>
      </c>
      <c r="E15" s="24" t="str">
        <f>INDEX(PAM!$H$5:$H$41,10)&amp;IF(INDEX(PAM!$I$5:$I$41,10)="—",""," CAUSA RAIZ: "&amp;INDEX(PAM!$I$5:$I$41,10))</f>
        <v>1. Porquê só 41%? O trabalho começou em junho/2026.
2. Porquê tão tarde? O PPWR não estava na matriz legal até 2026.
3. Porquê? A vigilância legal não acompanhava regulamentos europeus de produto. CAUSA RAIZ: Vigilância legal limitada a legislação nacional ambiental de instalação.</v>
      </c>
      <c r="F15" s="24" t="str">
        <f>"("&amp;INDEX(PAM!$L$5:$L$41,10)&amp;") "&amp;INDEX(PAM!$K$5:$K$41,10)</f>
        <v>(C2) Plano de conformidade PPWR: ensaios de metais pesados por família, dossier técnico e declaração UE para as 13 famílias em falta (prioridade por volume); incluir EUR-Lex na vigilância legal mensal.</v>
      </c>
      <c r="G15" s="24" t="str">
        <f>INDEX(PAM!$N$5:$N$41,10)</f>
        <v>Responsável de R&amp;D</v>
      </c>
      <c r="H15" s="25">
        <f>INDEX(PAM!$P$5:$P$41,10)</f>
        <v>46387</v>
      </c>
      <c r="I15" s="26" t="str">
        <f>IF(INDEX(PAM!$Q$5:$Q$41,10)&gt;=0.25,"X","")</f>
        <v>X</v>
      </c>
      <c r="J15" s="26" t="str">
        <f>IF(INDEX(PAM!$Q$5:$Q$41,10)&gt;=0.5,"X","")</f>
        <v>X</v>
      </c>
      <c r="K15" s="26" t="str">
        <f>IF(INDEX(PAM!$Q$5:$Q$41,10)&gt;=0.75,"X","")</f>
        <v>X</v>
      </c>
      <c r="L15" s="26" t="str">
        <f>IF(INDEX(PAM!$Q$5:$Q$41,10)&gt;=1,"X","")</f>
        <v>X</v>
      </c>
      <c r="M15" s="25">
        <f>IF(INDEX(PAM!$R$5:$R$41,10)="","—",INDEX(PAM!$R$5:$R$41,10))</f>
        <v>46378</v>
      </c>
      <c r="N15" s="23" t="str">
        <f>INDEX(PAM!$U$5:$U$41,10)</f>
        <v>Sim</v>
      </c>
      <c r="O15" s="24" t="str">
        <f>"A avaliar em: "&amp;TEXT(MONTH(INDEX(PAM!$AD$5:$AD$41,10)),"00")&amp;"/"&amp;YEAR(INDEX(PAM!$AD$5:$AD$41,10))&amp;" — "&amp;INDEX(PAM!$AC$5:$AC$41,10)&amp;" ["&amp;INDEX(PAM!$AE$5:$AE$41,10)&amp;"]"</f>
        <v>A avaliar em: 01/2027 — Eficaz se 100% das famílias tiverem declaração UE de conformidade em 31/12/2026 e a vigilância legal mensal incluir EUR-Lex. [Por avaliar]</v>
      </c>
    </row>
    <row r="16" spans="1:15" ht="169.95" customHeight="1" x14ac:dyDescent="0.3">
      <c r="A16" s="23" t="str">
        <f>INDEX(PAM!$B$5:$B$41,11)</f>
        <v>11/26</v>
      </c>
      <c r="B16" s="24" t="str">
        <f>INDEX(PAM!$D$5:$D$41,11)&amp;" ("&amp;INDEX(PAM!$E$5:$E$41,11)&amp;")"</f>
        <v>Objetivos Ambientais (OBJ-06)</v>
      </c>
      <c r="C16" s="23" t="str">
        <f>INDEX(PAM!$F$5:$F$41,11)</f>
        <v>Não</v>
      </c>
      <c r="D16" s="24" t="str">
        <f>INDEX(PAM!$G$5:$G$41,11)</f>
        <v>Perdas de granulado para a rede pluvial; 6 de 14 pontos críticos com contenção.</v>
      </c>
      <c r="E16" s="24" t="str">
        <f>INDEX(PAM!$H$5:$H$41,11)&amp;IF(INDEX(PAM!$I$5:$I$41,11)="—",""," CAUSA RAIZ: "&amp;INDEX(PAM!$I$5:$I$41,11))</f>
        <v>—</v>
      </c>
      <c r="F16" s="24" t="str">
        <f>"("&amp;INDEX(PAM!$L$5:$L$41,11)&amp;") "&amp;INDEX(PAM!$K$5:$K$41,11)</f>
        <v>(M) Programa Operation Clean Sweep: filtros nas 9 sarjetas, tabuleiros de descarga de big bags, aspirador industrial, kits de recolha e inspeção semanal do perímetro.</v>
      </c>
      <c r="G16" s="24" t="str">
        <f>INDEX(PAM!$N$5:$N$41,11)</f>
        <v>Gestor do SGA / EHS (Responsável Ambiental)</v>
      </c>
      <c r="H16" s="25">
        <f>INDEX(PAM!$P$5:$P$41,11)</f>
        <v>46477</v>
      </c>
      <c r="I16" s="26" t="str">
        <f>IF(INDEX(PAM!$Q$5:$Q$41,11)&gt;=0.25,"X","")</f>
        <v>X</v>
      </c>
      <c r="J16" s="26" t="str">
        <f>IF(INDEX(PAM!$Q$5:$Q$41,11)&gt;=0.5,"X","")</f>
        <v>X</v>
      </c>
      <c r="K16" s="26" t="str">
        <f>IF(INDEX(PAM!$Q$5:$Q$41,11)&gt;=0.75,"X","")</f>
        <v>X</v>
      </c>
      <c r="L16" s="26" t="str">
        <f>IF(INDEX(PAM!$Q$5:$Q$41,11)&gt;=1,"X","")</f>
        <v/>
      </c>
      <c r="M16" s="25" t="str">
        <f>IF(INDEX(PAM!$R$5:$R$41,11)="","—",INDEX(PAM!$R$5:$R$41,11))</f>
        <v>—</v>
      </c>
      <c r="N16" s="23" t="str">
        <f>INDEX(PAM!$U$5:$U$41,11)</f>
        <v>Sim</v>
      </c>
      <c r="O16" s="24" t="str">
        <f>"A avaliar em: "&amp;TEXT(MONTH(INDEX(PAM!$AD$5:$AD$41,11)),"00")&amp;"/"&amp;YEAR(INDEX(PAM!$AD$5:$AD$41,11))&amp;" — "&amp;INDEX(PAM!$AC$5:$AC$41,11)&amp;" ["&amp;INDEX(PAM!$AE$5:$AE$41,11)&amp;"]"</f>
        <v>A avaliar em: 06/2027 — Eficaz se 100% dos pontos críticos tiverem contenção e não houver granulado nas sarjetas em 12 inspeções semanais consecutivas. [Por avaliar]</v>
      </c>
    </row>
    <row r="17" spans="1:15" ht="169.95" customHeight="1" x14ac:dyDescent="0.3">
      <c r="A17" s="23" t="str">
        <f>INDEX(PAM!$B$5:$B$41,12)</f>
        <v>12/26</v>
      </c>
      <c r="B17" s="24" t="str">
        <f>INDEX(PAM!$D$5:$D$41,12)&amp;" ("&amp;INDEX(PAM!$E$5:$E$41,12)&amp;")"</f>
        <v>Objetivos Ambientais (OBJ-02)</v>
      </c>
      <c r="C17" s="23" t="str">
        <f>INDEX(PAM!$F$5:$F$41,12)</f>
        <v>Não</v>
      </c>
      <c r="D17" s="24" t="str">
        <f>INDEX(PAM!$G$5:$G$41,12)</f>
        <v>Scrap ≈ 31 t/ano e taxa de reintegração de ≈ 37% (scrap misturado por cor e polímero).</v>
      </c>
      <c r="E17" s="24" t="str">
        <f>INDEX(PAM!$H$5:$H$41,12)&amp;IF(INDEX(PAM!$I$5:$I$41,12)="—",""," CAUSA RAIZ: "&amp;INDEX(PAM!$I$5:$I$41,12))</f>
        <v>—</v>
      </c>
      <c r="F17" s="24" t="str">
        <f>"("&amp;INDEX(PAM!$L$5:$L$41,12)&amp;") "&amp;INDEX(PAM!$K$5:$K$41,12)</f>
        <v>(M) Segregar o scrap na fonte com caixas coloridas por polímero/cor, receitas de arranque validadas após mudança de molde e Pareto mensal de scrap por máquina.</v>
      </c>
      <c r="G17" s="24" t="str">
        <f>INDEX(PAM!$N$5:$N$41,12)</f>
        <v>Gerente de Produção</v>
      </c>
      <c r="H17" s="25">
        <f>INDEX(PAM!$P$5:$P$41,12)</f>
        <v>46568</v>
      </c>
      <c r="I17" s="26" t="str">
        <f>IF(INDEX(PAM!$Q$5:$Q$41,12)&gt;=0.25,"X","")</f>
        <v>X</v>
      </c>
      <c r="J17" s="26" t="str">
        <f>IF(INDEX(PAM!$Q$5:$Q$41,12)&gt;=0.5,"X","")</f>
        <v>X</v>
      </c>
      <c r="K17" s="26" t="str">
        <f>IF(INDEX(PAM!$Q$5:$Q$41,12)&gt;=0.75,"X","")</f>
        <v/>
      </c>
      <c r="L17" s="26" t="str">
        <f>IF(INDEX(PAM!$Q$5:$Q$41,12)&gt;=1,"X","")</f>
        <v/>
      </c>
      <c r="M17" s="25" t="str">
        <f>IF(INDEX(PAM!$R$5:$R$41,12)="","—",INDEX(PAM!$R$5:$R$41,12))</f>
        <v>—</v>
      </c>
      <c r="N17" s="23" t="str">
        <f>INDEX(PAM!$U$5:$U$41,12)</f>
        <v>Sim</v>
      </c>
      <c r="O17" s="24" t="str">
        <f>"A avaliar em: "&amp;TEXT(MONTH(INDEX(PAM!$AD$5:$AD$41,12)),"00")&amp;"/"&amp;YEAR(INDEX(PAM!$AD$5:$AD$41,12))&amp;" — "&amp;INDEX(PAM!$AC$5:$AC$41,12)&amp;" ["&amp;INDEX(PAM!$AE$5:$AE$41,12)&amp;"]"</f>
        <v>A avaliar em: 07/2027 — Eficaz se o KPI-03 ≤ 0,423 kg/1.000 un e a reintegração ≥ 45% no 2.º trimestre de 2027. [Por avaliar]</v>
      </c>
    </row>
    <row r="18" spans="1:15" ht="169.95" customHeight="1" x14ac:dyDescent="0.3">
      <c r="A18" s="23" t="str">
        <f>INDEX(PAM!$B$5:$B$41,13)</f>
        <v>13/26</v>
      </c>
      <c r="B18" s="24" t="str">
        <f>INDEX(PAM!$D$5:$D$41,13)&amp;" ("&amp;INDEX(PAM!$E$5:$E$41,13)&amp;")"</f>
        <v>Revisão pela Gestão (RG-26-D01)</v>
      </c>
      <c r="C18" s="23" t="str">
        <f>INDEX(PAM!$F$5:$F$41,13)</f>
        <v>Não</v>
      </c>
      <c r="D18" s="24" t="str">
        <f>INDEX(PAM!$G$5:$G$41,13)</f>
        <v>Consumo de solvente em subida e AAS de COV (IRA 40); o solvente usado é enviado como resíduo perigoso.</v>
      </c>
      <c r="E18" s="24" t="str">
        <f>INDEX(PAM!$H$5:$H$41,13)&amp;IF(INDEX(PAM!$I$5:$I$41,13)="—",""," CAUSA RAIZ: "&amp;INDEX(PAM!$I$5:$I$41,13))</f>
        <v>—</v>
      </c>
      <c r="F18" s="24" t="str">
        <f>"("&amp;INDEX(PAM!$L$5:$L$41,13)&amp;") "&amp;INDEX(PAM!$K$5:$K$41,13)</f>
        <v>(M) Adquirir e instalar uma unidade de recuperação de solvente (destilador de 60 L) na serigrafia, com reutilização do solvente recuperado.</v>
      </c>
      <c r="G18" s="24" t="str">
        <f>INDEX(PAM!$N$5:$N$41,13)</f>
        <v>Gestor do SGA / EHS (Responsável Ambiental)</v>
      </c>
      <c r="H18" s="25">
        <f>INDEX(PAM!$P$5:$P$41,13)</f>
        <v>46477</v>
      </c>
      <c r="I18" s="26" t="str">
        <f>IF(INDEX(PAM!$Q$5:$Q$41,13)&gt;=0.25,"X","")</f>
        <v>X</v>
      </c>
      <c r="J18" s="26" t="str">
        <f>IF(INDEX(PAM!$Q$5:$Q$41,13)&gt;=0.5,"X","")</f>
        <v/>
      </c>
      <c r="K18" s="26" t="str">
        <f>IF(INDEX(PAM!$Q$5:$Q$41,13)&gt;=0.75,"X","")</f>
        <v/>
      </c>
      <c r="L18" s="26" t="str">
        <f>IF(INDEX(PAM!$Q$5:$Q$41,13)&gt;=1,"X","")</f>
        <v/>
      </c>
      <c r="M18" s="25" t="str">
        <f>IF(INDEX(PAM!$R$5:$R$41,13)="","—",INDEX(PAM!$R$5:$R$41,13))</f>
        <v>—</v>
      </c>
      <c r="N18" s="23" t="str">
        <f>INDEX(PAM!$U$5:$U$41,13)</f>
        <v>Sim</v>
      </c>
      <c r="O18" s="24" t="str">
        <f>"A avaliar em: "&amp;TEXT(MONTH(INDEX(PAM!$AD$5:$AD$41,13)),"00")&amp;"/"&amp;YEAR(INDEX(PAM!$AD$5:$AD$41,13))&amp;" — "&amp;INDEX(PAM!$AC$5:$AC$41,13)&amp;" ["&amp;INDEX(PAM!$AE$5:$AE$41,13)&amp;"]"</f>
        <v>A avaliar em: 07/2027 — Eficaz se ≥ 60% do solvente usado for recuperado e o resíduo 08 03 12* baixar ≥ 40% no 2.º trimestre de 2027. [Por avaliar]</v>
      </c>
    </row>
    <row r="19" spans="1:15" ht="169.95" customHeight="1" x14ac:dyDescent="0.3">
      <c r="A19" s="23" t="str">
        <f>INDEX(PAM!$B$5:$B$41,14)</f>
        <v>14/26</v>
      </c>
      <c r="B19" s="24" t="str">
        <f>INDEX(PAM!$D$5:$D$41,14)&amp;" ("&amp;INDEX(PAM!$E$5:$E$41,14)&amp;")"</f>
        <v>Objetivos Ambientais (OBJ-05)</v>
      </c>
      <c r="C19" s="23" t="str">
        <f>INDEX(PAM!$F$5:$F$41,14)</f>
        <v>Não</v>
      </c>
      <c r="D19" s="24" t="str">
        <f>INDEX(PAM!$G$5:$G$41,14)</f>
        <v>Água da torre de arrefecimento ≈ 80% do consumo; purga manual por tempo e não por qualidade da água.</v>
      </c>
      <c r="E19" s="24" t="str">
        <f>INDEX(PAM!$H$5:$H$41,14)&amp;IF(INDEX(PAM!$I$5:$I$41,14)="—",""," CAUSA RAIZ: "&amp;INDEX(PAM!$I$5:$I$41,14))</f>
        <v>—</v>
      </c>
      <c r="F19" s="24" t="str">
        <f>"("&amp;INDEX(PAM!$L$5:$L$41,14)&amp;") "&amp;INDEX(PAM!$K$5:$K$41,14)</f>
        <v>(M) Controlo automático da purga da torre por condutividade e estudo de torre adiabática em circuito fechado.</v>
      </c>
      <c r="G19" s="24" t="str">
        <f>INDEX(PAM!$N$5:$N$41,14)</f>
        <v>Diretor Industrial</v>
      </c>
      <c r="H19" s="25">
        <f>INDEX(PAM!$P$5:$P$41,14)</f>
        <v>46568</v>
      </c>
      <c r="I19" s="26" t="str">
        <f>IF(INDEX(PAM!$Q$5:$Q$41,14)&gt;=0.25,"X","")</f>
        <v>X</v>
      </c>
      <c r="J19" s="26" t="str">
        <f>IF(INDEX(PAM!$Q$5:$Q$41,14)&gt;=0.5,"X","")</f>
        <v/>
      </c>
      <c r="K19" s="26" t="str">
        <f>IF(INDEX(PAM!$Q$5:$Q$41,14)&gt;=0.75,"X","")</f>
        <v/>
      </c>
      <c r="L19" s="26" t="str">
        <f>IF(INDEX(PAM!$Q$5:$Q$41,14)&gt;=1,"X","")</f>
        <v/>
      </c>
      <c r="M19" s="25" t="str">
        <f>IF(INDEX(PAM!$R$5:$R$41,14)="","—",INDEX(PAM!$R$5:$R$41,14))</f>
        <v>—</v>
      </c>
      <c r="N19" s="23" t="str">
        <f>INDEX(PAM!$U$5:$U$41,14)</f>
        <v>Sim</v>
      </c>
      <c r="O19" s="24" t="str">
        <f>"A avaliar em: "&amp;TEXT(MONTH(INDEX(PAM!$AD$5:$AD$41,14)),"00")&amp;"/"&amp;YEAR(INDEX(PAM!$AD$5:$AD$41,14))&amp;" — "&amp;INDEX(PAM!$AC$5:$AC$41,14)&amp;" ["&amp;INDEX(PAM!$AE$5:$AE$41,14)&amp;"]"</f>
        <v>A avaliar em: 10/2027 — Eficaz se o KPI-02 normalizado pela temperatura baixar ≥ 10% face ao mesmo período do ano anterior. [Por avaliar]</v>
      </c>
    </row>
    <row r="20" spans="1:15" ht="169.95" customHeight="1" x14ac:dyDescent="0.3">
      <c r="A20" s="23" t="str">
        <f>INDEX(PAM!$B$5:$B$41,15)</f>
        <v>15/26</v>
      </c>
      <c r="B20" s="24" t="str">
        <f>INDEX(PAM!$D$5:$D$41,15)&amp;" ("&amp;INDEX(PAM!$E$5:$E$41,15)&amp;")"</f>
        <v>Auditoria Interna (CONST-03)</v>
      </c>
      <c r="C20" s="23" t="str">
        <f>INDEX(PAM!$F$5:$F$41,15)</f>
        <v>Não</v>
      </c>
      <c r="D20" s="24" t="str">
        <f>INDEX(PAM!$G$5:$G$41,15)</f>
        <v>NC menor de auditoria: contentor de absorventes contaminados (15 02 02*) sem identificação LER e sem tampa no parque de resíduos.</v>
      </c>
      <c r="E20" s="24" t="str">
        <f>INDEX(PAM!$H$5:$H$41,15)&amp;IF(INDEX(PAM!$I$5:$I$41,15)="—",""," CAUSA RAIZ: "&amp;INDEX(PAM!$I$5:$I$41,15))</f>
        <v>1. Porquê sem etiqueta? O contentor foi trocado e o novo não foi etiquetado.
2. Porquê? Não há etiquetas LER padronizadas em stock.
3. Porquê não foi detetado? A ronda de resíduos não verifica identificação e tampas dos perigosos. CAUSA RAIZ: Ausência de etiquetas padronizadas e de ponto de verificação na ronda.</v>
      </c>
      <c r="F20" s="24" t="str">
        <f>"("&amp;INDEX(PAM!$L$5:$L$41,15)&amp;") "&amp;INDEX(PAM!$K$5:$K$41,15)</f>
        <v>(C2) Etiquetas LER padronizadas para todos os contentores; contentores de perigosos com tampa; incluir verificação no ponto RON-08.</v>
      </c>
      <c r="G20" s="24" t="str">
        <f>INDEX(PAM!$N$5:$N$41,15)</f>
        <v>Responsável de Armazém e Logística</v>
      </c>
      <c r="H20" s="25">
        <f>INDEX(PAM!$P$5:$P$41,15)</f>
        <v>46310</v>
      </c>
      <c r="I20" s="26" t="str">
        <f>IF(INDEX(PAM!$Q$5:$Q$41,15)&gt;=0.25,"X","")</f>
        <v>X</v>
      </c>
      <c r="J20" s="26" t="str">
        <f>IF(INDEX(PAM!$Q$5:$Q$41,15)&gt;=0.5,"X","")</f>
        <v>X</v>
      </c>
      <c r="K20" s="26" t="str">
        <f>IF(INDEX(PAM!$Q$5:$Q$41,15)&gt;=0.75,"X","")</f>
        <v>X</v>
      </c>
      <c r="L20" s="26" t="str">
        <f>IF(INDEX(PAM!$Q$5:$Q$41,15)&gt;=1,"X","")</f>
        <v>X</v>
      </c>
      <c r="M20" s="25">
        <f>IF(INDEX(PAM!$R$5:$R$41,15)="","—",INDEX(PAM!$R$5:$R$41,15))</f>
        <v>46309</v>
      </c>
      <c r="N20" s="23" t="str">
        <f>INDEX(PAM!$U$5:$U$41,15)</f>
        <v>Não</v>
      </c>
      <c r="O20" s="24" t="str">
        <f>"A avaliar em: "&amp;TEXT(MONTH(INDEX(PAM!$AD$5:$AD$41,15)),"00")&amp;"/"&amp;YEAR(INDEX(PAM!$AD$5:$AD$41,15))&amp;" — "&amp;INDEX(PAM!$AC$5:$AC$41,15)&amp;" ["&amp;INDEX(PAM!$AE$5:$AE$41,15)&amp;"]"</f>
        <v>A avaliar em: 12/2026 — Eficaz se 100% dos contentores de perigosos estiverem identificados e fechados em 3 rondas consecutivas. [Eficaz]</v>
      </c>
    </row>
    <row r="21" spans="1:15" ht="169.95" customHeight="1" x14ac:dyDescent="0.3">
      <c r="A21" s="23" t="str">
        <f>INDEX(PAM!$B$5:$B$41,16)</f>
        <v>16/26</v>
      </c>
      <c r="B21" s="24" t="str">
        <f>INDEX(PAM!$D$5:$D$41,16)&amp;" ("&amp;INDEX(PAM!$E$5:$E$41,16)&amp;")"</f>
        <v>Matriz de Riscos e Oportunidades (RO-05)</v>
      </c>
      <c r="C21" s="23" t="str">
        <f>INDEX(PAM!$F$5:$F$41,16)</f>
        <v>Não</v>
      </c>
      <c r="D21" s="24" t="str">
        <f>INDEX(PAM!$G$5:$G$41,16)</f>
        <v>Risco significativo RO-05: resina fora de especificação e conteúdo reciclado não verificado (SUP-005 e PCR).</v>
      </c>
      <c r="E21" s="24" t="str">
        <f>INDEX(PAM!$H$5:$H$41,16)&amp;IF(INDEX(PAM!$I$5:$I$41,16)="—",""," CAUSA RAIZ: "&amp;INDEX(PAM!$I$5:$I$41,16))</f>
        <v>—</v>
      </c>
      <c r="F21" s="24" t="str">
        <f>"("&amp;INDEX(PAM!$L$5:$L$41,16)&amp;") "&amp;INDEX(PAM!$K$5:$K$41,16)</f>
        <v>(M) Aplicar a avaliação ambiental de fornecedores (RG-SGA-11) aos 10 fornecedores de resina e exigir certificação EuCertPlast/RecyClass para PCR.</v>
      </c>
      <c r="G21" s="24" t="str">
        <f>INDEX(PAM!$N$5:$N$41,16)</f>
        <v>Responsável de Compras</v>
      </c>
      <c r="H21" s="25">
        <f>INDEX(PAM!$P$5:$P$41,16)</f>
        <v>46387</v>
      </c>
      <c r="I21" s="26" t="str">
        <f>IF(INDEX(PAM!$Q$5:$Q$41,16)&gt;=0.25,"X","")</f>
        <v>X</v>
      </c>
      <c r="J21" s="26" t="str">
        <f>IF(INDEX(PAM!$Q$5:$Q$41,16)&gt;=0.5,"X","")</f>
        <v>X</v>
      </c>
      <c r="K21" s="26" t="str">
        <f>IF(INDEX(PAM!$Q$5:$Q$41,16)&gt;=0.75,"X","")</f>
        <v>X</v>
      </c>
      <c r="L21" s="26" t="str">
        <f>IF(INDEX(PAM!$Q$5:$Q$41,16)&gt;=1,"X","")</f>
        <v>X</v>
      </c>
      <c r="M21" s="25">
        <f>IF(INDEX(PAM!$R$5:$R$41,16)="","—",INDEX(PAM!$R$5:$R$41,16))</f>
        <v>46376</v>
      </c>
      <c r="N21" s="23" t="str">
        <f>INDEX(PAM!$U$5:$U$41,16)</f>
        <v>Sim</v>
      </c>
      <c r="O21" s="24" t="str">
        <f>"A avaliar em: "&amp;TEXT(MONTH(INDEX(PAM!$AD$5:$AD$41,16)),"00")&amp;"/"&amp;YEAR(INDEX(PAM!$AD$5:$AD$41,16))&amp;" — "&amp;INDEX(PAM!$AC$5:$AC$41,16)&amp;" ["&amp;INDEX(PAM!$AE$5:$AE$41,16)&amp;"]"</f>
        <v>A avaliar em: 03/2027 — Eficaz se ≥ 90% das compras de resina forem a fornecedores classificados A ou B. [Por avaliar]</v>
      </c>
    </row>
    <row r="22" spans="1:15" ht="169.95" customHeight="1" x14ac:dyDescent="0.3">
      <c r="A22" s="23" t="str">
        <f>INDEX(PAM!$B$5:$B$41,17)</f>
        <v>17/26</v>
      </c>
      <c r="B22" s="24" t="str">
        <f>INDEX(PAM!$D$5:$D$41,17)&amp;" ("&amp;INDEX(PAM!$E$5:$E$41,17)&amp;")"</f>
        <v>Auditoria Interna (CONST-05)</v>
      </c>
      <c r="C22" s="23" t="str">
        <f>INDEX(PAM!$F$5:$F$41,17)</f>
        <v>Não</v>
      </c>
      <c r="D22" s="24" t="str">
        <f>INDEX(PAM!$G$5:$G$41,17)</f>
        <v>NC menor de auditoria (6.3): a substituição dos compressores não passou por avaliação de impactes ambientais e requisitos legais.</v>
      </c>
      <c r="E22" s="24" t="str">
        <f>INDEX(PAM!$H$5:$H$41,17)&amp;IF(INDEX(PAM!$I$5:$I$41,17)="—",""," CAUSA RAIZ: "&amp;INDEX(PAM!$I$5:$I$41,17))</f>
        <v>Ver PAM-26-03: o pedido de alteração não tem checklist ambiental/legal. CAUSA RAIZ: Processo de gestão de mudanças (6.3) inexistente.</v>
      </c>
      <c r="F22" s="24" t="str">
        <f>"("&amp;INDEX(PAM!$L$5:$L$41,17)&amp;") "&amp;INDEX(PAM!$K$5:$K$41,17)</f>
        <v>(C2) Criar o formulário de pedido de alteração com checklist ambiental e legal (aspetos, requisitos, riscos, emergência) e aprovação do SGA antes de qualquer alteração de equipamento, processo ou layout.</v>
      </c>
      <c r="G22" s="24" t="str">
        <f>INDEX(PAM!$N$5:$N$41,17)</f>
        <v>Gestor do SGA / EHS (Responsável Ambiental)</v>
      </c>
      <c r="H22" s="25">
        <f>INDEX(PAM!$P$5:$P$41,17)</f>
        <v>46356</v>
      </c>
      <c r="I22" s="26" t="str">
        <f>IF(INDEX(PAM!$Q$5:$Q$41,17)&gt;=0.25,"X","")</f>
        <v>X</v>
      </c>
      <c r="J22" s="26" t="str">
        <f>IF(INDEX(PAM!$Q$5:$Q$41,17)&gt;=0.5,"X","")</f>
        <v>X</v>
      </c>
      <c r="K22" s="26" t="str">
        <f>IF(INDEX(PAM!$Q$5:$Q$41,17)&gt;=0.75,"X","")</f>
        <v>X</v>
      </c>
      <c r="L22" s="26" t="str">
        <f>IF(INDEX(PAM!$Q$5:$Q$41,17)&gt;=1,"X","")</f>
        <v>X</v>
      </c>
      <c r="M22" s="25">
        <f>IF(INDEX(PAM!$R$5:$R$41,17)="","—",INDEX(PAM!$R$5:$R$41,17))</f>
        <v>46351</v>
      </c>
      <c r="N22" s="23" t="str">
        <f>INDEX(PAM!$U$5:$U$41,17)</f>
        <v>Sim</v>
      </c>
      <c r="O22" s="24" t="str">
        <f>"A avaliar em: "&amp;TEXT(MONTH(INDEX(PAM!$AD$5:$AD$41,17)),"00")&amp;"/"&amp;YEAR(INDEX(PAM!$AD$5:$AD$41,17))&amp;" — "&amp;INDEX(PAM!$AC$5:$AC$41,17)&amp;" ["&amp;INDEX(PAM!$AE$5:$AE$41,17)&amp;"]"</f>
        <v>A avaliar em: 04/2027 — Eficaz se 100% das alterações de out/2026–mar/2027 tiverem checklist ambiental aprovado antes da execução. [Por avaliar]</v>
      </c>
    </row>
    <row r="23" spans="1:15" ht="169.95" customHeight="1" x14ac:dyDescent="0.3">
      <c r="A23" s="23" t="str">
        <f>INDEX(PAM!$B$5:$B$41,18)</f>
        <v>18/26</v>
      </c>
      <c r="B23" s="24" t="str">
        <f>INDEX(PAM!$D$5:$D$41,18)&amp;" ("&amp;INDEX(PAM!$E$5:$E$41,18)&amp;")"</f>
        <v>Revisão pela Gestão (RG-26-D04)</v>
      </c>
      <c r="C23" s="23" t="str">
        <f>INDEX(PAM!$F$5:$F$41,18)</f>
        <v>Não</v>
      </c>
      <c r="D23" s="24" t="str">
        <f>INDEX(PAM!$G$5:$G$41,18)</f>
        <v>Oportunidade RO-09: autoconsumo fotovoltaico para reduzir emissões do âmbito 2 e o custo de energia.</v>
      </c>
      <c r="E23" s="24" t="str">
        <f>INDEX(PAM!$H$5:$H$41,18)&amp;IF(INDEX(PAM!$I$5:$I$41,18)="—",""," CAUSA RAIZ: "&amp;INDEX(PAM!$I$5:$I$41,18))</f>
        <v>—</v>
      </c>
      <c r="F23" s="24" t="str">
        <f>"("&amp;INDEX(PAM!$L$5:$L$41,18)&amp;") "&amp;INDEX(PAM!$K$5:$K$41,18)</f>
        <v>(M) Estudo de viabilidade de uma UPAC de ≈ 1 MWp na cobertura, com candidatura a financiamento.</v>
      </c>
      <c r="G23" s="24" t="str">
        <f>INDEX(PAM!$N$5:$N$41,18)</f>
        <v>Diretor Financeiro</v>
      </c>
      <c r="H23" s="25">
        <f>INDEX(PAM!$P$5:$P$41,18)</f>
        <v>46477</v>
      </c>
      <c r="I23" s="26" t="str">
        <f>IF(INDEX(PAM!$Q$5:$Q$41,18)&gt;=0.25,"X","")</f>
        <v>X</v>
      </c>
      <c r="J23" s="26" t="str">
        <f>IF(INDEX(PAM!$Q$5:$Q$41,18)&gt;=0.5,"X","")</f>
        <v>X</v>
      </c>
      <c r="K23" s="26" t="str">
        <f>IF(INDEX(PAM!$Q$5:$Q$41,18)&gt;=0.75,"X","")</f>
        <v>X</v>
      </c>
      <c r="L23" s="26" t="str">
        <f>IF(INDEX(PAM!$Q$5:$Q$41,18)&gt;=1,"X","")</f>
        <v/>
      </c>
      <c r="M23" s="25" t="str">
        <f>IF(INDEX(PAM!$R$5:$R$41,18)="","—",INDEX(PAM!$R$5:$R$41,18))</f>
        <v>—</v>
      </c>
      <c r="N23" s="23" t="str">
        <f>INDEX(PAM!$U$5:$U$41,18)</f>
        <v>Sim</v>
      </c>
      <c r="O23" s="24" t="str">
        <f>"A avaliar em: "&amp;TEXT(MONTH(INDEX(PAM!$AD$5:$AD$41,18)),"00")&amp;"/"&amp;YEAR(INDEX(PAM!$AD$5:$AD$41,18))&amp;" — "&amp;INDEX(PAM!$AC$5:$AC$41,18)&amp;" ["&amp;INDEX(PAM!$AE$5:$AE$41,18)&amp;"]"</f>
        <v>A avaliar em: 04/2027 — Eficaz se o estudo for apresentado à gestão com decisão registada em ata até 31/03/2027. [Por avaliar]</v>
      </c>
    </row>
    <row r="24" spans="1:15" ht="169.95" customHeight="1" x14ac:dyDescent="0.3">
      <c r="A24" s="23" t="str">
        <f>INDEX(PAM!$B$5:$B$41,19)</f>
        <v>19/26</v>
      </c>
      <c r="B24" s="24" t="str">
        <f>INDEX(PAM!$D$5:$D$41,19)&amp;" ("&amp;INDEX(PAM!$E$5:$E$41,19)&amp;")"</f>
        <v>Auditoria Interna (CONST-01)</v>
      </c>
      <c r="C24" s="23" t="str">
        <f>INDEX(PAM!$F$5:$F$41,19)</f>
        <v>Não</v>
      </c>
      <c r="D24" s="24" t="str">
        <f>INDEX(PAM!$G$5:$G$41,19)</f>
        <v>NC menor de auditoria: 3 bidões de 200 L de óleo hidráulico novo pousados no chão do armazém de químicos, sem bacia de retenção (2 bacias para 5 bidões).</v>
      </c>
      <c r="E24" s="24" t="str">
        <f>INDEX(PAM!$H$5:$H$41,19)&amp;IF(INDEX(PAM!$I$5:$I$41,19)="—",""," CAUSA RAIZ: "&amp;INDEX(PAM!$I$5:$I$41,19))</f>
        <v>1. Porquê no chão? As bacias existentes estavam cheias.
2. Porquê? A compra de óleo passou a ser feita em lotes maiores (desconto de quantidade).
3. Porquê não se ajustou a contenção? A decisão de compra não considerou a capacidade de armazenagem com retenção. CAUSA RAIZ: Capacidade de retenção não dimensionada para o stock máximo; compras sem critério de armazenagem.</v>
      </c>
      <c r="F24" s="24" t="str">
        <f>"("&amp;INDEX(PAM!$L$5:$L$41,19)&amp;") "&amp;INDEX(PAM!$K$5:$K$41,19)</f>
        <v>(C2) Adquirir 2 bacias de retenção de 4 bidões; definir lotação máxima por bacia sinalizada no local; incluir 'capacidade de retenção' no pedido de compra de químicos.</v>
      </c>
      <c r="G24" s="24" t="str">
        <f>INDEX(PAM!$N$5:$N$41,19)</f>
        <v>Responsável de Armazém e Logística</v>
      </c>
      <c r="H24" s="25">
        <f>INDEX(PAM!$P$5:$P$41,19)</f>
        <v>46310</v>
      </c>
      <c r="I24" s="26" t="str">
        <f>IF(INDEX(PAM!$Q$5:$Q$41,19)&gt;=0.25,"X","")</f>
        <v>X</v>
      </c>
      <c r="J24" s="26" t="str">
        <f>IF(INDEX(PAM!$Q$5:$Q$41,19)&gt;=0.5,"X","")</f>
        <v>X</v>
      </c>
      <c r="K24" s="26" t="str">
        <f>IF(INDEX(PAM!$Q$5:$Q$41,19)&gt;=0.75,"X","")</f>
        <v>X</v>
      </c>
      <c r="L24" s="26" t="str">
        <f>IF(INDEX(PAM!$Q$5:$Q$41,19)&gt;=1,"X","")</f>
        <v>X</v>
      </c>
      <c r="M24" s="25">
        <f>IF(INDEX(PAM!$R$5:$R$41,19)="","—",INDEX(PAM!$R$5:$R$41,19))</f>
        <v>46315</v>
      </c>
      <c r="N24" s="23" t="str">
        <f>INDEX(PAM!$U$5:$U$41,19)</f>
        <v>Sim</v>
      </c>
      <c r="O24" s="24" t="str">
        <f>"A avaliar em: "&amp;TEXT(MONTH(INDEX(PAM!$AD$5:$AD$41,19)),"00")&amp;"/"&amp;YEAR(INDEX(PAM!$AD$5:$AD$41,19))&amp;" — "&amp;INDEX(PAM!$AC$5:$AC$41,19)&amp;" ["&amp;INDEX(PAM!$AE$5:$AE$41,19)&amp;"]"</f>
        <v>A avaliar em: 12/2026 — Eficaz se 100% dos recipientes &gt; 20 L estiverem em bacia em 3 rondas consecutivas. [Eficaz]</v>
      </c>
    </row>
    <row r="25" spans="1:15" ht="169.95" customHeight="1" x14ac:dyDescent="0.3">
      <c r="A25" s="23" t="str">
        <f>INDEX(PAM!$B$5:$B$41,20)</f>
        <v>20/26</v>
      </c>
      <c r="B25" s="24" t="str">
        <f>INDEX(PAM!$D$5:$D$41,20)&amp;" ("&amp;INDEX(PAM!$E$5:$E$41,20)&amp;")"</f>
        <v>Auditoria Interna (CONST-06)</v>
      </c>
      <c r="C25" s="23" t="str">
        <f>INDEX(PAM!$F$5:$F$41,20)</f>
        <v>Não</v>
      </c>
      <c r="D25" s="24" t="str">
        <f>INDEX(PAM!$G$5:$G$41,20)</f>
        <v>NC menor de auditoria (9.1.1): a balança de plataforma do parque de resíduos (EQP-02) não é verificada desde 03/2024 (periodicidade anual).</v>
      </c>
      <c r="E25" s="24" t="str">
        <f>INDEX(PAM!$H$5:$H$41,20)&amp;IF(INDEX(PAM!$I$5:$I$41,20)="—",""," CAUSA RAIZ: "&amp;INDEX(PAM!$I$5:$I$41,20))</f>
        <v>1. Porquê não foi verificada? Não constava do plano de calibração.
2. Porquê? Foi comprada pela logística e não foi registada como equipamento de medição ambiental. CAUSA RAIZ: Inventário de equipamentos de monitorização incompleto.</v>
      </c>
      <c r="F25" s="24" t="str">
        <f>"("&amp;INDEX(PAM!$L$5:$L$41,20)&amp;") "&amp;INDEX(PAM!$K$5:$K$41,20)</f>
        <v>(C2) Verificar a balança com massas-padrão (entidade acreditada); registar todos os equipamentos de medição ambiental no RG-SGA-13 com periodicidade e alerta.</v>
      </c>
      <c r="G25" s="24" t="str">
        <f>INDEX(PAM!$N$5:$N$41,20)</f>
        <v>Gerente da Qualidade</v>
      </c>
      <c r="H25" s="25">
        <f>INDEX(PAM!$P$5:$P$41,20)</f>
        <v>46326</v>
      </c>
      <c r="I25" s="26" t="str">
        <f>IF(INDEX(PAM!$Q$5:$Q$41,20)&gt;=0.25,"X","")</f>
        <v>X</v>
      </c>
      <c r="J25" s="26" t="str">
        <f>IF(INDEX(PAM!$Q$5:$Q$41,20)&gt;=0.5,"X","")</f>
        <v>X</v>
      </c>
      <c r="K25" s="26" t="str">
        <f>IF(INDEX(PAM!$Q$5:$Q$41,20)&gt;=0.75,"X","")</f>
        <v>X</v>
      </c>
      <c r="L25" s="26" t="str">
        <f>IF(INDEX(PAM!$Q$5:$Q$41,20)&gt;=1,"X","")</f>
        <v>X</v>
      </c>
      <c r="M25" s="25">
        <f>IF(INDEX(PAM!$R$5:$R$41,20)="","—",INDEX(PAM!$R$5:$R$41,20))</f>
        <v>46318</v>
      </c>
      <c r="N25" s="23" t="str">
        <f>INDEX(PAM!$U$5:$U$41,20)</f>
        <v>Não</v>
      </c>
      <c r="O25" s="24" t="str">
        <f>"A avaliar em: "&amp;TEXT(MONTH(INDEX(PAM!$AD$5:$AD$41,20)),"00")&amp;"/"&amp;YEAR(INDEX(PAM!$AD$5:$AD$41,20))&amp;" — "&amp;INDEX(PAM!$AC$5:$AC$41,20)&amp;" ["&amp;INDEX(PAM!$AE$5:$AE$41,20)&amp;"]"</f>
        <v>A avaliar em: 11/2026 — Eficaz se 100% dos equipamentos do RG-SGA-13 estiverem dentro do prazo de calibração/verificação em 31/12/2026. [Eficaz]</v>
      </c>
    </row>
    <row r="26" spans="1:15" ht="169.95" customHeight="1" x14ac:dyDescent="0.3">
      <c r="A26" s="23" t="str">
        <f>INDEX(PAM!$B$5:$B$41,21)</f>
        <v>21/26</v>
      </c>
      <c r="B26" s="24" t="str">
        <f>INDEX(PAM!$D$5:$D$41,21)&amp;" ("&amp;INDEX(PAM!$E$5:$E$41,21)&amp;")"</f>
        <v>Auditoria Interna (CONST-10)</v>
      </c>
      <c r="C26" s="23" t="str">
        <f>INDEX(PAM!$F$5:$F$41,21)</f>
        <v>Não</v>
      </c>
      <c r="D26" s="24" t="str">
        <f>INDEX(PAM!$G$5:$G$41,21)</f>
        <v>NC menor de auditoria (8.2): nunca foi realizado simulacro de derrame; no simulacro de incêndio (11/2025) a válvula de corte pluvial demorou 9 min (meta ≤ 5 min).</v>
      </c>
      <c r="E26" s="24" t="str">
        <f>INDEX(PAM!$H$5:$H$41,21)&amp;IF(INDEX(PAM!$I$5:$I$41,21)="—",""," CAUSA RAIZ: "&amp;INDEX(PAM!$I$5:$I$41,21))</f>
        <v>1. Porquê só simulacro de incêndio? O plano de simulacros cumpre só o SCIE.
2. Porquê? Os cenários ambientais (derrame, águas de combate) não foram incluídos no plano de emergência. CAUSA RAIZ: Plano de simulacros não cobre os cenários ambientais de emergência.</v>
      </c>
      <c r="F26" s="24" t="str">
        <f>"("&amp;INDEX(PAM!$L$5:$L$41,21)&amp;") "&amp;INDEX(PAM!$K$5:$K$41,21)</f>
        <v>(C2) Incluir no plano anual 2 simulacros de derrame (armazém de químicos e serigrafia) e treino trimestral de fecho da válvula de corte pelo turno.</v>
      </c>
      <c r="G26" s="24" t="str">
        <f>INDEX(PAM!$N$5:$N$41,21)</f>
        <v>Gestor do SGA / EHS (Responsável Ambiental)</v>
      </c>
      <c r="H26" s="25">
        <f>INDEX(PAM!$P$5:$P$41,21)</f>
        <v>46371</v>
      </c>
      <c r="I26" s="26" t="str">
        <f>IF(INDEX(PAM!$Q$5:$Q$41,21)&gt;=0.25,"X","")</f>
        <v>X</v>
      </c>
      <c r="J26" s="26" t="str">
        <f>IF(INDEX(PAM!$Q$5:$Q$41,21)&gt;=0.5,"X","")</f>
        <v>X</v>
      </c>
      <c r="K26" s="26" t="str">
        <f>IF(INDEX(PAM!$Q$5:$Q$41,21)&gt;=0.75,"X","")</f>
        <v>X</v>
      </c>
      <c r="L26" s="26" t="str">
        <f>IF(INDEX(PAM!$Q$5:$Q$41,21)&gt;=1,"X","")</f>
        <v>X</v>
      </c>
      <c r="M26" s="25">
        <f>IF(INDEX(PAM!$R$5:$R$41,21)="","—",INDEX(PAM!$R$5:$R$41,21))</f>
        <v>46367</v>
      </c>
      <c r="N26" s="23" t="str">
        <f>INDEX(PAM!$U$5:$U$41,21)</f>
        <v>Sim</v>
      </c>
      <c r="O26" s="24" t="str">
        <f>"A avaliar em: "&amp;TEXT(MONTH(INDEX(PAM!$AD$5:$AD$41,21)),"00")&amp;"/"&amp;YEAR(INDEX(PAM!$AD$5:$AD$41,21))&amp;" — "&amp;INDEX(PAM!$AC$5:$AC$41,21)&amp;" ["&amp;INDEX(PAM!$AE$5:$AE$41,21)&amp;"]"</f>
        <v>A avaliar em: 12/2026 — Eficaz se o simulacro de derrame tiver contenção em ≤ 10 min e a válvula de corte for fechada em ≤ 5 min. [Eficaz]</v>
      </c>
    </row>
    <row r="27" spans="1:15" ht="169.95" customHeight="1" x14ac:dyDescent="0.3">
      <c r="A27" s="23" t="str">
        <f>INDEX(PAM!$B$5:$B$41,22)</f>
        <v>22/26</v>
      </c>
      <c r="B27" s="24" t="str">
        <f>INDEX(PAM!$D$5:$D$41,22)&amp;" ("&amp;INDEX(PAM!$E$5:$E$41,22)&amp;")"</f>
        <v>Objetivos Ambientais (OBJ-07)</v>
      </c>
      <c r="C27" s="23" t="str">
        <f>INDEX(PAM!$F$5:$F$41,22)</f>
        <v>Não</v>
      </c>
      <c r="D27" s="24" t="str">
        <f>INDEX(PAM!$G$5:$G$41,22)</f>
        <v>Autoavaliação RecyClass: 4 SKUs de PVC e 8 de PETG em classe F (sem fluxo de reciclagem) — não poderão ser colocados no mercado a partir de 2030.</v>
      </c>
      <c r="E27" s="24" t="str">
        <f>INDEX(PAM!$H$5:$H$41,22)&amp;IF(INDEX(PAM!$I$5:$I$41,22)="—",""," CAUSA RAIZ: "&amp;INDEX(PAM!$I$5:$I$41,22))</f>
        <v>—</v>
      </c>
      <c r="F27" s="24" t="str">
        <f>"("&amp;INDEX(PAM!$L$5:$L$41,22)&amp;") "&amp;INDEX(PAM!$K$5:$K$41,22)</f>
        <v>(M) Plano de substituição: PVC → PET (moldes FR-007/019/022) e PETG → PET ou PP, validado com os clientes; parar novos projetos em PVC/PETG.</v>
      </c>
      <c r="G27" s="24" t="str">
        <f>INDEX(PAM!$N$5:$N$41,22)</f>
        <v>Responsável de R&amp;D</v>
      </c>
      <c r="H27" s="25">
        <f>INDEX(PAM!$P$5:$P$41,22)</f>
        <v>46752</v>
      </c>
      <c r="I27" s="26" t="str">
        <f>IF(INDEX(PAM!$Q$5:$Q$41,22)&gt;=0.25,"X","")</f>
        <v>X</v>
      </c>
      <c r="J27" s="26" t="str">
        <f>IF(INDEX(PAM!$Q$5:$Q$41,22)&gt;=0.5,"X","")</f>
        <v/>
      </c>
      <c r="K27" s="26" t="str">
        <f>IF(INDEX(PAM!$Q$5:$Q$41,22)&gt;=0.75,"X","")</f>
        <v/>
      </c>
      <c r="L27" s="26" t="str">
        <f>IF(INDEX(PAM!$Q$5:$Q$41,22)&gt;=1,"X","")</f>
        <v/>
      </c>
      <c r="M27" s="25" t="str">
        <f>IF(INDEX(PAM!$R$5:$R$41,22)="","—",INDEX(PAM!$R$5:$R$41,22))</f>
        <v>—</v>
      </c>
      <c r="N27" s="23" t="str">
        <f>INDEX(PAM!$U$5:$U$41,22)</f>
        <v>Sim</v>
      </c>
      <c r="O27" s="24" t="str">
        <f>"A avaliar em: "&amp;TEXT(MONTH(INDEX(PAM!$AD$5:$AD$41,22)),"00")&amp;"/"&amp;YEAR(INDEX(PAM!$AD$5:$AD$41,22))&amp;" — "&amp;INDEX(PAM!$AC$5:$AC$41,22)&amp;" ["&amp;INDEX(PAM!$AE$5:$AE$41,22)&amp;"]"</f>
        <v>A avaliar em: 03/2028 — Eficaz se 0 SKUs de PVC/PETG estiverem ativos em 31/12/2027 sem perda de clientes. [Por avaliar]</v>
      </c>
    </row>
    <row r="28" spans="1:15" ht="169.95" customHeight="1" x14ac:dyDescent="0.3">
      <c r="A28" s="23" t="str">
        <f>INDEX(PAM!$B$5:$B$41,23)</f>
        <v>23/26</v>
      </c>
      <c r="B28" s="24" t="str">
        <f>INDEX(PAM!$D$5:$D$41,23)&amp;" ("&amp;INDEX(PAM!$E$5:$E$41,23)&amp;")"</f>
        <v>Objetivos Ambientais (OBJ-07)</v>
      </c>
      <c r="C28" s="23" t="str">
        <f>INDEX(PAM!$F$5:$F$41,23)</f>
        <v>Não</v>
      </c>
      <c r="D28" s="24" t="str">
        <f>INDEX(PAM!$G$5:$G$41,23)</f>
        <v>7 SKUs com masterbatch preto de negro de carbono (Matte Black) não são detetados por NIR na triagem → classe F.</v>
      </c>
      <c r="E28" s="24" t="str">
        <f>INDEX(PAM!$H$5:$H$41,23)&amp;IF(INDEX(PAM!$I$5:$I$41,23)="—",""," CAUSA RAIZ: "&amp;INDEX(PAM!$I$5:$I$41,23))</f>
        <v>—</v>
      </c>
      <c r="F28" s="24" t="str">
        <f>"("&amp;INDEX(PAM!$L$5:$L$41,23)&amp;") "&amp;INDEX(PAM!$K$5:$K$41,23)</f>
        <v>(M) Substituir o masterbatch preto por pigmento preto detetável por NIR (SUP-008) e validar com ensaio de triagem num reciclador.</v>
      </c>
      <c r="G28" s="24" t="str">
        <f>INDEX(PAM!$N$5:$N$41,23)</f>
        <v>Responsável de Compras</v>
      </c>
      <c r="H28" s="25">
        <f>INDEX(PAM!$P$5:$P$41,23)</f>
        <v>46477</v>
      </c>
      <c r="I28" s="26" t="str">
        <f>IF(INDEX(PAM!$Q$5:$Q$41,23)&gt;=0.25,"X","")</f>
        <v>X</v>
      </c>
      <c r="J28" s="26" t="str">
        <f>IF(INDEX(PAM!$Q$5:$Q$41,23)&gt;=0.5,"X","")</f>
        <v>X</v>
      </c>
      <c r="K28" s="26" t="str">
        <f>IF(INDEX(PAM!$Q$5:$Q$41,23)&gt;=0.75,"X","")</f>
        <v/>
      </c>
      <c r="L28" s="26" t="str">
        <f>IF(INDEX(PAM!$Q$5:$Q$41,23)&gt;=1,"X","")</f>
        <v/>
      </c>
      <c r="M28" s="25" t="str">
        <f>IF(INDEX(PAM!$R$5:$R$41,23)="","—",INDEX(PAM!$R$5:$R$41,23))</f>
        <v>—</v>
      </c>
      <c r="N28" s="23" t="str">
        <f>INDEX(PAM!$U$5:$U$41,23)</f>
        <v>Sim</v>
      </c>
      <c r="O28" s="24" t="str">
        <f>"A avaliar em: "&amp;TEXT(MONTH(INDEX(PAM!$AD$5:$AD$41,23)),"00")&amp;"/"&amp;YEAR(INDEX(PAM!$AD$5:$AD$41,23))&amp;" — "&amp;INDEX(PAM!$AC$5:$AC$41,23)&amp;" ["&amp;INDEX(PAM!$AE$5:$AE$41,23)&amp;"]"</f>
        <v>A avaliar em: 04/2027 — Eficaz se os 7 SKUs forem identificados corretamente no ensaio de triagem NIR. [Por avaliar]</v>
      </c>
    </row>
    <row r="29" spans="1:15" ht="169.95" customHeight="1" x14ac:dyDescent="0.3">
      <c r="A29" s="23" t="str">
        <f>INDEX(PAM!$B$5:$B$41,24)</f>
        <v>24/26</v>
      </c>
      <c r="B29" s="24" t="str">
        <f>INDEX(PAM!$D$5:$D$41,24)&amp;" ("&amp;INDEX(PAM!$E$5:$E$41,24)&amp;")"</f>
        <v>Objetivos Ambientais (OBJ-07)</v>
      </c>
      <c r="C29" s="23" t="str">
        <f>INDEX(PAM!$F$5:$F$41,24)</f>
        <v>Não</v>
      </c>
      <c r="D29" s="24" t="str">
        <f>INDEX(PAM!$G$5:$G$41,24)</f>
        <v>SKUs de PET/rPET com serigrafia ou hot foil direto e rótulos com adesivo não lavável ficam abaixo do grau C; a autoavaliação não está certificada.</v>
      </c>
      <c r="E29" s="24" t="str">
        <f>INDEX(PAM!$H$5:$H$41,24)&amp;IF(INDEX(PAM!$I$5:$I$41,24)="—",""," CAUSA RAIZ: "&amp;INDEX(PAM!$I$5:$I$41,24))</f>
        <v>—</v>
      </c>
      <c r="F29" s="24" t="str">
        <f>"("&amp;INDEX(PAM!$L$5:$L$41,24)&amp;") "&amp;INDEX(PAM!$K$5:$K$41,24)</f>
        <v>(M) Redesenhar a decoração de PET (rótulo PE/PP ou tinta destintável validada), exigir adesivo lavável a 80 °C nas especificações de rótulo dos clientes e pedir certificação RecyClass das 3 famílias de maior volume.</v>
      </c>
      <c r="G29" s="24" t="str">
        <f>INDEX(PAM!$N$5:$N$41,24)</f>
        <v>Responsável de R&amp;D</v>
      </c>
      <c r="H29" s="25">
        <f>INDEX(PAM!$P$5:$P$41,24)</f>
        <v>46934</v>
      </c>
      <c r="I29" s="26" t="str">
        <f>IF(INDEX(PAM!$Q$5:$Q$41,24)&gt;=0.25,"X","")</f>
        <v>X</v>
      </c>
      <c r="J29" s="26" t="str">
        <f>IF(INDEX(PAM!$Q$5:$Q$41,24)&gt;=0.5,"X","")</f>
        <v/>
      </c>
      <c r="K29" s="26" t="str">
        <f>IF(INDEX(PAM!$Q$5:$Q$41,24)&gt;=0.75,"X","")</f>
        <v/>
      </c>
      <c r="L29" s="26" t="str">
        <f>IF(INDEX(PAM!$Q$5:$Q$41,24)&gt;=1,"X","")</f>
        <v/>
      </c>
      <c r="M29" s="25" t="str">
        <f>IF(INDEX(PAM!$R$5:$R$41,24)="","—",INDEX(PAM!$R$5:$R$41,24))</f>
        <v>—</v>
      </c>
      <c r="N29" s="23" t="str">
        <f>INDEX(PAM!$U$5:$U$41,24)</f>
        <v>Sim</v>
      </c>
      <c r="O29" s="24" t="str">
        <f>"A avaliar em: "&amp;TEXT(MONTH(INDEX(PAM!$AD$5:$AD$41,24)),"00")&amp;"/"&amp;YEAR(INDEX(PAM!$AD$5:$AD$41,24))&amp;" — "&amp;INDEX(PAM!$AC$5:$AC$41,24)&amp;" ["&amp;INDEX(PAM!$AE$5:$AE$41,24)&amp;"]"</f>
        <v>A avaliar em: 01/2028 — Eficaz se o KPI-18 ≥ 90% em 31/12/2027 e 3 famílias tiverem certificado RecyClass. [Por avaliar]</v>
      </c>
    </row>
    <row r="30" spans="1:15" ht="169.95" customHeight="1" x14ac:dyDescent="0.3">
      <c r="A30" s="23" t="str">
        <f>INDEX(PAM!$B$5:$B$41,25)</f>
        <v>25/26</v>
      </c>
      <c r="B30" s="24" t="str">
        <f>INDEX(PAM!$D$5:$D$41,25)&amp;" ("&amp;INDEX(PAM!$E$5:$E$41,25)&amp;")"</f>
        <v>Matriz de Riscos e Oportunidades (RO-05)</v>
      </c>
      <c r="C30" s="23" t="str">
        <f>INDEX(PAM!$F$5:$F$41,25)</f>
        <v>Não</v>
      </c>
      <c r="D30" s="24" t="str">
        <f>INDEX(PAM!$G$5:$G$41,25)</f>
        <v>Certificado de rPET do SUP-004 (CERT-03) expirado em 30/06/2026: o conteúdo reciclado declarado não é comprovável; a meta de 35% (art. 7.º) exige mais PCR certificado.</v>
      </c>
      <c r="E30" s="24" t="str">
        <f>INDEX(PAM!$H$5:$H$41,25)&amp;IF(INDEX(PAM!$I$5:$I$41,25)="—",""," CAUSA RAIZ: "&amp;INDEX(PAM!$I$5:$I$41,25))</f>
        <v>1. Porquê expirou? O fornecedor não renovou a auditoria EuCertPlast.
2. Porquê não foi detetado? Não havia controlo de validade dos certificados. CAUSA RAIZ: Ausência de controlo de validade dos certificados de reciclado.</v>
      </c>
      <c r="F30" s="24" t="str">
        <f>"("&amp;INDEX(PAM!$L$5:$L$41,25)&amp;") "&amp;INDEX(PAM!$K$5:$K$41,25)</f>
        <v>(C2) Controlo mensal de validade (tbl_certificados_pcr); exigir EN 15343 em todos os lotes de PCR; suspender a alegação ALG-05; plano para subir o PCR de 12% para 35% até 2030 (incl. reciclado químico ISCC PLUS para alimentar).</v>
      </c>
      <c r="G30" s="24" t="str">
        <f>INDEX(PAM!$N$5:$N$41,25)</f>
        <v>Responsável de Compras</v>
      </c>
      <c r="H30" s="25">
        <f>INDEX(PAM!$P$5:$P$41,25)</f>
        <v>46387</v>
      </c>
      <c r="I30" s="26" t="str">
        <f>IF(INDEX(PAM!$Q$5:$Q$41,25)&gt;=0.25,"X","")</f>
        <v>X</v>
      </c>
      <c r="J30" s="26" t="str">
        <f>IF(INDEX(PAM!$Q$5:$Q$41,25)&gt;=0.5,"X","")</f>
        <v>X</v>
      </c>
      <c r="K30" s="26" t="str">
        <f>IF(INDEX(PAM!$Q$5:$Q$41,25)&gt;=0.75,"X","")</f>
        <v>X</v>
      </c>
      <c r="L30" s="26" t="str">
        <f>IF(INDEX(PAM!$Q$5:$Q$41,25)&gt;=1,"X","")</f>
        <v>X</v>
      </c>
      <c r="M30" s="25">
        <f>IF(INDEX(PAM!$R$5:$R$41,25)="","—",INDEX(PAM!$R$5:$R$41,25))</f>
        <v>46374</v>
      </c>
      <c r="N30" s="23" t="str">
        <f>INDEX(PAM!$U$5:$U$41,25)</f>
        <v>Sim</v>
      </c>
      <c r="O30" s="24" t="str">
        <f>"A avaliar em: "&amp;TEXT(MONTH(INDEX(PAM!$AD$5:$AD$41,25)),"00")&amp;"/"&amp;YEAR(INDEX(PAM!$AD$5:$AD$41,25))&amp;" — "&amp;INDEX(PAM!$AC$5:$AC$41,25)&amp;" ["&amp;INDEX(PAM!$AE$5:$AE$41,25)&amp;"]"</f>
        <v>A avaliar em: 06/2027 — Eficaz se 100% dos materiais com PCR tiverem certificado válido durante 6 meses seguidos. [Por avaliar]</v>
      </c>
    </row>
    <row r="31" spans="1:15" ht="169.95" customHeight="1" x14ac:dyDescent="0.3">
      <c r="A31" s="23" t="str">
        <f>INDEX(PAM!$B$5:$B$41,26)</f>
        <v>26/26</v>
      </c>
      <c r="B31" s="24" t="str">
        <f>INDEX(PAM!$D$5:$D$41,26)&amp;" ("&amp;INDEX(PAM!$E$5:$E$41,26)&amp;")"</f>
        <v>Tabela de Legislação (LEG-19)</v>
      </c>
      <c r="C31" s="23" t="str">
        <f>INDEX(PAM!$F$5:$F$41,26)</f>
        <v>Não</v>
      </c>
      <c r="D31" s="24" t="str">
        <f>INDEX(PAM!$G$5:$G$41,26)</f>
        <v>Requisitos por verificar: uso dos frascos alimentares para bebidas (tampas presas), óleos minerais nas tintas (França) e reutilização de paletes (PPWR art. 29.º).</v>
      </c>
      <c r="E31" s="24" t="str">
        <f>INDEX(PAM!$H$5:$H$41,26)&amp;IF(INDEX(PAM!$I$5:$I$41,26)="—",""," CAUSA RAIZ: "&amp;INDEX(PAM!$I$5:$I$41,26))</f>
        <v>—</v>
      </c>
      <c r="F31" s="24" t="str">
        <f>"("&amp;INDEX(PAM!$L$5:$L$41,26)&amp;") "&amp;INDEX(PAM!$K$5:$K$41,26)</f>
        <v>(M) Obter declaração de utilização de CUST-015/016, declaração MOSH/MOAH das tintas e estudo de pool de paletes com retorno para clientes em Portugal.</v>
      </c>
      <c r="G31" s="24" t="str">
        <f>INDEX(PAM!$N$5:$N$41,26)</f>
        <v>Responsável de R&amp;D</v>
      </c>
      <c r="H31" s="25">
        <f>INDEX(PAM!$P$5:$P$41,26)</f>
        <v>46356</v>
      </c>
      <c r="I31" s="26" t="str">
        <f>IF(INDEX(PAM!$Q$5:$Q$41,26)&gt;=0.25,"X","")</f>
        <v>X</v>
      </c>
      <c r="J31" s="26" t="str">
        <f>IF(INDEX(PAM!$Q$5:$Q$41,26)&gt;=0.5,"X","")</f>
        <v>X</v>
      </c>
      <c r="K31" s="26" t="str">
        <f>IF(INDEX(PAM!$Q$5:$Q$41,26)&gt;=0.75,"X","")</f>
        <v>X</v>
      </c>
      <c r="L31" s="26" t="str">
        <f>IF(INDEX(PAM!$Q$5:$Q$41,26)&gt;=1,"X","")</f>
        <v>X</v>
      </c>
      <c r="M31" s="25">
        <f>IF(INDEX(PAM!$R$5:$R$41,26)="","—",INDEX(PAM!$R$5:$R$41,26))</f>
        <v>46360</v>
      </c>
      <c r="N31" s="23" t="str">
        <f>INDEX(PAM!$U$5:$U$41,26)</f>
        <v>Sim</v>
      </c>
      <c r="O31" s="24" t="str">
        <f>"A avaliar em: "&amp;TEXT(MONTH(INDEX(PAM!$AD$5:$AD$41,26)),"00")&amp;"/"&amp;YEAR(INDEX(PAM!$AD$5:$AD$41,26))&amp;" — "&amp;INDEX(PAM!$AC$5:$AC$41,26)&amp;" ["&amp;INDEX(PAM!$AE$5:$AE$41,26)&amp;"]"</f>
        <v>A avaliar em: 12/2026 — Eficaz se os 3 requisitos tiverem estado confirmado na matriz (tbl_requisitos_emb) até 30/11/2026. [Por avaliar]</v>
      </c>
    </row>
    <row r="32" spans="1:15" ht="169.95" customHeight="1" x14ac:dyDescent="0.3">
      <c r="A32" s="23" t="str">
        <f>INDEX(PAM!$B$5:$B$41,27)</f>
        <v>27/26</v>
      </c>
      <c r="B32" s="24" t="str">
        <f>INDEX(PAM!$D$5:$D$41,27)&amp;" ("&amp;INDEX(PAM!$E$5:$E$41,27)&amp;")"</f>
        <v>Tabela de Legislação (LEG-18)</v>
      </c>
      <c r="C32" s="23" t="str">
        <f>INDEX(PAM!$F$5:$F$41,27)</f>
        <v>Não</v>
      </c>
      <c r="D32" s="24" t="str">
        <f>INDEX(PAM!$G$5:$G$41,27)</f>
        <v>Alegações no site e catálogo proibidas pela Diretiva 2024/825 a partir de 27/09/2026 ('eco-friendly', '100% recicláveis', 'neutra em carbono').</v>
      </c>
      <c r="E32" s="24" t="str">
        <f>INDEX(PAM!$H$5:$H$41,27)&amp;IF(INDEX(PAM!$I$5:$I$41,27)="—",""," CAUSA RAIZ: "&amp;INDEX(PAM!$I$5:$I$41,27))</f>
        <v>1. Porquê existem? Foram criadas pelo marketing em 2023.
2. Porquê não foram revistas? PR-SGA-14 só foi emitido em 09/2026. CAUSA RAIZ: Comunicações comerciais sem validação ambiental.</v>
      </c>
      <c r="F32" s="24" t="str">
        <f>"("&amp;INDEX(PAM!$L$5:$L$41,27)&amp;") "&amp;INDEX(PAM!$K$5:$K$41,27)</f>
        <v>(C1) Retirar ALG-01, 02 e 08 do site e catálogo; suspender ALG-05; formar a área comercial no PR-SGA-14.</v>
      </c>
      <c r="G32" s="24" t="str">
        <f>INDEX(PAM!$N$5:$N$41,27)</f>
        <v>Diretor Geral (Gestão de Topo)</v>
      </c>
      <c r="H32" s="25">
        <f>INDEX(PAM!$P$5:$P$41,27)</f>
        <v>46292</v>
      </c>
      <c r="I32" s="26" t="str">
        <f>IF(INDEX(PAM!$Q$5:$Q$41,27)&gt;=0.25,"X","")</f>
        <v>X</v>
      </c>
      <c r="J32" s="26" t="str">
        <f>IF(INDEX(PAM!$Q$5:$Q$41,27)&gt;=0.5,"X","")</f>
        <v>X</v>
      </c>
      <c r="K32" s="26" t="str">
        <f>IF(INDEX(PAM!$Q$5:$Q$41,27)&gt;=0.75,"X","")</f>
        <v>X</v>
      </c>
      <c r="L32" s="26" t="str">
        <f>IF(INDEX(PAM!$Q$5:$Q$41,27)&gt;=1,"X","")</f>
        <v>X</v>
      </c>
      <c r="M32" s="25">
        <f>IF(INDEX(PAM!$R$5:$R$41,27)="","—",INDEX(PAM!$R$5:$R$41,27))</f>
        <v>46294</v>
      </c>
      <c r="N32" s="23" t="str">
        <f>INDEX(PAM!$U$5:$U$41,27)</f>
        <v>Sim</v>
      </c>
      <c r="O32" s="24" t="str">
        <f>"A avaliar em: "&amp;TEXT(MONTH(INDEX(PAM!$AD$5:$AD$41,27)),"00")&amp;"/"&amp;YEAR(INDEX(PAM!$AD$5:$AD$41,27))&amp;" — "&amp;INDEX(PAM!$AC$5:$AC$41,27)&amp;" ["&amp;INDEX(PAM!$AE$5:$AE$41,27)&amp;"]"</f>
        <v>A avaliar em: 11/2026 — Eficaz se, na verificação de 30/09/2026, não existir nenhuma alegação com estado Retirar/Proibida no site e catálogo. [Eficaz]</v>
      </c>
    </row>
    <row r="33" spans="1:15" ht="169.95" customHeight="1" x14ac:dyDescent="0.3">
      <c r="A33" s="23" t="str">
        <f>INDEX(PAM!$B$5:$B$41,28)</f>
        <v>28/26</v>
      </c>
      <c r="B33" s="24" t="str">
        <f>INDEX(PAM!$D$5:$D$41,28)&amp;" ("&amp;INDEX(PAM!$E$5:$E$41,28)&amp;")"</f>
        <v>Tabela de Legislação (LEG-06)</v>
      </c>
      <c r="C33" s="23" t="str">
        <f>INDEX(PAM!$F$5:$F$41,28)</f>
        <v>Não</v>
      </c>
      <c r="D33" s="24" t="str">
        <f>INDEX(PAM!$G$5:$G$41,28)</f>
        <v>REACH: polímeros importados do Reino Unido (SUP-004) e de Singapura (SUP-005) sem representante único — a Plasticom é importadora sem registo dos monómeros/aditivos ≥ 1 t/ano; PVC spot sem declaração de ftalatos/chumbo.</v>
      </c>
      <c r="E33" s="24" t="str">
        <f>INDEX(PAM!$H$5:$H$41,28)&amp;IF(INDEX(PAM!$I$5:$I$41,28)="—",""," CAUSA RAIZ: "&amp;INDEX(PAM!$I$5:$I$41,28))</f>
        <v>1. Porquê sem RU? Nunca foi pedido na qualificação do fornecedor.
2. Porquê? O critério de compra só pedia FDS e certificado de qualidade; o Brexit mudou o estatuto do SUP-004 sem revisão. CAUSA RAIZ: Qualificação de fornecedores sem verificação do papel REACH (importador vs utilizador a jusante).</v>
      </c>
      <c r="F33" s="24" t="str">
        <f>"("&amp;INDEX(PAM!$L$5:$L$41,28)&amp;") "&amp;INDEX(PAM!$K$5:$K$41,28)</f>
        <v>(C2) Obter carta de RU (SUP-004) ou comprar via importador UE; manter suspensas as compras spot do SUP-005 e analisar os SKUs de PVC; incluir 'origem EEE / RU' no critério CRIT-07 de fornecedores (RG-SGA-21 tbl_registo_reach).</v>
      </c>
      <c r="G33" s="24" t="str">
        <f>INDEX(PAM!$N$5:$N$41,28)</f>
        <v>Responsável de Compras</v>
      </c>
      <c r="H33" s="25">
        <f>INDEX(PAM!$P$5:$P$41,28)</f>
        <v>46356</v>
      </c>
      <c r="I33" s="26" t="str">
        <f>IF(INDEX(PAM!$Q$5:$Q$41,28)&gt;=0.25,"X","")</f>
        <v>X</v>
      </c>
      <c r="J33" s="26" t="str">
        <f>IF(INDEX(PAM!$Q$5:$Q$41,28)&gt;=0.5,"X","")</f>
        <v>X</v>
      </c>
      <c r="K33" s="26" t="str">
        <f>IF(INDEX(PAM!$Q$5:$Q$41,28)&gt;=0.75,"X","")</f>
        <v>X</v>
      </c>
      <c r="L33" s="26" t="str">
        <f>IF(INDEX(PAM!$Q$5:$Q$41,28)&gt;=1,"X","")</f>
        <v/>
      </c>
      <c r="M33" s="25" t="str">
        <f>IF(INDEX(PAM!$R$5:$R$41,28)="","—",INDEX(PAM!$R$5:$R$41,28))</f>
        <v>—</v>
      </c>
      <c r="N33" s="23" t="str">
        <f>INDEX(PAM!$U$5:$U$41,28)</f>
        <v>Sim</v>
      </c>
      <c r="O33" s="24" t="str">
        <f>"A avaliar em: "&amp;TEXT(MONTH(INDEX(PAM!$AD$5:$AD$41,28)),"00")&amp;"/"&amp;YEAR(INDEX(PAM!$AD$5:$AD$41,28))&amp;" — "&amp;INDEX(PAM!$AC$5:$AC$41,28)&amp;" ["&amp;INDEX(PAM!$AE$5:$AE$41,28)&amp;"]"</f>
        <v>A avaliar em: 01/2027 — Eficaz se 0 lacunas em tbl_registo_reach (RG-SGA-21) em 31/12/2026. [Por avaliar]</v>
      </c>
    </row>
    <row r="34" spans="1:15" ht="169.95" customHeight="1" x14ac:dyDescent="0.3">
      <c r="A34" s="23" t="str">
        <f>INDEX(PAM!$B$5:$B$41,29)</f>
        <v>29/26</v>
      </c>
      <c r="B34" s="24" t="str">
        <f>INDEX(PAM!$D$5:$D$41,29)&amp;" ("&amp;INDEX(PAM!$E$5:$E$41,29)&amp;")"</f>
        <v>Tabela de Legislação (LEG-06)</v>
      </c>
      <c r="C34" s="23" t="str">
        <f>INDEX(PAM!$F$5:$F$41,29)</f>
        <v>Não</v>
      </c>
      <c r="D34" s="24" t="str">
        <f>INDEX(PAM!$G$5:$G$41,29)</f>
        <v>Tinta UV do ensaio na SS-002 (ALT-2025-01) contém fotoiniciador 71868-10-5 (Repr. 1B, SVHC) — mistura H360FD; sem lista de trabalhadores expostos (DL 301/2000).</v>
      </c>
      <c r="E34" s="24" t="str">
        <f>INDEX(PAM!$H$5:$H$41,29)&amp;IF(INDEX(PAM!$I$5:$I$41,29)="—",""," CAUSA RAIZ: "&amp;INDEX(PAM!$I$5:$I$41,29))</f>
        <v>1. Porquê entrou? O ensaio avaliou COV e energia, não a toxicidade.
2. Porquê? A aprovação de químicos novos não tinha verificação de CMR/SVHC (antes do PR-SGA-16). CAUSA RAIZ: Aprovação de produtos químicos sem triagem CMR/SVHC.</v>
      </c>
      <c r="F34" s="24" t="str">
        <f>"("&amp;INDEX(PAM!$L$5:$L$41,29)&amp;") "&amp;INDEX(PAM!$K$5:$K$41,29)</f>
        <v>(C2) Substituir por tinta UV sem fotoiniciadores Repr. 1B; até lá: 3 operadores formados, sem grávidas/lactantes, lista de expostos e vigilância da saúde; triagem CMR/SVHC obrigatória na aprovação (PR-SGA-16).</v>
      </c>
      <c r="G34" s="24" t="str">
        <f>INDEX(PAM!$N$5:$N$41,29)</f>
        <v>Responsável de R&amp;D</v>
      </c>
      <c r="H34" s="25">
        <f>INDEX(PAM!$P$5:$P$41,29)</f>
        <v>46387</v>
      </c>
      <c r="I34" s="26" t="str">
        <f>IF(INDEX(PAM!$Q$5:$Q$41,29)&gt;=0.25,"X","")</f>
        <v>X</v>
      </c>
      <c r="J34" s="26" t="str">
        <f>IF(INDEX(PAM!$Q$5:$Q$41,29)&gt;=0.5,"X","")</f>
        <v>X</v>
      </c>
      <c r="K34" s="26" t="str">
        <f>IF(INDEX(PAM!$Q$5:$Q$41,29)&gt;=0.75,"X","")</f>
        <v/>
      </c>
      <c r="L34" s="26" t="str">
        <f>IF(INDEX(PAM!$Q$5:$Q$41,29)&gt;=1,"X","")</f>
        <v/>
      </c>
      <c r="M34" s="25" t="str">
        <f>IF(INDEX(PAM!$R$5:$R$41,29)="","—",INDEX(PAM!$R$5:$R$41,29))</f>
        <v>—</v>
      </c>
      <c r="N34" s="23" t="str">
        <f>INDEX(PAM!$U$5:$U$41,29)</f>
        <v>Sim</v>
      </c>
      <c r="O34" s="24" t="str">
        <f>"A avaliar em: "&amp;TEXT(MONTH(INDEX(PAM!$AD$5:$AD$41,29)),"00")&amp;"/"&amp;YEAR(INDEX(PAM!$AD$5:$AD$41,29))&amp;" — "&amp;INDEX(PAM!$AC$5:$AC$41,29)&amp;" ["&amp;INDEX(PAM!$AE$5:$AE$41,29)&amp;"]"</f>
        <v>A avaliar em: 01/2027 — Eficaz se 0 produtos CMR 1A/1B no inventário (RG-SGA-21) em 31/12/2026. [Por avaliar]</v>
      </c>
    </row>
    <row r="35" spans="1:15" ht="169.95" customHeight="1" x14ac:dyDescent="0.3">
      <c r="A35" s="23" t="str">
        <f>INDEX(PAM!$B$5:$B$41,30)</f>
        <v>30/26</v>
      </c>
      <c r="B35" s="24" t="str">
        <f>INDEX(PAM!$D$5:$D$41,30)&amp;" ("&amp;INDEX(PAM!$E$5:$E$41,30)&amp;")"</f>
        <v>Tabela de Legislação (LEG-06)</v>
      </c>
      <c r="C35" s="23" t="str">
        <f>INDEX(PAM!$F$5:$F$41,30)</f>
        <v>Não</v>
      </c>
      <c r="D35" s="24" t="str">
        <f>INDEX(PAM!$G$5:$G$41,30)</f>
        <v>Limpa-moldes em aerossol com n-hexano (SVHC desde 02/2026; Repr. 2, STOT RE 2) pulverizado sem captação (prioridade P1); uso industrial fora do cenário de exposição do fornecedor.</v>
      </c>
      <c r="E35" s="24" t="str">
        <f>INDEX(PAM!$H$5:$H$41,30)&amp;IF(INDEX(PAM!$I$5:$I$41,30)="—",""," CAUSA RAIZ: "&amp;INDEX(PAM!$I$5:$I$41,30))</f>
        <v>—</v>
      </c>
      <c r="F35" s="24" t="str">
        <f>"("&amp;INDEX(PAM!$L$5:$L$41,30)&amp;") "&amp;INDEX(PAM!$K$5:$K$41,30)</f>
        <v>(C2) Substituir por limpa-moldes sem n-hexano (base de ésteres/álcool) validado em 2 moldes; medir n-hexano até à substituição.</v>
      </c>
      <c r="G35" s="24" t="str">
        <f>INDEX(PAM!$N$5:$N$41,30)</f>
        <v>Gerente de Manutenção</v>
      </c>
      <c r="H35" s="25">
        <f>INDEX(PAM!$P$5:$P$41,30)</f>
        <v>46371</v>
      </c>
      <c r="I35" s="26" t="str">
        <f>IF(INDEX(PAM!$Q$5:$Q$41,30)&gt;=0.25,"X","")</f>
        <v>X</v>
      </c>
      <c r="J35" s="26" t="str">
        <f>IF(INDEX(PAM!$Q$5:$Q$41,30)&gt;=0.5,"X","")</f>
        <v>X</v>
      </c>
      <c r="K35" s="26" t="str">
        <f>IF(INDEX(PAM!$Q$5:$Q$41,30)&gt;=0.75,"X","")</f>
        <v>X</v>
      </c>
      <c r="L35" s="26" t="str">
        <f>IF(INDEX(PAM!$Q$5:$Q$41,30)&gt;=1,"X","")</f>
        <v>X</v>
      </c>
      <c r="M35" s="25">
        <f>IF(INDEX(PAM!$R$5:$R$41,30)="","—",INDEX(PAM!$R$5:$R$41,30))</f>
        <v>46366</v>
      </c>
      <c r="N35" s="23" t="str">
        <f>INDEX(PAM!$U$5:$U$41,30)</f>
        <v>Sim</v>
      </c>
      <c r="O35" s="24" t="str">
        <f>"A avaliar em: "&amp;TEXT(MONTH(INDEX(PAM!$AD$5:$AD$41,30)),"00")&amp;"/"&amp;YEAR(INDEX(PAM!$AD$5:$AD$41,30))&amp;" — "&amp;INDEX(PAM!$AC$5:$AC$41,30)&amp;" ["&amp;INDEX(PAM!$AE$5:$AE$41,30)&amp;"]"</f>
        <v>A avaliar em: 01/2027 — Eficaz se o produto for retirado do inventário e dos armários até 15/12/2026. [Por avaliar]</v>
      </c>
    </row>
    <row r="36" spans="1:15" ht="169.95" customHeight="1" x14ac:dyDescent="0.3">
      <c r="A36" s="23" t="str">
        <f>INDEX(PAM!$B$5:$B$41,31)</f>
        <v>31/26</v>
      </c>
      <c r="B36" s="24" t="str">
        <f>INDEX(PAM!$D$5:$D$41,31)&amp;" ("&amp;INDEX(PAM!$E$5:$E$41,31)&amp;")"</f>
        <v>Tabela de Legislação (LEG-06)</v>
      </c>
      <c r="C36" s="23" t="str">
        <f>INDEX(PAM!$F$5:$F$41,31)</f>
        <v>Não</v>
      </c>
      <c r="D36" s="24" t="str">
        <f>INDEX(PAM!$G$5:$G$41,31)</f>
        <v>Cenários de exposição do solvente de limpeza (CE-01) e do diluente (CE-02) não cumpridos na SS-001: limpeza manual 2 h/turno sem captação; CE-02 com o prazo de 12 meses (art. 39.º) ultrapassado.</v>
      </c>
      <c r="E36" s="24" t="str">
        <f>INDEX(PAM!$H$5:$H$41,31)&amp;IF(INDEX(PAM!$I$5:$I$41,31)="—",""," CAUSA RAIZ: "&amp;INDEX(PAM!$I$5:$I$41,31))</f>
        <v>1. Porquê? A SS-001 é a máquina antiga sem mesa aspirante.
2. Porquê não se tratou? Os CE recebidos com as FDS nunca eram comparados com o uso real. CAUSA RAIZ: Ausência de verificação dos cenários de exposição.</v>
      </c>
      <c r="F36" s="24" t="str">
        <f>"("&amp;INDEX(PAM!$L$5:$L$41,31)&amp;") "&amp;INDEX(PAM!$K$5:$K$41,31)</f>
        <v>(C2) Instalar mesa aspirante na SS-001; luvas de butilo; verificar cada CE recebido em tbl_ce_reach (RG-SGA-21) no prazo de 12 meses.</v>
      </c>
      <c r="G36" s="24" t="str">
        <f>INDEX(PAM!$N$5:$N$41,31)</f>
        <v>Gerente de Produção</v>
      </c>
      <c r="H36" s="25">
        <f>INDEX(PAM!$P$5:$P$41,31)</f>
        <v>46387</v>
      </c>
      <c r="I36" s="26" t="str">
        <f>IF(INDEX(PAM!$Q$5:$Q$41,31)&gt;=0.25,"X","")</f>
        <v>X</v>
      </c>
      <c r="J36" s="26" t="str">
        <f>IF(INDEX(PAM!$Q$5:$Q$41,31)&gt;=0.5,"X","")</f>
        <v>X</v>
      </c>
      <c r="K36" s="26" t="str">
        <f>IF(INDEX(PAM!$Q$5:$Q$41,31)&gt;=0.75,"X","")</f>
        <v>X</v>
      </c>
      <c r="L36" s="26" t="str">
        <f>IF(INDEX(PAM!$Q$5:$Q$41,31)&gt;=1,"X","")</f>
        <v>X</v>
      </c>
      <c r="M36" s="25">
        <f>IF(INDEX(PAM!$R$5:$R$41,31)="","—",INDEX(PAM!$R$5:$R$41,31))</f>
        <v>46373</v>
      </c>
      <c r="N36" s="23" t="str">
        <f>INDEX(PAM!$U$5:$U$41,31)</f>
        <v>Sim</v>
      </c>
      <c r="O36" s="24" t="str">
        <f>"A avaliar em: "&amp;TEXT(MONTH(INDEX(PAM!$AD$5:$AD$41,31)),"00")&amp;"/"&amp;YEAR(INDEX(PAM!$AD$5:$AD$41,31))&amp;" — "&amp;INDEX(PAM!$AC$5:$AC$41,31)&amp;" ["&amp;INDEX(PAM!$AE$5:$AE$41,31)&amp;"]"</f>
        <v>A avaliar em: 01/2027 — Eficaz se a medição de 11/2026 na SS-001 der índice de exposição &lt; 0,1 (teste preliminar NP EN 689). [Por avaliar]</v>
      </c>
    </row>
    <row r="37" spans="1:15" ht="169.95" customHeight="1" x14ac:dyDescent="0.3">
      <c r="A37" s="23" t="str">
        <f>INDEX(PAM!$B$5:$B$41,32)</f>
        <v>32/26</v>
      </c>
      <c r="B37" s="24" t="str">
        <f>INDEX(PAM!$D$5:$D$41,32)&amp;" ("&amp;INDEX(PAM!$E$5:$E$41,32)&amp;")"</f>
        <v>Tabela de Legislação (LEG-06)</v>
      </c>
      <c r="C37" s="23" t="str">
        <f>INDEX(PAM!$F$5:$F$41,32)</f>
        <v>Não</v>
      </c>
      <c r="D37" s="24" t="str">
        <f>INDEX(PAM!$G$5:$G$41,32)</f>
        <v>Formação obrigatória em falta: 2 operadores de serigrafia sem formação em diisocianatos (anexo XVII, entrada 74) e técnicos de utilidades com formação em biocidas vencida.</v>
      </c>
      <c r="E37" s="24" t="str">
        <f>INDEX(PAM!$H$5:$H$41,32)&amp;IF(INDEX(PAM!$I$5:$I$41,32)="—",""," CAUSA RAIZ: "&amp;INDEX(PAM!$I$5:$I$41,32))</f>
        <v>1. Porquê? Os novos operadores começaram antes da formação.
2. Porquê? O acolhimento não bloqueia tarefas que exigem formação legal prévia. CAUSA RAIZ: Acolhimento sem verificação de formações obrigatórias por tarefa.</v>
      </c>
      <c r="F37" s="24" t="str">
        <f>"("&amp;INDEX(PAM!$L$5:$L$41,32)&amp;") "&amp;INDEX(PAM!$K$5:$K$41,32)</f>
        <v>(C2) Formar os 2 operadores antes de usarem a tinta 2K; renovar a formação em biocidas (FOR-12); tornar FOR-13 obrigatória no acolhimento da serigrafia (RG-SGA-08).</v>
      </c>
      <c r="G37" s="24" t="str">
        <f>INDEX(PAM!$N$5:$N$41,32)</f>
        <v>Responsável de Recursos Humanos</v>
      </c>
      <c r="H37" s="25">
        <f>INDEX(PAM!$P$5:$P$41,32)</f>
        <v>46326</v>
      </c>
      <c r="I37" s="26" t="str">
        <f>IF(INDEX(PAM!$Q$5:$Q$41,32)&gt;=0.25,"X","")</f>
        <v>X</v>
      </c>
      <c r="J37" s="26" t="str">
        <f>IF(INDEX(PAM!$Q$5:$Q$41,32)&gt;=0.5,"X","")</f>
        <v>X</v>
      </c>
      <c r="K37" s="26" t="str">
        <f>IF(INDEX(PAM!$Q$5:$Q$41,32)&gt;=0.75,"X","")</f>
        <v>X</v>
      </c>
      <c r="L37" s="26" t="str">
        <f>IF(INDEX(PAM!$Q$5:$Q$41,32)&gt;=1,"X","")</f>
        <v>X</v>
      </c>
      <c r="M37" s="25">
        <f>IF(INDEX(PAM!$R$5:$R$41,32)="","—",INDEX(PAM!$R$5:$R$41,32))</f>
        <v>46322</v>
      </c>
      <c r="N37" s="23" t="str">
        <f>INDEX(PAM!$U$5:$U$41,32)</f>
        <v>Não</v>
      </c>
      <c r="O37" s="24" t="str">
        <f>"A avaliar em: "&amp;TEXT(MONTH(INDEX(PAM!$AD$5:$AD$41,32)),"00")&amp;"/"&amp;YEAR(INDEX(PAM!$AD$5:$AD$41,32))&amp;" — "&amp;INDEX(PAM!$AC$5:$AC$41,32)&amp;" ["&amp;INDEX(PAM!$AE$5:$AE$41,32)&amp;"]"</f>
        <v>A avaliar em: 12/2026 — Eficaz se 0 registos pendentes ou fora de validade de FOR-12 e FOR-13 no RG-SGA-08 em 30/11/2026. [Eficaz]</v>
      </c>
    </row>
    <row r="38" spans="1:15" ht="169.95" customHeight="1" x14ac:dyDescent="0.3">
      <c r="A38" s="23" t="str">
        <f>INDEX(PAM!$B$5:$B$41,33)</f>
        <v>33/26</v>
      </c>
      <c r="B38" s="24" t="str">
        <f>INDEX(PAM!$D$5:$D$41,33)&amp;" ("&amp;INDEX(PAM!$E$5:$E$41,33)&amp;")"</f>
        <v>Tabela de Legislação (LEG-06)</v>
      </c>
      <c r="C38" s="23" t="str">
        <f>INDEX(PAM!$F$5:$F$41,33)</f>
        <v>Não</v>
      </c>
      <c r="D38" s="24" t="str">
        <f>INDEX(PAM!$G$5:$G$41,33)</f>
        <v>Armazenagem e EPI de químicos: hipoclorito (EUH031) na mesma bacia do anti-incrustante ácido (ARM-04); sala de baterias sem viseira facial (CE-08, prazo do art. 39.º ultrapassado); 6 locais de químicos fora do armazém sem ponto de ronda.</v>
      </c>
      <c r="E38" s="24" t="str">
        <f>INDEX(PAM!$H$5:$H$41,33)&amp;IF(INDEX(PAM!$I$5:$I$41,33)="—",""," CAUSA RAIZ: "&amp;INDEX(PAM!$I$5:$I$41,33))</f>
        <v>1. Porquê? Os produtos da torre foram entregues juntos pelo fornecedor.
2. Porquê não se detetou? A ronda só cobria o armazém principal e a serigrafia. CAUSA RAIZ: Ronda ambiental sem cobertura dos locais de químicos fora do armazém.</v>
      </c>
      <c r="F38" s="24" t="str">
        <f>"("&amp;INDEX(PAM!$L$5:$L$41,33)&amp;") "&amp;INDEX(PAM!$K$5:$K$41,33)</f>
        <v>(C2) Bacias separadas e sinalização da incompatibilidade na torre; viseira facial na sala de carga; novo ponto de ronda RON-11 (RG-SGA-10) para torre, oficina, gases, gasóleo, laboratório e baterias.</v>
      </c>
      <c r="G38" s="24" t="str">
        <f>INDEX(PAM!$N$5:$N$41,33)</f>
        <v>Gerente de Manutenção</v>
      </c>
      <c r="H38" s="25">
        <f>INDEX(PAM!$P$5:$P$41,33)</f>
        <v>46326</v>
      </c>
      <c r="I38" s="26" t="str">
        <f>IF(INDEX(PAM!$Q$5:$Q$41,33)&gt;=0.25,"X","")</f>
        <v>X</v>
      </c>
      <c r="J38" s="26" t="str">
        <f>IF(INDEX(PAM!$Q$5:$Q$41,33)&gt;=0.5,"X","")</f>
        <v>X</v>
      </c>
      <c r="K38" s="26" t="str">
        <f>IF(INDEX(PAM!$Q$5:$Q$41,33)&gt;=0.75,"X","")</f>
        <v>X</v>
      </c>
      <c r="L38" s="26" t="str">
        <f>IF(INDEX(PAM!$Q$5:$Q$41,33)&gt;=1,"X","")</f>
        <v>X</v>
      </c>
      <c r="M38" s="25">
        <f>IF(INDEX(PAM!$R$5:$R$41,33)="","—",INDEX(PAM!$R$5:$R$41,33))</f>
        <v>46325</v>
      </c>
      <c r="N38" s="23" t="str">
        <f>INDEX(PAM!$U$5:$U$41,33)</f>
        <v>Sim</v>
      </c>
      <c r="O38" s="24" t="str">
        <f>"A avaliar em: "&amp;TEXT(MONTH(INDEX(PAM!$AD$5:$AD$41,33)),"00")&amp;"/"&amp;YEAR(INDEX(PAM!$AD$5:$AD$41,33))&amp;" — "&amp;INDEX(PAM!$AC$5:$AC$41,33)&amp;" ["&amp;INDEX(PAM!$AE$5:$AE$41,33)&amp;"]"</f>
        <v>A avaliar em: 12/2026 — Eficaz se as 2 primeiras rondas RON-11 (out. e nov./2026) forem conformes. [Por avaliar]</v>
      </c>
    </row>
    <row r="39" spans="1:15" ht="169.95" customHeight="1" x14ac:dyDescent="0.3">
      <c r="A39" s="23" t="str">
        <f>INDEX(PAM!$B$5:$B$41,34)</f>
        <v>34/26</v>
      </c>
      <c r="B39" s="24" t="str">
        <f>INDEX(PAM!$D$5:$D$41,34)&amp;" ("&amp;INDEX(PAM!$E$5:$E$41,34)&amp;")"</f>
        <v>Tabela de Legislação (LEG-06)</v>
      </c>
      <c r="C39" s="23" t="str">
        <f>INDEX(PAM!$F$5:$F$41,34)</f>
        <v>Não</v>
      </c>
      <c r="D39" s="24" t="str">
        <f>INDEX(PAM!$G$5:$G$41,34)</f>
        <v>Informação de fornecedores incompleta: 6 FDS a corrigir ou atualizar (2 de 2021), 7 declarações SVHC desatualizadas ou em falta (lista de 253 entradas), D4/D5/D6 do desmoldante por confirmar e verificação da lista candidata de junho/2026 em atraso (OBR-19).</v>
      </c>
      <c r="E39" s="24" t="str">
        <f>INDEX(PAM!$H$5:$H$41,34)&amp;IF(INDEX(PAM!$I$5:$I$41,34)="—",""," CAUSA RAIZ: "&amp;INDEX(PAM!$I$5:$I$41,34))</f>
        <v>1. Porquê? Os pedidos aos fornecedores não tinham prazo nem seguimento.
2. Porquê? Não havia registo da versão da lista coberta por cada declaração. CAUSA RAIZ: Gestão da informação de fornecedores sem controlo de versão.</v>
      </c>
      <c r="F39" s="24" t="str">
        <f>"("&amp;INDEX(PAM!$L$5:$L$41,34)&amp;") "&amp;INDEX(PAM!$K$5:$K$41,34)</f>
        <v>(C2) Pedidos formais com prazo de 30 dias; declaração com n.º de entradas da lista coberta (RG-SGA-21 tbl_declaracoes); compras bloqueadas para produtos sem FDS válida; verificação semestral da lista (OBR-19).</v>
      </c>
      <c r="G39" s="24" t="str">
        <f>INDEX(PAM!$N$5:$N$41,34)</f>
        <v>Responsável de Compras</v>
      </c>
      <c r="H39" s="25">
        <f>INDEX(PAM!$P$5:$P$41,34)</f>
        <v>46356</v>
      </c>
      <c r="I39" s="26" t="str">
        <f>IF(INDEX(PAM!$Q$5:$Q$41,34)&gt;=0.25,"X","")</f>
        <v>X</v>
      </c>
      <c r="J39" s="26" t="str">
        <f>IF(INDEX(PAM!$Q$5:$Q$41,34)&gt;=0.5,"X","")</f>
        <v>X</v>
      </c>
      <c r="K39" s="26" t="str">
        <f>IF(INDEX(PAM!$Q$5:$Q$41,34)&gt;=0.75,"X","")</f>
        <v>X</v>
      </c>
      <c r="L39" s="26" t="str">
        <f>IF(INDEX(PAM!$Q$5:$Q$41,34)&gt;=1,"X","")</f>
        <v>X</v>
      </c>
      <c r="M39" s="25">
        <f>IF(INDEX(PAM!$R$5:$R$41,34)="","—",INDEX(PAM!$R$5:$R$41,34))</f>
        <v>46353</v>
      </c>
      <c r="N39" s="23" t="str">
        <f>INDEX(PAM!$U$5:$U$41,34)</f>
        <v>Não</v>
      </c>
      <c r="O39" s="24" t="str">
        <f>"A avaliar em: "&amp;TEXT(MONTH(INDEX(PAM!$AD$5:$AD$41,34)),"00")&amp;"/"&amp;YEAR(INDEX(PAM!$AD$5:$AD$41,34))&amp;" — "&amp;INDEX(PAM!$AC$5:$AC$41,34)&amp;" ["&amp;INDEX(PAM!$AE$5:$AE$41,34)&amp;"]"</f>
        <v>A avaliar em: 01/2027 — Eficaz se 0 FDS 'Pedir correção' e 0 declarações 'Desatualizada/Em falta' em 31/12/2026. [Por avaliar]</v>
      </c>
    </row>
    <row r="40" spans="1:15" ht="169.95" customHeight="1" x14ac:dyDescent="0.3">
      <c r="A40" s="23" t="str">
        <f>INDEX(PAM!$B$5:$B$41,35)</f>
        <v>35/26</v>
      </c>
      <c r="B40" s="24" t="str">
        <f>INDEX(PAM!$D$5:$D$41,35)&amp;" ("&amp;INDEX(PAM!$E$5:$E$41,35)&amp;")"</f>
        <v>Tabela de Legislação (LEG-22)</v>
      </c>
      <c r="C40" s="23" t="str">
        <f>INDEX(PAM!$F$5:$F$41,35)</f>
        <v>Não</v>
      </c>
      <c r="D40" s="24" t="str">
        <f>INDEX(PAM!$G$5:$G$41,35)</f>
        <v>Avaliação de riscos químicos incompleta: 5 produtos perigosos sem avaliação (retardador, removedor de emulsão, trava-roscas, cianoacrilato, anti-incrustante); acetaldeído da purga das ISBM e n-hexano sem medição.</v>
      </c>
      <c r="E40" s="24" t="str">
        <f>INDEX(PAM!$H$5:$H$41,35)&amp;IF(INDEX(PAM!$I$5:$I$41,35)="—",""," CAUSA RAIZ: "&amp;INDEX(PAM!$I$5:$I$41,35))</f>
        <v>—</v>
      </c>
      <c r="F40" s="24" t="str">
        <f>"("&amp;INDEX(PAM!$L$5:$L$41,35)&amp;") "&amp;INDEX(PAM!$K$5:$K$41,35)</f>
        <v>(C2) Completar as avaliações (RG-SGA-21 tbl_risco_quimico) e medir acetaldeído e n-hexano com laboratório acreditado (NP EN 689).</v>
      </c>
      <c r="G40" s="24" t="str">
        <f>INDEX(PAM!$N$5:$N$41,35)</f>
        <v>Gestor do SGA / EHS (Responsável Ambiental)</v>
      </c>
      <c r="H40" s="25">
        <f>INDEX(PAM!$P$5:$P$41,35)</f>
        <v>46356</v>
      </c>
      <c r="I40" s="26" t="str">
        <f>IF(INDEX(PAM!$Q$5:$Q$41,35)&gt;=0.25,"X","")</f>
        <v>X</v>
      </c>
      <c r="J40" s="26" t="str">
        <f>IF(INDEX(PAM!$Q$5:$Q$41,35)&gt;=0.5,"X","")</f>
        <v>X</v>
      </c>
      <c r="K40" s="26" t="str">
        <f>IF(INDEX(PAM!$Q$5:$Q$41,35)&gt;=0.75,"X","")</f>
        <v>X</v>
      </c>
      <c r="L40" s="26" t="str">
        <f>IF(INDEX(PAM!$Q$5:$Q$41,35)&gt;=1,"X","")</f>
        <v/>
      </c>
      <c r="M40" s="25" t="str">
        <f>IF(INDEX(PAM!$R$5:$R$41,35)="","—",INDEX(PAM!$R$5:$R$41,35))</f>
        <v>—</v>
      </c>
      <c r="N40" s="23" t="str">
        <f>INDEX(PAM!$U$5:$U$41,35)</f>
        <v>Sim</v>
      </c>
      <c r="O40" s="24" t="str">
        <f>"A avaliar em: "&amp;TEXT(MONTH(INDEX(PAM!$AD$5:$AD$41,35)),"00")&amp;"/"&amp;YEAR(INDEX(PAM!$AD$5:$AD$41,35))&amp;" — "&amp;INDEX(PAM!$AC$5:$AC$41,35)&amp;" ["&amp;INDEX(PAM!$AE$5:$AE$41,35)&amp;"]"</f>
        <v>A avaliar em: 01/2027 — Eficaz se todos os produtos perigosos tiverem avaliação e as 2 medições tiverem conclusão em 31/12/2026. [Por avaliar]</v>
      </c>
    </row>
    <row r="41" spans="1:15" ht="169.95" customHeight="1" x14ac:dyDescent="0.3">
      <c r="A41" s="23" t="str">
        <f>INDEX(PAM!$B$5:$B$41,36)</f>
        <v>36/26</v>
      </c>
      <c r="B41" s="24" t="str">
        <f>INDEX(PAM!$D$5:$D$41,36)&amp;" ("&amp;INDEX(PAM!$E$5:$E$41,36)&amp;")"</f>
        <v>Matriz de Riscos e Oportunidades (LEG-03)</v>
      </c>
      <c r="C41" s="23" t="str">
        <f>INDEX(PAM!$F$5:$F$41,36)</f>
        <v>Não</v>
      </c>
      <c r="D41" s="24" t="str">
        <f>INDEX(PAM!$G$5:$G$41,36)</f>
        <v>Risco R32 (RG-SGA-02): título de utilização de recursos hídricos e condições de descarga do efluente ainda não disponibilizados; aplicabilidade a confirmar.</v>
      </c>
      <c r="E41" s="24" t="str">
        <f>INDEX(PAM!$H$5:$H$41,36)&amp;IF(INDEX(PAM!$I$5:$I$41,36)="—",""," CAUSA RAIZ: "&amp;INDEX(PAM!$I$5:$I$41,36))</f>
        <v>—</v>
      </c>
      <c r="F41" s="24" t="str">
        <f>"("&amp;INDEX(PAM!$L$5:$L$41,36)&amp;") "&amp;INDEX(PAM!$K$5:$K$41,36)</f>
        <v>(C2) Verificação documental do título de recursos hídricos e das condições de descarga; parecer técnico quando aplicável (antes PAC 202629 no RG-SGA-02).</v>
      </c>
      <c r="G41" s="24" t="str">
        <f>INDEX(PAM!$N$5:$N$41,36)</f>
        <v>Gestor do SGA / EHS (Responsável Ambiental)</v>
      </c>
      <c r="H41" s="25">
        <f>INDEX(PAM!$P$5:$P$41,36)</f>
        <v>46444</v>
      </c>
      <c r="I41" s="26" t="str">
        <f>IF(INDEX(PAM!$Q$5:$Q$41,36)&gt;=0.25,"X","")</f>
        <v>X</v>
      </c>
      <c r="J41" s="26" t="str">
        <f>IF(INDEX(PAM!$Q$5:$Q$41,36)&gt;=0.5,"X","")</f>
        <v/>
      </c>
      <c r="K41" s="26" t="str">
        <f>IF(INDEX(PAM!$Q$5:$Q$41,36)&gt;=0.75,"X","")</f>
        <v/>
      </c>
      <c r="L41" s="26" t="str">
        <f>IF(INDEX(PAM!$Q$5:$Q$41,36)&gt;=1,"X","")</f>
        <v/>
      </c>
      <c r="M41" s="25" t="str">
        <f>IF(INDEX(PAM!$R$5:$R$41,36)="","—",INDEX(PAM!$R$5:$R$41,36))</f>
        <v>—</v>
      </c>
      <c r="N41" s="23" t="str">
        <f>INDEX(PAM!$U$5:$U$41,36)</f>
        <v>Sim</v>
      </c>
      <c r="O41" s="24" t="str">
        <f>"A avaliar em: "&amp;TEXT(MONTH(INDEX(PAM!$AD$5:$AD$41,36)),"00")&amp;"/"&amp;YEAR(INDEX(PAM!$AD$5:$AD$41,36))&amp;" — "&amp;INDEX(PAM!$AC$5:$AC$41,36)&amp;" ["&amp;INDEX(PAM!$AE$5:$AE$41,36)&amp;"]"</f>
        <v>A avaliar em: 03/2027 — Eficaz se o título e as condições de descarga estiverem confirmados e arquivados e não houver NC legal em água. [Por avaliar]</v>
      </c>
    </row>
    <row r="42" spans="1:15" ht="169.95" customHeight="1" x14ac:dyDescent="0.3">
      <c r="A42" s="23" t="str">
        <f>INDEX(PAM!$B$5:$B$41,37)</f>
        <v>37/26</v>
      </c>
      <c r="B42" s="24" t="str">
        <f>INDEX(PAM!$D$5:$D$41,37)&amp;" ("&amp;INDEX(PAM!$E$5:$E$41,37)&amp;")"</f>
        <v>Matriz de Riscos e Oportunidades (LEG-01)</v>
      </c>
      <c r="C42" s="23" t="str">
        <f>INDEX(PAM!$F$5:$F$41,37)</f>
        <v>Não</v>
      </c>
      <c r="D42" s="24" t="str">
        <f>INDEX(PAM!$G$5:$G$41,37)</f>
        <v>Risco R31 (RG-SGA-02): obrigações do RGGR (MIRR/SILiAmb, e-GAR) dependentes de rotina manual; scrap elevado.</v>
      </c>
      <c r="E42" s="24" t="str">
        <f>INDEX(PAM!$H$5:$H$41,37)&amp;IF(INDEX(PAM!$I$5:$I$41,37)="—",""," CAUSA RAIZ: "&amp;INDEX(PAM!$I$5:$I$41,37))</f>
        <v>—</v>
      </c>
      <c r="F42" s="24" t="str">
        <f>"("&amp;INDEX(PAM!$L$5:$L$41,37)&amp;") "&amp;INDEX(PAM!$K$5:$K$41,37)</f>
        <v>(M) Checklist das obrigações de resíduos do calendário RG-SGA-04 (OBR-01, OBR-02) e auditoria trimestral de evidências (antes PAC 202628 no RG-SGA-02).</v>
      </c>
      <c r="G42" s="24" t="str">
        <f>INDEX(PAM!$N$5:$N$41,37)</f>
        <v>Técnico de Qualidade/Ambiente</v>
      </c>
      <c r="H42" s="25">
        <f>INDEX(PAM!$P$5:$P$41,37)</f>
        <v>46444</v>
      </c>
      <c r="I42" s="26" t="str">
        <f>IF(INDEX(PAM!$Q$5:$Q$41,37)&gt;=0.25,"X","")</f>
        <v>X</v>
      </c>
      <c r="J42" s="26" t="str">
        <f>IF(INDEX(PAM!$Q$5:$Q$41,37)&gt;=0.5,"X","")</f>
        <v/>
      </c>
      <c r="K42" s="26" t="str">
        <f>IF(INDEX(PAM!$Q$5:$Q$41,37)&gt;=0.75,"X","")</f>
        <v/>
      </c>
      <c r="L42" s="26" t="str">
        <f>IF(INDEX(PAM!$Q$5:$Q$41,37)&gt;=1,"X","")</f>
        <v/>
      </c>
      <c r="M42" s="25" t="str">
        <f>IF(INDEX(PAM!$R$5:$R$41,37)="","—",INDEX(PAM!$R$5:$R$41,37))</f>
        <v>—</v>
      </c>
      <c r="N42" s="23" t="str">
        <f>INDEX(PAM!$U$5:$U$41,37)</f>
        <v>Sim</v>
      </c>
      <c r="O42" s="24" t="str">
        <f>"A avaliar em: "&amp;TEXT(MONTH(INDEX(PAM!$AD$5:$AD$41,37)),"00")&amp;"/"&amp;YEAR(INDEX(PAM!$AD$5:$AD$41,37))&amp;" — "&amp;INDEX(PAM!$AC$5:$AC$41,37)&amp;" ["&amp;INDEX(PAM!$AE$5:$AE$41,37)&amp;"]"</f>
        <v>A avaliar em: 06/2027 — Eficaz se 100% das obrigações de resíduos forem cumpridas no prazo em 2 trimestres seguidos. [Por avaliar]</v>
      </c>
    </row>
    <row r="44" spans="1:15" ht="30" customHeight="1" x14ac:dyDescent="0.3">
      <c r="A44" s="20" t="s">
        <v>460</v>
      </c>
      <c r="C44" s="33" t="s">
        <v>473</v>
      </c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</row>
    <row r="45" spans="1:15" ht="30" customHeight="1" x14ac:dyDescent="0.3">
      <c r="A45" s="20" t="s">
        <v>474</v>
      </c>
      <c r="C45" s="33" t="s">
        <v>475</v>
      </c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</row>
    <row r="46" spans="1:15" ht="30" customHeight="1" x14ac:dyDescent="0.3">
      <c r="A46" s="20" t="s">
        <v>476</v>
      </c>
      <c r="C46" s="33" t="s">
        <v>477</v>
      </c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</row>
  </sheetData>
  <mergeCells count="3">
    <mergeCell ref="C45:O45"/>
    <mergeCell ref="C44:O44"/>
    <mergeCell ref="C46:O46"/>
  </mergeCell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showGridLines="0" workbookViewId="0"/>
  </sheetViews>
  <sheetFormatPr defaultRowHeight="14.4" x14ac:dyDescent="0.3"/>
  <cols>
    <col min="1" max="1" width="34" customWidth="1"/>
    <col min="2" max="4" width="11" customWidth="1"/>
    <col min="5" max="5" width="13" customWidth="1"/>
    <col min="6" max="6" width="16" customWidth="1"/>
  </cols>
  <sheetData>
    <row r="1" spans="1:6" ht="17.399999999999999" x14ac:dyDescent="0.3">
      <c r="A1" s="1" t="s">
        <v>478</v>
      </c>
    </row>
    <row r="3" spans="1:6" ht="26.4" x14ac:dyDescent="0.3">
      <c r="A3" s="8" t="s">
        <v>479</v>
      </c>
      <c r="B3" s="8" t="s">
        <v>480</v>
      </c>
      <c r="C3" s="8" t="s">
        <v>481</v>
      </c>
      <c r="D3" s="8" t="s">
        <v>482</v>
      </c>
      <c r="E3" s="8" t="s">
        <v>483</v>
      </c>
      <c r="F3" s="8" t="s">
        <v>484</v>
      </c>
    </row>
    <row r="4" spans="1:6" x14ac:dyDescent="0.3">
      <c r="A4" t="s">
        <v>485</v>
      </c>
      <c r="B4">
        <f>COUNTIF(PAM!$L$5:$L$41,"C1")</f>
        <v>4</v>
      </c>
      <c r="C4">
        <f>COUNTIFS(PAM!$L$5:$L$41,"C1",PAM!$S$5:$S$41,"Concluída*")</f>
        <v>4</v>
      </c>
      <c r="D4">
        <f>COUNTIFS(PAM!$L$5:$L$41,"C1",PAM!$S$5:$S$41,"Atrasada")</f>
        <v>0</v>
      </c>
      <c r="E4" s="27">
        <f>SUMIF(PAM!$L$5:$L$41,"C1",PAM!$W$5:$W$41)</f>
        <v>2480</v>
      </c>
      <c r="F4" s="27">
        <f>SUMIF(PAM!$L$5:$L$41,"C1",PAM!$X$5:$X$41)</f>
        <v>0</v>
      </c>
    </row>
    <row r="5" spans="1:6" x14ac:dyDescent="0.3">
      <c r="A5" t="s">
        <v>486</v>
      </c>
      <c r="B5">
        <f>COUNTIF(PAM!$L$5:$L$41,"C2")</f>
        <v>18</v>
      </c>
      <c r="C5">
        <f>COUNTIFS(PAM!$L$5:$L$41,"C2",PAM!$S$5:$S$41,"Concluída*")</f>
        <v>14</v>
      </c>
      <c r="D5">
        <f>COUNTIFS(PAM!$L$5:$L$41,"C2",PAM!$S$5:$S$41,"Atrasada")</f>
        <v>2</v>
      </c>
      <c r="E5" s="27">
        <f>SUMIF(PAM!$L$5:$L$41,"C2",PAM!$W$5:$W$41)</f>
        <v>52500</v>
      </c>
      <c r="F5" s="27">
        <f>SUMIF(PAM!$L$5:$L$41,"C2",PAM!$X$5:$X$41)</f>
        <v>900</v>
      </c>
    </row>
    <row r="6" spans="1:6" x14ac:dyDescent="0.3">
      <c r="A6" t="s">
        <v>487</v>
      </c>
      <c r="B6">
        <f>COUNTIF(PAM!$L$5:$L$41,"M")</f>
        <v>15</v>
      </c>
      <c r="C6">
        <f>COUNTIFS(PAM!$L$5:$L$41,"M",PAM!$S$5:$S$41,"Concluída*")</f>
        <v>6</v>
      </c>
      <c r="D6">
        <f>COUNTIFS(PAM!$L$5:$L$41,"M",PAM!$S$5:$S$41,"Atrasada")</f>
        <v>0</v>
      </c>
      <c r="E6" s="27">
        <f>SUMIF(PAM!$L$5:$L$41,"M",PAM!$W$5:$W$41)</f>
        <v>236300</v>
      </c>
      <c r="F6" s="27">
        <f>SUMIF(PAM!$L$5:$L$41,"M",PAM!$X$5:$X$41)</f>
        <v>50100</v>
      </c>
    </row>
    <row r="7" spans="1:6" x14ac:dyDescent="0.3">
      <c r="A7" s="20" t="s">
        <v>488</v>
      </c>
      <c r="B7" s="20">
        <f>SUM(B4:B6)</f>
        <v>37</v>
      </c>
      <c r="C7" s="20">
        <f>SUM(C4:C6)</f>
        <v>24</v>
      </c>
      <c r="D7" s="20">
        <f>SUM(D4:D6)</f>
        <v>2</v>
      </c>
      <c r="E7" s="28">
        <f>SUM(E4:E6)</f>
        <v>291280</v>
      </c>
      <c r="F7" s="28">
        <f>SUM(F4:F6)</f>
        <v>51000</v>
      </c>
    </row>
    <row r="9" spans="1:6" x14ac:dyDescent="0.3">
      <c r="A9" s="8" t="s">
        <v>489</v>
      </c>
      <c r="B9" s="8" t="s">
        <v>480</v>
      </c>
    </row>
    <row r="10" spans="1:6" x14ac:dyDescent="0.3">
      <c r="A10" t="s">
        <v>490</v>
      </c>
      <c r="B10">
        <f>COUNTIF(PAM!$D$5:$D$41,"Análise SWOT")</f>
        <v>0</v>
      </c>
    </row>
    <row r="11" spans="1:6" x14ac:dyDescent="0.3">
      <c r="A11" t="s">
        <v>112</v>
      </c>
      <c r="B11">
        <f>COUNTIF(PAM!$D$5:$D$41,"Matriz de Riscos e Oportunidades")</f>
        <v>6</v>
      </c>
    </row>
    <row r="12" spans="1:6" x14ac:dyDescent="0.3">
      <c r="A12" t="s">
        <v>491</v>
      </c>
      <c r="B12">
        <f>COUNTIF(PAM!$D$5:$D$41,"Matriz de Aspetos Ambientais")</f>
        <v>0</v>
      </c>
    </row>
    <row r="13" spans="1:6" x14ac:dyDescent="0.3">
      <c r="A13" t="s">
        <v>123</v>
      </c>
      <c r="B13">
        <f>COUNTIF(PAM!$D$5:$D$41,"Tabela de Legislação")</f>
        <v>12</v>
      </c>
    </row>
    <row r="14" spans="1:6" x14ac:dyDescent="0.3">
      <c r="A14" t="s">
        <v>492</v>
      </c>
      <c r="B14">
        <f>COUNTIF(PAM!$D$5:$D$41,"Política Ambiental")</f>
        <v>0</v>
      </c>
    </row>
    <row r="15" spans="1:6" x14ac:dyDescent="0.3">
      <c r="A15" t="s">
        <v>92</v>
      </c>
      <c r="B15">
        <f>COUNTIF(PAM!$D$5:$D$41,"Objetivos Ambientais")</f>
        <v>7</v>
      </c>
    </row>
    <row r="16" spans="1:6" x14ac:dyDescent="0.3">
      <c r="A16" t="s">
        <v>493</v>
      </c>
      <c r="B16">
        <f>COUNTIF(PAM!$D$5:$D$41,"Reclamações / partes interessadas")</f>
        <v>0</v>
      </c>
    </row>
    <row r="17" spans="1:2" x14ac:dyDescent="0.3">
      <c r="A17" t="s">
        <v>139</v>
      </c>
      <c r="B17">
        <f>COUNTIF(PAM!$D$5:$D$41,"Ronda Ambiental Mensal")</f>
        <v>2</v>
      </c>
    </row>
    <row r="18" spans="1:2" x14ac:dyDescent="0.3">
      <c r="A18" t="s">
        <v>252</v>
      </c>
      <c r="B18">
        <f>COUNTIF(PAM!$D$5:$D$41,"Auditoria Interna")</f>
        <v>5</v>
      </c>
    </row>
    <row r="19" spans="1:2" x14ac:dyDescent="0.3">
      <c r="A19" t="s">
        <v>231</v>
      </c>
      <c r="B19">
        <f>COUNTIF(PAM!$D$5:$D$41,"Revisão pela Gestão")</f>
        <v>2</v>
      </c>
    </row>
    <row r="20" spans="1:2" x14ac:dyDescent="0.3">
      <c r="A20" t="s">
        <v>174</v>
      </c>
      <c r="B20">
        <f>COUNTIF(PAM!$D$5:$D$41,"Monitorização e Medição")</f>
        <v>2</v>
      </c>
    </row>
    <row r="21" spans="1:2" x14ac:dyDescent="0.3">
      <c r="A21" t="s">
        <v>162</v>
      </c>
      <c r="B21">
        <f>COUNTIF(PAM!$D$5:$D$41,"Caixa de Sugestões / Kaizen")</f>
        <v>1</v>
      </c>
    </row>
    <row r="22" spans="1:2" x14ac:dyDescent="0.3">
      <c r="A22" t="s">
        <v>494</v>
      </c>
      <c r="B22">
        <f>COUNTIF(PAM!$D$5:$D$41,"Incidente / Emergência")</f>
        <v>0</v>
      </c>
    </row>
    <row r="24" spans="1:2" x14ac:dyDescent="0.3">
      <c r="A24" s="20" t="s">
        <v>495</v>
      </c>
      <c r="B24" s="29">
        <f>1-COUNTIF(PAM!$S$5:$S$41,"Atrasada")/COUNTA(PAM!$A$5:$A$41)</f>
        <v>0.94594594594594594</v>
      </c>
    </row>
    <row r="25" spans="1:2" x14ac:dyDescent="0.3">
      <c r="A25" s="20" t="s">
        <v>496</v>
      </c>
      <c r="B25" s="29">
        <f>AVERAGE(PAM!$Q$5:$Q$41)</f>
        <v>0.81081081081081086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6" customWidth="1"/>
    <col min="2" max="2" width="35" customWidth="1"/>
    <col min="3" max="8" width="16" customWidth="1"/>
    <col min="9" max="9" width="48" customWidth="1"/>
  </cols>
  <sheetData>
    <row r="1" spans="1:9" x14ac:dyDescent="0.3">
      <c r="A1" s="20" t="s">
        <v>497</v>
      </c>
    </row>
    <row r="2" spans="1:9" x14ac:dyDescent="0.3">
      <c r="A2" s="30" t="s">
        <v>498</v>
      </c>
      <c r="B2" s="30" t="s">
        <v>489</v>
      </c>
      <c r="C2" s="30" t="s">
        <v>499</v>
      </c>
      <c r="D2" s="30" t="s">
        <v>500</v>
      </c>
      <c r="E2" s="30" t="s">
        <v>501</v>
      </c>
      <c r="F2" s="30" t="s">
        <v>502</v>
      </c>
      <c r="G2" s="30" t="s">
        <v>74</v>
      </c>
      <c r="H2" s="30" t="s">
        <v>503</v>
      </c>
      <c r="I2" s="30" t="s">
        <v>504</v>
      </c>
    </row>
    <row r="3" spans="1:9" x14ac:dyDescent="0.3">
      <c r="A3" s="31">
        <v>46387</v>
      </c>
      <c r="B3" s="6" t="s">
        <v>490</v>
      </c>
      <c r="C3" s="6" t="s">
        <v>103</v>
      </c>
      <c r="D3" s="6" t="s">
        <v>129</v>
      </c>
      <c r="E3" s="6" t="s">
        <v>364</v>
      </c>
      <c r="F3" s="6" t="s">
        <v>98</v>
      </c>
      <c r="G3" s="6">
        <v>0</v>
      </c>
      <c r="H3" s="6" t="s">
        <v>108</v>
      </c>
      <c r="I3" s="6" t="s">
        <v>365</v>
      </c>
    </row>
    <row r="4" spans="1:9" x14ac:dyDescent="0.3">
      <c r="B4" s="6" t="s">
        <v>112</v>
      </c>
      <c r="C4" s="6" t="s">
        <v>94</v>
      </c>
      <c r="D4" s="6" t="s">
        <v>156</v>
      </c>
      <c r="E4" s="6" t="s">
        <v>235</v>
      </c>
      <c r="F4" s="6" t="s">
        <v>505</v>
      </c>
      <c r="G4" s="6">
        <v>0.25</v>
      </c>
      <c r="H4" s="6" t="s">
        <v>135</v>
      </c>
      <c r="I4" s="6" t="s">
        <v>245</v>
      </c>
    </row>
    <row r="5" spans="1:9" x14ac:dyDescent="0.3">
      <c r="B5" s="6" t="s">
        <v>491</v>
      </c>
      <c r="D5" s="6" t="s">
        <v>100</v>
      </c>
      <c r="E5" s="6" t="s">
        <v>101</v>
      </c>
      <c r="F5" s="6" t="s">
        <v>257</v>
      </c>
      <c r="G5" s="6">
        <v>0.5</v>
      </c>
      <c r="H5" s="6" t="s">
        <v>506</v>
      </c>
      <c r="I5" s="6" t="s">
        <v>131</v>
      </c>
    </row>
    <row r="6" spans="1:9" x14ac:dyDescent="0.3">
      <c r="B6" s="6" t="s">
        <v>123</v>
      </c>
      <c r="E6" s="6" t="s">
        <v>130</v>
      </c>
      <c r="F6" s="6" t="s">
        <v>406</v>
      </c>
      <c r="G6" s="6">
        <v>0.75</v>
      </c>
      <c r="I6" s="6" t="s">
        <v>168</v>
      </c>
    </row>
    <row r="7" spans="1:9" x14ac:dyDescent="0.3">
      <c r="B7" s="6" t="s">
        <v>492</v>
      </c>
      <c r="E7" s="6" t="s">
        <v>507</v>
      </c>
      <c r="F7" s="6" t="s">
        <v>116</v>
      </c>
      <c r="G7" s="6">
        <v>1</v>
      </c>
      <c r="I7" s="6" t="s">
        <v>102</v>
      </c>
    </row>
    <row r="8" spans="1:9" x14ac:dyDescent="0.3">
      <c r="B8" s="6" t="s">
        <v>92</v>
      </c>
      <c r="F8" s="6" t="s">
        <v>508</v>
      </c>
      <c r="I8" s="6" t="s">
        <v>307</v>
      </c>
    </row>
    <row r="9" spans="1:9" x14ac:dyDescent="0.3">
      <c r="B9" s="6" t="s">
        <v>493</v>
      </c>
      <c r="F9" s="6" t="s">
        <v>136</v>
      </c>
      <c r="I9" s="6" t="s">
        <v>145</v>
      </c>
    </row>
    <row r="10" spans="1:9" x14ac:dyDescent="0.3">
      <c r="B10" s="6" t="s">
        <v>139</v>
      </c>
      <c r="I10" s="6" t="s">
        <v>267</v>
      </c>
    </row>
    <row r="11" spans="1:9" x14ac:dyDescent="0.3">
      <c r="B11" s="6" t="s">
        <v>252</v>
      </c>
      <c r="I11" s="6" t="s">
        <v>206</v>
      </c>
    </row>
    <row r="12" spans="1:9" x14ac:dyDescent="0.3">
      <c r="B12" s="6" t="s">
        <v>231</v>
      </c>
      <c r="I12" s="6" t="s">
        <v>408</v>
      </c>
    </row>
    <row r="13" spans="1:9" x14ac:dyDescent="0.3">
      <c r="B13" s="6" t="s">
        <v>174</v>
      </c>
      <c r="I13" s="6" t="s">
        <v>285</v>
      </c>
    </row>
    <row r="14" spans="1:9" x14ac:dyDescent="0.3">
      <c r="B14" s="6" t="s">
        <v>162</v>
      </c>
      <c r="I14" s="6" t="s">
        <v>509</v>
      </c>
    </row>
    <row r="15" spans="1:9" x14ac:dyDescent="0.3">
      <c r="B15" s="6" t="s">
        <v>494</v>
      </c>
      <c r="I15" s="6" t="s">
        <v>510</v>
      </c>
    </row>
    <row r="16" spans="1:9" x14ac:dyDescent="0.3">
      <c r="I16" s="6" t="s">
        <v>511</v>
      </c>
    </row>
    <row r="17" spans="9:9" x14ac:dyDescent="0.3">
      <c r="I17" s="6" t="s">
        <v>512</v>
      </c>
    </row>
    <row r="18" spans="9:9" x14ac:dyDescent="0.3">
      <c r="I18" s="6" t="s">
        <v>513</v>
      </c>
    </row>
    <row r="19" spans="9:9" x14ac:dyDescent="0.3">
      <c r="I19" s="6" t="s">
        <v>514</v>
      </c>
    </row>
    <row r="20" spans="9:9" x14ac:dyDescent="0.3">
      <c r="I20" s="6" t="s">
        <v>515</v>
      </c>
    </row>
    <row r="21" spans="9:9" x14ac:dyDescent="0.3">
      <c r="I21" s="6" t="s">
        <v>516</v>
      </c>
    </row>
    <row r="22" spans="9:9" x14ac:dyDescent="0.3">
      <c r="I22" s="6" t="s">
        <v>517</v>
      </c>
    </row>
    <row r="23" spans="9:9" x14ac:dyDescent="0.3">
      <c r="I23" s="6" t="s">
        <v>518</v>
      </c>
    </row>
    <row r="24" spans="9:9" x14ac:dyDescent="0.3">
      <c r="I24" s="6" t="s">
        <v>450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4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519</v>
      </c>
      <c r="B1" s="8" t="s">
        <v>520</v>
      </c>
      <c r="C1" s="8" t="s">
        <v>521</v>
      </c>
      <c r="D1" s="8" t="s">
        <v>479</v>
      </c>
      <c r="E1" s="8" t="s">
        <v>522</v>
      </c>
      <c r="F1" s="8" t="s">
        <v>523</v>
      </c>
      <c r="G1" s="8" t="s">
        <v>524</v>
      </c>
      <c r="H1" s="8" t="s">
        <v>525</v>
      </c>
      <c r="I1" s="8" t="s">
        <v>526</v>
      </c>
    </row>
    <row r="2" spans="1:9" x14ac:dyDescent="0.3">
      <c r="A2" s="32" t="s">
        <v>28</v>
      </c>
      <c r="B2" s="32" t="s">
        <v>527</v>
      </c>
      <c r="C2" s="32" t="s">
        <v>58</v>
      </c>
      <c r="D2" s="32" t="s">
        <v>528</v>
      </c>
      <c r="E2" s="32" t="s">
        <v>529</v>
      </c>
      <c r="F2" s="32" t="s">
        <v>530</v>
      </c>
      <c r="G2" s="32" t="s">
        <v>531</v>
      </c>
      <c r="H2" s="32" t="s">
        <v>103</v>
      </c>
      <c r="I2" s="32" t="s">
        <v>532</v>
      </c>
    </row>
    <row r="3" spans="1:9" x14ac:dyDescent="0.3">
      <c r="A3" s="32" t="s">
        <v>28</v>
      </c>
      <c r="B3" s="32" t="s">
        <v>527</v>
      </c>
      <c r="C3" s="32" t="s">
        <v>59</v>
      </c>
      <c r="D3" s="32" t="s">
        <v>528</v>
      </c>
      <c r="E3" s="32" t="s">
        <v>529</v>
      </c>
      <c r="F3" s="32" t="s">
        <v>533</v>
      </c>
      <c r="G3" s="32"/>
      <c r="H3" s="32" t="s">
        <v>103</v>
      </c>
      <c r="I3" s="32"/>
    </row>
    <row r="4" spans="1:9" ht="26.4" x14ac:dyDescent="0.3">
      <c r="A4" s="32" t="s">
        <v>28</v>
      </c>
      <c r="B4" s="32" t="s">
        <v>527</v>
      </c>
      <c r="C4" s="32" t="s">
        <v>60</v>
      </c>
      <c r="D4" s="32" t="s">
        <v>534</v>
      </c>
      <c r="E4" s="32" t="s">
        <v>529</v>
      </c>
      <c r="F4" s="32" t="s">
        <v>535</v>
      </c>
      <c r="G4" s="32"/>
      <c r="H4" s="32" t="s">
        <v>103</v>
      </c>
      <c r="I4" s="32"/>
    </row>
    <row r="5" spans="1:9" x14ac:dyDescent="0.3">
      <c r="A5" s="32" t="s">
        <v>28</v>
      </c>
      <c r="B5" s="32" t="s">
        <v>527</v>
      </c>
      <c r="C5" s="32" t="s">
        <v>61</v>
      </c>
      <c r="D5" s="32" t="s">
        <v>528</v>
      </c>
      <c r="E5" s="32" t="s">
        <v>529</v>
      </c>
      <c r="F5" s="32" t="s">
        <v>536</v>
      </c>
      <c r="G5" s="32" t="s">
        <v>537</v>
      </c>
      <c r="H5" s="32" t="s">
        <v>103</v>
      </c>
      <c r="I5" s="32"/>
    </row>
    <row r="6" spans="1:9" ht="26.4" x14ac:dyDescent="0.3">
      <c r="A6" s="32" t="s">
        <v>28</v>
      </c>
      <c r="B6" s="32" t="s">
        <v>527</v>
      </c>
      <c r="C6" s="32" t="s">
        <v>62</v>
      </c>
      <c r="D6" s="32" t="s">
        <v>528</v>
      </c>
      <c r="E6" s="32" t="s">
        <v>529</v>
      </c>
      <c r="F6" s="32" t="s">
        <v>538</v>
      </c>
      <c r="G6" s="32"/>
      <c r="H6" s="32" t="s">
        <v>103</v>
      </c>
      <c r="I6" s="32" t="s">
        <v>539</v>
      </c>
    </row>
    <row r="7" spans="1:9" x14ac:dyDescent="0.3">
      <c r="A7" s="32" t="s">
        <v>28</v>
      </c>
      <c r="B7" s="32" t="s">
        <v>527</v>
      </c>
      <c r="C7" s="32" t="s">
        <v>63</v>
      </c>
      <c r="D7" s="32" t="s">
        <v>528</v>
      </c>
      <c r="E7" s="32" t="s">
        <v>529</v>
      </c>
      <c r="F7" s="32" t="s">
        <v>540</v>
      </c>
      <c r="G7" s="32" t="s">
        <v>541</v>
      </c>
      <c r="H7" s="32" t="s">
        <v>103</v>
      </c>
      <c r="I7" s="32"/>
    </row>
    <row r="8" spans="1:9" x14ac:dyDescent="0.3">
      <c r="A8" s="32" t="s">
        <v>28</v>
      </c>
      <c r="B8" s="32" t="s">
        <v>527</v>
      </c>
      <c r="C8" s="32" t="s">
        <v>64</v>
      </c>
      <c r="D8" s="32" t="s">
        <v>528</v>
      </c>
      <c r="E8" s="32" t="s">
        <v>529</v>
      </c>
      <c r="F8" s="32" t="s">
        <v>542</v>
      </c>
      <c r="G8" s="32"/>
      <c r="H8" s="32" t="s">
        <v>103</v>
      </c>
      <c r="I8" s="32"/>
    </row>
    <row r="9" spans="1:9" x14ac:dyDescent="0.3">
      <c r="A9" s="32" t="s">
        <v>28</v>
      </c>
      <c r="B9" s="32" t="s">
        <v>527</v>
      </c>
      <c r="C9" s="32" t="s">
        <v>65</v>
      </c>
      <c r="D9" s="32" t="s">
        <v>528</v>
      </c>
      <c r="E9" s="32" t="s">
        <v>529</v>
      </c>
      <c r="F9" s="32" t="s">
        <v>543</v>
      </c>
      <c r="G9" s="32"/>
      <c r="H9" s="32" t="s">
        <v>103</v>
      </c>
      <c r="I9" s="32"/>
    </row>
    <row r="10" spans="1:9" x14ac:dyDescent="0.3">
      <c r="A10" s="32" t="s">
        <v>28</v>
      </c>
      <c r="B10" s="32" t="s">
        <v>527</v>
      </c>
      <c r="C10" s="32" t="s">
        <v>66</v>
      </c>
      <c r="D10" s="32" t="s">
        <v>528</v>
      </c>
      <c r="E10" s="32" t="s">
        <v>529</v>
      </c>
      <c r="F10" s="32" t="s">
        <v>544</v>
      </c>
      <c r="G10" s="32"/>
      <c r="H10" s="32" t="s">
        <v>103</v>
      </c>
      <c r="I10" s="32"/>
    </row>
    <row r="11" spans="1:9" x14ac:dyDescent="0.3">
      <c r="A11" s="32" t="s">
        <v>28</v>
      </c>
      <c r="B11" s="32" t="s">
        <v>527</v>
      </c>
      <c r="C11" s="32" t="s">
        <v>67</v>
      </c>
      <c r="D11" s="32" t="s">
        <v>528</v>
      </c>
      <c r="E11" s="32" t="s">
        <v>529</v>
      </c>
      <c r="F11" s="32" t="s">
        <v>545</v>
      </c>
      <c r="G11" s="32" t="s">
        <v>546</v>
      </c>
      <c r="H11" s="32" t="s">
        <v>103</v>
      </c>
      <c r="I11" s="32"/>
    </row>
    <row r="12" spans="1:9" x14ac:dyDescent="0.3">
      <c r="A12" s="32" t="s">
        <v>28</v>
      </c>
      <c r="B12" s="32" t="s">
        <v>527</v>
      </c>
      <c r="C12" s="32" t="s">
        <v>68</v>
      </c>
      <c r="D12" s="32" t="s">
        <v>528</v>
      </c>
      <c r="E12" s="32" t="s">
        <v>529</v>
      </c>
      <c r="F12" s="32" t="s">
        <v>547</v>
      </c>
      <c r="G12" s="32"/>
      <c r="H12" s="32" t="s">
        <v>103</v>
      </c>
      <c r="I12" s="32"/>
    </row>
    <row r="13" spans="1:9" ht="26.4" x14ac:dyDescent="0.3">
      <c r="A13" s="32" t="s">
        <v>28</v>
      </c>
      <c r="B13" s="32" t="s">
        <v>527</v>
      </c>
      <c r="C13" s="32" t="s">
        <v>69</v>
      </c>
      <c r="D13" s="32" t="s">
        <v>528</v>
      </c>
      <c r="E13" s="32" t="s">
        <v>529</v>
      </c>
      <c r="F13" s="32" t="s">
        <v>548</v>
      </c>
      <c r="G13" s="32" t="s">
        <v>549</v>
      </c>
      <c r="H13" s="32" t="s">
        <v>103</v>
      </c>
      <c r="I13" s="32"/>
    </row>
    <row r="14" spans="1:9" ht="26.4" x14ac:dyDescent="0.3">
      <c r="A14" s="32" t="s">
        <v>28</v>
      </c>
      <c r="B14" s="32" t="s">
        <v>527</v>
      </c>
      <c r="C14" s="32" t="s">
        <v>70</v>
      </c>
      <c r="D14" s="32" t="s">
        <v>528</v>
      </c>
      <c r="E14" s="32" t="s">
        <v>529</v>
      </c>
      <c r="F14" s="32" t="s">
        <v>550</v>
      </c>
      <c r="G14" s="32" t="s">
        <v>551</v>
      </c>
      <c r="H14" s="32" t="s">
        <v>103</v>
      </c>
      <c r="I14" s="32"/>
    </row>
    <row r="15" spans="1:9" x14ac:dyDescent="0.3">
      <c r="A15" s="32" t="s">
        <v>28</v>
      </c>
      <c r="B15" s="32" t="s">
        <v>527</v>
      </c>
      <c r="C15" s="32" t="s">
        <v>71</v>
      </c>
      <c r="D15" s="32" t="s">
        <v>528</v>
      </c>
      <c r="E15" s="32" t="s">
        <v>529</v>
      </c>
      <c r="F15" s="32" t="s">
        <v>552</v>
      </c>
      <c r="G15" s="32" t="s">
        <v>553</v>
      </c>
      <c r="H15" s="32" t="s">
        <v>103</v>
      </c>
      <c r="I15" s="32"/>
    </row>
    <row r="16" spans="1:9" ht="26.4" x14ac:dyDescent="0.3">
      <c r="A16" s="32" t="s">
        <v>28</v>
      </c>
      <c r="B16" s="32" t="s">
        <v>527</v>
      </c>
      <c r="C16" s="32" t="s">
        <v>72</v>
      </c>
      <c r="D16" s="32" t="s">
        <v>534</v>
      </c>
      <c r="E16" s="32" t="s">
        <v>529</v>
      </c>
      <c r="F16" s="32" t="s">
        <v>554</v>
      </c>
      <c r="G16" s="32"/>
      <c r="H16" s="32" t="s">
        <v>103</v>
      </c>
      <c r="I16" s="32"/>
    </row>
    <row r="17" spans="1:9" ht="26.4" x14ac:dyDescent="0.3">
      <c r="A17" s="32" t="s">
        <v>28</v>
      </c>
      <c r="B17" s="32" t="s">
        <v>527</v>
      </c>
      <c r="C17" s="32" t="s">
        <v>73</v>
      </c>
      <c r="D17" s="32" t="s">
        <v>534</v>
      </c>
      <c r="E17" s="32" t="s">
        <v>529</v>
      </c>
      <c r="F17" s="32" t="s">
        <v>555</v>
      </c>
      <c r="G17" s="32"/>
      <c r="H17" s="32" t="s">
        <v>103</v>
      </c>
      <c r="I17" s="32"/>
    </row>
    <row r="18" spans="1:9" ht="26.4" x14ac:dyDescent="0.3">
      <c r="A18" s="32" t="s">
        <v>28</v>
      </c>
      <c r="B18" s="32" t="s">
        <v>527</v>
      </c>
      <c r="C18" s="32" t="s">
        <v>74</v>
      </c>
      <c r="D18" s="32" t="s">
        <v>556</v>
      </c>
      <c r="E18" s="32" t="s">
        <v>529</v>
      </c>
      <c r="F18" s="32" t="s">
        <v>557</v>
      </c>
      <c r="G18" s="32" t="s">
        <v>558</v>
      </c>
      <c r="H18" s="32" t="s">
        <v>103</v>
      </c>
      <c r="I18" s="32"/>
    </row>
    <row r="19" spans="1:9" ht="26.4" x14ac:dyDescent="0.3">
      <c r="A19" s="32" t="s">
        <v>28</v>
      </c>
      <c r="B19" s="32" t="s">
        <v>527</v>
      </c>
      <c r="C19" s="32" t="s">
        <v>75</v>
      </c>
      <c r="D19" s="32" t="s">
        <v>534</v>
      </c>
      <c r="E19" s="32" t="s">
        <v>529</v>
      </c>
      <c r="F19" s="32" t="s">
        <v>559</v>
      </c>
      <c r="G19" s="32"/>
      <c r="H19" s="32" t="s">
        <v>94</v>
      </c>
      <c r="I19" s="32"/>
    </row>
    <row r="20" spans="1:9" x14ac:dyDescent="0.3">
      <c r="A20" s="32" t="s">
        <v>28</v>
      </c>
      <c r="B20" s="32" t="s">
        <v>527</v>
      </c>
      <c r="C20" s="32" t="s">
        <v>14</v>
      </c>
      <c r="D20" s="32" t="s">
        <v>528</v>
      </c>
      <c r="E20" s="32" t="s">
        <v>560</v>
      </c>
      <c r="F20" s="32" t="s">
        <v>561</v>
      </c>
      <c r="G20" s="32"/>
      <c r="H20" s="32" t="s">
        <v>103</v>
      </c>
      <c r="I20" s="32"/>
    </row>
    <row r="21" spans="1:9" x14ac:dyDescent="0.3">
      <c r="A21" s="32" t="s">
        <v>28</v>
      </c>
      <c r="B21" s="32" t="s">
        <v>527</v>
      </c>
      <c r="C21" s="32" t="s">
        <v>76</v>
      </c>
      <c r="D21" s="32" t="s">
        <v>562</v>
      </c>
      <c r="E21" s="32" t="s">
        <v>560</v>
      </c>
      <c r="F21" s="32" t="s">
        <v>563</v>
      </c>
      <c r="G21" s="32"/>
      <c r="H21" s="32" t="s">
        <v>103</v>
      </c>
      <c r="I21" s="32"/>
    </row>
    <row r="22" spans="1:9" x14ac:dyDescent="0.3">
      <c r="A22" s="32" t="s">
        <v>28</v>
      </c>
      <c r="B22" s="32" t="s">
        <v>527</v>
      </c>
      <c r="C22" s="32" t="s">
        <v>77</v>
      </c>
      <c r="D22" s="32" t="s">
        <v>528</v>
      </c>
      <c r="E22" s="32" t="s">
        <v>529</v>
      </c>
      <c r="F22" s="32" t="s">
        <v>564</v>
      </c>
      <c r="G22" s="32" t="s">
        <v>541</v>
      </c>
      <c r="H22" s="32" t="s">
        <v>103</v>
      </c>
      <c r="I22" s="32"/>
    </row>
    <row r="23" spans="1:9" ht="26.4" x14ac:dyDescent="0.3">
      <c r="A23" s="32" t="s">
        <v>28</v>
      </c>
      <c r="B23" s="32" t="s">
        <v>527</v>
      </c>
      <c r="C23" s="32" t="s">
        <v>78</v>
      </c>
      <c r="D23" s="32" t="s">
        <v>528</v>
      </c>
      <c r="E23" s="32" t="s">
        <v>529</v>
      </c>
      <c r="F23" s="32" t="s">
        <v>565</v>
      </c>
      <c r="G23" s="32"/>
      <c r="H23" s="32" t="s">
        <v>94</v>
      </c>
      <c r="I23" s="32" t="s">
        <v>566</v>
      </c>
    </row>
    <row r="24" spans="1:9" x14ac:dyDescent="0.3">
      <c r="A24" s="32" t="s">
        <v>28</v>
      </c>
      <c r="B24" s="32" t="s">
        <v>527</v>
      </c>
      <c r="C24" s="32" t="s">
        <v>79</v>
      </c>
      <c r="D24" s="32" t="s">
        <v>567</v>
      </c>
      <c r="E24" s="32" t="s">
        <v>529</v>
      </c>
      <c r="F24" s="32" t="s">
        <v>568</v>
      </c>
      <c r="G24" s="32"/>
      <c r="H24" s="32" t="s">
        <v>103</v>
      </c>
      <c r="I24" s="32"/>
    </row>
    <row r="25" spans="1:9" x14ac:dyDescent="0.3">
      <c r="A25" s="32" t="s">
        <v>28</v>
      </c>
      <c r="B25" s="32" t="s">
        <v>527</v>
      </c>
      <c r="C25" s="32" t="s">
        <v>80</v>
      </c>
      <c r="D25" s="32" t="s">
        <v>567</v>
      </c>
      <c r="E25" s="32" t="s">
        <v>529</v>
      </c>
      <c r="F25" s="32" t="s">
        <v>569</v>
      </c>
      <c r="G25" s="32"/>
      <c r="H25" s="32" t="s">
        <v>94</v>
      </c>
      <c r="I25" s="32"/>
    </row>
    <row r="26" spans="1:9" x14ac:dyDescent="0.3">
      <c r="A26" s="32" t="s">
        <v>28</v>
      </c>
      <c r="B26" s="32" t="s">
        <v>527</v>
      </c>
      <c r="C26" s="32" t="s">
        <v>81</v>
      </c>
      <c r="D26" s="32" t="s">
        <v>570</v>
      </c>
      <c r="E26" s="32" t="s">
        <v>560</v>
      </c>
      <c r="F26" s="32" t="s">
        <v>571</v>
      </c>
      <c r="G26" s="32"/>
      <c r="H26" s="32" t="s">
        <v>103</v>
      </c>
      <c r="I26" s="32"/>
    </row>
    <row r="27" spans="1:9" x14ac:dyDescent="0.3">
      <c r="A27" s="32" t="s">
        <v>28</v>
      </c>
      <c r="B27" s="32" t="s">
        <v>527</v>
      </c>
      <c r="C27" s="32" t="s">
        <v>82</v>
      </c>
      <c r="D27" s="32" t="s">
        <v>528</v>
      </c>
      <c r="E27" s="32" t="s">
        <v>529</v>
      </c>
      <c r="F27" s="32" t="s">
        <v>572</v>
      </c>
      <c r="G27" s="32"/>
      <c r="H27" s="32" t="s">
        <v>103</v>
      </c>
      <c r="I27" s="32"/>
    </row>
    <row r="28" spans="1:9" x14ac:dyDescent="0.3">
      <c r="A28" s="32" t="s">
        <v>28</v>
      </c>
      <c r="B28" s="32" t="s">
        <v>527</v>
      </c>
      <c r="C28" s="32" t="s">
        <v>83</v>
      </c>
      <c r="D28" s="32" t="s">
        <v>570</v>
      </c>
      <c r="E28" s="32" t="s">
        <v>529</v>
      </c>
      <c r="F28" s="32" t="s">
        <v>573</v>
      </c>
      <c r="G28" s="32"/>
      <c r="H28" s="32" t="s">
        <v>94</v>
      </c>
      <c r="I28" s="32"/>
    </row>
    <row r="29" spans="1:9" x14ac:dyDescent="0.3">
      <c r="A29" s="32" t="s">
        <v>28</v>
      </c>
      <c r="B29" s="32" t="s">
        <v>527</v>
      </c>
      <c r="C29" s="32" t="s">
        <v>84</v>
      </c>
      <c r="D29" s="32" t="s">
        <v>528</v>
      </c>
      <c r="E29" s="32" t="s">
        <v>529</v>
      </c>
      <c r="F29" s="32" t="s">
        <v>574</v>
      </c>
      <c r="G29" s="32"/>
      <c r="H29" s="32" t="s">
        <v>94</v>
      </c>
      <c r="I29" s="32"/>
    </row>
    <row r="30" spans="1:9" x14ac:dyDescent="0.3">
      <c r="A30" s="32" t="s">
        <v>28</v>
      </c>
      <c r="B30" s="32" t="s">
        <v>527</v>
      </c>
      <c r="C30" s="32" t="s">
        <v>85</v>
      </c>
      <c r="D30" s="32" t="s">
        <v>528</v>
      </c>
      <c r="E30" s="32" t="s">
        <v>529</v>
      </c>
      <c r="F30" s="32" t="s">
        <v>575</v>
      </c>
      <c r="G30" s="32"/>
      <c r="H30" s="32" t="s">
        <v>103</v>
      </c>
      <c r="I30" s="32"/>
    </row>
    <row r="31" spans="1:9" ht="26.4" x14ac:dyDescent="0.3">
      <c r="A31" s="32" t="s">
        <v>28</v>
      </c>
      <c r="B31" s="32" t="s">
        <v>527</v>
      </c>
      <c r="C31" s="32" t="s">
        <v>86</v>
      </c>
      <c r="D31" s="32" t="s">
        <v>534</v>
      </c>
      <c r="E31" s="32" t="s">
        <v>529</v>
      </c>
      <c r="F31" s="32" t="s">
        <v>576</v>
      </c>
      <c r="G31" s="32"/>
      <c r="H31" s="32" t="s">
        <v>103</v>
      </c>
      <c r="I31" s="32"/>
    </row>
    <row r="32" spans="1:9" x14ac:dyDescent="0.3">
      <c r="A32" s="32" t="s">
        <v>28</v>
      </c>
      <c r="B32" s="32" t="s">
        <v>527</v>
      </c>
      <c r="C32" s="32" t="s">
        <v>87</v>
      </c>
      <c r="D32" s="32" t="s">
        <v>528</v>
      </c>
      <c r="E32" s="32" t="s">
        <v>529</v>
      </c>
      <c r="F32" s="32" t="s">
        <v>577</v>
      </c>
      <c r="G32" s="32" t="s">
        <v>578</v>
      </c>
      <c r="H32" s="32" t="s">
        <v>103</v>
      </c>
      <c r="I32" s="32"/>
    </row>
    <row r="33" spans="1:9" x14ac:dyDescent="0.3">
      <c r="A33" s="32" t="s">
        <v>28</v>
      </c>
      <c r="B33" s="32" t="s">
        <v>527</v>
      </c>
      <c r="C33" s="32" t="s">
        <v>88</v>
      </c>
      <c r="D33" s="32" t="s">
        <v>528</v>
      </c>
      <c r="E33" s="32" t="s">
        <v>560</v>
      </c>
      <c r="F33" s="32" t="s">
        <v>579</v>
      </c>
      <c r="G33" s="32"/>
      <c r="H33" s="32" t="s">
        <v>103</v>
      </c>
      <c r="I33" s="32"/>
    </row>
    <row r="34" spans="1:9" ht="26.4" x14ac:dyDescent="0.3">
      <c r="A34" s="32" t="s">
        <v>28</v>
      </c>
      <c r="B34" s="32" t="s">
        <v>527</v>
      </c>
      <c r="C34" s="32" t="s">
        <v>89</v>
      </c>
      <c r="D34" s="32" t="s">
        <v>528</v>
      </c>
      <c r="E34" s="32" t="s">
        <v>529</v>
      </c>
      <c r="F34" s="32" t="s">
        <v>580</v>
      </c>
      <c r="G34" s="32"/>
      <c r="H34" s="32" t="s">
        <v>94</v>
      </c>
      <c r="I34" s="32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6</vt:i4>
      </vt:variant>
      <vt:variant>
        <vt:lpstr>Intervalos com Nome</vt:lpstr>
      </vt:variant>
      <vt:variant>
        <vt:i4>12</vt:i4>
      </vt:variant>
    </vt:vector>
  </HeadingPairs>
  <TitlesOfParts>
    <vt:vector size="18" baseType="lpstr">
      <vt:lpstr>00_LEIA-ME</vt:lpstr>
      <vt:lpstr>PAM</vt:lpstr>
      <vt:lpstr>Mod.G.10.00_Vista</vt:lpstr>
      <vt:lpstr>Painel</vt:lpstr>
      <vt:lpstr>Listas</vt:lpstr>
      <vt:lpstr>Dicionario_Dados</vt:lpstr>
      <vt:lpstr>DataRef</vt:lpstr>
      <vt:lpstr>lst_Cat6M</vt:lpstr>
      <vt:lpstr>lst_DataReferencia</vt:lpstr>
      <vt:lpstr>lst_Eficacia</vt:lpstr>
      <vt:lpstr>lst_Evolucao</vt:lpstr>
      <vt:lpstr>lst_Fonte</vt:lpstr>
      <vt:lpstr>lst_Funcao</vt:lpstr>
      <vt:lpstr>lst_Hierarquia</vt:lpstr>
      <vt:lpstr>lst_SimNao</vt:lpstr>
      <vt:lpstr>lst_TipoAcao</vt:lpstr>
      <vt:lpstr>Mod.G.10.00_Vista!Títulos_de_Impressão</vt:lpstr>
      <vt:lpstr>PAM!Títulos_de_Impressão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RG-SGA-06 Plano de Ações de Melhoria — PAM 2026 (Mod.G.10.00)</dc:title>
  <dc:subject>SGA NP EN ISO 14001:2026 — Plasticom</dc:subject>
  <dc:creator>Gestor(a) do SGA / EHS</dc:creator>
  <cp:lastModifiedBy>Aline Meireles</cp:lastModifiedBy>
  <dcterms:created xsi:type="dcterms:W3CDTF">2026-09-30T09:57:12Z</dcterms:created>
  <dcterms:modified xsi:type="dcterms:W3CDTF">2026-09-30T09:57:40Z</dcterms:modified>
</cp:coreProperties>
</file>