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3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D6C4DAF5-6E31-4799-A83E-A410F7090DAF}" xr6:coauthVersionLast="47" xr6:coauthVersionMax="47" xr10:uidLastSave="{00000000-0000-0000-0000-000000000000}"/>
  <bookViews>
    <workbookView xWindow="1920" yWindow="1920" windowWidth="17280" windowHeight="8880" tabRatio="905" firstSheet="7" activeTab="12" xr2:uid="{00000000-000D-0000-FFFF-FFFF00000000}"/>
  </bookViews>
  <sheets>
    <sheet name="00_LEIA-ME" sheetId="21" r:id="rId1"/>
    <sheet name="Riscos" sheetId="1" r:id="rId2"/>
    <sheet name="Oportunidades" sheetId="2" r:id="rId3"/>
    <sheet name="Painel" sheetId="3" r:id="rId4"/>
    <sheet name="Planos" sheetId="4" r:id="rId5"/>
    <sheet name="KRI" sheetId="5" r:id="rId6"/>
    <sheet name="KRI_Coletas" sheetId="19" r:id="rId7"/>
    <sheet name="BowTie" sheetId="6" r:id="rId8"/>
    <sheet name="Monitoramento" sheetId="7" r:id="rId9"/>
    <sheet name="Politica_Apetite" sheetId="8" r:id="rId10"/>
    <sheet name="Maturidade_Auditoria" sheetId="14" r:id="rId11"/>
    <sheet name="Maturidade_Registro" sheetId="16" r:id="rId12"/>
    <sheet name="Auditoria_Registro" sheetId="17" r:id="rId13"/>
    <sheet name="Critérios" sheetId="12" r:id="rId14"/>
    <sheet name="Histórico" sheetId="13" r:id="rId15"/>
    <sheet name="Dicionário_Dados" sheetId="20" r:id="rId16"/>
  </sheets>
  <definedNames>
    <definedName name="_xlnm._FilterDatabase" localSheetId="7" hidden="1">BowTie!$A$6:$N$86</definedName>
    <definedName name="_xlnm._FilterDatabase" localSheetId="5" hidden="1">KRI!$B$6:$V$66</definedName>
    <definedName name="_xlnm._FilterDatabase" localSheetId="8" hidden="1">Monitoramento!$A$4:$M$64</definedName>
    <definedName name="_xlnm._FilterDatabase" localSheetId="2" hidden="1">Oportunidades!$A$4:$AR$154</definedName>
    <definedName name="_xlnm._FilterDatabase" localSheetId="4" hidden="1">Planos!$A$6:$K$296</definedName>
    <definedName name="_xlnm._FilterDatabase" localSheetId="1" hidden="1">Riscos!$A$4:$BC$154</definedName>
    <definedName name="AcaoOport">Critérios!$E$25:$E$28</definedName>
    <definedName name="AcaoRisco">Critérios!$D$25:$D$28</definedName>
    <definedName name="ApetIdx">Critérios!$I$50:$I$56</definedName>
    <definedName name="_xlnm.Print_Area" localSheetId="13">Critérios!$A$1:$I$30</definedName>
    <definedName name="_xlnm.Print_Area" localSheetId="15">Dicionário_Dados!$A$1:$H$30</definedName>
    <definedName name="_xlnm.Print_Area" localSheetId="5">KRI!$A$1:$V$14</definedName>
    <definedName name="_xlnm.Print_Area" localSheetId="6">KRI_Coletas!$A$1:$E$20</definedName>
    <definedName name="_xlnm.Print_Area" localSheetId="4">Planos!$A$1:$K$56</definedName>
    <definedName name="AudArea">Maturidade_Auditoria!$C$73:$C$80</definedName>
    <definedName name="AudData">Maturidade_Auditoria!$B$73:$B$80</definedName>
    <definedName name="AudIds">Maturidade_Auditoria!$A$73:$A$80</definedName>
    <definedName name="AudPct">Maturidade_Auditoria!$M$73:$M$80</definedName>
    <definedName name="BtEf">BowTie!$G$7:$G$86</definedName>
    <definedName name="BtId">BowTie!$A$7:$A$86</definedName>
    <definedName name="BtSit">BowTie!$N$7:$N$86</definedName>
    <definedName name="Ciclo_Atual">Maturidade_Auditoria!$B$5</definedName>
    <definedName name="CovMin">Maturidade_Auditoria!$B$9</definedName>
    <definedName name="DiasAlerta">Critérios!$C$17</definedName>
    <definedName name="FreqDias">Critérios!$N$71:$N$79</definedName>
    <definedName name="GrauAud">Maturidade_Auditoria!$C$152:$C$156</definedName>
    <definedName name="GrauMin">Maturidade_Auditoria!$E$152:$E$156</definedName>
    <definedName name="GrauNome">Maturidade_Auditoria!$A$152:$A$156</definedName>
    <definedName name="IdxExige">Critérios!$C$21</definedName>
    <definedName name="KriChaves">KRI!$A$7:$A$66</definedName>
    <definedName name="KriHoriz">KRI!$E$3</definedName>
    <definedName name="KriId">KRI!$B$7:$B$66</definedName>
    <definedName name="KriSit">KRI!$R$7:$R$66</definedName>
    <definedName name="Limites">Critérios!$C$25:$C$28</definedName>
    <definedName name="ListaAcaoOport">Critérios!$E$71:$E$78</definedName>
    <definedName name="ListaAcaoRisco">Critérios!$D$71:$D$76</definedName>
    <definedName name="ListaAlinh">Critérios!$L$71:$L$73</definedName>
    <definedName name="ListaAreas">Critérios!$B$71:$B$90</definedName>
    <definedName name="ListaCatOport">Critérios!$B$61:$B$67</definedName>
    <definedName name="ListaCatRisco">Critérios!$B$50:$B$56</definedName>
    <definedName name="ListaConf">Critérios!$I$71:$I$73</definedName>
    <definedName name="ListaEficacia">Critérios!$C$71:$C$74</definedName>
    <definedName name="ListaFacil">Critérios!$J$71:$J$73</definedName>
    <definedName name="ListaFreq">Critérios!$M$71:$M$79</definedName>
    <definedName name="ListaOrigem">Critérios!L71C6:L90C6</definedName>
    <definedName name="ListaPartes">Critérios!L71C20:L86C20</definedName>
    <definedName name="ListaReducao">Critérios!$K$71:$K$73</definedName>
    <definedName name="ListaStatus">Critérios!$G$71:$G$74</definedName>
    <definedName name="ListaTipoCtrl">Critérios!$Q$71:$Q$75</definedName>
    <definedName name="ListaTipoRisco">Critérios!$H$71:$H$74</definedName>
    <definedName name="ListaVeloc">Critérios!$O$71:$O$74</definedName>
    <definedName name="ListaVolat">Critérios!$P$71:$P$73</definedName>
    <definedName name="LstCrit">Maturidade_Auditoria!$B$175:$B$177</definedName>
    <definedName name="LstEficacia">Maturidade_Auditoria!$E$175:$E$178</definedName>
    <definedName name="LstMetodo">Maturidade_Auditoria!$D$175:$D$179</definedName>
    <definedName name="LstResultado">Maturidade_Auditoria!$C$175:$C$178</definedName>
    <definedName name="LstTeste">Maturidade_Auditoria!$A$175:$A$177</definedName>
    <definedName name="MatGrau">Maturidade_Auditoria!$B$13</definedName>
    <definedName name="MesesRev">Critérios!$H$25:$H$28</definedName>
    <definedName name="MetaGrau">Maturidade_Auditoria!$B$8</definedName>
    <definedName name="MinIdx">Critérios!$C$20</definedName>
    <definedName name="MonSit">Monitoramento!$L$5:$L$64</definedName>
    <definedName name="Niveis">Critérios!$B$25:$B$28</definedName>
    <definedName name="OportId">Oportunidades!$A$5:$A$154</definedName>
    <definedName name="PlanosAbertura">Planos!$I$7:$I$296</definedName>
    <definedName name="PlanosCod">Planos!$A$7:$A$296</definedName>
    <definedName name="PlanosIdRef">Planos!$B$7:$B$296</definedName>
    <definedName name="PlanosPrazo">Planos!$F$7:$F$296</definedName>
    <definedName name="PlanosStatus">Planos!$G$7:$G$296</definedName>
    <definedName name="PlanoUrl">Critérios!$C$18</definedName>
    <definedName name="ProbMedia">Critérios!$R$71:$R$75</definedName>
    <definedName name="RiscosId">Riscos!$A$5:$A$154</definedName>
    <definedName name="SgaDecOport">Critérios!$E$133:$E$138</definedName>
    <definedName name="SgaDecRisco">Critérios!$B$133:$B$137</definedName>
    <definedName name="SgaLimOpSig">Critérios!$D$127</definedName>
    <definedName name="SgaLimOpTol">Critérios!$D$128</definedName>
    <definedName name="SgaLimRiSig">Critérios!$D$124</definedName>
    <definedName name="SgaLimRiTol">Critérios!$D$125</definedName>
    <definedName name="SgaProbNivel">Critérios!$B$106:$B$108</definedName>
    <definedName name="SgaProbValor">Critérios!$C$106:$C$108</definedName>
    <definedName name="SgaSevOpNivel">Critérios!$B$118:$B$120</definedName>
    <definedName name="SgaSevOpValor">Critérios!$C$118:$C$120</definedName>
    <definedName name="SgaSevRiNivel">Critérios!$B$112:$B$114</definedName>
    <definedName name="SgaSevRiValor">Critérios!$C$112:$C$114</definedName>
    <definedName name="SgaTipoAcao">Critérios!$J$133:$J$136</definedName>
    <definedName name="_xlnm.Print_Titles" localSheetId="2">Oportunidades!$A:$C,Oportunidades!$3:$4</definedName>
    <definedName name="_xlnm.Print_Titles" localSheetId="1">Riscos!$A:$C,Riscos!$3:$4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7" i="14" l="1"/>
  <c r="A117" i="14" s="1"/>
  <c r="B118" i="14"/>
  <c r="B119" i="14"/>
  <c r="B120" i="14"/>
  <c r="B121" i="14"/>
  <c r="A121" i="14" s="1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D133" i="14" s="1"/>
  <c r="B134" i="14"/>
  <c r="B135" i="14"/>
  <c r="B136" i="14"/>
  <c r="F73" i="14"/>
  <c r="I73" i="14"/>
  <c r="J73" i="14"/>
  <c r="F74" i="14"/>
  <c r="I74" i="14"/>
  <c r="J74" i="14"/>
  <c r="F75" i="14"/>
  <c r="I75" i="14"/>
  <c r="J75" i="14"/>
  <c r="F76" i="14"/>
  <c r="G76" i="14"/>
  <c r="H76" i="14"/>
  <c r="I76" i="14"/>
  <c r="J76" i="14"/>
  <c r="K76" i="14"/>
  <c r="L76" i="14"/>
  <c r="M76" i="14"/>
  <c r="N76" i="14" s="1"/>
  <c r="O76" i="14" s="1"/>
  <c r="F77" i="14"/>
  <c r="G77" i="14"/>
  <c r="H77" i="14"/>
  <c r="I77" i="14"/>
  <c r="J77" i="14"/>
  <c r="K77" i="14"/>
  <c r="L77" i="14"/>
  <c r="M77" i="14"/>
  <c r="N77" i="14" s="1"/>
  <c r="O77" i="14" s="1"/>
  <c r="F78" i="14"/>
  <c r="G78" i="14"/>
  <c r="H78" i="14"/>
  <c r="I78" i="14"/>
  <c r="J78" i="14"/>
  <c r="K78" i="14"/>
  <c r="L78" i="14"/>
  <c r="M78" i="14"/>
  <c r="N78" i="14" s="1"/>
  <c r="O78" i="14" s="1"/>
  <c r="F79" i="14"/>
  <c r="G79" i="14"/>
  <c r="H79" i="14"/>
  <c r="I79" i="14"/>
  <c r="J79" i="14"/>
  <c r="K79" i="14"/>
  <c r="L79" i="14"/>
  <c r="M79" i="14"/>
  <c r="N79" i="14" s="1"/>
  <c r="O79" i="14" s="1"/>
  <c r="F80" i="14"/>
  <c r="G80" i="14"/>
  <c r="H80" i="14"/>
  <c r="I80" i="14"/>
  <c r="J80" i="14"/>
  <c r="K80" i="14"/>
  <c r="L80" i="14"/>
  <c r="M80" i="14"/>
  <c r="N80" i="14" s="1"/>
  <c r="O80" i="14" s="1"/>
  <c r="B83" i="14"/>
  <c r="C83" i="14"/>
  <c r="D83" i="14"/>
  <c r="E83" i="14"/>
  <c r="E87" i="14" s="1"/>
  <c r="F83" i="14"/>
  <c r="F90" i="14" s="1"/>
  <c r="G83" i="14"/>
  <c r="G86" i="14" s="1"/>
  <c r="H83" i="14"/>
  <c r="H88" i="14" s="1"/>
  <c r="I83" i="14"/>
  <c r="I85" i="14" s="1"/>
  <c r="F84" i="14"/>
  <c r="F88" i="14"/>
  <c r="D99" i="14"/>
  <c r="BR5" i="2"/>
  <c r="BS5" i="2" s="1"/>
  <c r="BR6" i="2"/>
  <c r="BS6" i="2" s="1"/>
  <c r="BR7" i="2"/>
  <c r="BS7" i="2" s="1"/>
  <c r="BR8" i="2"/>
  <c r="BS8" i="2" s="1"/>
  <c r="BR9" i="2"/>
  <c r="BS9" i="2" s="1"/>
  <c r="BR10" i="2"/>
  <c r="BS10" i="2" s="1"/>
  <c r="BR11" i="2"/>
  <c r="BS11" i="2" s="1"/>
  <c r="BR12" i="2"/>
  <c r="BS12" i="2" s="1"/>
  <c r="BR13" i="2"/>
  <c r="BS13" i="2" s="1"/>
  <c r="BR14" i="2"/>
  <c r="BS14" i="2" s="1"/>
  <c r="BR15" i="2"/>
  <c r="BS15" i="2" s="1"/>
  <c r="BR16" i="2"/>
  <c r="BS16" i="2" s="1"/>
  <c r="BR17" i="2"/>
  <c r="BS17" i="2" s="1"/>
  <c r="BR18" i="2"/>
  <c r="BS18" i="2" s="1"/>
  <c r="BR19" i="2"/>
  <c r="BS19" i="2" s="1"/>
  <c r="BR20" i="2"/>
  <c r="BS20" i="2" s="1"/>
  <c r="BR21" i="2"/>
  <c r="BS21" i="2" s="1"/>
  <c r="BR22" i="2"/>
  <c r="BS22" i="2" s="1"/>
  <c r="BR23" i="2"/>
  <c r="BS23" i="2" s="1"/>
  <c r="BR24" i="2"/>
  <c r="BS24" i="2" s="1"/>
  <c r="BR25" i="2"/>
  <c r="BS25" i="2" s="1"/>
  <c r="BR26" i="2"/>
  <c r="BS26" i="2" s="1"/>
  <c r="BR27" i="2"/>
  <c r="BS27" i="2" s="1"/>
  <c r="BR28" i="2"/>
  <c r="BS28" i="2" s="1"/>
  <c r="BR29" i="2"/>
  <c r="BS29" i="2" s="1"/>
  <c r="BR30" i="2"/>
  <c r="BS30" i="2" s="1"/>
  <c r="BR31" i="2"/>
  <c r="BS31" i="2" s="1"/>
  <c r="BR32" i="2"/>
  <c r="BS32" i="2" s="1"/>
  <c r="BR33" i="2"/>
  <c r="BS33" i="2" s="1"/>
  <c r="BR34" i="2"/>
  <c r="BS34" i="2" s="1"/>
  <c r="BR35" i="2"/>
  <c r="BS35" i="2" s="1"/>
  <c r="BR36" i="2"/>
  <c r="BS36" i="2" s="1"/>
  <c r="BR37" i="2"/>
  <c r="BS37" i="2" s="1"/>
  <c r="BR38" i="2"/>
  <c r="BS38" i="2" s="1"/>
  <c r="BR39" i="2"/>
  <c r="BS39" i="2" s="1"/>
  <c r="BR40" i="2"/>
  <c r="BS40" i="2" s="1"/>
  <c r="BR41" i="2"/>
  <c r="BS41" i="2" s="1"/>
  <c r="BR42" i="2"/>
  <c r="BS42" i="2" s="1"/>
  <c r="BR43" i="2"/>
  <c r="BS43" i="2" s="1"/>
  <c r="BR44" i="2"/>
  <c r="BS44" i="2" s="1"/>
  <c r="BR45" i="2"/>
  <c r="BS45" i="2" s="1"/>
  <c r="BR46" i="2"/>
  <c r="BS46" i="2" s="1"/>
  <c r="BR47" i="2"/>
  <c r="BS47" i="2" s="1"/>
  <c r="BR48" i="2"/>
  <c r="BS48" i="2" s="1"/>
  <c r="BR49" i="2"/>
  <c r="BS49" i="2" s="1"/>
  <c r="BR50" i="2"/>
  <c r="BS50" i="2" s="1"/>
  <c r="BR51" i="2"/>
  <c r="BS51" i="2" s="1"/>
  <c r="BR52" i="2"/>
  <c r="BS52" i="2" s="1"/>
  <c r="BR53" i="2"/>
  <c r="BS53" i="2" s="1"/>
  <c r="BR54" i="2"/>
  <c r="BS54" i="2" s="1"/>
  <c r="BR55" i="2"/>
  <c r="BS55" i="2" s="1"/>
  <c r="BR56" i="2"/>
  <c r="BS56" i="2" s="1"/>
  <c r="BR57" i="2"/>
  <c r="BS57" i="2" s="1"/>
  <c r="BR58" i="2"/>
  <c r="BS58" i="2" s="1"/>
  <c r="BR59" i="2"/>
  <c r="BS59" i="2" s="1"/>
  <c r="BR60" i="2"/>
  <c r="BS60" i="2" s="1"/>
  <c r="BR61" i="2"/>
  <c r="BS61" i="2" s="1"/>
  <c r="BR62" i="2"/>
  <c r="BS62" i="2" s="1"/>
  <c r="BR63" i="2"/>
  <c r="BS63" i="2" s="1"/>
  <c r="BR64" i="2"/>
  <c r="BS64" i="2" s="1"/>
  <c r="BR65" i="2"/>
  <c r="BS65" i="2" s="1"/>
  <c r="BR66" i="2"/>
  <c r="BS66" i="2" s="1"/>
  <c r="BR67" i="2"/>
  <c r="BS67" i="2" s="1"/>
  <c r="BR68" i="2"/>
  <c r="BS68" i="2" s="1"/>
  <c r="BR69" i="2"/>
  <c r="BS69" i="2" s="1"/>
  <c r="BR70" i="2"/>
  <c r="BS70" i="2" s="1"/>
  <c r="BR71" i="2"/>
  <c r="BS71" i="2" s="1"/>
  <c r="BR72" i="2"/>
  <c r="BS72" i="2" s="1"/>
  <c r="BR73" i="2"/>
  <c r="BS73" i="2" s="1"/>
  <c r="BR74" i="2"/>
  <c r="BS74" i="2" s="1"/>
  <c r="BR75" i="2"/>
  <c r="BS75" i="2" s="1"/>
  <c r="BR76" i="2"/>
  <c r="BS76" i="2" s="1"/>
  <c r="BR77" i="2"/>
  <c r="BS77" i="2" s="1"/>
  <c r="BR78" i="2"/>
  <c r="BS78" i="2" s="1"/>
  <c r="BR79" i="2"/>
  <c r="BS79" i="2" s="1"/>
  <c r="BR80" i="2"/>
  <c r="BS80" i="2" s="1"/>
  <c r="BR81" i="2"/>
  <c r="BS81" i="2" s="1"/>
  <c r="BR82" i="2"/>
  <c r="BS82" i="2" s="1"/>
  <c r="BR83" i="2"/>
  <c r="BS83" i="2" s="1"/>
  <c r="BR84" i="2"/>
  <c r="BS84" i="2" s="1"/>
  <c r="BR85" i="2"/>
  <c r="BS85" i="2" s="1"/>
  <c r="BR86" i="2"/>
  <c r="BS86" i="2" s="1"/>
  <c r="BR87" i="2"/>
  <c r="BS87" i="2" s="1"/>
  <c r="BR88" i="2"/>
  <c r="BS88" i="2" s="1"/>
  <c r="BR89" i="2"/>
  <c r="BS89" i="2" s="1"/>
  <c r="BR90" i="2"/>
  <c r="BS90" i="2" s="1"/>
  <c r="BR91" i="2"/>
  <c r="BS91" i="2" s="1"/>
  <c r="BR92" i="2"/>
  <c r="BS92" i="2" s="1"/>
  <c r="BR93" i="2"/>
  <c r="BS93" i="2" s="1"/>
  <c r="BR94" i="2"/>
  <c r="BS94" i="2" s="1"/>
  <c r="BR95" i="2"/>
  <c r="BS95" i="2" s="1"/>
  <c r="BR96" i="2"/>
  <c r="BS96" i="2" s="1"/>
  <c r="BR97" i="2"/>
  <c r="BS97" i="2" s="1"/>
  <c r="BR98" i="2"/>
  <c r="BS98" i="2" s="1"/>
  <c r="BR99" i="2"/>
  <c r="BS99" i="2" s="1"/>
  <c r="BR100" i="2"/>
  <c r="BS100" i="2" s="1"/>
  <c r="BR101" i="2"/>
  <c r="BS101" i="2" s="1"/>
  <c r="BR102" i="2"/>
  <c r="BS102" i="2" s="1"/>
  <c r="BR103" i="2"/>
  <c r="BS103" i="2" s="1"/>
  <c r="BR104" i="2"/>
  <c r="BS104" i="2" s="1"/>
  <c r="BR105" i="2"/>
  <c r="BS105" i="2" s="1"/>
  <c r="BR106" i="2"/>
  <c r="BS106" i="2" s="1"/>
  <c r="BR107" i="2"/>
  <c r="BS107" i="2" s="1"/>
  <c r="BR108" i="2"/>
  <c r="BS108" i="2" s="1"/>
  <c r="BR109" i="2"/>
  <c r="BS109" i="2" s="1"/>
  <c r="BR110" i="2"/>
  <c r="BS110" i="2" s="1"/>
  <c r="BR111" i="2"/>
  <c r="BS111" i="2" s="1"/>
  <c r="BR112" i="2"/>
  <c r="BS112" i="2" s="1"/>
  <c r="BR113" i="2"/>
  <c r="BS113" i="2" s="1"/>
  <c r="BR114" i="2"/>
  <c r="BS114" i="2" s="1"/>
  <c r="BR115" i="2"/>
  <c r="BS115" i="2" s="1"/>
  <c r="BR116" i="2"/>
  <c r="BS116" i="2" s="1"/>
  <c r="BR117" i="2"/>
  <c r="BS117" i="2" s="1"/>
  <c r="BR118" i="2"/>
  <c r="BS118" i="2" s="1"/>
  <c r="BR119" i="2"/>
  <c r="BS119" i="2" s="1"/>
  <c r="BR120" i="2"/>
  <c r="BS120" i="2" s="1"/>
  <c r="BR121" i="2"/>
  <c r="BS121" i="2" s="1"/>
  <c r="BR122" i="2"/>
  <c r="BS122" i="2" s="1"/>
  <c r="BR123" i="2"/>
  <c r="BS123" i="2" s="1"/>
  <c r="BR124" i="2"/>
  <c r="BS124" i="2" s="1"/>
  <c r="BR125" i="2"/>
  <c r="BS125" i="2" s="1"/>
  <c r="BR126" i="2"/>
  <c r="BS126" i="2" s="1"/>
  <c r="BR127" i="2"/>
  <c r="BS127" i="2" s="1"/>
  <c r="BR128" i="2"/>
  <c r="BS128" i="2" s="1"/>
  <c r="BR129" i="2"/>
  <c r="BS129" i="2" s="1"/>
  <c r="BR130" i="2"/>
  <c r="BS130" i="2" s="1"/>
  <c r="BR131" i="2"/>
  <c r="BS131" i="2" s="1"/>
  <c r="BR132" i="2"/>
  <c r="BS132" i="2" s="1"/>
  <c r="BR133" i="2"/>
  <c r="BS133" i="2" s="1"/>
  <c r="BR134" i="2"/>
  <c r="BS134" i="2" s="1"/>
  <c r="BR135" i="2"/>
  <c r="BS135" i="2" s="1"/>
  <c r="BR136" i="2"/>
  <c r="BS136" i="2" s="1"/>
  <c r="BR137" i="2"/>
  <c r="BS137" i="2" s="1"/>
  <c r="BR138" i="2"/>
  <c r="BS138" i="2" s="1"/>
  <c r="BR139" i="2"/>
  <c r="BS139" i="2" s="1"/>
  <c r="BR140" i="2"/>
  <c r="BS140" i="2" s="1"/>
  <c r="BR141" i="2"/>
  <c r="BS141" i="2" s="1"/>
  <c r="BR142" i="2"/>
  <c r="BS142" i="2" s="1"/>
  <c r="BR143" i="2"/>
  <c r="BS143" i="2" s="1"/>
  <c r="BR144" i="2"/>
  <c r="BS144" i="2" s="1"/>
  <c r="BR145" i="2"/>
  <c r="BS145" i="2" s="1"/>
  <c r="BR146" i="2"/>
  <c r="BS146" i="2" s="1"/>
  <c r="BR147" i="2"/>
  <c r="BS147" i="2" s="1"/>
  <c r="BR148" i="2"/>
  <c r="BS148" i="2" s="1"/>
  <c r="BR149" i="2"/>
  <c r="BS149" i="2" s="1"/>
  <c r="BR150" i="2"/>
  <c r="BS150" i="2" s="1"/>
  <c r="BR151" i="2"/>
  <c r="BS151" i="2" s="1"/>
  <c r="BR152" i="2"/>
  <c r="BS152" i="2" s="1"/>
  <c r="BR153" i="2"/>
  <c r="BS153" i="2" s="1"/>
  <c r="BR154" i="2"/>
  <c r="BS154" i="2" s="1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CG5" i="1"/>
  <c r="CH5" i="1" s="1"/>
  <c r="CG6" i="1"/>
  <c r="CH6" i="1" s="1"/>
  <c r="CG7" i="1"/>
  <c r="CH7" i="1" s="1"/>
  <c r="CG8" i="1"/>
  <c r="CH8" i="1" s="1"/>
  <c r="CG9" i="1"/>
  <c r="CH9" i="1" s="1"/>
  <c r="CG10" i="1"/>
  <c r="CH10" i="1" s="1"/>
  <c r="CG11" i="1"/>
  <c r="CH11" i="1" s="1"/>
  <c r="CG12" i="1"/>
  <c r="CH12" i="1" s="1"/>
  <c r="CG13" i="1"/>
  <c r="CH13" i="1" s="1"/>
  <c r="CG14" i="1"/>
  <c r="CH14" i="1" s="1"/>
  <c r="CG15" i="1"/>
  <c r="CH15" i="1" s="1"/>
  <c r="CG16" i="1"/>
  <c r="CH16" i="1" s="1"/>
  <c r="CG17" i="1"/>
  <c r="CH17" i="1" s="1"/>
  <c r="CG18" i="1"/>
  <c r="CH18" i="1" s="1"/>
  <c r="CG19" i="1"/>
  <c r="CH19" i="1" s="1"/>
  <c r="CG20" i="1"/>
  <c r="CH20" i="1" s="1"/>
  <c r="CG21" i="1"/>
  <c r="CH21" i="1" s="1"/>
  <c r="CG22" i="1"/>
  <c r="CH22" i="1" s="1"/>
  <c r="CG23" i="1"/>
  <c r="CH23" i="1" s="1"/>
  <c r="CG24" i="1"/>
  <c r="CH24" i="1" s="1"/>
  <c r="CG25" i="1"/>
  <c r="CH25" i="1" s="1"/>
  <c r="CG26" i="1"/>
  <c r="CH26" i="1" s="1"/>
  <c r="CG27" i="1"/>
  <c r="CH27" i="1" s="1"/>
  <c r="CG28" i="1"/>
  <c r="CH28" i="1" s="1"/>
  <c r="CG29" i="1"/>
  <c r="CH29" i="1" s="1"/>
  <c r="CG30" i="1"/>
  <c r="CH30" i="1" s="1"/>
  <c r="CG31" i="1"/>
  <c r="CH31" i="1" s="1"/>
  <c r="CG32" i="1"/>
  <c r="CH32" i="1" s="1"/>
  <c r="CG33" i="1"/>
  <c r="CH33" i="1" s="1"/>
  <c r="CG34" i="1"/>
  <c r="CH34" i="1" s="1"/>
  <c r="CG35" i="1"/>
  <c r="CH35" i="1" s="1"/>
  <c r="CG36" i="1"/>
  <c r="CH36" i="1" s="1"/>
  <c r="CG37" i="1"/>
  <c r="CH37" i="1" s="1"/>
  <c r="CG38" i="1"/>
  <c r="CH38" i="1" s="1"/>
  <c r="CG39" i="1"/>
  <c r="CH39" i="1" s="1"/>
  <c r="CG40" i="1"/>
  <c r="CH40" i="1" s="1"/>
  <c r="CG41" i="1"/>
  <c r="CH41" i="1" s="1"/>
  <c r="CG42" i="1"/>
  <c r="CH42" i="1" s="1"/>
  <c r="CG43" i="1"/>
  <c r="CH43" i="1" s="1"/>
  <c r="CG44" i="1"/>
  <c r="CH44" i="1" s="1"/>
  <c r="CG45" i="1"/>
  <c r="CH45" i="1" s="1"/>
  <c r="CG46" i="1"/>
  <c r="CH46" i="1" s="1"/>
  <c r="CG47" i="1"/>
  <c r="CH47" i="1" s="1"/>
  <c r="CG48" i="1"/>
  <c r="CH48" i="1" s="1"/>
  <c r="CG49" i="1"/>
  <c r="CH49" i="1" s="1"/>
  <c r="CG50" i="1"/>
  <c r="CH50" i="1" s="1"/>
  <c r="CG51" i="1"/>
  <c r="CH51" i="1" s="1"/>
  <c r="CG52" i="1"/>
  <c r="CH52" i="1" s="1"/>
  <c r="CG53" i="1"/>
  <c r="CH53" i="1" s="1"/>
  <c r="CG54" i="1"/>
  <c r="CH54" i="1" s="1"/>
  <c r="CG55" i="1"/>
  <c r="CH55" i="1" s="1"/>
  <c r="CG56" i="1"/>
  <c r="CH56" i="1" s="1"/>
  <c r="CG57" i="1"/>
  <c r="CH57" i="1" s="1"/>
  <c r="CG58" i="1"/>
  <c r="CH58" i="1" s="1"/>
  <c r="CG59" i="1"/>
  <c r="CH59" i="1" s="1"/>
  <c r="CG60" i="1"/>
  <c r="CH60" i="1" s="1"/>
  <c r="CG61" i="1"/>
  <c r="CH61" i="1" s="1"/>
  <c r="CG62" i="1"/>
  <c r="CH62" i="1" s="1"/>
  <c r="CG63" i="1"/>
  <c r="CH63" i="1" s="1"/>
  <c r="CG64" i="1"/>
  <c r="CH64" i="1" s="1"/>
  <c r="CG65" i="1"/>
  <c r="CH65" i="1" s="1"/>
  <c r="CG66" i="1"/>
  <c r="CH66" i="1" s="1"/>
  <c r="CG67" i="1"/>
  <c r="CH67" i="1" s="1"/>
  <c r="CG68" i="1"/>
  <c r="CH68" i="1" s="1"/>
  <c r="CG69" i="1"/>
  <c r="CH69" i="1" s="1"/>
  <c r="CG70" i="1"/>
  <c r="CH70" i="1" s="1"/>
  <c r="CG71" i="1"/>
  <c r="CH71" i="1" s="1"/>
  <c r="CG72" i="1"/>
  <c r="CH72" i="1" s="1"/>
  <c r="CG73" i="1"/>
  <c r="CH73" i="1" s="1"/>
  <c r="CG74" i="1"/>
  <c r="CH74" i="1" s="1"/>
  <c r="CG75" i="1"/>
  <c r="CH75" i="1" s="1"/>
  <c r="CG76" i="1"/>
  <c r="CH76" i="1" s="1"/>
  <c r="CG77" i="1"/>
  <c r="CH77" i="1" s="1"/>
  <c r="CG78" i="1"/>
  <c r="CH78" i="1" s="1"/>
  <c r="CG79" i="1"/>
  <c r="CH79" i="1" s="1"/>
  <c r="CG80" i="1"/>
  <c r="CH80" i="1" s="1"/>
  <c r="CG81" i="1"/>
  <c r="CH81" i="1" s="1"/>
  <c r="CG82" i="1"/>
  <c r="CH82" i="1" s="1"/>
  <c r="CG83" i="1"/>
  <c r="CH83" i="1" s="1"/>
  <c r="CG84" i="1"/>
  <c r="CH84" i="1" s="1"/>
  <c r="CG85" i="1"/>
  <c r="CH85" i="1" s="1"/>
  <c r="CG86" i="1"/>
  <c r="CH86" i="1" s="1"/>
  <c r="CG87" i="1"/>
  <c r="CH87" i="1" s="1"/>
  <c r="CG88" i="1"/>
  <c r="CH88" i="1" s="1"/>
  <c r="CG89" i="1"/>
  <c r="CH89" i="1" s="1"/>
  <c r="CG90" i="1"/>
  <c r="CH90" i="1" s="1"/>
  <c r="CG91" i="1"/>
  <c r="CH91" i="1" s="1"/>
  <c r="CG92" i="1"/>
  <c r="CH92" i="1" s="1"/>
  <c r="CG93" i="1"/>
  <c r="CH93" i="1" s="1"/>
  <c r="CG94" i="1"/>
  <c r="CH94" i="1" s="1"/>
  <c r="CG95" i="1"/>
  <c r="CH95" i="1" s="1"/>
  <c r="CG96" i="1"/>
  <c r="CH96" i="1" s="1"/>
  <c r="CG97" i="1"/>
  <c r="CH97" i="1" s="1"/>
  <c r="CG98" i="1"/>
  <c r="CH98" i="1" s="1"/>
  <c r="CG99" i="1"/>
  <c r="CH99" i="1" s="1"/>
  <c r="CG100" i="1"/>
  <c r="CH100" i="1" s="1"/>
  <c r="CG101" i="1"/>
  <c r="CH101" i="1" s="1"/>
  <c r="CG102" i="1"/>
  <c r="CH102" i="1" s="1"/>
  <c r="CG103" i="1"/>
  <c r="CH103" i="1" s="1"/>
  <c r="CG104" i="1"/>
  <c r="CH104" i="1" s="1"/>
  <c r="CG105" i="1"/>
  <c r="CH105" i="1" s="1"/>
  <c r="CG106" i="1"/>
  <c r="CH106" i="1" s="1"/>
  <c r="CG107" i="1"/>
  <c r="CH107" i="1" s="1"/>
  <c r="CG108" i="1"/>
  <c r="CH108" i="1" s="1"/>
  <c r="CG109" i="1"/>
  <c r="CH109" i="1" s="1"/>
  <c r="CG110" i="1"/>
  <c r="CH110" i="1" s="1"/>
  <c r="CG111" i="1"/>
  <c r="CH111" i="1" s="1"/>
  <c r="CG112" i="1"/>
  <c r="CH112" i="1" s="1"/>
  <c r="CG113" i="1"/>
  <c r="CH113" i="1" s="1"/>
  <c r="CG114" i="1"/>
  <c r="CH114" i="1" s="1"/>
  <c r="CG115" i="1"/>
  <c r="CH115" i="1" s="1"/>
  <c r="CG116" i="1"/>
  <c r="CH116" i="1" s="1"/>
  <c r="CG117" i="1"/>
  <c r="CH117" i="1" s="1"/>
  <c r="CG118" i="1"/>
  <c r="CH118" i="1" s="1"/>
  <c r="CG119" i="1"/>
  <c r="CH119" i="1" s="1"/>
  <c r="CG120" i="1"/>
  <c r="CH120" i="1" s="1"/>
  <c r="CG121" i="1"/>
  <c r="CH121" i="1" s="1"/>
  <c r="CG122" i="1"/>
  <c r="CH122" i="1" s="1"/>
  <c r="CG123" i="1"/>
  <c r="CH123" i="1" s="1"/>
  <c r="CG124" i="1"/>
  <c r="CH124" i="1" s="1"/>
  <c r="CG125" i="1"/>
  <c r="CH125" i="1" s="1"/>
  <c r="CG126" i="1"/>
  <c r="CH126" i="1" s="1"/>
  <c r="CG127" i="1"/>
  <c r="CH127" i="1" s="1"/>
  <c r="CG128" i="1"/>
  <c r="CH128" i="1" s="1"/>
  <c r="CG129" i="1"/>
  <c r="CH129" i="1" s="1"/>
  <c r="CG130" i="1"/>
  <c r="CH130" i="1" s="1"/>
  <c r="CG131" i="1"/>
  <c r="CH131" i="1" s="1"/>
  <c r="CG132" i="1"/>
  <c r="CH132" i="1" s="1"/>
  <c r="CG133" i="1"/>
  <c r="CH133" i="1" s="1"/>
  <c r="CG134" i="1"/>
  <c r="CH134" i="1" s="1"/>
  <c r="CG135" i="1"/>
  <c r="CH135" i="1" s="1"/>
  <c r="CG136" i="1"/>
  <c r="CH136" i="1" s="1"/>
  <c r="CG137" i="1"/>
  <c r="CH137" i="1" s="1"/>
  <c r="CG138" i="1"/>
  <c r="CH138" i="1" s="1"/>
  <c r="CG139" i="1"/>
  <c r="CH139" i="1" s="1"/>
  <c r="CG140" i="1"/>
  <c r="CH140" i="1" s="1"/>
  <c r="CG141" i="1"/>
  <c r="CH141" i="1" s="1"/>
  <c r="CG142" i="1"/>
  <c r="CH142" i="1" s="1"/>
  <c r="CG143" i="1"/>
  <c r="CH143" i="1" s="1"/>
  <c r="CG144" i="1"/>
  <c r="CH144" i="1" s="1"/>
  <c r="CG145" i="1"/>
  <c r="CH145" i="1" s="1"/>
  <c r="CG146" i="1"/>
  <c r="CH146" i="1" s="1"/>
  <c r="CG147" i="1"/>
  <c r="CH147" i="1" s="1"/>
  <c r="CG148" i="1"/>
  <c r="CH148" i="1" s="1"/>
  <c r="CG149" i="1"/>
  <c r="CH149" i="1" s="1"/>
  <c r="CG150" i="1"/>
  <c r="CH150" i="1" s="1"/>
  <c r="CG151" i="1"/>
  <c r="CH151" i="1" s="1"/>
  <c r="CG152" i="1"/>
  <c r="CH152" i="1" s="1"/>
  <c r="CG153" i="1"/>
  <c r="CH153" i="1" s="1"/>
  <c r="CG154" i="1"/>
  <c r="CH154" i="1" s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D120" i="12"/>
  <c r="D119" i="12"/>
  <c r="D118" i="12"/>
  <c r="D114" i="12"/>
  <c r="D113" i="12"/>
  <c r="D112" i="12"/>
  <c r="D108" i="12"/>
  <c r="D107" i="12"/>
  <c r="D106" i="12"/>
  <c r="S7" i="5"/>
  <c r="S8" i="5"/>
  <c r="S9" i="5"/>
  <c r="S10" i="5"/>
  <c r="S11" i="5"/>
  <c r="S12" i="5"/>
  <c r="T12" i="5" s="1"/>
  <c r="S13" i="5"/>
  <c r="S14" i="5"/>
  <c r="S15" i="5"/>
  <c r="S16" i="5"/>
  <c r="S17" i="5"/>
  <c r="S18" i="5"/>
  <c r="S19" i="5"/>
  <c r="S20" i="5"/>
  <c r="T20" i="5" s="1"/>
  <c r="S21" i="5"/>
  <c r="S22" i="5"/>
  <c r="S23" i="5"/>
  <c r="S24" i="5"/>
  <c r="S25" i="5"/>
  <c r="S26" i="5"/>
  <c r="S27" i="5"/>
  <c r="S28" i="5"/>
  <c r="T28" i="5" s="1"/>
  <c r="S29" i="5"/>
  <c r="S30" i="5"/>
  <c r="S31" i="5"/>
  <c r="S32" i="5"/>
  <c r="S33" i="5"/>
  <c r="S34" i="5"/>
  <c r="S35" i="5"/>
  <c r="S36" i="5"/>
  <c r="T36" i="5" s="1"/>
  <c r="S37" i="5"/>
  <c r="T37" i="5" s="1"/>
  <c r="S38" i="5"/>
  <c r="S39" i="5"/>
  <c r="S40" i="5"/>
  <c r="S41" i="5"/>
  <c r="S42" i="5"/>
  <c r="S43" i="5"/>
  <c r="S44" i="5"/>
  <c r="T44" i="5" s="1"/>
  <c r="S45" i="5"/>
  <c r="S46" i="5"/>
  <c r="S47" i="5"/>
  <c r="S48" i="5"/>
  <c r="T48" i="5" s="1"/>
  <c r="S49" i="5"/>
  <c r="T49" i="5" s="1"/>
  <c r="S50" i="5"/>
  <c r="S51" i="5"/>
  <c r="S52" i="5"/>
  <c r="T52" i="5" s="1"/>
  <c r="S53" i="5"/>
  <c r="S54" i="5"/>
  <c r="S55" i="5"/>
  <c r="S56" i="5"/>
  <c r="T56" i="5" s="1"/>
  <c r="S57" i="5"/>
  <c r="S58" i="5"/>
  <c r="S59" i="5"/>
  <c r="S60" i="5"/>
  <c r="T60" i="5" s="1"/>
  <c r="S61" i="5"/>
  <c r="S62" i="5"/>
  <c r="S63" i="5"/>
  <c r="S64" i="5"/>
  <c r="T64" i="5" s="1"/>
  <c r="S65" i="5"/>
  <c r="S6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I7" i="5"/>
  <c r="P7" i="5" s="1"/>
  <c r="Q7" i="5" s="1"/>
  <c r="I8" i="5"/>
  <c r="P8" i="5" s="1"/>
  <c r="I9" i="5"/>
  <c r="P9" i="5" s="1"/>
  <c r="Q9" i="5" s="1"/>
  <c r="I10" i="5"/>
  <c r="P10" i="5" s="1"/>
  <c r="Q10" i="5" s="1"/>
  <c r="I11" i="5"/>
  <c r="P11" i="5" s="1"/>
  <c r="Q11" i="5" s="1"/>
  <c r="I12" i="5"/>
  <c r="P12" i="5" s="1"/>
  <c r="Q12" i="5" s="1"/>
  <c r="I13" i="5"/>
  <c r="P13" i="5" s="1"/>
  <c r="Q13" i="5" s="1"/>
  <c r="I14" i="5"/>
  <c r="P14" i="5" s="1"/>
  <c r="Q14" i="5" s="1"/>
  <c r="I15" i="5"/>
  <c r="P15" i="5" s="1"/>
  <c r="Q15" i="5" s="1"/>
  <c r="I16" i="5"/>
  <c r="P16" i="5" s="1"/>
  <c r="Q16" i="5" s="1"/>
  <c r="I17" i="5"/>
  <c r="P17" i="5" s="1"/>
  <c r="Q17" i="5" s="1"/>
  <c r="I18" i="5"/>
  <c r="P18" i="5" s="1"/>
  <c r="Q18" i="5" s="1"/>
  <c r="I19" i="5"/>
  <c r="P19" i="5" s="1"/>
  <c r="Q19" i="5" s="1"/>
  <c r="I20" i="5"/>
  <c r="P20" i="5" s="1"/>
  <c r="Q20" i="5" s="1"/>
  <c r="I21" i="5"/>
  <c r="P21" i="5" s="1"/>
  <c r="Q21" i="5" s="1"/>
  <c r="I22" i="5"/>
  <c r="P22" i="5" s="1"/>
  <c r="Q22" i="5" s="1"/>
  <c r="I23" i="5"/>
  <c r="P23" i="5" s="1"/>
  <c r="Q23" i="5" s="1"/>
  <c r="I24" i="5"/>
  <c r="P24" i="5" s="1"/>
  <c r="Q24" i="5" s="1"/>
  <c r="I25" i="5"/>
  <c r="P25" i="5" s="1"/>
  <c r="Q25" i="5" s="1"/>
  <c r="I26" i="5"/>
  <c r="P26" i="5" s="1"/>
  <c r="Q26" i="5" s="1"/>
  <c r="I27" i="5"/>
  <c r="P27" i="5" s="1"/>
  <c r="Q27" i="5" s="1"/>
  <c r="I28" i="5"/>
  <c r="P28" i="5" s="1"/>
  <c r="Q28" i="5" s="1"/>
  <c r="I29" i="5"/>
  <c r="P29" i="5" s="1"/>
  <c r="Q29" i="5" s="1"/>
  <c r="I30" i="5"/>
  <c r="P30" i="5" s="1"/>
  <c r="Q30" i="5" s="1"/>
  <c r="I31" i="5"/>
  <c r="P31" i="5" s="1"/>
  <c r="Q31" i="5" s="1"/>
  <c r="I32" i="5"/>
  <c r="P32" i="5" s="1"/>
  <c r="Q32" i="5" s="1"/>
  <c r="I33" i="5"/>
  <c r="O33" i="5" s="1"/>
  <c r="I34" i="5"/>
  <c r="P34" i="5" s="1"/>
  <c r="Q34" i="5" s="1"/>
  <c r="I35" i="5"/>
  <c r="P35" i="5" s="1"/>
  <c r="Q35" i="5" s="1"/>
  <c r="I36" i="5"/>
  <c r="P36" i="5" s="1"/>
  <c r="Q36" i="5" s="1"/>
  <c r="I37" i="5"/>
  <c r="P37" i="5" s="1"/>
  <c r="Q37" i="5" s="1"/>
  <c r="I38" i="5"/>
  <c r="P38" i="5" s="1"/>
  <c r="Q38" i="5" s="1"/>
  <c r="I39" i="5"/>
  <c r="P39" i="5" s="1"/>
  <c r="Q39" i="5" s="1"/>
  <c r="I40" i="5"/>
  <c r="P40" i="5" s="1"/>
  <c r="Q40" i="5" s="1"/>
  <c r="I41" i="5"/>
  <c r="P41" i="5" s="1"/>
  <c r="Q41" i="5" s="1"/>
  <c r="I42" i="5"/>
  <c r="P42" i="5" s="1"/>
  <c r="Q42" i="5" s="1"/>
  <c r="I43" i="5"/>
  <c r="P43" i="5" s="1"/>
  <c r="Q43" i="5" s="1"/>
  <c r="I44" i="5"/>
  <c r="P44" i="5" s="1"/>
  <c r="Q44" i="5" s="1"/>
  <c r="I45" i="5"/>
  <c r="P45" i="5" s="1"/>
  <c r="Q45" i="5" s="1"/>
  <c r="I46" i="5"/>
  <c r="P46" i="5" s="1"/>
  <c r="Q46" i="5" s="1"/>
  <c r="I47" i="5"/>
  <c r="P47" i="5" s="1"/>
  <c r="Q47" i="5" s="1"/>
  <c r="I48" i="5"/>
  <c r="P48" i="5" s="1"/>
  <c r="Q48" i="5" s="1"/>
  <c r="I49" i="5"/>
  <c r="P49" i="5" s="1"/>
  <c r="Q49" i="5" s="1"/>
  <c r="I50" i="5"/>
  <c r="P50" i="5" s="1"/>
  <c r="Q50" i="5" s="1"/>
  <c r="I51" i="5"/>
  <c r="P51" i="5" s="1"/>
  <c r="Q51" i="5" s="1"/>
  <c r="I52" i="5"/>
  <c r="P52" i="5" s="1"/>
  <c r="Q52" i="5" s="1"/>
  <c r="I53" i="5"/>
  <c r="P53" i="5" s="1"/>
  <c r="Q53" i="5" s="1"/>
  <c r="I54" i="5"/>
  <c r="P54" i="5" s="1"/>
  <c r="Q54" i="5" s="1"/>
  <c r="I55" i="5"/>
  <c r="P55" i="5" s="1"/>
  <c r="Q55" i="5" s="1"/>
  <c r="I56" i="5"/>
  <c r="P56" i="5" s="1"/>
  <c r="Q56" i="5" s="1"/>
  <c r="I57" i="5"/>
  <c r="P57" i="5" s="1"/>
  <c r="Q57" i="5" s="1"/>
  <c r="I58" i="5"/>
  <c r="P58" i="5" s="1"/>
  <c r="Q58" i="5" s="1"/>
  <c r="I59" i="5"/>
  <c r="P59" i="5" s="1"/>
  <c r="Q59" i="5" s="1"/>
  <c r="I60" i="5"/>
  <c r="P60" i="5" s="1"/>
  <c r="Q60" i="5" s="1"/>
  <c r="I61" i="5"/>
  <c r="P61" i="5" s="1"/>
  <c r="Q61" i="5" s="1"/>
  <c r="I62" i="5"/>
  <c r="P62" i="5" s="1"/>
  <c r="Q62" i="5" s="1"/>
  <c r="I63" i="5"/>
  <c r="P63" i="5" s="1"/>
  <c r="Q63" i="5" s="1"/>
  <c r="I64" i="5"/>
  <c r="P64" i="5" s="1"/>
  <c r="Q64" i="5" s="1"/>
  <c r="I65" i="5"/>
  <c r="P65" i="5" s="1"/>
  <c r="Q65" i="5" s="1"/>
  <c r="I66" i="5"/>
  <c r="P66" i="5" s="1"/>
  <c r="Q66" i="5" s="1"/>
  <c r="F42" i="14"/>
  <c r="E42" i="14"/>
  <c r="D42" i="14"/>
  <c r="B42" i="14"/>
  <c r="J42" i="14" s="1"/>
  <c r="C42" i="14" s="1"/>
  <c r="F41" i="14"/>
  <c r="E41" i="14"/>
  <c r="D41" i="14"/>
  <c r="B41" i="14"/>
  <c r="J41" i="14" s="1"/>
  <c r="C41" i="14" s="1"/>
  <c r="F40" i="14"/>
  <c r="E40" i="14"/>
  <c r="D40" i="14"/>
  <c r="B40" i="14"/>
  <c r="J40" i="14" s="1"/>
  <c r="C40" i="14" s="1"/>
  <c r="F39" i="14"/>
  <c r="E39" i="14"/>
  <c r="D39" i="14"/>
  <c r="B39" i="14"/>
  <c r="J39" i="14" s="1"/>
  <c r="C39" i="14" s="1"/>
  <c r="F38" i="14"/>
  <c r="E38" i="14"/>
  <c r="D38" i="14"/>
  <c r="B38" i="14"/>
  <c r="J38" i="14" s="1"/>
  <c r="C38" i="14" s="1"/>
  <c r="F37" i="14"/>
  <c r="C18" i="14"/>
  <c r="C14" i="14"/>
  <c r="B18" i="14"/>
  <c r="B14" i="14"/>
  <c r="C8" i="14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L5" i="17"/>
  <c r="L6" i="17"/>
  <c r="U6" i="17" s="1"/>
  <c r="L7" i="17"/>
  <c r="U7" i="17" s="1"/>
  <c r="L8" i="17"/>
  <c r="U8" i="17" s="1"/>
  <c r="L9" i="17"/>
  <c r="U9" i="17" s="1"/>
  <c r="L10" i="17"/>
  <c r="U10" i="17" s="1"/>
  <c r="L11" i="17"/>
  <c r="U11" i="17" s="1"/>
  <c r="L12" i="17"/>
  <c r="U12" i="17" s="1"/>
  <c r="L13" i="17"/>
  <c r="U13" i="17" s="1"/>
  <c r="L14" i="17"/>
  <c r="U14" i="17" s="1"/>
  <c r="L15" i="17"/>
  <c r="U15" i="17" s="1"/>
  <c r="L16" i="17"/>
  <c r="U16" i="17" s="1"/>
  <c r="L17" i="17"/>
  <c r="U17" i="17" s="1"/>
  <c r="L18" i="17"/>
  <c r="U18" i="17" s="1"/>
  <c r="L19" i="17"/>
  <c r="U19" i="17" s="1"/>
  <c r="L20" i="17"/>
  <c r="U20" i="17" s="1"/>
  <c r="L21" i="17"/>
  <c r="U21" i="17" s="1"/>
  <c r="L22" i="17"/>
  <c r="U22" i="17" s="1"/>
  <c r="L23" i="17"/>
  <c r="U23" i="17" s="1"/>
  <c r="L24" i="17"/>
  <c r="U24" i="17" s="1"/>
  <c r="L25" i="17"/>
  <c r="U25" i="17" s="1"/>
  <c r="L26" i="17"/>
  <c r="U26" i="17" s="1"/>
  <c r="L27" i="17"/>
  <c r="L28" i="17"/>
  <c r="U28" i="17" s="1"/>
  <c r="L29" i="17"/>
  <c r="U29" i="17" s="1"/>
  <c r="L30" i="17"/>
  <c r="U30" i="17" s="1"/>
  <c r="L31" i="17"/>
  <c r="U31" i="17" s="1"/>
  <c r="L32" i="17"/>
  <c r="U32" i="17" s="1"/>
  <c r="L33" i="17"/>
  <c r="U33" i="17" s="1"/>
  <c r="L34" i="17"/>
  <c r="U34" i="17" s="1"/>
  <c r="L35" i="17"/>
  <c r="U35" i="17" s="1"/>
  <c r="L36" i="17"/>
  <c r="U36" i="17" s="1"/>
  <c r="L37" i="17"/>
  <c r="U37" i="17" s="1"/>
  <c r="L38" i="17"/>
  <c r="U38" i="17" s="1"/>
  <c r="L39" i="17"/>
  <c r="U39" i="17" s="1"/>
  <c r="L40" i="17"/>
  <c r="U40" i="17" s="1"/>
  <c r="L41" i="17"/>
  <c r="U41" i="17" s="1"/>
  <c r="L42" i="17"/>
  <c r="U42" i="17" s="1"/>
  <c r="L43" i="17"/>
  <c r="U43" i="17" s="1"/>
  <c r="L44" i="17"/>
  <c r="U44" i="17" s="1"/>
  <c r="L45" i="17"/>
  <c r="U45" i="17" s="1"/>
  <c r="L46" i="17"/>
  <c r="U46" i="17" s="1"/>
  <c r="L47" i="17"/>
  <c r="U47" i="17" s="1"/>
  <c r="L48" i="17"/>
  <c r="U48" i="17" s="1"/>
  <c r="L49" i="17"/>
  <c r="L50" i="17"/>
  <c r="U50" i="17" s="1"/>
  <c r="L51" i="17"/>
  <c r="U51" i="17" s="1"/>
  <c r="L52" i="17"/>
  <c r="U52" i="17" s="1"/>
  <c r="L53" i="17"/>
  <c r="U53" i="17" s="1"/>
  <c r="L54" i="17"/>
  <c r="U54" i="17" s="1"/>
  <c r="L55" i="17"/>
  <c r="U55" i="17" s="1"/>
  <c r="L56" i="17"/>
  <c r="U56" i="17" s="1"/>
  <c r="L57" i="17"/>
  <c r="U57" i="17" s="1"/>
  <c r="L58" i="17"/>
  <c r="U58" i="17" s="1"/>
  <c r="L59" i="17"/>
  <c r="U59" i="17" s="1"/>
  <c r="L60" i="17"/>
  <c r="U60" i="17" s="1"/>
  <c r="L61" i="17"/>
  <c r="U61" i="17" s="1"/>
  <c r="L62" i="17"/>
  <c r="U62" i="17" s="1"/>
  <c r="L63" i="17"/>
  <c r="U63" i="17" s="1"/>
  <c r="L64" i="17"/>
  <c r="U64" i="17" s="1"/>
  <c r="L65" i="17"/>
  <c r="U65" i="17" s="1"/>
  <c r="L66" i="17"/>
  <c r="U66" i="17" s="1"/>
  <c r="L67" i="17"/>
  <c r="U67" i="17" s="1"/>
  <c r="L68" i="17"/>
  <c r="U68" i="17" s="1"/>
  <c r="L69" i="17"/>
  <c r="U69" i="17" s="1"/>
  <c r="L70" i="17"/>
  <c r="U70" i="17" s="1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V66" i="17" s="1"/>
  <c r="K67" i="17"/>
  <c r="K68" i="17"/>
  <c r="K69" i="17"/>
  <c r="K70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P5" i="16"/>
  <c r="P6" i="16"/>
  <c r="Q6" i="16" s="1"/>
  <c r="P7" i="16"/>
  <c r="P8" i="16"/>
  <c r="Q8" i="16" s="1"/>
  <c r="P9" i="16"/>
  <c r="P10" i="16"/>
  <c r="Q10" i="16" s="1"/>
  <c r="P11" i="16"/>
  <c r="P12" i="16"/>
  <c r="Q12" i="16" s="1"/>
  <c r="P13" i="16"/>
  <c r="P14" i="16"/>
  <c r="Q14" i="16" s="1"/>
  <c r="P15" i="16"/>
  <c r="P16" i="16"/>
  <c r="Q16" i="16" s="1"/>
  <c r="P17" i="16"/>
  <c r="P18" i="16"/>
  <c r="Q18" i="16" s="1"/>
  <c r="P19" i="16"/>
  <c r="P20" i="16"/>
  <c r="Q20" i="16" s="1"/>
  <c r="P21" i="16"/>
  <c r="P22" i="16"/>
  <c r="Q22" i="16" s="1"/>
  <c r="P23" i="16"/>
  <c r="P24" i="16"/>
  <c r="Q24" i="16" s="1"/>
  <c r="P25" i="16"/>
  <c r="P26" i="16"/>
  <c r="Q26" i="16" s="1"/>
  <c r="P27" i="16"/>
  <c r="P28" i="16"/>
  <c r="Q28" i="16" s="1"/>
  <c r="P29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J28" i="16"/>
  <c r="J23" i="16"/>
  <c r="J20" i="16"/>
  <c r="J17" i="16"/>
  <c r="J16" i="16"/>
  <c r="J14" i="16"/>
  <c r="J13" i="16"/>
  <c r="J12" i="16"/>
  <c r="J10" i="16"/>
  <c r="J8" i="16"/>
  <c r="J7" i="16"/>
  <c r="J6" i="16"/>
  <c r="J5" i="16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U5" i="2"/>
  <c r="AV5" i="2" s="1"/>
  <c r="AW5" i="2" s="1"/>
  <c r="AU6" i="2"/>
  <c r="AV6" i="2" s="1"/>
  <c r="AW6" i="2" s="1"/>
  <c r="AU7" i="2"/>
  <c r="AV7" i="2" s="1"/>
  <c r="AW7" i="2" s="1"/>
  <c r="AU8" i="2"/>
  <c r="AV8" i="2" s="1"/>
  <c r="AW8" i="2" s="1"/>
  <c r="AU9" i="2"/>
  <c r="AV9" i="2" s="1"/>
  <c r="AW9" i="2" s="1"/>
  <c r="AU10" i="2"/>
  <c r="AV10" i="2" s="1"/>
  <c r="AW10" i="2" s="1"/>
  <c r="AU11" i="2"/>
  <c r="AV11" i="2" s="1"/>
  <c r="AW11" i="2" s="1"/>
  <c r="AU12" i="2"/>
  <c r="AV12" i="2" s="1"/>
  <c r="AW12" i="2" s="1"/>
  <c r="AU13" i="2"/>
  <c r="AV13" i="2" s="1"/>
  <c r="AW13" i="2" s="1"/>
  <c r="AU14" i="2"/>
  <c r="AV14" i="2" s="1"/>
  <c r="AW14" i="2" s="1"/>
  <c r="AU15" i="2"/>
  <c r="AV15" i="2" s="1"/>
  <c r="AW15" i="2" s="1"/>
  <c r="AU16" i="2"/>
  <c r="AV16" i="2" s="1"/>
  <c r="AW16" i="2" s="1"/>
  <c r="AU17" i="2"/>
  <c r="AV17" i="2" s="1"/>
  <c r="AW17" i="2" s="1"/>
  <c r="AU18" i="2"/>
  <c r="AV18" i="2" s="1"/>
  <c r="AW18" i="2" s="1"/>
  <c r="AU19" i="2"/>
  <c r="AV19" i="2" s="1"/>
  <c r="AW19" i="2" s="1"/>
  <c r="AU20" i="2"/>
  <c r="AV20" i="2" s="1"/>
  <c r="AW20" i="2" s="1"/>
  <c r="AU21" i="2"/>
  <c r="AV21" i="2" s="1"/>
  <c r="AW21" i="2" s="1"/>
  <c r="AU22" i="2"/>
  <c r="AV22" i="2" s="1"/>
  <c r="AW22" i="2" s="1"/>
  <c r="AU23" i="2"/>
  <c r="AV23" i="2" s="1"/>
  <c r="AW23" i="2" s="1"/>
  <c r="AU24" i="2"/>
  <c r="AV24" i="2" s="1"/>
  <c r="AW24" i="2" s="1"/>
  <c r="AU25" i="2"/>
  <c r="AV25" i="2" s="1"/>
  <c r="AW25" i="2" s="1"/>
  <c r="AU26" i="2"/>
  <c r="AV26" i="2" s="1"/>
  <c r="AW26" i="2" s="1"/>
  <c r="AU27" i="2"/>
  <c r="AV27" i="2" s="1"/>
  <c r="AW27" i="2" s="1"/>
  <c r="AU28" i="2"/>
  <c r="AV28" i="2" s="1"/>
  <c r="AW28" i="2" s="1"/>
  <c r="AU29" i="2"/>
  <c r="AV29" i="2" s="1"/>
  <c r="AW29" i="2" s="1"/>
  <c r="AU30" i="2"/>
  <c r="AV30" i="2" s="1"/>
  <c r="AW30" i="2" s="1"/>
  <c r="AU31" i="2"/>
  <c r="AV31" i="2" s="1"/>
  <c r="AW31" i="2" s="1"/>
  <c r="AU32" i="2"/>
  <c r="AV32" i="2" s="1"/>
  <c r="AW32" i="2" s="1"/>
  <c r="AU33" i="2"/>
  <c r="AV33" i="2" s="1"/>
  <c r="AW33" i="2" s="1"/>
  <c r="AU34" i="2"/>
  <c r="AV34" i="2" s="1"/>
  <c r="AW34" i="2" s="1"/>
  <c r="AU35" i="2"/>
  <c r="AV35" i="2" s="1"/>
  <c r="AW35" i="2" s="1"/>
  <c r="AU36" i="2"/>
  <c r="AV36" i="2" s="1"/>
  <c r="AW36" i="2" s="1"/>
  <c r="AU37" i="2"/>
  <c r="AV37" i="2" s="1"/>
  <c r="AW37" i="2" s="1"/>
  <c r="AU38" i="2"/>
  <c r="AV38" i="2" s="1"/>
  <c r="AW38" i="2" s="1"/>
  <c r="AU39" i="2"/>
  <c r="AV39" i="2" s="1"/>
  <c r="AW39" i="2" s="1"/>
  <c r="AU40" i="2"/>
  <c r="AV40" i="2" s="1"/>
  <c r="AW40" i="2" s="1"/>
  <c r="AU41" i="2"/>
  <c r="AV41" i="2" s="1"/>
  <c r="AW41" i="2" s="1"/>
  <c r="AU42" i="2"/>
  <c r="AV42" i="2" s="1"/>
  <c r="AW42" i="2" s="1"/>
  <c r="AU43" i="2"/>
  <c r="AV43" i="2" s="1"/>
  <c r="AW43" i="2" s="1"/>
  <c r="AU44" i="2"/>
  <c r="AV44" i="2" s="1"/>
  <c r="AW44" i="2" s="1"/>
  <c r="AU45" i="2"/>
  <c r="AV45" i="2" s="1"/>
  <c r="AW45" i="2" s="1"/>
  <c r="AU46" i="2"/>
  <c r="AV46" i="2" s="1"/>
  <c r="AW46" i="2" s="1"/>
  <c r="AU47" i="2"/>
  <c r="AV47" i="2" s="1"/>
  <c r="AW47" i="2" s="1"/>
  <c r="AU48" i="2"/>
  <c r="AV48" i="2" s="1"/>
  <c r="AW48" i="2" s="1"/>
  <c r="AU49" i="2"/>
  <c r="AV49" i="2" s="1"/>
  <c r="AW49" i="2" s="1"/>
  <c r="AU50" i="2"/>
  <c r="AV50" i="2" s="1"/>
  <c r="AW50" i="2" s="1"/>
  <c r="AU51" i="2"/>
  <c r="AV51" i="2" s="1"/>
  <c r="AW51" i="2" s="1"/>
  <c r="AU52" i="2"/>
  <c r="AV52" i="2" s="1"/>
  <c r="AW52" i="2" s="1"/>
  <c r="AU53" i="2"/>
  <c r="AV53" i="2" s="1"/>
  <c r="AW53" i="2" s="1"/>
  <c r="AU54" i="2"/>
  <c r="AV54" i="2" s="1"/>
  <c r="AW54" i="2" s="1"/>
  <c r="AU55" i="2"/>
  <c r="AV55" i="2" s="1"/>
  <c r="AW55" i="2" s="1"/>
  <c r="AU56" i="2"/>
  <c r="AV56" i="2" s="1"/>
  <c r="AW56" i="2" s="1"/>
  <c r="AU57" i="2"/>
  <c r="AV57" i="2" s="1"/>
  <c r="AW57" i="2" s="1"/>
  <c r="AU58" i="2"/>
  <c r="AV58" i="2" s="1"/>
  <c r="AW58" i="2" s="1"/>
  <c r="AU59" i="2"/>
  <c r="AV59" i="2" s="1"/>
  <c r="AW59" i="2" s="1"/>
  <c r="AU60" i="2"/>
  <c r="AV60" i="2" s="1"/>
  <c r="AW60" i="2" s="1"/>
  <c r="AU61" i="2"/>
  <c r="AV61" i="2" s="1"/>
  <c r="AW61" i="2" s="1"/>
  <c r="AU62" i="2"/>
  <c r="AV62" i="2" s="1"/>
  <c r="AW62" i="2" s="1"/>
  <c r="AU63" i="2"/>
  <c r="AV63" i="2" s="1"/>
  <c r="AW63" i="2" s="1"/>
  <c r="AU64" i="2"/>
  <c r="AV64" i="2" s="1"/>
  <c r="AW64" i="2" s="1"/>
  <c r="AU65" i="2"/>
  <c r="AV65" i="2" s="1"/>
  <c r="AW65" i="2" s="1"/>
  <c r="AU66" i="2"/>
  <c r="AV66" i="2" s="1"/>
  <c r="AW66" i="2" s="1"/>
  <c r="AU67" i="2"/>
  <c r="AV67" i="2" s="1"/>
  <c r="AW67" i="2" s="1"/>
  <c r="AU68" i="2"/>
  <c r="AV68" i="2" s="1"/>
  <c r="AW68" i="2" s="1"/>
  <c r="AU69" i="2"/>
  <c r="AV69" i="2" s="1"/>
  <c r="AW69" i="2" s="1"/>
  <c r="AU70" i="2"/>
  <c r="AV70" i="2" s="1"/>
  <c r="AW70" i="2" s="1"/>
  <c r="AU71" i="2"/>
  <c r="AV71" i="2" s="1"/>
  <c r="AW71" i="2" s="1"/>
  <c r="AU72" i="2"/>
  <c r="AV72" i="2" s="1"/>
  <c r="AW72" i="2" s="1"/>
  <c r="AU73" i="2"/>
  <c r="AV73" i="2" s="1"/>
  <c r="AW73" i="2" s="1"/>
  <c r="AU74" i="2"/>
  <c r="AV74" i="2" s="1"/>
  <c r="AW74" i="2" s="1"/>
  <c r="AU75" i="2"/>
  <c r="AV75" i="2" s="1"/>
  <c r="AW75" i="2" s="1"/>
  <c r="AU76" i="2"/>
  <c r="AV76" i="2" s="1"/>
  <c r="AW76" i="2" s="1"/>
  <c r="AU77" i="2"/>
  <c r="AV77" i="2" s="1"/>
  <c r="AW77" i="2" s="1"/>
  <c r="AU78" i="2"/>
  <c r="AV78" i="2" s="1"/>
  <c r="AW78" i="2" s="1"/>
  <c r="AU79" i="2"/>
  <c r="AV79" i="2" s="1"/>
  <c r="AW79" i="2" s="1"/>
  <c r="AU80" i="2"/>
  <c r="AV80" i="2" s="1"/>
  <c r="AW80" i="2" s="1"/>
  <c r="AU81" i="2"/>
  <c r="AV81" i="2" s="1"/>
  <c r="AW81" i="2" s="1"/>
  <c r="AU82" i="2"/>
  <c r="AV82" i="2" s="1"/>
  <c r="AW82" i="2" s="1"/>
  <c r="AU83" i="2"/>
  <c r="AV83" i="2" s="1"/>
  <c r="AW83" i="2" s="1"/>
  <c r="AU84" i="2"/>
  <c r="AV84" i="2" s="1"/>
  <c r="AW84" i="2" s="1"/>
  <c r="AU85" i="2"/>
  <c r="AV85" i="2" s="1"/>
  <c r="AW85" i="2" s="1"/>
  <c r="AU86" i="2"/>
  <c r="AV86" i="2" s="1"/>
  <c r="AW86" i="2" s="1"/>
  <c r="AU87" i="2"/>
  <c r="AV87" i="2" s="1"/>
  <c r="AW87" i="2" s="1"/>
  <c r="AU88" i="2"/>
  <c r="AV88" i="2" s="1"/>
  <c r="AW88" i="2" s="1"/>
  <c r="AU89" i="2"/>
  <c r="AV89" i="2" s="1"/>
  <c r="AW89" i="2" s="1"/>
  <c r="AU90" i="2"/>
  <c r="AV90" i="2" s="1"/>
  <c r="AW90" i="2" s="1"/>
  <c r="AU91" i="2"/>
  <c r="AV91" i="2" s="1"/>
  <c r="AW91" i="2" s="1"/>
  <c r="AU92" i="2"/>
  <c r="AV92" i="2" s="1"/>
  <c r="AW92" i="2" s="1"/>
  <c r="AU93" i="2"/>
  <c r="AV93" i="2" s="1"/>
  <c r="AW93" i="2" s="1"/>
  <c r="AU94" i="2"/>
  <c r="AV94" i="2" s="1"/>
  <c r="AW94" i="2" s="1"/>
  <c r="AU95" i="2"/>
  <c r="AV95" i="2" s="1"/>
  <c r="AW95" i="2" s="1"/>
  <c r="AU96" i="2"/>
  <c r="AV96" i="2" s="1"/>
  <c r="AW96" i="2" s="1"/>
  <c r="AU97" i="2"/>
  <c r="AV97" i="2" s="1"/>
  <c r="AW97" i="2" s="1"/>
  <c r="AU98" i="2"/>
  <c r="AV98" i="2" s="1"/>
  <c r="AW98" i="2" s="1"/>
  <c r="AU99" i="2"/>
  <c r="AV99" i="2" s="1"/>
  <c r="AW99" i="2" s="1"/>
  <c r="AU100" i="2"/>
  <c r="AV100" i="2" s="1"/>
  <c r="AW100" i="2" s="1"/>
  <c r="AU101" i="2"/>
  <c r="AV101" i="2" s="1"/>
  <c r="AW101" i="2" s="1"/>
  <c r="AU102" i="2"/>
  <c r="AV102" i="2" s="1"/>
  <c r="AW102" i="2" s="1"/>
  <c r="AU103" i="2"/>
  <c r="AV103" i="2" s="1"/>
  <c r="AW103" i="2" s="1"/>
  <c r="AU104" i="2"/>
  <c r="AV104" i="2" s="1"/>
  <c r="AW104" i="2" s="1"/>
  <c r="AU105" i="2"/>
  <c r="AV105" i="2" s="1"/>
  <c r="AW105" i="2" s="1"/>
  <c r="AU106" i="2"/>
  <c r="AV106" i="2" s="1"/>
  <c r="AW106" i="2" s="1"/>
  <c r="AU107" i="2"/>
  <c r="AV107" i="2" s="1"/>
  <c r="AW107" i="2" s="1"/>
  <c r="AU108" i="2"/>
  <c r="AV108" i="2" s="1"/>
  <c r="AW108" i="2" s="1"/>
  <c r="AU109" i="2"/>
  <c r="AV109" i="2" s="1"/>
  <c r="AW109" i="2" s="1"/>
  <c r="AU110" i="2"/>
  <c r="AV110" i="2" s="1"/>
  <c r="AW110" i="2" s="1"/>
  <c r="AU111" i="2"/>
  <c r="AV111" i="2" s="1"/>
  <c r="AW111" i="2" s="1"/>
  <c r="AU112" i="2"/>
  <c r="AV112" i="2" s="1"/>
  <c r="AW112" i="2" s="1"/>
  <c r="AU113" i="2"/>
  <c r="AV113" i="2" s="1"/>
  <c r="AW113" i="2" s="1"/>
  <c r="AU114" i="2"/>
  <c r="AV114" i="2" s="1"/>
  <c r="AW114" i="2" s="1"/>
  <c r="AU115" i="2"/>
  <c r="AV115" i="2" s="1"/>
  <c r="AW115" i="2" s="1"/>
  <c r="AU116" i="2"/>
  <c r="AV116" i="2" s="1"/>
  <c r="AW116" i="2" s="1"/>
  <c r="AU117" i="2"/>
  <c r="AV117" i="2" s="1"/>
  <c r="AW117" i="2" s="1"/>
  <c r="AU118" i="2"/>
  <c r="AV118" i="2" s="1"/>
  <c r="AW118" i="2" s="1"/>
  <c r="AU119" i="2"/>
  <c r="AV119" i="2" s="1"/>
  <c r="AW119" i="2" s="1"/>
  <c r="AU120" i="2"/>
  <c r="AV120" i="2" s="1"/>
  <c r="AW120" i="2" s="1"/>
  <c r="AU121" i="2"/>
  <c r="AV121" i="2" s="1"/>
  <c r="AW121" i="2" s="1"/>
  <c r="AU122" i="2"/>
  <c r="AV122" i="2" s="1"/>
  <c r="AW122" i="2" s="1"/>
  <c r="AU123" i="2"/>
  <c r="AV123" i="2" s="1"/>
  <c r="AW123" i="2" s="1"/>
  <c r="AU124" i="2"/>
  <c r="AV124" i="2" s="1"/>
  <c r="AW124" i="2" s="1"/>
  <c r="AU125" i="2"/>
  <c r="AV125" i="2" s="1"/>
  <c r="AW125" i="2" s="1"/>
  <c r="AU126" i="2"/>
  <c r="AV126" i="2" s="1"/>
  <c r="AW126" i="2" s="1"/>
  <c r="AU127" i="2"/>
  <c r="AV127" i="2" s="1"/>
  <c r="AW127" i="2" s="1"/>
  <c r="AU128" i="2"/>
  <c r="AV128" i="2" s="1"/>
  <c r="AW128" i="2" s="1"/>
  <c r="AU129" i="2"/>
  <c r="AV129" i="2" s="1"/>
  <c r="AW129" i="2" s="1"/>
  <c r="AU130" i="2"/>
  <c r="AV130" i="2" s="1"/>
  <c r="AW130" i="2" s="1"/>
  <c r="AU131" i="2"/>
  <c r="AV131" i="2" s="1"/>
  <c r="AW131" i="2" s="1"/>
  <c r="AU132" i="2"/>
  <c r="AV132" i="2" s="1"/>
  <c r="AW132" i="2" s="1"/>
  <c r="AU133" i="2"/>
  <c r="AV133" i="2" s="1"/>
  <c r="AW133" i="2" s="1"/>
  <c r="AU134" i="2"/>
  <c r="AV134" i="2" s="1"/>
  <c r="AW134" i="2" s="1"/>
  <c r="AU135" i="2"/>
  <c r="AV135" i="2" s="1"/>
  <c r="AW135" i="2" s="1"/>
  <c r="AU136" i="2"/>
  <c r="AV136" i="2" s="1"/>
  <c r="AW136" i="2" s="1"/>
  <c r="AU137" i="2"/>
  <c r="AV137" i="2" s="1"/>
  <c r="AW137" i="2" s="1"/>
  <c r="AU138" i="2"/>
  <c r="AV138" i="2" s="1"/>
  <c r="AW138" i="2" s="1"/>
  <c r="AU139" i="2"/>
  <c r="AV139" i="2" s="1"/>
  <c r="AW139" i="2" s="1"/>
  <c r="AU140" i="2"/>
  <c r="AV140" i="2" s="1"/>
  <c r="AW140" i="2" s="1"/>
  <c r="AU141" i="2"/>
  <c r="AV141" i="2" s="1"/>
  <c r="AW141" i="2" s="1"/>
  <c r="AU142" i="2"/>
  <c r="AV142" i="2" s="1"/>
  <c r="AW142" i="2" s="1"/>
  <c r="AU143" i="2"/>
  <c r="AV143" i="2" s="1"/>
  <c r="AW143" i="2" s="1"/>
  <c r="AU144" i="2"/>
  <c r="AV144" i="2" s="1"/>
  <c r="AW144" i="2" s="1"/>
  <c r="AU145" i="2"/>
  <c r="AV145" i="2" s="1"/>
  <c r="AW145" i="2" s="1"/>
  <c r="AU146" i="2"/>
  <c r="AV146" i="2" s="1"/>
  <c r="AW146" i="2" s="1"/>
  <c r="AU147" i="2"/>
  <c r="AV147" i="2" s="1"/>
  <c r="AW147" i="2" s="1"/>
  <c r="AU148" i="2"/>
  <c r="AV148" i="2" s="1"/>
  <c r="AW148" i="2" s="1"/>
  <c r="AU149" i="2"/>
  <c r="AV149" i="2" s="1"/>
  <c r="AW149" i="2" s="1"/>
  <c r="AU150" i="2"/>
  <c r="AV150" i="2" s="1"/>
  <c r="AW150" i="2" s="1"/>
  <c r="AU151" i="2"/>
  <c r="AV151" i="2" s="1"/>
  <c r="AW151" i="2" s="1"/>
  <c r="AU152" i="2"/>
  <c r="AV152" i="2" s="1"/>
  <c r="AW152" i="2" s="1"/>
  <c r="AU153" i="2"/>
  <c r="AV153" i="2" s="1"/>
  <c r="AW153" i="2" s="1"/>
  <c r="AU154" i="2"/>
  <c r="AV154" i="2" s="1"/>
  <c r="AW154" i="2" s="1"/>
  <c r="BI5" i="1"/>
  <c r="BJ5" i="1" s="1"/>
  <c r="BI6" i="1"/>
  <c r="BJ6" i="1" s="1"/>
  <c r="BI7" i="1"/>
  <c r="BJ7" i="1" s="1"/>
  <c r="BI8" i="1"/>
  <c r="BJ8" i="1" s="1"/>
  <c r="BI9" i="1"/>
  <c r="BJ9" i="1" s="1"/>
  <c r="BI10" i="1"/>
  <c r="BJ10" i="1" s="1"/>
  <c r="BI11" i="1"/>
  <c r="BJ11" i="1" s="1"/>
  <c r="BI12" i="1"/>
  <c r="BJ12" i="1" s="1"/>
  <c r="BI13" i="1"/>
  <c r="BJ13" i="1" s="1"/>
  <c r="BI14" i="1"/>
  <c r="BJ14" i="1" s="1"/>
  <c r="BI15" i="1"/>
  <c r="BJ15" i="1" s="1"/>
  <c r="BI16" i="1"/>
  <c r="BJ16" i="1" s="1"/>
  <c r="BI17" i="1"/>
  <c r="BJ17" i="1" s="1"/>
  <c r="BI18" i="1"/>
  <c r="BJ18" i="1" s="1"/>
  <c r="BI19" i="1"/>
  <c r="BJ19" i="1" s="1"/>
  <c r="BI20" i="1"/>
  <c r="BJ20" i="1" s="1"/>
  <c r="BI21" i="1"/>
  <c r="BJ21" i="1" s="1"/>
  <c r="BI22" i="1"/>
  <c r="BJ22" i="1" s="1"/>
  <c r="BI23" i="1"/>
  <c r="BJ23" i="1" s="1"/>
  <c r="BI24" i="1"/>
  <c r="BJ24" i="1" s="1"/>
  <c r="BI25" i="1"/>
  <c r="BJ25" i="1" s="1"/>
  <c r="BI26" i="1"/>
  <c r="BJ26" i="1" s="1"/>
  <c r="BI27" i="1"/>
  <c r="BJ27" i="1" s="1"/>
  <c r="BI28" i="1"/>
  <c r="BJ28" i="1" s="1"/>
  <c r="BI29" i="1"/>
  <c r="BJ29" i="1" s="1"/>
  <c r="BI30" i="1"/>
  <c r="BJ30" i="1" s="1"/>
  <c r="BI31" i="1"/>
  <c r="BJ31" i="1" s="1"/>
  <c r="BI32" i="1"/>
  <c r="BJ32" i="1" s="1"/>
  <c r="BI33" i="1"/>
  <c r="BJ33" i="1" s="1"/>
  <c r="BI34" i="1"/>
  <c r="BJ34" i="1" s="1"/>
  <c r="BI35" i="1"/>
  <c r="BJ35" i="1" s="1"/>
  <c r="BI36" i="1"/>
  <c r="BJ36" i="1" s="1"/>
  <c r="BI37" i="1"/>
  <c r="BJ37" i="1" s="1"/>
  <c r="BI38" i="1"/>
  <c r="BJ38" i="1" s="1"/>
  <c r="BI39" i="1"/>
  <c r="BJ39" i="1" s="1"/>
  <c r="BI40" i="1"/>
  <c r="BJ40" i="1" s="1"/>
  <c r="BI41" i="1"/>
  <c r="BJ41" i="1" s="1"/>
  <c r="BI42" i="1"/>
  <c r="BJ42" i="1" s="1"/>
  <c r="BI43" i="1"/>
  <c r="BJ43" i="1" s="1"/>
  <c r="BI44" i="1"/>
  <c r="BJ44" i="1" s="1"/>
  <c r="BI45" i="1"/>
  <c r="BJ45" i="1" s="1"/>
  <c r="BI46" i="1"/>
  <c r="BJ46" i="1" s="1"/>
  <c r="BI47" i="1"/>
  <c r="BJ47" i="1" s="1"/>
  <c r="BI48" i="1"/>
  <c r="BJ48" i="1" s="1"/>
  <c r="BI49" i="1"/>
  <c r="BJ49" i="1" s="1"/>
  <c r="BI50" i="1"/>
  <c r="BJ50" i="1" s="1"/>
  <c r="BI51" i="1"/>
  <c r="BJ51" i="1" s="1"/>
  <c r="BI52" i="1"/>
  <c r="BJ52" i="1" s="1"/>
  <c r="BI53" i="1"/>
  <c r="BJ53" i="1" s="1"/>
  <c r="BI54" i="1"/>
  <c r="BJ54" i="1" s="1"/>
  <c r="BI55" i="1"/>
  <c r="BJ55" i="1" s="1"/>
  <c r="BI56" i="1"/>
  <c r="BJ56" i="1" s="1"/>
  <c r="BI57" i="1"/>
  <c r="BJ57" i="1" s="1"/>
  <c r="BI58" i="1"/>
  <c r="BJ58" i="1" s="1"/>
  <c r="BI59" i="1"/>
  <c r="BJ59" i="1" s="1"/>
  <c r="BI60" i="1"/>
  <c r="BJ60" i="1" s="1"/>
  <c r="BI61" i="1"/>
  <c r="BJ61" i="1" s="1"/>
  <c r="BI62" i="1"/>
  <c r="BJ62" i="1" s="1"/>
  <c r="BI63" i="1"/>
  <c r="BJ63" i="1" s="1"/>
  <c r="BI64" i="1"/>
  <c r="BJ64" i="1" s="1"/>
  <c r="BI65" i="1"/>
  <c r="BJ65" i="1" s="1"/>
  <c r="BI66" i="1"/>
  <c r="BJ66" i="1" s="1"/>
  <c r="BI67" i="1"/>
  <c r="BJ67" i="1" s="1"/>
  <c r="BI68" i="1"/>
  <c r="BJ68" i="1" s="1"/>
  <c r="BI69" i="1"/>
  <c r="BJ69" i="1" s="1"/>
  <c r="BI70" i="1"/>
  <c r="BJ70" i="1" s="1"/>
  <c r="BI71" i="1"/>
  <c r="BJ71" i="1" s="1"/>
  <c r="BI72" i="1"/>
  <c r="BJ72" i="1" s="1"/>
  <c r="BI73" i="1"/>
  <c r="BJ73" i="1" s="1"/>
  <c r="BI74" i="1"/>
  <c r="BJ74" i="1" s="1"/>
  <c r="BI75" i="1"/>
  <c r="BJ75" i="1" s="1"/>
  <c r="BI76" i="1"/>
  <c r="BJ76" i="1" s="1"/>
  <c r="BI77" i="1"/>
  <c r="BJ77" i="1" s="1"/>
  <c r="BI78" i="1"/>
  <c r="BJ78" i="1" s="1"/>
  <c r="BI79" i="1"/>
  <c r="BJ79" i="1" s="1"/>
  <c r="BI80" i="1"/>
  <c r="BJ80" i="1" s="1"/>
  <c r="BI81" i="1"/>
  <c r="BJ81" i="1" s="1"/>
  <c r="BI82" i="1"/>
  <c r="BJ82" i="1" s="1"/>
  <c r="BI83" i="1"/>
  <c r="BJ83" i="1" s="1"/>
  <c r="BI84" i="1"/>
  <c r="BJ84" i="1" s="1"/>
  <c r="BI85" i="1"/>
  <c r="BJ85" i="1" s="1"/>
  <c r="BI86" i="1"/>
  <c r="BJ86" i="1" s="1"/>
  <c r="BI87" i="1"/>
  <c r="BJ87" i="1" s="1"/>
  <c r="BI88" i="1"/>
  <c r="BJ88" i="1" s="1"/>
  <c r="BI89" i="1"/>
  <c r="BJ89" i="1" s="1"/>
  <c r="BI90" i="1"/>
  <c r="BJ90" i="1" s="1"/>
  <c r="BI91" i="1"/>
  <c r="BJ91" i="1" s="1"/>
  <c r="BI92" i="1"/>
  <c r="BJ92" i="1" s="1"/>
  <c r="BI93" i="1"/>
  <c r="BJ93" i="1" s="1"/>
  <c r="BI94" i="1"/>
  <c r="BJ94" i="1" s="1"/>
  <c r="BI95" i="1"/>
  <c r="BJ95" i="1" s="1"/>
  <c r="BI96" i="1"/>
  <c r="BJ96" i="1" s="1"/>
  <c r="BI97" i="1"/>
  <c r="BJ97" i="1" s="1"/>
  <c r="BI98" i="1"/>
  <c r="BJ98" i="1" s="1"/>
  <c r="BI99" i="1"/>
  <c r="BJ99" i="1" s="1"/>
  <c r="BI100" i="1"/>
  <c r="BJ100" i="1" s="1"/>
  <c r="BI101" i="1"/>
  <c r="BJ101" i="1" s="1"/>
  <c r="BI102" i="1"/>
  <c r="BJ102" i="1" s="1"/>
  <c r="BI103" i="1"/>
  <c r="BJ103" i="1" s="1"/>
  <c r="BI104" i="1"/>
  <c r="BJ104" i="1" s="1"/>
  <c r="BI105" i="1"/>
  <c r="BJ105" i="1" s="1"/>
  <c r="BI106" i="1"/>
  <c r="BJ106" i="1" s="1"/>
  <c r="BI107" i="1"/>
  <c r="BJ107" i="1" s="1"/>
  <c r="BI108" i="1"/>
  <c r="BJ108" i="1" s="1"/>
  <c r="BI109" i="1"/>
  <c r="BJ109" i="1" s="1"/>
  <c r="BI110" i="1"/>
  <c r="BJ110" i="1" s="1"/>
  <c r="BI111" i="1"/>
  <c r="BJ111" i="1" s="1"/>
  <c r="BI112" i="1"/>
  <c r="BJ112" i="1" s="1"/>
  <c r="BI113" i="1"/>
  <c r="BJ113" i="1" s="1"/>
  <c r="BI114" i="1"/>
  <c r="BJ114" i="1" s="1"/>
  <c r="BI115" i="1"/>
  <c r="BJ115" i="1" s="1"/>
  <c r="BI116" i="1"/>
  <c r="BJ116" i="1" s="1"/>
  <c r="BI117" i="1"/>
  <c r="BJ117" i="1" s="1"/>
  <c r="BI118" i="1"/>
  <c r="BJ118" i="1" s="1"/>
  <c r="BI119" i="1"/>
  <c r="BJ119" i="1" s="1"/>
  <c r="BI120" i="1"/>
  <c r="BJ120" i="1" s="1"/>
  <c r="BI121" i="1"/>
  <c r="BJ121" i="1" s="1"/>
  <c r="BI122" i="1"/>
  <c r="BJ122" i="1" s="1"/>
  <c r="BI123" i="1"/>
  <c r="BJ123" i="1" s="1"/>
  <c r="BI124" i="1"/>
  <c r="BJ124" i="1" s="1"/>
  <c r="BI125" i="1"/>
  <c r="BJ125" i="1" s="1"/>
  <c r="BI126" i="1"/>
  <c r="BJ126" i="1" s="1"/>
  <c r="BI127" i="1"/>
  <c r="BJ127" i="1" s="1"/>
  <c r="BI128" i="1"/>
  <c r="BJ128" i="1" s="1"/>
  <c r="BI129" i="1"/>
  <c r="BJ129" i="1" s="1"/>
  <c r="BI130" i="1"/>
  <c r="BJ130" i="1" s="1"/>
  <c r="BI131" i="1"/>
  <c r="BJ131" i="1" s="1"/>
  <c r="BI132" i="1"/>
  <c r="BJ132" i="1" s="1"/>
  <c r="BI133" i="1"/>
  <c r="BJ133" i="1" s="1"/>
  <c r="BI134" i="1"/>
  <c r="BJ134" i="1" s="1"/>
  <c r="BI135" i="1"/>
  <c r="BJ135" i="1" s="1"/>
  <c r="BI136" i="1"/>
  <c r="BJ136" i="1" s="1"/>
  <c r="BI137" i="1"/>
  <c r="BJ137" i="1" s="1"/>
  <c r="BI138" i="1"/>
  <c r="BJ138" i="1" s="1"/>
  <c r="BI139" i="1"/>
  <c r="BJ139" i="1" s="1"/>
  <c r="BI140" i="1"/>
  <c r="BJ140" i="1" s="1"/>
  <c r="BI141" i="1"/>
  <c r="BJ141" i="1" s="1"/>
  <c r="BI142" i="1"/>
  <c r="BJ142" i="1" s="1"/>
  <c r="BI143" i="1"/>
  <c r="BJ143" i="1" s="1"/>
  <c r="BI144" i="1"/>
  <c r="BJ144" i="1" s="1"/>
  <c r="BI145" i="1"/>
  <c r="BJ145" i="1" s="1"/>
  <c r="BI146" i="1"/>
  <c r="BJ146" i="1" s="1"/>
  <c r="BI147" i="1"/>
  <c r="BJ147" i="1" s="1"/>
  <c r="BI148" i="1"/>
  <c r="BJ148" i="1" s="1"/>
  <c r="BI149" i="1"/>
  <c r="BJ149" i="1" s="1"/>
  <c r="BI150" i="1"/>
  <c r="BJ150" i="1" s="1"/>
  <c r="BI151" i="1"/>
  <c r="BJ151" i="1" s="1"/>
  <c r="BI152" i="1"/>
  <c r="BJ152" i="1" s="1"/>
  <c r="BI153" i="1"/>
  <c r="BJ153" i="1" s="1"/>
  <c r="BI154" i="1"/>
  <c r="BJ154" i="1" s="1"/>
  <c r="I56" i="12"/>
  <c r="I55" i="12"/>
  <c r="I54" i="12"/>
  <c r="I53" i="12"/>
  <c r="I52" i="12"/>
  <c r="I51" i="12"/>
  <c r="I50" i="12"/>
  <c r="F37" i="12"/>
  <c r="E37" i="12"/>
  <c r="D37" i="12"/>
  <c r="C37" i="12"/>
  <c r="F36" i="12"/>
  <c r="E36" i="12"/>
  <c r="D36" i="12"/>
  <c r="C36" i="12"/>
  <c r="F35" i="12"/>
  <c r="E35" i="12"/>
  <c r="D35" i="12"/>
  <c r="C35" i="12"/>
  <c r="F34" i="12"/>
  <c r="E34" i="12"/>
  <c r="D34" i="12"/>
  <c r="C34" i="12"/>
  <c r="F33" i="12"/>
  <c r="E33" i="12"/>
  <c r="D33" i="12"/>
  <c r="C33" i="12"/>
  <c r="C21" i="12"/>
  <c r="C20" i="12"/>
  <c r="G35" i="12" s="1"/>
  <c r="L64" i="7"/>
  <c r="K64" i="7"/>
  <c r="L63" i="7"/>
  <c r="K63" i="7"/>
  <c r="L62" i="7"/>
  <c r="K62" i="7"/>
  <c r="L61" i="7"/>
  <c r="K61" i="7"/>
  <c r="L60" i="7"/>
  <c r="K60" i="7"/>
  <c r="L59" i="7"/>
  <c r="K59" i="7"/>
  <c r="L58" i="7"/>
  <c r="K58" i="7"/>
  <c r="L57" i="7"/>
  <c r="K57" i="7"/>
  <c r="L56" i="7"/>
  <c r="K56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K32" i="7"/>
  <c r="L32" i="7" s="1"/>
  <c r="K31" i="7"/>
  <c r="L31" i="7" s="1"/>
  <c r="K30" i="7"/>
  <c r="L30" i="7" s="1"/>
  <c r="K29" i="7"/>
  <c r="L29" i="7" s="1"/>
  <c r="K28" i="7"/>
  <c r="L28" i="7" s="1"/>
  <c r="K27" i="7"/>
  <c r="L27" i="7" s="1"/>
  <c r="K26" i="7"/>
  <c r="L26" i="7" s="1"/>
  <c r="K25" i="7"/>
  <c r="L25" i="7" s="1"/>
  <c r="K24" i="7"/>
  <c r="L24" i="7" s="1"/>
  <c r="L23" i="7"/>
  <c r="K23" i="7"/>
  <c r="K22" i="7"/>
  <c r="L22" i="7" s="1"/>
  <c r="K21" i="7"/>
  <c r="L21" i="7" s="1"/>
  <c r="L20" i="7"/>
  <c r="K20" i="7"/>
  <c r="K19" i="7"/>
  <c r="L19" i="7" s="1"/>
  <c r="K18" i="7"/>
  <c r="L18" i="7" s="1"/>
  <c r="K17" i="7"/>
  <c r="L17" i="7" s="1"/>
  <c r="K16" i="7"/>
  <c r="L16" i="7" s="1"/>
  <c r="K15" i="7"/>
  <c r="L15" i="7" s="1"/>
  <c r="L14" i="7"/>
  <c r="K14" i="7"/>
  <c r="L13" i="7"/>
  <c r="K13" i="7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N86" i="6"/>
  <c r="B86" i="6"/>
  <c r="N85" i="6"/>
  <c r="B85" i="6"/>
  <c r="N84" i="6"/>
  <c r="B84" i="6"/>
  <c r="N83" i="6"/>
  <c r="B83" i="6"/>
  <c r="N82" i="6"/>
  <c r="B82" i="6"/>
  <c r="N81" i="6"/>
  <c r="B81" i="6"/>
  <c r="N80" i="6"/>
  <c r="B80" i="6"/>
  <c r="N79" i="6"/>
  <c r="B79" i="6"/>
  <c r="N78" i="6"/>
  <c r="B78" i="6"/>
  <c r="N77" i="6"/>
  <c r="B77" i="6"/>
  <c r="N76" i="6"/>
  <c r="B76" i="6"/>
  <c r="N75" i="6"/>
  <c r="B75" i="6"/>
  <c r="N74" i="6"/>
  <c r="B74" i="6"/>
  <c r="N73" i="6"/>
  <c r="B73" i="6"/>
  <c r="N72" i="6"/>
  <c r="B72" i="6"/>
  <c r="N71" i="6"/>
  <c r="B71" i="6"/>
  <c r="N70" i="6"/>
  <c r="B70" i="6"/>
  <c r="N69" i="6"/>
  <c r="B69" i="6"/>
  <c r="N68" i="6"/>
  <c r="B68" i="6"/>
  <c r="N67" i="6"/>
  <c r="B67" i="6"/>
  <c r="N66" i="6"/>
  <c r="B66" i="6"/>
  <c r="N65" i="6"/>
  <c r="B65" i="6"/>
  <c r="N64" i="6"/>
  <c r="B64" i="6"/>
  <c r="N63" i="6"/>
  <c r="B63" i="6"/>
  <c r="N62" i="6"/>
  <c r="B62" i="6"/>
  <c r="N61" i="6"/>
  <c r="B61" i="6"/>
  <c r="N60" i="6"/>
  <c r="B60" i="6"/>
  <c r="N59" i="6"/>
  <c r="B59" i="6"/>
  <c r="N58" i="6"/>
  <c r="B58" i="6"/>
  <c r="N57" i="6"/>
  <c r="B57" i="6"/>
  <c r="N56" i="6"/>
  <c r="B56" i="6"/>
  <c r="N55" i="6"/>
  <c r="B55" i="6"/>
  <c r="N54" i="6"/>
  <c r="B54" i="6"/>
  <c r="N53" i="6"/>
  <c r="B53" i="6"/>
  <c r="N52" i="6"/>
  <c r="B52" i="6"/>
  <c r="N51" i="6"/>
  <c r="B51" i="6"/>
  <c r="N50" i="6"/>
  <c r="B50" i="6"/>
  <c r="N49" i="6"/>
  <c r="B49" i="6"/>
  <c r="N48" i="6"/>
  <c r="B48" i="6"/>
  <c r="N47" i="6"/>
  <c r="B47" i="6"/>
  <c r="N46" i="6"/>
  <c r="B46" i="6"/>
  <c r="N45" i="6"/>
  <c r="B45" i="6"/>
  <c r="N44" i="6"/>
  <c r="B44" i="6"/>
  <c r="N43" i="6"/>
  <c r="B43" i="6"/>
  <c r="N42" i="6"/>
  <c r="B42" i="6"/>
  <c r="N41" i="6"/>
  <c r="B41" i="6"/>
  <c r="N40" i="6"/>
  <c r="B40" i="6"/>
  <c r="N39" i="6"/>
  <c r="B39" i="6"/>
  <c r="N38" i="6"/>
  <c r="B38" i="6"/>
  <c r="N37" i="6"/>
  <c r="B37" i="6"/>
  <c r="N36" i="6"/>
  <c r="B36" i="6"/>
  <c r="N35" i="6"/>
  <c r="B35" i="6"/>
  <c r="N34" i="6"/>
  <c r="B34" i="6"/>
  <c r="N33" i="6"/>
  <c r="B33" i="6"/>
  <c r="N32" i="6"/>
  <c r="B32" i="6"/>
  <c r="N31" i="6"/>
  <c r="B31" i="6"/>
  <c r="N30" i="6"/>
  <c r="B30" i="6"/>
  <c r="N29" i="6"/>
  <c r="B29" i="6"/>
  <c r="N28" i="6"/>
  <c r="B28" i="6"/>
  <c r="N27" i="6"/>
  <c r="B27" i="6"/>
  <c r="N26" i="6"/>
  <c r="B26" i="6"/>
  <c r="N25" i="6"/>
  <c r="B25" i="6"/>
  <c r="N24" i="6"/>
  <c r="B24" i="6"/>
  <c r="N23" i="6"/>
  <c r="B23" i="6"/>
  <c r="N22" i="6"/>
  <c r="B22" i="6"/>
  <c r="N21" i="6"/>
  <c r="B21" i="6"/>
  <c r="N20" i="6"/>
  <c r="B20" i="6"/>
  <c r="N19" i="6"/>
  <c r="B19" i="6"/>
  <c r="N18" i="6"/>
  <c r="B18" i="6"/>
  <c r="N17" i="6"/>
  <c r="B17" i="6"/>
  <c r="N16" i="6"/>
  <c r="B16" i="6"/>
  <c r="N15" i="6"/>
  <c r="B15" i="6"/>
  <c r="N14" i="6"/>
  <c r="B14" i="6"/>
  <c r="N13" i="6"/>
  <c r="B13" i="6"/>
  <c r="N12" i="6"/>
  <c r="B12" i="6"/>
  <c r="N11" i="6"/>
  <c r="B11" i="6"/>
  <c r="N10" i="6"/>
  <c r="B10" i="6"/>
  <c r="N9" i="6"/>
  <c r="B9" i="6"/>
  <c r="N8" i="6"/>
  <c r="B8" i="6"/>
  <c r="N7" i="6"/>
  <c r="B7" i="6"/>
  <c r="T66" i="5"/>
  <c r="R66" i="5"/>
  <c r="C66" i="5"/>
  <c r="T65" i="5"/>
  <c r="R65" i="5"/>
  <c r="C65" i="5"/>
  <c r="R64" i="5"/>
  <c r="C64" i="5"/>
  <c r="T63" i="5"/>
  <c r="R63" i="5"/>
  <c r="C63" i="5"/>
  <c r="T62" i="5"/>
  <c r="R62" i="5"/>
  <c r="C62" i="5"/>
  <c r="T61" i="5"/>
  <c r="R61" i="5"/>
  <c r="C61" i="5"/>
  <c r="R60" i="5"/>
  <c r="C60" i="5"/>
  <c r="T59" i="5"/>
  <c r="R59" i="5"/>
  <c r="C59" i="5"/>
  <c r="T58" i="5"/>
  <c r="R58" i="5"/>
  <c r="C58" i="5"/>
  <c r="T57" i="5"/>
  <c r="R57" i="5"/>
  <c r="C57" i="5"/>
  <c r="R56" i="5"/>
  <c r="C56" i="5"/>
  <c r="T55" i="5"/>
  <c r="R55" i="5"/>
  <c r="C55" i="5"/>
  <c r="T54" i="5"/>
  <c r="R54" i="5"/>
  <c r="O54" i="5"/>
  <c r="C54" i="5"/>
  <c r="T53" i="5"/>
  <c r="R53" i="5"/>
  <c r="C53" i="5"/>
  <c r="R52" i="5"/>
  <c r="C52" i="5"/>
  <c r="T51" i="5"/>
  <c r="R51" i="5"/>
  <c r="C51" i="5"/>
  <c r="T50" i="5"/>
  <c r="R50" i="5"/>
  <c r="C50" i="5"/>
  <c r="R49" i="5"/>
  <c r="C49" i="5"/>
  <c r="R48" i="5"/>
  <c r="C48" i="5"/>
  <c r="T47" i="5"/>
  <c r="R47" i="5"/>
  <c r="C47" i="5"/>
  <c r="T46" i="5"/>
  <c r="R46" i="5"/>
  <c r="C46" i="5"/>
  <c r="T45" i="5"/>
  <c r="R45" i="5"/>
  <c r="C45" i="5"/>
  <c r="R44" i="5"/>
  <c r="C44" i="5"/>
  <c r="T43" i="5"/>
  <c r="R43" i="5"/>
  <c r="C43" i="5"/>
  <c r="T42" i="5"/>
  <c r="R42" i="5"/>
  <c r="C42" i="5"/>
  <c r="T41" i="5"/>
  <c r="R41" i="5"/>
  <c r="C41" i="5"/>
  <c r="T40" i="5"/>
  <c r="R40" i="5"/>
  <c r="C40" i="5"/>
  <c r="T39" i="5"/>
  <c r="R39" i="5"/>
  <c r="C39" i="5"/>
  <c r="T38" i="5"/>
  <c r="R38" i="5"/>
  <c r="O38" i="5"/>
  <c r="C38" i="5"/>
  <c r="R37" i="5"/>
  <c r="C37" i="5"/>
  <c r="C36" i="5"/>
  <c r="T35" i="5"/>
  <c r="C35" i="5"/>
  <c r="T34" i="5"/>
  <c r="O34" i="5"/>
  <c r="R34" i="5" s="1"/>
  <c r="C34" i="5"/>
  <c r="T33" i="5"/>
  <c r="C33" i="5"/>
  <c r="T32" i="5"/>
  <c r="C32" i="5"/>
  <c r="T31" i="5"/>
  <c r="O31" i="5"/>
  <c r="R31" i="5" s="1"/>
  <c r="C31" i="5"/>
  <c r="T30" i="5"/>
  <c r="C30" i="5"/>
  <c r="T29" i="5"/>
  <c r="C29" i="5"/>
  <c r="C28" i="5"/>
  <c r="T27" i="5"/>
  <c r="C27" i="5"/>
  <c r="T26" i="5"/>
  <c r="C26" i="5"/>
  <c r="T25" i="5"/>
  <c r="C25" i="5"/>
  <c r="T24" i="5"/>
  <c r="C24" i="5"/>
  <c r="T23" i="5"/>
  <c r="O23" i="5"/>
  <c r="R23" i="5" s="1"/>
  <c r="C23" i="5"/>
  <c r="T22" i="5"/>
  <c r="C22" i="5"/>
  <c r="T21" i="5"/>
  <c r="C21" i="5"/>
  <c r="C20" i="5"/>
  <c r="T19" i="5"/>
  <c r="C19" i="5"/>
  <c r="T18" i="5"/>
  <c r="C18" i="5"/>
  <c r="T17" i="5"/>
  <c r="C17" i="5"/>
  <c r="T16" i="5"/>
  <c r="C16" i="5"/>
  <c r="T15" i="5"/>
  <c r="O15" i="5"/>
  <c r="C15" i="5"/>
  <c r="T14" i="5"/>
  <c r="C14" i="5"/>
  <c r="T13" i="5"/>
  <c r="C13" i="5"/>
  <c r="C12" i="5"/>
  <c r="T11" i="5"/>
  <c r="C11" i="5"/>
  <c r="T10" i="5"/>
  <c r="C10" i="5"/>
  <c r="T9" i="5"/>
  <c r="C9" i="5"/>
  <c r="T8" i="5"/>
  <c r="C8" i="5"/>
  <c r="T7" i="5"/>
  <c r="O7" i="5"/>
  <c r="R7" i="5" s="1"/>
  <c r="C7" i="5"/>
  <c r="K296" i="4"/>
  <c r="J296" i="4"/>
  <c r="K295" i="4"/>
  <c r="J295" i="4"/>
  <c r="K294" i="4"/>
  <c r="J294" i="4"/>
  <c r="K293" i="4"/>
  <c r="J293" i="4"/>
  <c r="K292" i="4"/>
  <c r="J292" i="4"/>
  <c r="K291" i="4"/>
  <c r="J291" i="4"/>
  <c r="K290" i="4"/>
  <c r="J290" i="4"/>
  <c r="K289" i="4"/>
  <c r="J289" i="4"/>
  <c r="K288" i="4"/>
  <c r="J288" i="4"/>
  <c r="K287" i="4"/>
  <c r="J287" i="4"/>
  <c r="K286" i="4"/>
  <c r="J286" i="4"/>
  <c r="K285" i="4"/>
  <c r="J285" i="4"/>
  <c r="K284" i="4"/>
  <c r="J284" i="4"/>
  <c r="K283" i="4"/>
  <c r="J283" i="4"/>
  <c r="K282" i="4"/>
  <c r="J282" i="4"/>
  <c r="K281" i="4"/>
  <c r="J281" i="4"/>
  <c r="K280" i="4"/>
  <c r="J280" i="4"/>
  <c r="K279" i="4"/>
  <c r="J279" i="4"/>
  <c r="K278" i="4"/>
  <c r="J278" i="4"/>
  <c r="K277" i="4"/>
  <c r="J277" i="4"/>
  <c r="K276" i="4"/>
  <c r="J276" i="4"/>
  <c r="K275" i="4"/>
  <c r="J275" i="4"/>
  <c r="K274" i="4"/>
  <c r="J274" i="4"/>
  <c r="K273" i="4"/>
  <c r="J273" i="4"/>
  <c r="K272" i="4"/>
  <c r="J272" i="4"/>
  <c r="K271" i="4"/>
  <c r="J271" i="4"/>
  <c r="K270" i="4"/>
  <c r="J270" i="4"/>
  <c r="K269" i="4"/>
  <c r="J269" i="4"/>
  <c r="K268" i="4"/>
  <c r="J268" i="4"/>
  <c r="K267" i="4"/>
  <c r="J267" i="4"/>
  <c r="K266" i="4"/>
  <c r="J266" i="4"/>
  <c r="K265" i="4"/>
  <c r="J265" i="4"/>
  <c r="K264" i="4"/>
  <c r="J264" i="4"/>
  <c r="K263" i="4"/>
  <c r="J263" i="4"/>
  <c r="K262" i="4"/>
  <c r="J262" i="4"/>
  <c r="K261" i="4"/>
  <c r="J261" i="4"/>
  <c r="K260" i="4"/>
  <c r="J260" i="4"/>
  <c r="K259" i="4"/>
  <c r="J259" i="4"/>
  <c r="K258" i="4"/>
  <c r="J258" i="4"/>
  <c r="K257" i="4"/>
  <c r="J257" i="4"/>
  <c r="K256" i="4"/>
  <c r="J256" i="4"/>
  <c r="K255" i="4"/>
  <c r="J255" i="4"/>
  <c r="K254" i="4"/>
  <c r="J254" i="4"/>
  <c r="K253" i="4"/>
  <c r="J253" i="4"/>
  <c r="K252" i="4"/>
  <c r="J252" i="4"/>
  <c r="K251" i="4"/>
  <c r="J251" i="4"/>
  <c r="K250" i="4"/>
  <c r="J250" i="4"/>
  <c r="K249" i="4"/>
  <c r="J249" i="4"/>
  <c r="K248" i="4"/>
  <c r="J248" i="4"/>
  <c r="K247" i="4"/>
  <c r="J247" i="4"/>
  <c r="K246" i="4"/>
  <c r="J246" i="4"/>
  <c r="K245" i="4"/>
  <c r="J245" i="4"/>
  <c r="K244" i="4"/>
  <c r="J244" i="4"/>
  <c r="K243" i="4"/>
  <c r="J243" i="4"/>
  <c r="K242" i="4"/>
  <c r="J242" i="4"/>
  <c r="K241" i="4"/>
  <c r="J241" i="4"/>
  <c r="K240" i="4"/>
  <c r="J240" i="4"/>
  <c r="K239" i="4"/>
  <c r="J239" i="4"/>
  <c r="K238" i="4"/>
  <c r="J238" i="4"/>
  <c r="K237" i="4"/>
  <c r="J237" i="4"/>
  <c r="K236" i="4"/>
  <c r="J236" i="4"/>
  <c r="K235" i="4"/>
  <c r="J235" i="4"/>
  <c r="K234" i="4"/>
  <c r="J234" i="4"/>
  <c r="K233" i="4"/>
  <c r="J233" i="4"/>
  <c r="K232" i="4"/>
  <c r="J232" i="4"/>
  <c r="K231" i="4"/>
  <c r="J231" i="4"/>
  <c r="K230" i="4"/>
  <c r="J230" i="4"/>
  <c r="K229" i="4"/>
  <c r="J229" i="4"/>
  <c r="K228" i="4"/>
  <c r="J228" i="4"/>
  <c r="K227" i="4"/>
  <c r="J227" i="4"/>
  <c r="K226" i="4"/>
  <c r="J226" i="4"/>
  <c r="K225" i="4"/>
  <c r="J225" i="4"/>
  <c r="K224" i="4"/>
  <c r="J224" i="4"/>
  <c r="K223" i="4"/>
  <c r="J223" i="4"/>
  <c r="K222" i="4"/>
  <c r="J222" i="4"/>
  <c r="K221" i="4"/>
  <c r="J221" i="4"/>
  <c r="K220" i="4"/>
  <c r="J220" i="4"/>
  <c r="K219" i="4"/>
  <c r="J219" i="4"/>
  <c r="K218" i="4"/>
  <c r="J218" i="4"/>
  <c r="K217" i="4"/>
  <c r="J217" i="4"/>
  <c r="K216" i="4"/>
  <c r="J216" i="4"/>
  <c r="K215" i="4"/>
  <c r="J215" i="4"/>
  <c r="K214" i="4"/>
  <c r="J214" i="4"/>
  <c r="K213" i="4"/>
  <c r="J213" i="4"/>
  <c r="K212" i="4"/>
  <c r="J212" i="4"/>
  <c r="K211" i="4"/>
  <c r="J211" i="4"/>
  <c r="K210" i="4"/>
  <c r="J210" i="4"/>
  <c r="K209" i="4"/>
  <c r="J209" i="4"/>
  <c r="K208" i="4"/>
  <c r="J208" i="4"/>
  <c r="K207" i="4"/>
  <c r="J207" i="4"/>
  <c r="K206" i="4"/>
  <c r="J206" i="4"/>
  <c r="K205" i="4"/>
  <c r="J205" i="4"/>
  <c r="K204" i="4"/>
  <c r="J204" i="4"/>
  <c r="K203" i="4"/>
  <c r="J203" i="4"/>
  <c r="K202" i="4"/>
  <c r="J202" i="4"/>
  <c r="K201" i="4"/>
  <c r="J201" i="4"/>
  <c r="K200" i="4"/>
  <c r="J200" i="4"/>
  <c r="K199" i="4"/>
  <c r="J199" i="4"/>
  <c r="K198" i="4"/>
  <c r="J198" i="4"/>
  <c r="K197" i="4"/>
  <c r="J197" i="4"/>
  <c r="K196" i="4"/>
  <c r="J196" i="4"/>
  <c r="K195" i="4"/>
  <c r="J195" i="4"/>
  <c r="K194" i="4"/>
  <c r="J194" i="4"/>
  <c r="K193" i="4"/>
  <c r="J193" i="4"/>
  <c r="K192" i="4"/>
  <c r="J192" i="4"/>
  <c r="K191" i="4"/>
  <c r="J191" i="4"/>
  <c r="K190" i="4"/>
  <c r="J190" i="4"/>
  <c r="K189" i="4"/>
  <c r="J189" i="4"/>
  <c r="K188" i="4"/>
  <c r="J188" i="4"/>
  <c r="K187" i="4"/>
  <c r="J187" i="4"/>
  <c r="K186" i="4"/>
  <c r="J186" i="4"/>
  <c r="K185" i="4"/>
  <c r="J185" i="4"/>
  <c r="K184" i="4"/>
  <c r="J184" i="4"/>
  <c r="K183" i="4"/>
  <c r="J183" i="4"/>
  <c r="K182" i="4"/>
  <c r="J182" i="4"/>
  <c r="K181" i="4"/>
  <c r="J181" i="4"/>
  <c r="K180" i="4"/>
  <c r="J180" i="4"/>
  <c r="K179" i="4"/>
  <c r="J179" i="4"/>
  <c r="K178" i="4"/>
  <c r="J178" i="4"/>
  <c r="K177" i="4"/>
  <c r="J177" i="4"/>
  <c r="K176" i="4"/>
  <c r="J176" i="4"/>
  <c r="K175" i="4"/>
  <c r="J175" i="4"/>
  <c r="K174" i="4"/>
  <c r="J174" i="4"/>
  <c r="K173" i="4"/>
  <c r="J173" i="4"/>
  <c r="K172" i="4"/>
  <c r="J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K164" i="4"/>
  <c r="J164" i="4"/>
  <c r="K163" i="4"/>
  <c r="J163" i="4"/>
  <c r="K162" i="4"/>
  <c r="J162" i="4"/>
  <c r="K161" i="4"/>
  <c r="J161" i="4"/>
  <c r="K160" i="4"/>
  <c r="J160" i="4"/>
  <c r="K159" i="4"/>
  <c r="J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K151" i="4"/>
  <c r="J151" i="4"/>
  <c r="K150" i="4"/>
  <c r="J150" i="4"/>
  <c r="K149" i="4"/>
  <c r="J149" i="4"/>
  <c r="K148" i="4"/>
  <c r="J148" i="4"/>
  <c r="K147" i="4"/>
  <c r="J147" i="4"/>
  <c r="K146" i="4"/>
  <c r="J146" i="4"/>
  <c r="K145" i="4"/>
  <c r="J145" i="4"/>
  <c r="K144" i="4"/>
  <c r="J144" i="4"/>
  <c r="K143" i="4"/>
  <c r="J143" i="4"/>
  <c r="K142" i="4"/>
  <c r="J142" i="4"/>
  <c r="K141" i="4"/>
  <c r="J141" i="4"/>
  <c r="K140" i="4"/>
  <c r="J140" i="4"/>
  <c r="K139" i="4"/>
  <c r="J139" i="4"/>
  <c r="K138" i="4"/>
  <c r="J138" i="4"/>
  <c r="K137" i="4"/>
  <c r="J137" i="4"/>
  <c r="K136" i="4"/>
  <c r="J136" i="4"/>
  <c r="K135" i="4"/>
  <c r="J135" i="4"/>
  <c r="K134" i="4"/>
  <c r="J134" i="4"/>
  <c r="K133" i="4"/>
  <c r="J133" i="4"/>
  <c r="K132" i="4"/>
  <c r="J132" i="4"/>
  <c r="K131" i="4"/>
  <c r="J131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G4" i="4"/>
  <c r="D4" i="4"/>
  <c r="B4" i="4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I92" i="3"/>
  <c r="H92" i="3"/>
  <c r="G92" i="3"/>
  <c r="F92" i="3"/>
  <c r="F68" i="3"/>
  <c r="D68" i="3"/>
  <c r="F67" i="3"/>
  <c r="D67" i="3"/>
  <c r="F66" i="3"/>
  <c r="D66" i="3"/>
  <c r="F65" i="3"/>
  <c r="D65" i="3"/>
  <c r="F64" i="3"/>
  <c r="D64" i="3"/>
  <c r="D59" i="3"/>
  <c r="D58" i="3"/>
  <c r="D57" i="3"/>
  <c r="D56" i="3"/>
  <c r="D55" i="3"/>
  <c r="D54" i="3"/>
  <c r="D53" i="3"/>
  <c r="D52" i="3"/>
  <c r="E47" i="3"/>
  <c r="E41" i="3"/>
  <c r="E39" i="3"/>
  <c r="E38" i="3"/>
  <c r="E37" i="3"/>
  <c r="B32" i="3"/>
  <c r="B31" i="3"/>
  <c r="B30" i="3"/>
  <c r="B29" i="3"/>
  <c r="H24" i="3"/>
  <c r="G24" i="3"/>
  <c r="F24" i="3"/>
  <c r="E24" i="3"/>
  <c r="D24" i="3"/>
  <c r="B24" i="3"/>
  <c r="H23" i="3"/>
  <c r="G23" i="3"/>
  <c r="F23" i="3"/>
  <c r="E23" i="3"/>
  <c r="D23" i="3"/>
  <c r="B23" i="3"/>
  <c r="H22" i="3"/>
  <c r="G22" i="3"/>
  <c r="F22" i="3"/>
  <c r="E22" i="3"/>
  <c r="D22" i="3"/>
  <c r="B22" i="3"/>
  <c r="H21" i="3"/>
  <c r="G21" i="3"/>
  <c r="F21" i="3"/>
  <c r="E21" i="3"/>
  <c r="D21" i="3"/>
  <c r="B21" i="3"/>
  <c r="H20" i="3"/>
  <c r="G20" i="3"/>
  <c r="F20" i="3"/>
  <c r="E20" i="3"/>
  <c r="D20" i="3"/>
  <c r="B20" i="3"/>
  <c r="H18" i="3"/>
  <c r="G18" i="3"/>
  <c r="F18" i="3"/>
  <c r="E18" i="3"/>
  <c r="D18" i="3"/>
  <c r="P14" i="3"/>
  <c r="O14" i="3"/>
  <c r="N14" i="3"/>
  <c r="M14" i="3"/>
  <c r="L14" i="3"/>
  <c r="J14" i="3"/>
  <c r="H14" i="3"/>
  <c r="G14" i="3"/>
  <c r="F14" i="3"/>
  <c r="E14" i="3"/>
  <c r="D14" i="3"/>
  <c r="B14" i="3"/>
  <c r="P13" i="3"/>
  <c r="O13" i="3"/>
  <c r="N13" i="3"/>
  <c r="M13" i="3"/>
  <c r="L13" i="3"/>
  <c r="J13" i="3"/>
  <c r="H13" i="3"/>
  <c r="G13" i="3"/>
  <c r="F13" i="3"/>
  <c r="E13" i="3"/>
  <c r="D13" i="3"/>
  <c r="B13" i="3"/>
  <c r="P12" i="3"/>
  <c r="O12" i="3"/>
  <c r="N12" i="3"/>
  <c r="M12" i="3"/>
  <c r="L12" i="3"/>
  <c r="J12" i="3"/>
  <c r="H12" i="3"/>
  <c r="G12" i="3"/>
  <c r="F12" i="3"/>
  <c r="E12" i="3"/>
  <c r="D12" i="3"/>
  <c r="B12" i="3"/>
  <c r="P11" i="3"/>
  <c r="O11" i="3"/>
  <c r="N11" i="3"/>
  <c r="M11" i="3"/>
  <c r="L11" i="3"/>
  <c r="J11" i="3"/>
  <c r="H11" i="3"/>
  <c r="G11" i="3"/>
  <c r="F11" i="3"/>
  <c r="E11" i="3"/>
  <c r="D11" i="3"/>
  <c r="B11" i="3"/>
  <c r="P10" i="3"/>
  <c r="O10" i="3"/>
  <c r="N10" i="3"/>
  <c r="M10" i="3"/>
  <c r="L10" i="3"/>
  <c r="J10" i="3"/>
  <c r="H10" i="3"/>
  <c r="G10" i="3"/>
  <c r="F10" i="3"/>
  <c r="E10" i="3"/>
  <c r="D10" i="3"/>
  <c r="B10" i="3"/>
  <c r="P8" i="3"/>
  <c r="O8" i="3"/>
  <c r="N8" i="3"/>
  <c r="M8" i="3"/>
  <c r="L8" i="3"/>
  <c r="H8" i="3"/>
  <c r="G8" i="3"/>
  <c r="F8" i="3"/>
  <c r="E8" i="3"/>
  <c r="D8" i="3"/>
  <c r="D5" i="3"/>
  <c r="B5" i="3"/>
  <c r="A2" i="3"/>
  <c r="AF154" i="2"/>
  <c r="AE154" i="2"/>
  <c r="AD154" i="2"/>
  <c r="U154" i="2"/>
  <c r="O154" i="2"/>
  <c r="AF153" i="2"/>
  <c r="AE153" i="2"/>
  <c r="AD153" i="2"/>
  <c r="U153" i="2"/>
  <c r="O153" i="2"/>
  <c r="P153" i="2" s="1"/>
  <c r="AF152" i="2"/>
  <c r="AE152" i="2"/>
  <c r="AD152" i="2"/>
  <c r="U152" i="2"/>
  <c r="O152" i="2"/>
  <c r="AF151" i="2"/>
  <c r="AE151" i="2"/>
  <c r="AD151" i="2"/>
  <c r="U151" i="2"/>
  <c r="O151" i="2"/>
  <c r="AR151" i="2" s="1"/>
  <c r="AF150" i="2"/>
  <c r="AE150" i="2"/>
  <c r="AD150" i="2"/>
  <c r="U150" i="2"/>
  <c r="O150" i="2"/>
  <c r="AF149" i="2"/>
  <c r="AE149" i="2"/>
  <c r="AD149" i="2"/>
  <c r="U149" i="2"/>
  <c r="O149" i="2"/>
  <c r="AF148" i="2"/>
  <c r="AE148" i="2"/>
  <c r="AD148" i="2"/>
  <c r="U148" i="2"/>
  <c r="O148" i="2"/>
  <c r="AF147" i="2"/>
  <c r="AE147" i="2"/>
  <c r="AD147" i="2"/>
  <c r="U147" i="2"/>
  <c r="O147" i="2"/>
  <c r="P147" i="2" s="1"/>
  <c r="AF146" i="2"/>
  <c r="AE146" i="2"/>
  <c r="AD146" i="2"/>
  <c r="U146" i="2"/>
  <c r="O146" i="2"/>
  <c r="AF145" i="2"/>
  <c r="AE145" i="2"/>
  <c r="AD145" i="2"/>
  <c r="U145" i="2"/>
  <c r="O145" i="2"/>
  <c r="AF144" i="2"/>
  <c r="AE144" i="2"/>
  <c r="AD144" i="2"/>
  <c r="U144" i="2"/>
  <c r="O144" i="2"/>
  <c r="AF143" i="2"/>
  <c r="AE143" i="2"/>
  <c r="AD143" i="2"/>
  <c r="U143" i="2"/>
  <c r="O143" i="2"/>
  <c r="AR143" i="2" s="1"/>
  <c r="AF142" i="2"/>
  <c r="AE142" i="2"/>
  <c r="AD142" i="2"/>
  <c r="U142" i="2"/>
  <c r="O142" i="2"/>
  <c r="AF141" i="2"/>
  <c r="AE141" i="2"/>
  <c r="AD141" i="2"/>
  <c r="U141" i="2"/>
  <c r="O141" i="2"/>
  <c r="AF140" i="2"/>
  <c r="AE140" i="2"/>
  <c r="AD140" i="2"/>
  <c r="U140" i="2"/>
  <c r="O140" i="2"/>
  <c r="AF139" i="2"/>
  <c r="AE139" i="2"/>
  <c r="AD139" i="2"/>
  <c r="U139" i="2"/>
  <c r="O139" i="2"/>
  <c r="P139" i="2" s="1"/>
  <c r="AF138" i="2"/>
  <c r="AE138" i="2"/>
  <c r="AD138" i="2"/>
  <c r="U138" i="2"/>
  <c r="O138" i="2"/>
  <c r="AF137" i="2"/>
  <c r="AE137" i="2"/>
  <c r="AD137" i="2"/>
  <c r="U137" i="2"/>
  <c r="O137" i="2"/>
  <c r="P137" i="2" s="1"/>
  <c r="AF136" i="2"/>
  <c r="AE136" i="2"/>
  <c r="AD136" i="2"/>
  <c r="U136" i="2"/>
  <c r="O136" i="2"/>
  <c r="AF135" i="2"/>
  <c r="AE135" i="2"/>
  <c r="AD135" i="2"/>
  <c r="U135" i="2"/>
  <c r="O135" i="2"/>
  <c r="P135" i="2" s="1"/>
  <c r="AF134" i="2"/>
  <c r="AE134" i="2"/>
  <c r="AD134" i="2"/>
  <c r="U134" i="2"/>
  <c r="O134" i="2"/>
  <c r="AF133" i="2"/>
  <c r="AE133" i="2"/>
  <c r="AD133" i="2"/>
  <c r="U133" i="2"/>
  <c r="O133" i="2"/>
  <c r="AF132" i="2"/>
  <c r="AE132" i="2"/>
  <c r="AD132" i="2"/>
  <c r="U132" i="2"/>
  <c r="O132" i="2"/>
  <c r="AF131" i="2"/>
  <c r="AE131" i="2"/>
  <c r="AD131" i="2"/>
  <c r="U131" i="2"/>
  <c r="O131" i="2"/>
  <c r="AR131" i="2" s="1"/>
  <c r="AF130" i="2"/>
  <c r="AE130" i="2"/>
  <c r="AD130" i="2"/>
  <c r="U130" i="2"/>
  <c r="O130" i="2"/>
  <c r="AF129" i="2"/>
  <c r="AE129" i="2"/>
  <c r="AD129" i="2"/>
  <c r="U129" i="2"/>
  <c r="O129" i="2"/>
  <c r="AF128" i="2"/>
  <c r="AE128" i="2"/>
  <c r="AD128" i="2"/>
  <c r="U128" i="2"/>
  <c r="O128" i="2"/>
  <c r="AF127" i="2"/>
  <c r="AE127" i="2"/>
  <c r="AD127" i="2"/>
  <c r="U127" i="2"/>
  <c r="O127" i="2"/>
  <c r="P127" i="2" s="1"/>
  <c r="AF126" i="2"/>
  <c r="AE126" i="2"/>
  <c r="AD126" i="2"/>
  <c r="U126" i="2"/>
  <c r="O126" i="2"/>
  <c r="AF125" i="2"/>
  <c r="AE125" i="2"/>
  <c r="AD125" i="2"/>
  <c r="U125" i="2"/>
  <c r="O125" i="2"/>
  <c r="P125" i="2" s="1"/>
  <c r="AF124" i="2"/>
  <c r="AE124" i="2"/>
  <c r="AD124" i="2"/>
  <c r="U124" i="2"/>
  <c r="O124" i="2"/>
  <c r="AF123" i="2"/>
  <c r="AE123" i="2"/>
  <c r="AD123" i="2"/>
  <c r="U123" i="2"/>
  <c r="O123" i="2"/>
  <c r="AR123" i="2" s="1"/>
  <c r="AF122" i="2"/>
  <c r="AE122" i="2"/>
  <c r="AD122" i="2"/>
  <c r="U122" i="2"/>
  <c r="O122" i="2"/>
  <c r="AF121" i="2"/>
  <c r="AE121" i="2"/>
  <c r="AD121" i="2"/>
  <c r="U121" i="2"/>
  <c r="O121" i="2"/>
  <c r="AF120" i="2"/>
  <c r="AE120" i="2"/>
  <c r="AD120" i="2"/>
  <c r="U120" i="2"/>
  <c r="O120" i="2"/>
  <c r="AF119" i="2"/>
  <c r="AE119" i="2"/>
  <c r="AD119" i="2"/>
  <c r="U119" i="2"/>
  <c r="O119" i="2"/>
  <c r="AR119" i="2" s="1"/>
  <c r="AF118" i="2"/>
  <c r="AE118" i="2"/>
  <c r="AD118" i="2"/>
  <c r="U118" i="2"/>
  <c r="O118" i="2"/>
  <c r="AF117" i="2"/>
  <c r="AE117" i="2"/>
  <c r="AD117" i="2"/>
  <c r="U117" i="2"/>
  <c r="O117" i="2"/>
  <c r="P117" i="2" s="1"/>
  <c r="AF116" i="2"/>
  <c r="AE116" i="2"/>
  <c r="AD116" i="2"/>
  <c r="U116" i="2"/>
  <c r="O116" i="2"/>
  <c r="AF115" i="2"/>
  <c r="AE115" i="2"/>
  <c r="AD115" i="2"/>
  <c r="U115" i="2"/>
  <c r="O115" i="2"/>
  <c r="AF114" i="2"/>
  <c r="AE114" i="2"/>
  <c r="AD114" i="2"/>
  <c r="U114" i="2"/>
  <c r="O114" i="2"/>
  <c r="AF113" i="2"/>
  <c r="AE113" i="2"/>
  <c r="AD113" i="2"/>
  <c r="U113" i="2"/>
  <c r="O113" i="2"/>
  <c r="AF112" i="2"/>
  <c r="AE112" i="2"/>
  <c r="AD112" i="2"/>
  <c r="U112" i="2"/>
  <c r="O112" i="2"/>
  <c r="AF111" i="2"/>
  <c r="AE111" i="2"/>
  <c r="AD111" i="2"/>
  <c r="U111" i="2"/>
  <c r="O111" i="2"/>
  <c r="AR111" i="2" s="1"/>
  <c r="AF110" i="2"/>
  <c r="AE110" i="2"/>
  <c r="AD110" i="2"/>
  <c r="U110" i="2"/>
  <c r="O110" i="2"/>
  <c r="AF109" i="2"/>
  <c r="AE109" i="2"/>
  <c r="AD109" i="2"/>
  <c r="U109" i="2"/>
  <c r="O109" i="2"/>
  <c r="AF108" i="2"/>
  <c r="AE108" i="2"/>
  <c r="AD108" i="2"/>
  <c r="U108" i="2"/>
  <c r="O108" i="2"/>
  <c r="AF107" i="2"/>
  <c r="AE107" i="2"/>
  <c r="AD107" i="2"/>
  <c r="U107" i="2"/>
  <c r="O107" i="2"/>
  <c r="AR107" i="2" s="1"/>
  <c r="AF106" i="2"/>
  <c r="AE106" i="2"/>
  <c r="AD106" i="2"/>
  <c r="U106" i="2"/>
  <c r="O106" i="2"/>
  <c r="AF105" i="2"/>
  <c r="AE105" i="2"/>
  <c r="AD105" i="2"/>
  <c r="U105" i="2"/>
  <c r="O105" i="2"/>
  <c r="P105" i="2" s="1"/>
  <c r="AF104" i="2"/>
  <c r="AE104" i="2"/>
  <c r="AD104" i="2"/>
  <c r="U104" i="2"/>
  <c r="O104" i="2"/>
  <c r="AR104" i="2" s="1"/>
  <c r="AF103" i="2"/>
  <c r="AE103" i="2"/>
  <c r="AD103" i="2"/>
  <c r="U103" i="2"/>
  <c r="O103" i="2"/>
  <c r="AR103" i="2" s="1"/>
  <c r="AF102" i="2"/>
  <c r="AE102" i="2"/>
  <c r="AD102" i="2"/>
  <c r="U102" i="2"/>
  <c r="O102" i="2"/>
  <c r="AF101" i="2"/>
  <c r="AE101" i="2"/>
  <c r="AD101" i="2"/>
  <c r="U101" i="2"/>
  <c r="O101" i="2"/>
  <c r="AF100" i="2"/>
  <c r="AE100" i="2"/>
  <c r="AD100" i="2"/>
  <c r="U100" i="2"/>
  <c r="O100" i="2"/>
  <c r="P100" i="2" s="1"/>
  <c r="AF99" i="2"/>
  <c r="AE99" i="2"/>
  <c r="AD99" i="2"/>
  <c r="U99" i="2"/>
  <c r="O99" i="2"/>
  <c r="AR99" i="2" s="1"/>
  <c r="AF98" i="2"/>
  <c r="AE98" i="2"/>
  <c r="AD98" i="2"/>
  <c r="U98" i="2"/>
  <c r="O98" i="2"/>
  <c r="AF97" i="2"/>
  <c r="AE97" i="2"/>
  <c r="AD97" i="2"/>
  <c r="U97" i="2"/>
  <c r="O97" i="2"/>
  <c r="P97" i="2" s="1"/>
  <c r="AF96" i="2"/>
  <c r="AE96" i="2"/>
  <c r="AD96" i="2"/>
  <c r="U96" i="2"/>
  <c r="O96" i="2"/>
  <c r="P96" i="2" s="1"/>
  <c r="AF95" i="2"/>
  <c r="AE95" i="2"/>
  <c r="AD95" i="2"/>
  <c r="U95" i="2"/>
  <c r="O95" i="2"/>
  <c r="AR95" i="2" s="1"/>
  <c r="AF94" i="2"/>
  <c r="AE94" i="2"/>
  <c r="AD94" i="2"/>
  <c r="U94" i="2"/>
  <c r="O94" i="2"/>
  <c r="AF93" i="2"/>
  <c r="AE93" i="2"/>
  <c r="AD93" i="2"/>
  <c r="U93" i="2"/>
  <c r="O93" i="2"/>
  <c r="AF92" i="2"/>
  <c r="AE92" i="2"/>
  <c r="AD92" i="2"/>
  <c r="U92" i="2"/>
  <c r="O92" i="2"/>
  <c r="AR92" i="2" s="1"/>
  <c r="AF91" i="2"/>
  <c r="AE91" i="2"/>
  <c r="AD91" i="2"/>
  <c r="U91" i="2"/>
  <c r="O91" i="2"/>
  <c r="AF90" i="2"/>
  <c r="AE90" i="2"/>
  <c r="AD90" i="2"/>
  <c r="U90" i="2"/>
  <c r="O90" i="2"/>
  <c r="AF89" i="2"/>
  <c r="AE89" i="2"/>
  <c r="AD89" i="2"/>
  <c r="U89" i="2"/>
  <c r="O89" i="2"/>
  <c r="P89" i="2" s="1"/>
  <c r="AF88" i="2"/>
  <c r="AE88" i="2"/>
  <c r="AD88" i="2"/>
  <c r="U88" i="2"/>
  <c r="O88" i="2"/>
  <c r="AR88" i="2" s="1"/>
  <c r="AF87" i="2"/>
  <c r="AE87" i="2"/>
  <c r="AD87" i="2"/>
  <c r="U87" i="2"/>
  <c r="O87" i="2"/>
  <c r="AR87" i="2" s="1"/>
  <c r="AF86" i="2"/>
  <c r="AE86" i="2"/>
  <c r="AD86" i="2"/>
  <c r="U86" i="2"/>
  <c r="O86" i="2"/>
  <c r="AF85" i="2"/>
  <c r="AE85" i="2"/>
  <c r="AD85" i="2"/>
  <c r="U85" i="2"/>
  <c r="O85" i="2"/>
  <c r="P85" i="2" s="1"/>
  <c r="AF84" i="2"/>
  <c r="AE84" i="2"/>
  <c r="AD84" i="2"/>
  <c r="U84" i="2"/>
  <c r="O84" i="2"/>
  <c r="AR84" i="2" s="1"/>
  <c r="AF83" i="2"/>
  <c r="AE83" i="2"/>
  <c r="AD83" i="2"/>
  <c r="U83" i="2"/>
  <c r="O83" i="2"/>
  <c r="AR83" i="2" s="1"/>
  <c r="AF82" i="2"/>
  <c r="AE82" i="2"/>
  <c r="AD82" i="2"/>
  <c r="U82" i="2"/>
  <c r="O82" i="2"/>
  <c r="AF81" i="2"/>
  <c r="AE81" i="2"/>
  <c r="AD81" i="2"/>
  <c r="U81" i="2"/>
  <c r="O81" i="2"/>
  <c r="P81" i="2" s="1"/>
  <c r="AF80" i="2"/>
  <c r="AE80" i="2"/>
  <c r="AD80" i="2"/>
  <c r="U80" i="2"/>
  <c r="O80" i="2"/>
  <c r="P80" i="2" s="1"/>
  <c r="AF79" i="2"/>
  <c r="AE79" i="2"/>
  <c r="AD79" i="2"/>
  <c r="U79" i="2"/>
  <c r="O79" i="2"/>
  <c r="P79" i="2" s="1"/>
  <c r="AF78" i="2"/>
  <c r="AE78" i="2"/>
  <c r="AD78" i="2"/>
  <c r="U78" i="2"/>
  <c r="O78" i="2"/>
  <c r="AF77" i="2"/>
  <c r="AE77" i="2"/>
  <c r="AD77" i="2"/>
  <c r="U77" i="2"/>
  <c r="O77" i="2"/>
  <c r="P77" i="2" s="1"/>
  <c r="AF76" i="2"/>
  <c r="AE76" i="2"/>
  <c r="AD76" i="2"/>
  <c r="U76" i="2"/>
  <c r="O76" i="2"/>
  <c r="AR76" i="2" s="1"/>
  <c r="AF75" i="2"/>
  <c r="AE75" i="2"/>
  <c r="AD75" i="2"/>
  <c r="U75" i="2"/>
  <c r="O75" i="2"/>
  <c r="P75" i="2" s="1"/>
  <c r="AF74" i="2"/>
  <c r="AE74" i="2"/>
  <c r="AD74" i="2"/>
  <c r="U74" i="2"/>
  <c r="O74" i="2"/>
  <c r="AF73" i="2"/>
  <c r="AE73" i="2"/>
  <c r="AD73" i="2"/>
  <c r="U73" i="2"/>
  <c r="O73" i="2"/>
  <c r="P73" i="2" s="1"/>
  <c r="AF72" i="2"/>
  <c r="AE72" i="2"/>
  <c r="AD72" i="2"/>
  <c r="U72" i="2"/>
  <c r="O72" i="2"/>
  <c r="AR72" i="2" s="1"/>
  <c r="AF71" i="2"/>
  <c r="AE71" i="2"/>
  <c r="AD71" i="2"/>
  <c r="U71" i="2"/>
  <c r="O71" i="2"/>
  <c r="P71" i="2" s="1"/>
  <c r="AF70" i="2"/>
  <c r="AE70" i="2"/>
  <c r="AD70" i="2"/>
  <c r="U70" i="2"/>
  <c r="O70" i="2"/>
  <c r="AF69" i="2"/>
  <c r="AE69" i="2"/>
  <c r="AD69" i="2"/>
  <c r="U69" i="2"/>
  <c r="O69" i="2"/>
  <c r="P69" i="2" s="1"/>
  <c r="AF68" i="2"/>
  <c r="AE68" i="2"/>
  <c r="AD68" i="2"/>
  <c r="U68" i="2"/>
  <c r="O68" i="2"/>
  <c r="AR68" i="2" s="1"/>
  <c r="AF67" i="2"/>
  <c r="AE67" i="2"/>
  <c r="AD67" i="2"/>
  <c r="U67" i="2"/>
  <c r="O67" i="2"/>
  <c r="P67" i="2" s="1"/>
  <c r="AF66" i="2"/>
  <c r="AE66" i="2"/>
  <c r="AD66" i="2"/>
  <c r="U66" i="2"/>
  <c r="O66" i="2"/>
  <c r="AF65" i="2"/>
  <c r="AE65" i="2"/>
  <c r="AD65" i="2"/>
  <c r="U65" i="2"/>
  <c r="O65" i="2"/>
  <c r="P65" i="2" s="1"/>
  <c r="AF64" i="2"/>
  <c r="AE64" i="2"/>
  <c r="AD64" i="2"/>
  <c r="U64" i="2"/>
  <c r="O64" i="2"/>
  <c r="P64" i="2" s="1"/>
  <c r="AF63" i="2"/>
  <c r="AE63" i="2"/>
  <c r="AD63" i="2"/>
  <c r="U63" i="2"/>
  <c r="O63" i="2"/>
  <c r="AR63" i="2" s="1"/>
  <c r="AF62" i="2"/>
  <c r="AE62" i="2"/>
  <c r="AD62" i="2"/>
  <c r="U62" i="2"/>
  <c r="O62" i="2"/>
  <c r="AF61" i="2"/>
  <c r="AE61" i="2"/>
  <c r="AD61" i="2"/>
  <c r="U61" i="2"/>
  <c r="O61" i="2"/>
  <c r="AF60" i="2"/>
  <c r="AE60" i="2"/>
  <c r="AD60" i="2"/>
  <c r="U60" i="2"/>
  <c r="O60" i="2"/>
  <c r="AR60" i="2" s="1"/>
  <c r="AF59" i="2"/>
  <c r="AE59" i="2"/>
  <c r="AD59" i="2"/>
  <c r="U59" i="2"/>
  <c r="O59" i="2"/>
  <c r="AR59" i="2" s="1"/>
  <c r="AF58" i="2"/>
  <c r="AE58" i="2"/>
  <c r="AD58" i="2"/>
  <c r="U58" i="2"/>
  <c r="O58" i="2"/>
  <c r="AF57" i="2"/>
  <c r="AE57" i="2"/>
  <c r="AD57" i="2"/>
  <c r="U57" i="2"/>
  <c r="O57" i="2"/>
  <c r="P57" i="2" s="1"/>
  <c r="AF56" i="2"/>
  <c r="AE56" i="2"/>
  <c r="AD56" i="2"/>
  <c r="U56" i="2"/>
  <c r="O56" i="2"/>
  <c r="P56" i="2" s="1"/>
  <c r="AF55" i="2"/>
  <c r="AE55" i="2"/>
  <c r="AD55" i="2"/>
  <c r="U55" i="2"/>
  <c r="O55" i="2"/>
  <c r="AR55" i="2" s="1"/>
  <c r="AF54" i="2"/>
  <c r="AE54" i="2"/>
  <c r="AD54" i="2"/>
  <c r="U54" i="2"/>
  <c r="O54" i="2"/>
  <c r="AF53" i="2"/>
  <c r="AE53" i="2"/>
  <c r="AD53" i="2"/>
  <c r="U53" i="2"/>
  <c r="O53" i="2"/>
  <c r="P53" i="2" s="1"/>
  <c r="AF52" i="2"/>
  <c r="AE52" i="2"/>
  <c r="AD52" i="2"/>
  <c r="U52" i="2"/>
  <c r="O52" i="2"/>
  <c r="AR52" i="2" s="1"/>
  <c r="AF51" i="2"/>
  <c r="AE51" i="2"/>
  <c r="AD51" i="2"/>
  <c r="U51" i="2"/>
  <c r="O51" i="2"/>
  <c r="AR51" i="2" s="1"/>
  <c r="AF50" i="2"/>
  <c r="AE50" i="2"/>
  <c r="AD50" i="2"/>
  <c r="U50" i="2"/>
  <c r="O50" i="2"/>
  <c r="AF49" i="2"/>
  <c r="AE49" i="2"/>
  <c r="AD49" i="2"/>
  <c r="U49" i="2"/>
  <c r="O49" i="2"/>
  <c r="P49" i="2" s="1"/>
  <c r="AF48" i="2"/>
  <c r="AE48" i="2"/>
  <c r="AD48" i="2"/>
  <c r="U48" i="2"/>
  <c r="O48" i="2"/>
  <c r="P48" i="2" s="1"/>
  <c r="AF47" i="2"/>
  <c r="AE47" i="2"/>
  <c r="AD47" i="2"/>
  <c r="U47" i="2"/>
  <c r="O47" i="2"/>
  <c r="AR47" i="2" s="1"/>
  <c r="AF46" i="2"/>
  <c r="AE46" i="2"/>
  <c r="AD46" i="2"/>
  <c r="U46" i="2"/>
  <c r="O46" i="2"/>
  <c r="AF45" i="2"/>
  <c r="AE45" i="2"/>
  <c r="AD45" i="2"/>
  <c r="U45" i="2"/>
  <c r="O45" i="2"/>
  <c r="P45" i="2" s="1"/>
  <c r="AF44" i="2"/>
  <c r="AE44" i="2"/>
  <c r="AD44" i="2"/>
  <c r="U44" i="2"/>
  <c r="O44" i="2"/>
  <c r="AR44" i="2" s="1"/>
  <c r="AF43" i="2"/>
  <c r="AE43" i="2"/>
  <c r="AD43" i="2"/>
  <c r="U43" i="2"/>
  <c r="O43" i="2"/>
  <c r="P43" i="2" s="1"/>
  <c r="AF42" i="2"/>
  <c r="AE42" i="2"/>
  <c r="AD42" i="2"/>
  <c r="U42" i="2"/>
  <c r="O42" i="2"/>
  <c r="AF41" i="2"/>
  <c r="AE41" i="2"/>
  <c r="AD41" i="2"/>
  <c r="U41" i="2"/>
  <c r="O41" i="2"/>
  <c r="P41" i="2" s="1"/>
  <c r="AF40" i="2"/>
  <c r="AE40" i="2"/>
  <c r="AD40" i="2"/>
  <c r="U40" i="2"/>
  <c r="O40" i="2"/>
  <c r="AR40" i="2" s="1"/>
  <c r="AF39" i="2"/>
  <c r="AE39" i="2"/>
  <c r="AD39" i="2"/>
  <c r="U39" i="2"/>
  <c r="O39" i="2"/>
  <c r="P39" i="2" s="1"/>
  <c r="AF38" i="2"/>
  <c r="AE38" i="2"/>
  <c r="AD38" i="2"/>
  <c r="U38" i="2"/>
  <c r="O38" i="2"/>
  <c r="AF37" i="2"/>
  <c r="AE37" i="2"/>
  <c r="AD37" i="2"/>
  <c r="U37" i="2"/>
  <c r="O37" i="2"/>
  <c r="P37" i="2" s="1"/>
  <c r="AF36" i="2"/>
  <c r="AE36" i="2"/>
  <c r="AD36" i="2"/>
  <c r="U36" i="2"/>
  <c r="O36" i="2"/>
  <c r="AR36" i="2" s="1"/>
  <c r="AF35" i="2"/>
  <c r="AE35" i="2"/>
  <c r="AD35" i="2"/>
  <c r="U35" i="2"/>
  <c r="O35" i="2"/>
  <c r="P35" i="2" s="1"/>
  <c r="AF34" i="2"/>
  <c r="AE34" i="2"/>
  <c r="AD34" i="2"/>
  <c r="U34" i="2"/>
  <c r="O34" i="2"/>
  <c r="AF33" i="2"/>
  <c r="AE33" i="2"/>
  <c r="AD33" i="2"/>
  <c r="U33" i="2"/>
  <c r="O33" i="2"/>
  <c r="P33" i="2" s="1"/>
  <c r="AF32" i="2"/>
  <c r="AE32" i="2"/>
  <c r="AD32" i="2"/>
  <c r="U32" i="2"/>
  <c r="O32" i="2"/>
  <c r="P32" i="2" s="1"/>
  <c r="AF31" i="2"/>
  <c r="AE31" i="2"/>
  <c r="AD31" i="2"/>
  <c r="U31" i="2"/>
  <c r="O31" i="2"/>
  <c r="P31" i="2" s="1"/>
  <c r="AF30" i="2"/>
  <c r="AE30" i="2"/>
  <c r="AD30" i="2"/>
  <c r="U30" i="2"/>
  <c r="O30" i="2"/>
  <c r="AR30" i="2" s="1"/>
  <c r="AF29" i="2"/>
  <c r="AE29" i="2"/>
  <c r="AD29" i="2"/>
  <c r="U29" i="2"/>
  <c r="O29" i="2"/>
  <c r="AF28" i="2"/>
  <c r="AE28" i="2"/>
  <c r="AD28" i="2"/>
  <c r="U28" i="2"/>
  <c r="O28" i="2"/>
  <c r="AF27" i="2"/>
  <c r="AE27" i="2"/>
  <c r="AD27" i="2"/>
  <c r="U27" i="2"/>
  <c r="O27" i="2"/>
  <c r="P27" i="2" s="1"/>
  <c r="AF26" i="2"/>
  <c r="AE26" i="2"/>
  <c r="AD26" i="2"/>
  <c r="U26" i="2"/>
  <c r="O26" i="2"/>
  <c r="P26" i="2" s="1"/>
  <c r="AF25" i="2"/>
  <c r="AE25" i="2"/>
  <c r="AD25" i="2"/>
  <c r="U25" i="2"/>
  <c r="O25" i="2"/>
  <c r="AF24" i="2"/>
  <c r="AE24" i="2"/>
  <c r="AD24" i="2"/>
  <c r="U24" i="2"/>
  <c r="O24" i="2"/>
  <c r="P24" i="2" s="1"/>
  <c r="AF23" i="2"/>
  <c r="AE23" i="2"/>
  <c r="AD23" i="2"/>
  <c r="U23" i="2"/>
  <c r="O23" i="2"/>
  <c r="P23" i="2" s="1"/>
  <c r="AF22" i="2"/>
  <c r="AE22" i="2"/>
  <c r="AD22" i="2"/>
  <c r="U22" i="2"/>
  <c r="O22" i="2"/>
  <c r="AF21" i="2"/>
  <c r="AE21" i="2"/>
  <c r="AD21" i="2"/>
  <c r="U21" i="2"/>
  <c r="O21" i="2"/>
  <c r="AF20" i="2"/>
  <c r="AE20" i="2"/>
  <c r="AD20" i="2"/>
  <c r="U20" i="2"/>
  <c r="O20" i="2"/>
  <c r="P20" i="2" s="1"/>
  <c r="AF19" i="2"/>
  <c r="AE19" i="2"/>
  <c r="AD19" i="2"/>
  <c r="U19" i="2"/>
  <c r="O19" i="2"/>
  <c r="AF18" i="2"/>
  <c r="AE18" i="2"/>
  <c r="AD18" i="2"/>
  <c r="U18" i="2"/>
  <c r="O18" i="2"/>
  <c r="P18" i="2" s="1"/>
  <c r="AF17" i="2"/>
  <c r="AE17" i="2"/>
  <c r="AD17" i="2"/>
  <c r="U17" i="2"/>
  <c r="O17" i="2"/>
  <c r="AF16" i="2"/>
  <c r="AE16" i="2"/>
  <c r="AD16" i="2"/>
  <c r="U16" i="2"/>
  <c r="O16" i="2"/>
  <c r="P16" i="2" s="1"/>
  <c r="AF15" i="2"/>
  <c r="AE15" i="2"/>
  <c r="AD15" i="2"/>
  <c r="U15" i="2"/>
  <c r="O15" i="2"/>
  <c r="AF14" i="2"/>
  <c r="AE14" i="2"/>
  <c r="AD14" i="2"/>
  <c r="U14" i="2"/>
  <c r="O14" i="2"/>
  <c r="AF13" i="2"/>
  <c r="AE13" i="2"/>
  <c r="AD13" i="2"/>
  <c r="U13" i="2"/>
  <c r="O13" i="2"/>
  <c r="AF12" i="2"/>
  <c r="AE12" i="2"/>
  <c r="AD12" i="2"/>
  <c r="U12" i="2"/>
  <c r="O12" i="2"/>
  <c r="AF11" i="2"/>
  <c r="AE11" i="2"/>
  <c r="AD11" i="2"/>
  <c r="U11" i="2"/>
  <c r="O11" i="2"/>
  <c r="P11" i="2" s="1"/>
  <c r="AF10" i="2"/>
  <c r="AE10" i="2"/>
  <c r="AD10" i="2"/>
  <c r="U10" i="2"/>
  <c r="O10" i="2"/>
  <c r="AF9" i="2"/>
  <c r="AE9" i="2"/>
  <c r="AD9" i="2"/>
  <c r="U9" i="2"/>
  <c r="O9" i="2"/>
  <c r="AF8" i="2"/>
  <c r="AE8" i="2"/>
  <c r="AD8" i="2"/>
  <c r="U8" i="2"/>
  <c r="O8" i="2"/>
  <c r="P8" i="2" s="1"/>
  <c r="AF7" i="2"/>
  <c r="AE7" i="2"/>
  <c r="AD7" i="2"/>
  <c r="U7" i="2"/>
  <c r="O7" i="2"/>
  <c r="P7" i="2" s="1"/>
  <c r="AF6" i="2"/>
  <c r="AE6" i="2"/>
  <c r="AD6" i="2"/>
  <c r="U6" i="2"/>
  <c r="O6" i="2"/>
  <c r="P6" i="2" s="1"/>
  <c r="AF5" i="2"/>
  <c r="AE5" i="2"/>
  <c r="AD5" i="2"/>
  <c r="U5" i="2"/>
  <c r="O5" i="2"/>
  <c r="P5" i="2" s="1"/>
  <c r="AA2" i="2"/>
  <c r="R2" i="2"/>
  <c r="N2" i="2"/>
  <c r="J2" i="2"/>
  <c r="G2" i="2"/>
  <c r="D2" i="2"/>
  <c r="AZ154" i="1"/>
  <c r="AR154" i="1"/>
  <c r="AS154" i="1" s="1"/>
  <c r="AL154" i="1"/>
  <c r="AK154" i="1"/>
  <c r="AJ154" i="1"/>
  <c r="V154" i="1"/>
  <c r="W154" i="1" s="1"/>
  <c r="P154" i="1"/>
  <c r="Q154" i="1" s="1"/>
  <c r="AZ153" i="1"/>
  <c r="AR153" i="1"/>
  <c r="AS153" i="1" s="1"/>
  <c r="AL153" i="1"/>
  <c r="AK153" i="1"/>
  <c r="AJ153" i="1"/>
  <c r="V153" i="1"/>
  <c r="BC153" i="1" s="1"/>
  <c r="P153" i="1"/>
  <c r="Q153" i="1" s="1"/>
  <c r="AZ152" i="1"/>
  <c r="AR152" i="1"/>
  <c r="AS152" i="1" s="1"/>
  <c r="AL152" i="1"/>
  <c r="AK152" i="1"/>
  <c r="AJ152" i="1"/>
  <c r="V152" i="1"/>
  <c r="P152" i="1"/>
  <c r="Q152" i="1" s="1"/>
  <c r="AZ151" i="1"/>
  <c r="AR151" i="1"/>
  <c r="AS151" i="1" s="1"/>
  <c r="AL151" i="1"/>
  <c r="AK151" i="1"/>
  <c r="AJ151" i="1"/>
  <c r="V151" i="1"/>
  <c r="BC151" i="1" s="1"/>
  <c r="P151" i="1"/>
  <c r="Q151" i="1" s="1"/>
  <c r="AZ150" i="1"/>
  <c r="AR150" i="1"/>
  <c r="AS150" i="1" s="1"/>
  <c r="AL150" i="1"/>
  <c r="AK150" i="1"/>
  <c r="AJ150" i="1"/>
  <c r="V150" i="1"/>
  <c r="W150" i="1" s="1"/>
  <c r="P150" i="1"/>
  <c r="Q150" i="1" s="1"/>
  <c r="AZ149" i="1"/>
  <c r="AR149" i="1"/>
  <c r="AS149" i="1" s="1"/>
  <c r="AL149" i="1"/>
  <c r="AK149" i="1"/>
  <c r="AJ149" i="1"/>
  <c r="V149" i="1"/>
  <c r="BC149" i="1" s="1"/>
  <c r="P149" i="1"/>
  <c r="Q149" i="1" s="1"/>
  <c r="AZ148" i="1"/>
  <c r="AR148" i="1"/>
  <c r="AS148" i="1" s="1"/>
  <c r="AL148" i="1"/>
  <c r="AK148" i="1"/>
  <c r="AJ148" i="1"/>
  <c r="V148" i="1"/>
  <c r="W148" i="1" s="1"/>
  <c r="P148" i="1"/>
  <c r="Q148" i="1" s="1"/>
  <c r="AZ147" i="1"/>
  <c r="AR147" i="1"/>
  <c r="AS147" i="1" s="1"/>
  <c r="AL147" i="1"/>
  <c r="AK147" i="1"/>
  <c r="AJ147" i="1"/>
  <c r="V147" i="1"/>
  <c r="BC147" i="1" s="1"/>
  <c r="P147" i="1"/>
  <c r="Q147" i="1" s="1"/>
  <c r="AZ146" i="1"/>
  <c r="AR146" i="1"/>
  <c r="AS146" i="1" s="1"/>
  <c r="AL146" i="1"/>
  <c r="AK146" i="1"/>
  <c r="AJ146" i="1"/>
  <c r="V146" i="1"/>
  <c r="BC146" i="1" s="1"/>
  <c r="P146" i="1"/>
  <c r="Q146" i="1" s="1"/>
  <c r="AZ145" i="1"/>
  <c r="AR145" i="1"/>
  <c r="AS145" i="1" s="1"/>
  <c r="AL145" i="1"/>
  <c r="AK145" i="1"/>
  <c r="AJ145" i="1"/>
  <c r="V145" i="1"/>
  <c r="BC145" i="1" s="1"/>
  <c r="P145" i="1"/>
  <c r="Q145" i="1" s="1"/>
  <c r="AZ144" i="1"/>
  <c r="AR144" i="1"/>
  <c r="AS144" i="1" s="1"/>
  <c r="AL144" i="1"/>
  <c r="AK144" i="1"/>
  <c r="AJ144" i="1"/>
  <c r="V144" i="1"/>
  <c r="P144" i="1"/>
  <c r="Q144" i="1" s="1"/>
  <c r="AZ143" i="1"/>
  <c r="AR143" i="1"/>
  <c r="AS143" i="1" s="1"/>
  <c r="AL143" i="1"/>
  <c r="AK143" i="1"/>
  <c r="AJ143" i="1"/>
  <c r="V143" i="1"/>
  <c r="P143" i="1"/>
  <c r="Q143" i="1" s="1"/>
  <c r="AZ142" i="1"/>
  <c r="AR142" i="1"/>
  <c r="AS142" i="1" s="1"/>
  <c r="AL142" i="1"/>
  <c r="AK142" i="1"/>
  <c r="AJ142" i="1"/>
  <c r="V142" i="1"/>
  <c r="W142" i="1" s="1"/>
  <c r="P142" i="1"/>
  <c r="Q142" i="1" s="1"/>
  <c r="AZ141" i="1"/>
  <c r="AR141" i="1"/>
  <c r="AS141" i="1" s="1"/>
  <c r="AL141" i="1"/>
  <c r="AK141" i="1"/>
  <c r="AJ141" i="1"/>
  <c r="V141" i="1"/>
  <c r="P141" i="1"/>
  <c r="Q141" i="1" s="1"/>
  <c r="AZ140" i="1"/>
  <c r="AR140" i="1"/>
  <c r="AS140" i="1" s="1"/>
  <c r="AL140" i="1"/>
  <c r="AK140" i="1"/>
  <c r="AJ140" i="1"/>
  <c r="V140" i="1"/>
  <c r="P140" i="1"/>
  <c r="Q140" i="1" s="1"/>
  <c r="AZ139" i="1"/>
  <c r="AR139" i="1"/>
  <c r="AS139" i="1" s="1"/>
  <c r="AL139" i="1"/>
  <c r="AK139" i="1"/>
  <c r="AJ139" i="1"/>
  <c r="V139" i="1"/>
  <c r="P139" i="1"/>
  <c r="Q139" i="1" s="1"/>
  <c r="AZ138" i="1"/>
  <c r="AR138" i="1"/>
  <c r="AS138" i="1" s="1"/>
  <c r="AL138" i="1"/>
  <c r="AK138" i="1"/>
  <c r="AJ138" i="1"/>
  <c r="V138" i="1"/>
  <c r="W138" i="1" s="1"/>
  <c r="P138" i="1"/>
  <c r="Q138" i="1" s="1"/>
  <c r="AZ137" i="1"/>
  <c r="AR137" i="1"/>
  <c r="AS137" i="1" s="1"/>
  <c r="AL137" i="1"/>
  <c r="AK137" i="1"/>
  <c r="AJ137" i="1"/>
  <c r="V137" i="1"/>
  <c r="P137" i="1"/>
  <c r="Q137" i="1" s="1"/>
  <c r="AZ136" i="1"/>
  <c r="AR136" i="1"/>
  <c r="AS136" i="1" s="1"/>
  <c r="AL136" i="1"/>
  <c r="AK136" i="1"/>
  <c r="AJ136" i="1"/>
  <c r="V136" i="1"/>
  <c r="P136" i="1"/>
  <c r="Q136" i="1" s="1"/>
  <c r="AZ135" i="1"/>
  <c r="AR135" i="1"/>
  <c r="AS135" i="1" s="1"/>
  <c r="AL135" i="1"/>
  <c r="AK135" i="1"/>
  <c r="AJ135" i="1"/>
  <c r="V135" i="1"/>
  <c r="P135" i="1"/>
  <c r="Q135" i="1" s="1"/>
  <c r="AZ134" i="1"/>
  <c r="AR134" i="1"/>
  <c r="AS134" i="1" s="1"/>
  <c r="AL134" i="1"/>
  <c r="AK134" i="1"/>
  <c r="AJ134" i="1"/>
  <c r="V134" i="1"/>
  <c r="W134" i="1" s="1"/>
  <c r="P134" i="1"/>
  <c r="Q134" i="1" s="1"/>
  <c r="AZ133" i="1"/>
  <c r="AR133" i="1"/>
  <c r="AS133" i="1" s="1"/>
  <c r="AL133" i="1"/>
  <c r="AK133" i="1"/>
  <c r="AJ133" i="1"/>
  <c r="V133" i="1"/>
  <c r="P133" i="1"/>
  <c r="Q133" i="1" s="1"/>
  <c r="AZ132" i="1"/>
  <c r="AR132" i="1"/>
  <c r="AS132" i="1" s="1"/>
  <c r="AL132" i="1"/>
  <c r="AK132" i="1"/>
  <c r="AJ132" i="1"/>
  <c r="V132" i="1"/>
  <c r="BC132" i="1" s="1"/>
  <c r="P132" i="1"/>
  <c r="Q132" i="1" s="1"/>
  <c r="AZ131" i="1"/>
  <c r="AR131" i="1"/>
  <c r="AS131" i="1" s="1"/>
  <c r="AL131" i="1"/>
  <c r="AK131" i="1"/>
  <c r="AJ131" i="1"/>
  <c r="V131" i="1"/>
  <c r="P131" i="1"/>
  <c r="Q131" i="1" s="1"/>
  <c r="AZ130" i="1"/>
  <c r="AR130" i="1"/>
  <c r="AS130" i="1" s="1"/>
  <c r="AL130" i="1"/>
  <c r="AK130" i="1"/>
  <c r="AJ130" i="1"/>
  <c r="V130" i="1"/>
  <c r="W130" i="1" s="1"/>
  <c r="P130" i="1"/>
  <c r="Q130" i="1" s="1"/>
  <c r="AZ129" i="1"/>
  <c r="AR129" i="1"/>
  <c r="AS129" i="1" s="1"/>
  <c r="AL129" i="1"/>
  <c r="AK129" i="1"/>
  <c r="AJ129" i="1"/>
  <c r="V129" i="1"/>
  <c r="P129" i="1"/>
  <c r="Q129" i="1" s="1"/>
  <c r="AZ128" i="1"/>
  <c r="AR128" i="1"/>
  <c r="AS128" i="1" s="1"/>
  <c r="AL128" i="1"/>
  <c r="AK128" i="1"/>
  <c r="AJ128" i="1"/>
  <c r="V128" i="1"/>
  <c r="BC128" i="1" s="1"/>
  <c r="P128" i="1"/>
  <c r="Q128" i="1" s="1"/>
  <c r="AZ127" i="1"/>
  <c r="AR127" i="1"/>
  <c r="AS127" i="1" s="1"/>
  <c r="AL127" i="1"/>
  <c r="AK127" i="1"/>
  <c r="AJ127" i="1"/>
  <c r="V127" i="1"/>
  <c r="P127" i="1"/>
  <c r="Q127" i="1" s="1"/>
  <c r="AZ126" i="1"/>
  <c r="AR126" i="1"/>
  <c r="AS126" i="1" s="1"/>
  <c r="AL126" i="1"/>
  <c r="AK126" i="1"/>
  <c r="AJ126" i="1"/>
  <c r="V126" i="1"/>
  <c r="W126" i="1" s="1"/>
  <c r="P126" i="1"/>
  <c r="Q126" i="1" s="1"/>
  <c r="AZ125" i="1"/>
  <c r="AR125" i="1"/>
  <c r="AS125" i="1" s="1"/>
  <c r="AL125" i="1"/>
  <c r="AK125" i="1"/>
  <c r="AJ125" i="1"/>
  <c r="V125" i="1"/>
  <c r="P125" i="1"/>
  <c r="Q125" i="1" s="1"/>
  <c r="AZ124" i="1"/>
  <c r="AR124" i="1"/>
  <c r="AS124" i="1" s="1"/>
  <c r="AL124" i="1"/>
  <c r="AK124" i="1"/>
  <c r="AJ124" i="1"/>
  <c r="V124" i="1"/>
  <c r="BC124" i="1" s="1"/>
  <c r="P124" i="1"/>
  <c r="Q124" i="1" s="1"/>
  <c r="AZ123" i="1"/>
  <c r="AR123" i="1"/>
  <c r="AS123" i="1" s="1"/>
  <c r="AL123" i="1"/>
  <c r="AK123" i="1"/>
  <c r="AJ123" i="1"/>
  <c r="V123" i="1"/>
  <c r="P123" i="1"/>
  <c r="Q123" i="1" s="1"/>
  <c r="AZ122" i="1"/>
  <c r="AR122" i="1"/>
  <c r="AS122" i="1" s="1"/>
  <c r="AL122" i="1"/>
  <c r="AK122" i="1"/>
  <c r="AJ122" i="1"/>
  <c r="V122" i="1"/>
  <c r="W122" i="1" s="1"/>
  <c r="P122" i="1"/>
  <c r="Q122" i="1" s="1"/>
  <c r="AZ121" i="1"/>
  <c r="AR121" i="1"/>
  <c r="AS121" i="1" s="1"/>
  <c r="AL121" i="1"/>
  <c r="AK121" i="1"/>
  <c r="AJ121" i="1"/>
  <c r="V121" i="1"/>
  <c r="W121" i="1" s="1"/>
  <c r="P121" i="1"/>
  <c r="Q121" i="1" s="1"/>
  <c r="AZ120" i="1"/>
  <c r="AR120" i="1"/>
  <c r="AS120" i="1" s="1"/>
  <c r="AL120" i="1"/>
  <c r="AK120" i="1"/>
  <c r="AJ120" i="1"/>
  <c r="V120" i="1"/>
  <c r="P120" i="1"/>
  <c r="Q120" i="1" s="1"/>
  <c r="AZ119" i="1"/>
  <c r="AR119" i="1"/>
  <c r="AS119" i="1" s="1"/>
  <c r="AL119" i="1"/>
  <c r="AK119" i="1"/>
  <c r="AJ119" i="1"/>
  <c r="V119" i="1"/>
  <c r="W119" i="1" s="1"/>
  <c r="P119" i="1"/>
  <c r="Q119" i="1" s="1"/>
  <c r="AZ118" i="1"/>
  <c r="AR118" i="1"/>
  <c r="AS118" i="1" s="1"/>
  <c r="AL118" i="1"/>
  <c r="AK118" i="1"/>
  <c r="AJ118" i="1"/>
  <c r="V118" i="1"/>
  <c r="P118" i="1"/>
  <c r="Q118" i="1" s="1"/>
  <c r="AZ117" i="1"/>
  <c r="AR117" i="1"/>
  <c r="AS117" i="1" s="1"/>
  <c r="AL117" i="1"/>
  <c r="AK117" i="1"/>
  <c r="AJ117" i="1"/>
  <c r="V117" i="1"/>
  <c r="W117" i="1" s="1"/>
  <c r="P117" i="1"/>
  <c r="Q117" i="1" s="1"/>
  <c r="AZ116" i="1"/>
  <c r="AR116" i="1"/>
  <c r="AS116" i="1" s="1"/>
  <c r="AL116" i="1"/>
  <c r="AK116" i="1"/>
  <c r="AJ116" i="1"/>
  <c r="V116" i="1"/>
  <c r="P116" i="1"/>
  <c r="Q116" i="1" s="1"/>
  <c r="AZ115" i="1"/>
  <c r="AR115" i="1"/>
  <c r="AS115" i="1" s="1"/>
  <c r="AL115" i="1"/>
  <c r="AK115" i="1"/>
  <c r="AJ115" i="1"/>
  <c r="V115" i="1"/>
  <c r="W115" i="1" s="1"/>
  <c r="P115" i="1"/>
  <c r="Q115" i="1" s="1"/>
  <c r="AZ114" i="1"/>
  <c r="AR114" i="1"/>
  <c r="AS114" i="1" s="1"/>
  <c r="AL114" i="1"/>
  <c r="AK114" i="1"/>
  <c r="AJ114" i="1"/>
  <c r="V114" i="1"/>
  <c r="W114" i="1" s="1"/>
  <c r="P114" i="1"/>
  <c r="Q114" i="1" s="1"/>
  <c r="AZ113" i="1"/>
  <c r="AR113" i="1"/>
  <c r="AS113" i="1" s="1"/>
  <c r="AL113" i="1"/>
  <c r="AK113" i="1"/>
  <c r="AJ113" i="1"/>
  <c r="V113" i="1"/>
  <c r="W113" i="1" s="1"/>
  <c r="P113" i="1"/>
  <c r="Q113" i="1" s="1"/>
  <c r="AZ112" i="1"/>
  <c r="AR112" i="1"/>
  <c r="AS112" i="1" s="1"/>
  <c r="AL112" i="1"/>
  <c r="AK112" i="1"/>
  <c r="AJ112" i="1"/>
  <c r="V112" i="1"/>
  <c r="BC112" i="1" s="1"/>
  <c r="P112" i="1"/>
  <c r="Q112" i="1" s="1"/>
  <c r="AZ111" i="1"/>
  <c r="AR111" i="1"/>
  <c r="AS111" i="1" s="1"/>
  <c r="AL111" i="1"/>
  <c r="AK111" i="1"/>
  <c r="AJ111" i="1"/>
  <c r="V111" i="1"/>
  <c r="W111" i="1" s="1"/>
  <c r="P111" i="1"/>
  <c r="Q111" i="1" s="1"/>
  <c r="AZ110" i="1"/>
  <c r="AR110" i="1"/>
  <c r="AS110" i="1" s="1"/>
  <c r="AL110" i="1"/>
  <c r="AK110" i="1"/>
  <c r="AJ110" i="1"/>
  <c r="V110" i="1"/>
  <c r="W110" i="1" s="1"/>
  <c r="P110" i="1"/>
  <c r="Q110" i="1" s="1"/>
  <c r="AZ109" i="1"/>
  <c r="AR109" i="1"/>
  <c r="AS109" i="1" s="1"/>
  <c r="AL109" i="1"/>
  <c r="AK109" i="1"/>
  <c r="AJ109" i="1"/>
  <c r="V109" i="1"/>
  <c r="W109" i="1" s="1"/>
  <c r="P109" i="1"/>
  <c r="Q109" i="1" s="1"/>
  <c r="AZ108" i="1"/>
  <c r="AR108" i="1"/>
  <c r="AS108" i="1" s="1"/>
  <c r="AL108" i="1"/>
  <c r="AK108" i="1"/>
  <c r="AJ108" i="1"/>
  <c r="V108" i="1"/>
  <c r="BC108" i="1" s="1"/>
  <c r="P108" i="1"/>
  <c r="Q108" i="1" s="1"/>
  <c r="AZ107" i="1"/>
  <c r="AR107" i="1"/>
  <c r="AS107" i="1" s="1"/>
  <c r="AL107" i="1"/>
  <c r="AK107" i="1"/>
  <c r="AJ107" i="1"/>
  <c r="V107" i="1"/>
  <c r="W107" i="1" s="1"/>
  <c r="P107" i="1"/>
  <c r="Q107" i="1" s="1"/>
  <c r="AZ106" i="1"/>
  <c r="AR106" i="1"/>
  <c r="AS106" i="1" s="1"/>
  <c r="AL106" i="1"/>
  <c r="AK106" i="1"/>
  <c r="AJ106" i="1"/>
  <c r="V106" i="1"/>
  <c r="W106" i="1" s="1"/>
  <c r="P106" i="1"/>
  <c r="Q106" i="1" s="1"/>
  <c r="AZ105" i="1"/>
  <c r="AR105" i="1"/>
  <c r="AS105" i="1" s="1"/>
  <c r="AL105" i="1"/>
  <c r="AK105" i="1"/>
  <c r="AJ105" i="1"/>
  <c r="V105" i="1"/>
  <c r="W105" i="1" s="1"/>
  <c r="P105" i="1"/>
  <c r="Q105" i="1" s="1"/>
  <c r="AZ104" i="1"/>
  <c r="AR104" i="1"/>
  <c r="AS104" i="1" s="1"/>
  <c r="AL104" i="1"/>
  <c r="AK104" i="1"/>
  <c r="AJ104" i="1"/>
  <c r="V104" i="1"/>
  <c r="P104" i="1"/>
  <c r="Q104" i="1" s="1"/>
  <c r="AZ103" i="1"/>
  <c r="AR103" i="1"/>
  <c r="AS103" i="1" s="1"/>
  <c r="AL103" i="1"/>
  <c r="AK103" i="1"/>
  <c r="AJ103" i="1"/>
  <c r="V103" i="1"/>
  <c r="W103" i="1" s="1"/>
  <c r="P103" i="1"/>
  <c r="Q103" i="1" s="1"/>
  <c r="AZ102" i="1"/>
  <c r="AR102" i="1"/>
  <c r="AS102" i="1" s="1"/>
  <c r="AL102" i="1"/>
  <c r="AK102" i="1"/>
  <c r="AJ102" i="1"/>
  <c r="V102" i="1"/>
  <c r="P102" i="1"/>
  <c r="Q102" i="1" s="1"/>
  <c r="AZ101" i="1"/>
  <c r="AR101" i="1"/>
  <c r="AS101" i="1" s="1"/>
  <c r="AL101" i="1"/>
  <c r="AK101" i="1"/>
  <c r="AJ101" i="1"/>
  <c r="V101" i="1"/>
  <c r="W101" i="1" s="1"/>
  <c r="P101" i="1"/>
  <c r="Q101" i="1" s="1"/>
  <c r="AZ100" i="1"/>
  <c r="AR100" i="1"/>
  <c r="AS100" i="1" s="1"/>
  <c r="AL100" i="1"/>
  <c r="AK100" i="1"/>
  <c r="AJ100" i="1"/>
  <c r="V100" i="1"/>
  <c r="BC100" i="1" s="1"/>
  <c r="P100" i="1"/>
  <c r="Q100" i="1" s="1"/>
  <c r="AZ99" i="1"/>
  <c r="AR99" i="1"/>
  <c r="AS99" i="1" s="1"/>
  <c r="AL99" i="1"/>
  <c r="AK99" i="1"/>
  <c r="AJ99" i="1"/>
  <c r="V99" i="1"/>
  <c r="W99" i="1" s="1"/>
  <c r="P99" i="1"/>
  <c r="Q99" i="1" s="1"/>
  <c r="AZ98" i="1"/>
  <c r="AR98" i="1"/>
  <c r="AS98" i="1" s="1"/>
  <c r="AL98" i="1"/>
  <c r="AK98" i="1"/>
  <c r="AJ98" i="1"/>
  <c r="V98" i="1"/>
  <c r="W98" i="1" s="1"/>
  <c r="P98" i="1"/>
  <c r="Q98" i="1" s="1"/>
  <c r="AZ97" i="1"/>
  <c r="AR97" i="1"/>
  <c r="AS97" i="1" s="1"/>
  <c r="AL97" i="1"/>
  <c r="AK97" i="1"/>
  <c r="AJ97" i="1"/>
  <c r="V97" i="1"/>
  <c r="W97" i="1" s="1"/>
  <c r="P97" i="1"/>
  <c r="Q97" i="1" s="1"/>
  <c r="AZ96" i="1"/>
  <c r="AR96" i="1"/>
  <c r="AS96" i="1" s="1"/>
  <c r="AL96" i="1"/>
  <c r="AK96" i="1"/>
  <c r="AJ96" i="1"/>
  <c r="V96" i="1"/>
  <c r="BC96" i="1" s="1"/>
  <c r="P96" i="1"/>
  <c r="Q96" i="1" s="1"/>
  <c r="AZ95" i="1"/>
  <c r="AR95" i="1"/>
  <c r="AS95" i="1" s="1"/>
  <c r="AL95" i="1"/>
  <c r="AK95" i="1"/>
  <c r="AJ95" i="1"/>
  <c r="V95" i="1"/>
  <c r="W95" i="1" s="1"/>
  <c r="P95" i="1"/>
  <c r="Q95" i="1" s="1"/>
  <c r="AZ94" i="1"/>
  <c r="AR94" i="1"/>
  <c r="AS94" i="1" s="1"/>
  <c r="AL94" i="1"/>
  <c r="AK94" i="1"/>
  <c r="AJ94" i="1"/>
  <c r="V94" i="1"/>
  <c r="W94" i="1" s="1"/>
  <c r="P94" i="1"/>
  <c r="Q94" i="1" s="1"/>
  <c r="AZ93" i="1"/>
  <c r="AR93" i="1"/>
  <c r="AS93" i="1" s="1"/>
  <c r="AL93" i="1"/>
  <c r="AK93" i="1"/>
  <c r="AJ93" i="1"/>
  <c r="V93" i="1"/>
  <c r="W93" i="1" s="1"/>
  <c r="P93" i="1"/>
  <c r="Q93" i="1" s="1"/>
  <c r="AZ92" i="1"/>
  <c r="AR92" i="1"/>
  <c r="AS92" i="1" s="1"/>
  <c r="AL92" i="1"/>
  <c r="AK92" i="1"/>
  <c r="AJ92" i="1"/>
  <c r="V92" i="1"/>
  <c r="BC92" i="1" s="1"/>
  <c r="P92" i="1"/>
  <c r="Q92" i="1" s="1"/>
  <c r="AZ91" i="1"/>
  <c r="AR91" i="1"/>
  <c r="AS91" i="1" s="1"/>
  <c r="AL91" i="1"/>
  <c r="AK91" i="1"/>
  <c r="AJ91" i="1"/>
  <c r="V91" i="1"/>
  <c r="W91" i="1" s="1"/>
  <c r="P91" i="1"/>
  <c r="Q91" i="1" s="1"/>
  <c r="AZ90" i="1"/>
  <c r="AR90" i="1"/>
  <c r="AS90" i="1" s="1"/>
  <c r="AL90" i="1"/>
  <c r="AK90" i="1"/>
  <c r="AJ90" i="1"/>
  <c r="V90" i="1"/>
  <c r="W90" i="1" s="1"/>
  <c r="P90" i="1"/>
  <c r="Q90" i="1" s="1"/>
  <c r="AZ89" i="1"/>
  <c r="AR89" i="1"/>
  <c r="AS89" i="1" s="1"/>
  <c r="AL89" i="1"/>
  <c r="AK89" i="1"/>
  <c r="AJ89" i="1"/>
  <c r="V89" i="1"/>
  <c r="W89" i="1" s="1"/>
  <c r="P89" i="1"/>
  <c r="Q89" i="1" s="1"/>
  <c r="AZ88" i="1"/>
  <c r="AR88" i="1"/>
  <c r="AS88" i="1" s="1"/>
  <c r="AL88" i="1"/>
  <c r="AK88" i="1"/>
  <c r="AJ88" i="1"/>
  <c r="V88" i="1"/>
  <c r="P88" i="1"/>
  <c r="Q88" i="1" s="1"/>
  <c r="AZ87" i="1"/>
  <c r="AR87" i="1"/>
  <c r="AS87" i="1" s="1"/>
  <c r="AL87" i="1"/>
  <c r="AK87" i="1"/>
  <c r="AJ87" i="1"/>
  <c r="V87" i="1"/>
  <c r="W87" i="1" s="1"/>
  <c r="P87" i="1"/>
  <c r="Q87" i="1" s="1"/>
  <c r="AZ86" i="1"/>
  <c r="AR86" i="1"/>
  <c r="AS86" i="1" s="1"/>
  <c r="AL86" i="1"/>
  <c r="AK86" i="1"/>
  <c r="AJ86" i="1"/>
  <c r="V86" i="1"/>
  <c r="P86" i="1"/>
  <c r="Q86" i="1" s="1"/>
  <c r="AZ85" i="1"/>
  <c r="AR85" i="1"/>
  <c r="AS85" i="1" s="1"/>
  <c r="AL85" i="1"/>
  <c r="AK85" i="1"/>
  <c r="AJ85" i="1"/>
  <c r="V85" i="1"/>
  <c r="W85" i="1" s="1"/>
  <c r="P85" i="1"/>
  <c r="Q85" i="1" s="1"/>
  <c r="AZ84" i="1"/>
  <c r="AR84" i="1"/>
  <c r="AS84" i="1" s="1"/>
  <c r="AL84" i="1"/>
  <c r="AK84" i="1"/>
  <c r="AJ84" i="1"/>
  <c r="V84" i="1"/>
  <c r="BC84" i="1" s="1"/>
  <c r="P84" i="1"/>
  <c r="Q84" i="1" s="1"/>
  <c r="AZ83" i="1"/>
  <c r="AR83" i="1"/>
  <c r="AS83" i="1" s="1"/>
  <c r="AL83" i="1"/>
  <c r="AK83" i="1"/>
  <c r="AJ83" i="1"/>
  <c r="V83" i="1"/>
  <c r="W83" i="1" s="1"/>
  <c r="P83" i="1"/>
  <c r="Q83" i="1" s="1"/>
  <c r="AZ82" i="1"/>
  <c r="AR82" i="1"/>
  <c r="AS82" i="1" s="1"/>
  <c r="AL82" i="1"/>
  <c r="AK82" i="1"/>
  <c r="AJ82" i="1"/>
  <c r="V82" i="1"/>
  <c r="BC82" i="1" s="1"/>
  <c r="P82" i="1"/>
  <c r="Q82" i="1" s="1"/>
  <c r="AZ81" i="1"/>
  <c r="AR81" i="1"/>
  <c r="AS81" i="1" s="1"/>
  <c r="AL81" i="1"/>
  <c r="AK81" i="1"/>
  <c r="AJ81" i="1"/>
  <c r="V81" i="1"/>
  <c r="W81" i="1" s="1"/>
  <c r="P81" i="1"/>
  <c r="Q81" i="1" s="1"/>
  <c r="AZ80" i="1"/>
  <c r="AR80" i="1"/>
  <c r="AS80" i="1" s="1"/>
  <c r="AL80" i="1"/>
  <c r="AK80" i="1"/>
  <c r="AJ80" i="1"/>
  <c r="V80" i="1"/>
  <c r="BC80" i="1" s="1"/>
  <c r="P80" i="1"/>
  <c r="Q80" i="1" s="1"/>
  <c r="AZ79" i="1"/>
  <c r="AR79" i="1"/>
  <c r="AS79" i="1" s="1"/>
  <c r="AL79" i="1"/>
  <c r="AK79" i="1"/>
  <c r="AJ79" i="1"/>
  <c r="V79" i="1"/>
  <c r="W79" i="1" s="1"/>
  <c r="P79" i="1"/>
  <c r="Q79" i="1" s="1"/>
  <c r="AZ78" i="1"/>
  <c r="AR78" i="1"/>
  <c r="AS78" i="1" s="1"/>
  <c r="AL78" i="1"/>
  <c r="AK78" i="1"/>
  <c r="AJ78" i="1"/>
  <c r="V78" i="1"/>
  <c r="W78" i="1" s="1"/>
  <c r="P78" i="1"/>
  <c r="Q78" i="1" s="1"/>
  <c r="AZ77" i="1"/>
  <c r="AR77" i="1"/>
  <c r="AS77" i="1" s="1"/>
  <c r="AL77" i="1"/>
  <c r="AK77" i="1"/>
  <c r="AJ77" i="1"/>
  <c r="V77" i="1"/>
  <c r="W77" i="1" s="1"/>
  <c r="P77" i="1"/>
  <c r="Q77" i="1" s="1"/>
  <c r="AZ76" i="1"/>
  <c r="AR76" i="1"/>
  <c r="AS76" i="1" s="1"/>
  <c r="AL76" i="1"/>
  <c r="AK76" i="1"/>
  <c r="AJ76" i="1"/>
  <c r="V76" i="1"/>
  <c r="BC76" i="1" s="1"/>
  <c r="P76" i="1"/>
  <c r="Q76" i="1" s="1"/>
  <c r="AZ75" i="1"/>
  <c r="AR75" i="1"/>
  <c r="AS75" i="1" s="1"/>
  <c r="AL75" i="1"/>
  <c r="AK75" i="1"/>
  <c r="AJ75" i="1"/>
  <c r="V75" i="1"/>
  <c r="W75" i="1" s="1"/>
  <c r="P75" i="1"/>
  <c r="Q75" i="1" s="1"/>
  <c r="AZ74" i="1"/>
  <c r="AR74" i="1"/>
  <c r="AS74" i="1" s="1"/>
  <c r="AL74" i="1"/>
  <c r="AK74" i="1"/>
  <c r="AJ74" i="1"/>
  <c r="V74" i="1"/>
  <c r="W74" i="1" s="1"/>
  <c r="P74" i="1"/>
  <c r="Q74" i="1" s="1"/>
  <c r="AZ73" i="1"/>
  <c r="AR73" i="1"/>
  <c r="AS73" i="1" s="1"/>
  <c r="AL73" i="1"/>
  <c r="AK73" i="1"/>
  <c r="AJ73" i="1"/>
  <c r="V73" i="1"/>
  <c r="W73" i="1" s="1"/>
  <c r="P73" i="1"/>
  <c r="Q73" i="1" s="1"/>
  <c r="AZ72" i="1"/>
  <c r="AR72" i="1"/>
  <c r="AS72" i="1" s="1"/>
  <c r="AL72" i="1"/>
  <c r="AK72" i="1"/>
  <c r="AJ72" i="1"/>
  <c r="V72" i="1"/>
  <c r="BC72" i="1" s="1"/>
  <c r="P72" i="1"/>
  <c r="Q72" i="1" s="1"/>
  <c r="AZ71" i="1"/>
  <c r="AR71" i="1"/>
  <c r="AS71" i="1" s="1"/>
  <c r="AL71" i="1"/>
  <c r="AK71" i="1"/>
  <c r="AJ71" i="1"/>
  <c r="V71" i="1"/>
  <c r="W71" i="1" s="1"/>
  <c r="P71" i="1"/>
  <c r="Q71" i="1" s="1"/>
  <c r="AZ70" i="1"/>
  <c r="AR70" i="1"/>
  <c r="AS70" i="1" s="1"/>
  <c r="AL70" i="1"/>
  <c r="AK70" i="1"/>
  <c r="AJ70" i="1"/>
  <c r="V70" i="1"/>
  <c r="W70" i="1" s="1"/>
  <c r="P70" i="1"/>
  <c r="Q70" i="1" s="1"/>
  <c r="AZ69" i="1"/>
  <c r="AR69" i="1"/>
  <c r="AS69" i="1" s="1"/>
  <c r="AL69" i="1"/>
  <c r="AK69" i="1"/>
  <c r="AJ69" i="1"/>
  <c r="V69" i="1"/>
  <c r="W69" i="1" s="1"/>
  <c r="P69" i="1"/>
  <c r="Q69" i="1" s="1"/>
  <c r="AZ68" i="1"/>
  <c r="AR68" i="1"/>
  <c r="AS68" i="1" s="1"/>
  <c r="AL68" i="1"/>
  <c r="AK68" i="1"/>
  <c r="AJ68" i="1"/>
  <c r="V68" i="1"/>
  <c r="P68" i="1"/>
  <c r="Q68" i="1" s="1"/>
  <c r="AZ67" i="1"/>
  <c r="AR67" i="1"/>
  <c r="AS67" i="1" s="1"/>
  <c r="AL67" i="1"/>
  <c r="AK67" i="1"/>
  <c r="AJ67" i="1"/>
  <c r="V67" i="1"/>
  <c r="W67" i="1" s="1"/>
  <c r="P67" i="1"/>
  <c r="Q67" i="1" s="1"/>
  <c r="AZ66" i="1"/>
  <c r="AR66" i="1"/>
  <c r="AS66" i="1" s="1"/>
  <c r="AL66" i="1"/>
  <c r="AK66" i="1"/>
  <c r="AJ66" i="1"/>
  <c r="V66" i="1"/>
  <c r="P66" i="1"/>
  <c r="Q66" i="1" s="1"/>
  <c r="AZ65" i="1"/>
  <c r="AR65" i="1"/>
  <c r="AS65" i="1" s="1"/>
  <c r="AL65" i="1"/>
  <c r="AK65" i="1"/>
  <c r="AJ65" i="1"/>
  <c r="V65" i="1"/>
  <c r="W65" i="1" s="1"/>
  <c r="P65" i="1"/>
  <c r="Q65" i="1" s="1"/>
  <c r="AZ64" i="1"/>
  <c r="AR64" i="1"/>
  <c r="AS64" i="1" s="1"/>
  <c r="AL64" i="1"/>
  <c r="AK64" i="1"/>
  <c r="AJ64" i="1"/>
  <c r="V64" i="1"/>
  <c r="P64" i="1"/>
  <c r="Q64" i="1" s="1"/>
  <c r="AZ63" i="1"/>
  <c r="AR63" i="1"/>
  <c r="AS63" i="1" s="1"/>
  <c r="AL63" i="1"/>
  <c r="AK63" i="1"/>
  <c r="AJ63" i="1"/>
  <c r="V63" i="1"/>
  <c r="W63" i="1" s="1"/>
  <c r="P63" i="1"/>
  <c r="Q63" i="1" s="1"/>
  <c r="AZ62" i="1"/>
  <c r="AR62" i="1"/>
  <c r="AS62" i="1" s="1"/>
  <c r="AL62" i="1"/>
  <c r="AK62" i="1"/>
  <c r="AJ62" i="1"/>
  <c r="V62" i="1"/>
  <c r="BC62" i="1" s="1"/>
  <c r="P62" i="1"/>
  <c r="Q62" i="1" s="1"/>
  <c r="AZ61" i="1"/>
  <c r="AR61" i="1"/>
  <c r="AS61" i="1" s="1"/>
  <c r="AL61" i="1"/>
  <c r="AK61" i="1"/>
  <c r="AJ61" i="1"/>
  <c r="V61" i="1"/>
  <c r="W61" i="1" s="1"/>
  <c r="P61" i="1"/>
  <c r="Q61" i="1" s="1"/>
  <c r="AZ60" i="1"/>
  <c r="AR60" i="1"/>
  <c r="AS60" i="1" s="1"/>
  <c r="AL60" i="1"/>
  <c r="AK60" i="1"/>
  <c r="AJ60" i="1"/>
  <c r="V60" i="1"/>
  <c r="P60" i="1"/>
  <c r="Q60" i="1" s="1"/>
  <c r="AZ59" i="1"/>
  <c r="AR59" i="1"/>
  <c r="AS59" i="1" s="1"/>
  <c r="AL59" i="1"/>
  <c r="AK59" i="1"/>
  <c r="AJ59" i="1"/>
  <c r="V59" i="1"/>
  <c r="W59" i="1" s="1"/>
  <c r="P59" i="1"/>
  <c r="Q59" i="1" s="1"/>
  <c r="AZ58" i="1"/>
  <c r="AR58" i="1"/>
  <c r="AS58" i="1" s="1"/>
  <c r="AL58" i="1"/>
  <c r="AK58" i="1"/>
  <c r="AJ58" i="1"/>
  <c r="V58" i="1"/>
  <c r="W58" i="1" s="1"/>
  <c r="P58" i="1"/>
  <c r="Q58" i="1" s="1"/>
  <c r="AZ57" i="1"/>
  <c r="AR57" i="1"/>
  <c r="AS57" i="1" s="1"/>
  <c r="AL57" i="1"/>
  <c r="AK57" i="1"/>
  <c r="AJ57" i="1"/>
  <c r="V57" i="1"/>
  <c r="W57" i="1" s="1"/>
  <c r="P57" i="1"/>
  <c r="Q57" i="1" s="1"/>
  <c r="AZ56" i="1"/>
  <c r="AR56" i="1"/>
  <c r="AS56" i="1" s="1"/>
  <c r="AL56" i="1"/>
  <c r="AK56" i="1"/>
  <c r="AJ56" i="1"/>
  <c r="V56" i="1"/>
  <c r="BC56" i="1" s="1"/>
  <c r="P56" i="1"/>
  <c r="Q56" i="1" s="1"/>
  <c r="AZ55" i="1"/>
  <c r="AR55" i="1"/>
  <c r="AS55" i="1" s="1"/>
  <c r="AL55" i="1"/>
  <c r="AK55" i="1"/>
  <c r="AJ55" i="1"/>
  <c r="V55" i="1"/>
  <c r="BC55" i="1" s="1"/>
  <c r="P55" i="1"/>
  <c r="Q55" i="1" s="1"/>
  <c r="AZ54" i="1"/>
  <c r="AR54" i="1"/>
  <c r="AS54" i="1" s="1"/>
  <c r="AL54" i="1"/>
  <c r="AK54" i="1"/>
  <c r="AJ54" i="1"/>
  <c r="V54" i="1"/>
  <c r="W54" i="1" s="1"/>
  <c r="P54" i="1"/>
  <c r="Q54" i="1" s="1"/>
  <c r="AZ53" i="1"/>
  <c r="AR53" i="1"/>
  <c r="AS53" i="1" s="1"/>
  <c r="AL53" i="1"/>
  <c r="AK53" i="1"/>
  <c r="AJ53" i="1"/>
  <c r="V53" i="1"/>
  <c r="W53" i="1" s="1"/>
  <c r="P53" i="1"/>
  <c r="Q53" i="1" s="1"/>
  <c r="AZ52" i="1"/>
  <c r="AR52" i="1"/>
  <c r="AS52" i="1" s="1"/>
  <c r="AL52" i="1"/>
  <c r="AK52" i="1"/>
  <c r="AJ52" i="1"/>
  <c r="V52" i="1"/>
  <c r="P52" i="1"/>
  <c r="Q52" i="1" s="1"/>
  <c r="AZ51" i="1"/>
  <c r="AR51" i="1"/>
  <c r="AS51" i="1" s="1"/>
  <c r="AL51" i="1"/>
  <c r="AK51" i="1"/>
  <c r="AJ51" i="1"/>
  <c r="V51" i="1"/>
  <c r="W51" i="1" s="1"/>
  <c r="P51" i="1"/>
  <c r="Q51" i="1" s="1"/>
  <c r="AZ50" i="1"/>
  <c r="AR50" i="1"/>
  <c r="AS50" i="1" s="1"/>
  <c r="AL50" i="1"/>
  <c r="AK50" i="1"/>
  <c r="AJ50" i="1"/>
  <c r="V50" i="1"/>
  <c r="W50" i="1" s="1"/>
  <c r="P50" i="1"/>
  <c r="Q50" i="1" s="1"/>
  <c r="AZ49" i="1"/>
  <c r="AR49" i="1"/>
  <c r="AS49" i="1" s="1"/>
  <c r="AL49" i="1"/>
  <c r="AK49" i="1"/>
  <c r="AJ49" i="1"/>
  <c r="V49" i="1"/>
  <c r="W49" i="1" s="1"/>
  <c r="P49" i="1"/>
  <c r="Q49" i="1" s="1"/>
  <c r="AZ48" i="1"/>
  <c r="AR48" i="1"/>
  <c r="AS48" i="1" s="1"/>
  <c r="AL48" i="1"/>
  <c r="AK48" i="1"/>
  <c r="AJ48" i="1"/>
  <c r="V48" i="1"/>
  <c r="BC48" i="1" s="1"/>
  <c r="P48" i="1"/>
  <c r="Q48" i="1" s="1"/>
  <c r="AZ47" i="1"/>
  <c r="AR47" i="1"/>
  <c r="AS47" i="1" s="1"/>
  <c r="AL47" i="1"/>
  <c r="AK47" i="1"/>
  <c r="AJ47" i="1"/>
  <c r="V47" i="1"/>
  <c r="BC47" i="1" s="1"/>
  <c r="P47" i="1"/>
  <c r="Q47" i="1" s="1"/>
  <c r="AR46" i="1"/>
  <c r="AS46" i="1" s="1"/>
  <c r="AL46" i="1"/>
  <c r="AK46" i="1"/>
  <c r="AJ46" i="1"/>
  <c r="V46" i="1"/>
  <c r="P46" i="1"/>
  <c r="Q46" i="1" s="1"/>
  <c r="AR45" i="1"/>
  <c r="AS45" i="1" s="1"/>
  <c r="AL45" i="1"/>
  <c r="AK45" i="1"/>
  <c r="AJ45" i="1"/>
  <c r="V45" i="1"/>
  <c r="P45" i="1"/>
  <c r="Q45" i="1" s="1"/>
  <c r="AR44" i="1"/>
  <c r="AS44" i="1" s="1"/>
  <c r="AL44" i="1"/>
  <c r="AK44" i="1"/>
  <c r="AJ44" i="1"/>
  <c r="V44" i="1"/>
  <c r="P44" i="1"/>
  <c r="Q44" i="1" s="1"/>
  <c r="AR43" i="1"/>
  <c r="AS43" i="1" s="1"/>
  <c r="AL43" i="1"/>
  <c r="AK43" i="1"/>
  <c r="AJ43" i="1"/>
  <c r="V43" i="1"/>
  <c r="W43" i="1" s="1"/>
  <c r="P43" i="1"/>
  <c r="Q43" i="1" s="1"/>
  <c r="AR42" i="1"/>
  <c r="AS42" i="1" s="1"/>
  <c r="AL42" i="1"/>
  <c r="AK42" i="1"/>
  <c r="AJ42" i="1"/>
  <c r="V42" i="1"/>
  <c r="W42" i="1" s="1"/>
  <c r="P42" i="1"/>
  <c r="Q42" i="1" s="1"/>
  <c r="AR41" i="1"/>
  <c r="AS41" i="1" s="1"/>
  <c r="AL41" i="1"/>
  <c r="AK41" i="1"/>
  <c r="AJ41" i="1"/>
  <c r="V41" i="1"/>
  <c r="W41" i="1" s="1"/>
  <c r="P41" i="1"/>
  <c r="Q41" i="1" s="1"/>
  <c r="AR40" i="1"/>
  <c r="AS40" i="1" s="1"/>
  <c r="AL40" i="1"/>
  <c r="AK40" i="1"/>
  <c r="AJ40" i="1"/>
  <c r="V40" i="1"/>
  <c r="P40" i="1"/>
  <c r="Q40" i="1" s="1"/>
  <c r="AR39" i="1"/>
  <c r="AS39" i="1" s="1"/>
  <c r="AL39" i="1"/>
  <c r="AK39" i="1"/>
  <c r="AJ39" i="1"/>
  <c r="V39" i="1"/>
  <c r="P39" i="1"/>
  <c r="Q39" i="1" s="1"/>
  <c r="AR38" i="1"/>
  <c r="AS38" i="1" s="1"/>
  <c r="AL38" i="1"/>
  <c r="AK38" i="1"/>
  <c r="AJ38" i="1"/>
  <c r="V38" i="1"/>
  <c r="P38" i="1"/>
  <c r="Q38" i="1" s="1"/>
  <c r="AR37" i="1"/>
  <c r="AS37" i="1" s="1"/>
  <c r="AL37" i="1"/>
  <c r="AK37" i="1"/>
  <c r="AJ37" i="1"/>
  <c r="V37" i="1"/>
  <c r="P37" i="1"/>
  <c r="Q37" i="1" s="1"/>
  <c r="AR36" i="1"/>
  <c r="AS36" i="1" s="1"/>
  <c r="AL36" i="1"/>
  <c r="AK36" i="1"/>
  <c r="AJ36" i="1"/>
  <c r="V36" i="1"/>
  <c r="P36" i="1"/>
  <c r="Q36" i="1" s="1"/>
  <c r="AR35" i="1"/>
  <c r="AS35" i="1" s="1"/>
  <c r="AL35" i="1"/>
  <c r="AK35" i="1"/>
  <c r="AJ35" i="1"/>
  <c r="V35" i="1"/>
  <c r="W35" i="1" s="1"/>
  <c r="P35" i="1"/>
  <c r="Q35" i="1" s="1"/>
  <c r="AR34" i="1"/>
  <c r="AS34" i="1" s="1"/>
  <c r="AL34" i="1"/>
  <c r="AK34" i="1"/>
  <c r="AJ34" i="1"/>
  <c r="V34" i="1"/>
  <c r="P34" i="1"/>
  <c r="Q34" i="1" s="1"/>
  <c r="AR33" i="1"/>
  <c r="AS33" i="1" s="1"/>
  <c r="AL33" i="1"/>
  <c r="AK33" i="1"/>
  <c r="AJ33" i="1"/>
  <c r="V33" i="1"/>
  <c r="P33" i="1"/>
  <c r="Q33" i="1" s="1"/>
  <c r="AR32" i="1"/>
  <c r="AS32" i="1" s="1"/>
  <c r="AL32" i="1"/>
  <c r="AK32" i="1"/>
  <c r="AJ32" i="1"/>
  <c r="V32" i="1"/>
  <c r="W32" i="1" s="1"/>
  <c r="D123" i="14" s="1"/>
  <c r="P32" i="1"/>
  <c r="Q32" i="1" s="1"/>
  <c r="AR31" i="1"/>
  <c r="AS31" i="1" s="1"/>
  <c r="AL31" i="1"/>
  <c r="AK31" i="1"/>
  <c r="AJ31" i="1"/>
  <c r="V31" i="1"/>
  <c r="W31" i="1" s="1"/>
  <c r="P31" i="1"/>
  <c r="Q31" i="1" s="1"/>
  <c r="AR30" i="1"/>
  <c r="AS30" i="1" s="1"/>
  <c r="AL30" i="1"/>
  <c r="AK30" i="1"/>
  <c r="AJ30" i="1"/>
  <c r="V30" i="1"/>
  <c r="P30" i="1"/>
  <c r="Q30" i="1" s="1"/>
  <c r="AR29" i="1"/>
  <c r="AS29" i="1" s="1"/>
  <c r="AL29" i="1"/>
  <c r="AK29" i="1"/>
  <c r="AJ29" i="1"/>
  <c r="V29" i="1"/>
  <c r="P29" i="1"/>
  <c r="Q29" i="1" s="1"/>
  <c r="AR28" i="1"/>
  <c r="AS28" i="1" s="1"/>
  <c r="AL28" i="1"/>
  <c r="AK28" i="1"/>
  <c r="AJ28" i="1"/>
  <c r="V28" i="1"/>
  <c r="P28" i="1"/>
  <c r="Q28" i="1" s="1"/>
  <c r="AR27" i="1"/>
  <c r="AS27" i="1" s="1"/>
  <c r="AL27" i="1"/>
  <c r="AK27" i="1"/>
  <c r="AJ27" i="1"/>
  <c r="V27" i="1"/>
  <c r="W27" i="1" s="1"/>
  <c r="D131" i="14" s="1"/>
  <c r="P27" i="1"/>
  <c r="Q27" i="1" s="1"/>
  <c r="AR26" i="1"/>
  <c r="AS26" i="1" s="1"/>
  <c r="AL26" i="1"/>
  <c r="AK26" i="1"/>
  <c r="AJ26" i="1"/>
  <c r="V26" i="1"/>
  <c r="P26" i="1"/>
  <c r="Q26" i="1" s="1"/>
  <c r="AR25" i="1"/>
  <c r="AS25" i="1" s="1"/>
  <c r="AL25" i="1"/>
  <c r="AK25" i="1"/>
  <c r="AJ25" i="1"/>
  <c r="V25" i="1"/>
  <c r="P25" i="1"/>
  <c r="Q25" i="1" s="1"/>
  <c r="AR24" i="1"/>
  <c r="AS24" i="1" s="1"/>
  <c r="AL24" i="1"/>
  <c r="AK24" i="1"/>
  <c r="AJ24" i="1"/>
  <c r="V24" i="1"/>
  <c r="P24" i="1"/>
  <c r="Q24" i="1" s="1"/>
  <c r="AR23" i="1"/>
  <c r="AS23" i="1" s="1"/>
  <c r="AL23" i="1"/>
  <c r="AK23" i="1"/>
  <c r="AJ23" i="1"/>
  <c r="V23" i="1"/>
  <c r="W23" i="1" s="1"/>
  <c r="P23" i="1"/>
  <c r="Q23" i="1" s="1"/>
  <c r="AR22" i="1"/>
  <c r="AS22" i="1" s="1"/>
  <c r="AL22" i="1"/>
  <c r="AK22" i="1"/>
  <c r="AJ22" i="1"/>
  <c r="V22" i="1"/>
  <c r="P22" i="1"/>
  <c r="Q22" i="1" s="1"/>
  <c r="AR21" i="1"/>
  <c r="AS21" i="1" s="1"/>
  <c r="AL21" i="1"/>
  <c r="AK21" i="1"/>
  <c r="AJ21" i="1"/>
  <c r="V21" i="1"/>
  <c r="P21" i="1"/>
  <c r="Q21" i="1" s="1"/>
  <c r="AR20" i="1"/>
  <c r="AS20" i="1" s="1"/>
  <c r="AL20" i="1"/>
  <c r="AK20" i="1"/>
  <c r="AJ20" i="1"/>
  <c r="V20" i="1"/>
  <c r="P20" i="1"/>
  <c r="Q20" i="1" s="1"/>
  <c r="AR19" i="1"/>
  <c r="AS19" i="1" s="1"/>
  <c r="AL19" i="1"/>
  <c r="AK19" i="1"/>
  <c r="AJ19" i="1"/>
  <c r="V19" i="1"/>
  <c r="W19" i="1" s="1"/>
  <c r="D127" i="14" s="1"/>
  <c r="P19" i="1"/>
  <c r="Q19" i="1" s="1"/>
  <c r="AR18" i="1"/>
  <c r="AS18" i="1" s="1"/>
  <c r="AL18" i="1"/>
  <c r="AK18" i="1"/>
  <c r="AJ18" i="1"/>
  <c r="V18" i="1"/>
  <c r="P18" i="1"/>
  <c r="Q18" i="1" s="1"/>
  <c r="AR17" i="1"/>
  <c r="AS17" i="1" s="1"/>
  <c r="AL17" i="1"/>
  <c r="AK17" i="1"/>
  <c r="AJ17" i="1"/>
  <c r="V17" i="1"/>
  <c r="P17" i="1"/>
  <c r="Q17" i="1" s="1"/>
  <c r="AR16" i="1"/>
  <c r="AS16" i="1" s="1"/>
  <c r="AL16" i="1"/>
  <c r="AK16" i="1"/>
  <c r="AJ16" i="1"/>
  <c r="V16" i="1"/>
  <c r="W16" i="1" s="1"/>
  <c r="D128" i="14" s="1"/>
  <c r="P16" i="1"/>
  <c r="Q16" i="1" s="1"/>
  <c r="AR15" i="1"/>
  <c r="AS15" i="1" s="1"/>
  <c r="AL15" i="1"/>
  <c r="AK15" i="1"/>
  <c r="AJ15" i="1"/>
  <c r="V15" i="1"/>
  <c r="W15" i="1" s="1"/>
  <c r="P15" i="1"/>
  <c r="Q15" i="1" s="1"/>
  <c r="AR14" i="1"/>
  <c r="AS14" i="1" s="1"/>
  <c r="AL14" i="1"/>
  <c r="AK14" i="1"/>
  <c r="AJ14" i="1"/>
  <c r="V14" i="1"/>
  <c r="P14" i="1"/>
  <c r="Q14" i="1" s="1"/>
  <c r="AR13" i="1"/>
  <c r="AS13" i="1" s="1"/>
  <c r="AL13" i="1"/>
  <c r="AK13" i="1"/>
  <c r="AJ13" i="1"/>
  <c r="V13" i="1"/>
  <c r="P13" i="1"/>
  <c r="Q13" i="1" s="1"/>
  <c r="AR12" i="1"/>
  <c r="AS12" i="1" s="1"/>
  <c r="AL12" i="1"/>
  <c r="AK12" i="1"/>
  <c r="AJ12" i="1"/>
  <c r="V12" i="1"/>
  <c r="P12" i="1"/>
  <c r="Q12" i="1" s="1"/>
  <c r="AR11" i="1"/>
  <c r="AS11" i="1" s="1"/>
  <c r="AL11" i="1"/>
  <c r="AK11" i="1"/>
  <c r="AJ11" i="1"/>
  <c r="V11" i="1"/>
  <c r="W11" i="1" s="1"/>
  <c r="P11" i="1"/>
  <c r="Q11" i="1" s="1"/>
  <c r="AR10" i="1"/>
  <c r="AS10" i="1" s="1"/>
  <c r="AL10" i="1"/>
  <c r="AK10" i="1"/>
  <c r="AJ10" i="1"/>
  <c r="V10" i="1"/>
  <c r="P10" i="1"/>
  <c r="Q10" i="1" s="1"/>
  <c r="AR9" i="1"/>
  <c r="AS9" i="1" s="1"/>
  <c r="AL9" i="1"/>
  <c r="AK9" i="1"/>
  <c r="AJ9" i="1"/>
  <c r="V9" i="1"/>
  <c r="P9" i="1"/>
  <c r="Q9" i="1" s="1"/>
  <c r="AR8" i="1"/>
  <c r="AS8" i="1" s="1"/>
  <c r="AL8" i="1"/>
  <c r="AK8" i="1"/>
  <c r="AJ8" i="1"/>
  <c r="V8" i="1"/>
  <c r="W8" i="1" s="1"/>
  <c r="P8" i="1"/>
  <c r="Q8" i="1" s="1"/>
  <c r="AR7" i="1"/>
  <c r="AS7" i="1" s="1"/>
  <c r="AL7" i="1"/>
  <c r="AK7" i="1"/>
  <c r="AJ7" i="1"/>
  <c r="V7" i="1"/>
  <c r="W7" i="1" s="1"/>
  <c r="P7" i="1"/>
  <c r="Q7" i="1" s="1"/>
  <c r="AR6" i="1"/>
  <c r="AS6" i="1" s="1"/>
  <c r="AL6" i="1"/>
  <c r="AK6" i="1"/>
  <c r="AJ6" i="1"/>
  <c r="V6" i="1"/>
  <c r="P6" i="1"/>
  <c r="Q6" i="1" s="1"/>
  <c r="AR5" i="1"/>
  <c r="AL5" i="1"/>
  <c r="AK5" i="1"/>
  <c r="AJ5" i="1"/>
  <c r="V5" i="1"/>
  <c r="P5" i="1"/>
  <c r="Q5" i="1" s="1"/>
  <c r="O42" i="5" l="1"/>
  <c r="O8" i="5"/>
  <c r="O16" i="5"/>
  <c r="R16" i="5" s="1"/>
  <c r="O24" i="5"/>
  <c r="O32" i="5"/>
  <c r="R32" i="5" s="1"/>
  <c r="O39" i="5"/>
  <c r="O12" i="5"/>
  <c r="R12" i="5" s="1"/>
  <c r="O20" i="5"/>
  <c r="R20" i="5" s="1"/>
  <c r="O28" i="5"/>
  <c r="R28" i="5" s="1"/>
  <c r="O36" i="5"/>
  <c r="R36" i="5" s="1"/>
  <c r="O11" i="5"/>
  <c r="R11" i="5" s="1"/>
  <c r="O19" i="5"/>
  <c r="O27" i="5"/>
  <c r="R27" i="5" s="1"/>
  <c r="O59" i="5"/>
  <c r="O9" i="5"/>
  <c r="O51" i="5"/>
  <c r="O47" i="5"/>
  <c r="O63" i="5"/>
  <c r="O41" i="5"/>
  <c r="O35" i="5"/>
  <c r="R35" i="5" s="1"/>
  <c r="O43" i="5"/>
  <c r="O55" i="5"/>
  <c r="O10" i="5"/>
  <c r="O14" i="5"/>
  <c r="R14" i="5" s="1"/>
  <c r="O18" i="5"/>
  <c r="R18" i="5" s="1"/>
  <c r="O22" i="5"/>
  <c r="R22" i="5" s="1"/>
  <c r="O26" i="5"/>
  <c r="R26" i="5" s="1"/>
  <c r="O30" i="5"/>
  <c r="O13" i="5"/>
  <c r="R13" i="5" s="1"/>
  <c r="O17" i="5"/>
  <c r="O21" i="5"/>
  <c r="O25" i="5"/>
  <c r="R25" i="5" s="1"/>
  <c r="O29" i="5"/>
  <c r="R29" i="5" s="1"/>
  <c r="O57" i="5"/>
  <c r="O58" i="5"/>
  <c r="F86" i="14"/>
  <c r="O45" i="5"/>
  <c r="O53" i="5"/>
  <c r="O65" i="5"/>
  <c r="O37" i="5"/>
  <c r="O49" i="5"/>
  <c r="O61" i="5"/>
  <c r="O50" i="5"/>
  <c r="O66" i="5"/>
  <c r="O46" i="5"/>
  <c r="O62" i="5"/>
  <c r="BY154" i="1"/>
  <c r="BZ154" i="1" s="1"/>
  <c r="CA154" i="1" s="1"/>
  <c r="BY150" i="1"/>
  <c r="BZ150" i="1" s="1"/>
  <c r="CA150" i="1" s="1"/>
  <c r="BY146" i="1"/>
  <c r="BZ146" i="1" s="1"/>
  <c r="CA146" i="1" s="1"/>
  <c r="BY142" i="1"/>
  <c r="BZ142" i="1" s="1"/>
  <c r="CA142" i="1" s="1"/>
  <c r="BY138" i="1"/>
  <c r="BZ138" i="1" s="1"/>
  <c r="CA138" i="1" s="1"/>
  <c r="BY134" i="1"/>
  <c r="BZ134" i="1" s="1"/>
  <c r="CA134" i="1" s="1"/>
  <c r="BY130" i="1"/>
  <c r="BZ130" i="1" s="1"/>
  <c r="CA130" i="1" s="1"/>
  <c r="BY126" i="1"/>
  <c r="BZ126" i="1" s="1"/>
  <c r="CA126" i="1" s="1"/>
  <c r="BY122" i="1"/>
  <c r="BZ122" i="1" s="1"/>
  <c r="CA122" i="1" s="1"/>
  <c r="BY118" i="1"/>
  <c r="BZ118" i="1" s="1"/>
  <c r="CA118" i="1" s="1"/>
  <c r="BY114" i="1"/>
  <c r="BZ114" i="1" s="1"/>
  <c r="CA114" i="1" s="1"/>
  <c r="BY110" i="1"/>
  <c r="BZ110" i="1" s="1"/>
  <c r="CA110" i="1" s="1"/>
  <c r="BY106" i="1"/>
  <c r="BZ106" i="1" s="1"/>
  <c r="CA106" i="1" s="1"/>
  <c r="BY102" i="1"/>
  <c r="BZ102" i="1" s="1"/>
  <c r="CA102" i="1" s="1"/>
  <c r="BY98" i="1"/>
  <c r="BZ98" i="1" s="1"/>
  <c r="CA98" i="1" s="1"/>
  <c r="BY94" i="1"/>
  <c r="BZ94" i="1" s="1"/>
  <c r="CA94" i="1" s="1"/>
  <c r="BY90" i="1"/>
  <c r="BZ90" i="1" s="1"/>
  <c r="CA90" i="1" s="1"/>
  <c r="BY86" i="1"/>
  <c r="BZ86" i="1" s="1"/>
  <c r="CA86" i="1" s="1"/>
  <c r="BY82" i="1"/>
  <c r="BZ82" i="1" s="1"/>
  <c r="CA82" i="1" s="1"/>
  <c r="BY78" i="1"/>
  <c r="BZ78" i="1" s="1"/>
  <c r="CA78" i="1" s="1"/>
  <c r="BY74" i="1"/>
  <c r="BZ74" i="1" s="1"/>
  <c r="CA74" i="1" s="1"/>
  <c r="BY70" i="1"/>
  <c r="BZ70" i="1" s="1"/>
  <c r="CA70" i="1" s="1"/>
  <c r="BY66" i="1"/>
  <c r="BZ66" i="1" s="1"/>
  <c r="CA66" i="1" s="1"/>
  <c r="BY62" i="1"/>
  <c r="BZ62" i="1" s="1"/>
  <c r="CA62" i="1" s="1"/>
  <c r="BY58" i="1"/>
  <c r="BZ58" i="1" s="1"/>
  <c r="CA58" i="1" s="1"/>
  <c r="BY54" i="1"/>
  <c r="BZ54" i="1" s="1"/>
  <c r="CA54" i="1" s="1"/>
  <c r="BY50" i="1"/>
  <c r="BZ50" i="1" s="1"/>
  <c r="CA50" i="1" s="1"/>
  <c r="BY46" i="1"/>
  <c r="BZ46" i="1" s="1"/>
  <c r="CA46" i="1" s="1"/>
  <c r="BY42" i="1"/>
  <c r="BZ42" i="1" s="1"/>
  <c r="CA42" i="1" s="1"/>
  <c r="BY38" i="1"/>
  <c r="BZ38" i="1" s="1"/>
  <c r="CA38" i="1" s="1"/>
  <c r="BY34" i="1"/>
  <c r="BZ34" i="1" s="1"/>
  <c r="CA34" i="1" s="1"/>
  <c r="BY30" i="1"/>
  <c r="BZ30" i="1" s="1"/>
  <c r="CA30" i="1" s="1"/>
  <c r="BY26" i="1"/>
  <c r="BZ26" i="1" s="1"/>
  <c r="CA26" i="1" s="1"/>
  <c r="BY22" i="1"/>
  <c r="BZ22" i="1" s="1"/>
  <c r="CA22" i="1" s="1"/>
  <c r="BY18" i="1"/>
  <c r="BZ18" i="1" s="1"/>
  <c r="CA18" i="1" s="1"/>
  <c r="BY14" i="1"/>
  <c r="BZ14" i="1" s="1"/>
  <c r="CA14" i="1" s="1"/>
  <c r="BJ152" i="2"/>
  <c r="BK152" i="2" s="1"/>
  <c r="BL152" i="2" s="1"/>
  <c r="BJ148" i="2"/>
  <c r="BK148" i="2" s="1"/>
  <c r="BL148" i="2" s="1"/>
  <c r="BJ144" i="2"/>
  <c r="BK144" i="2" s="1"/>
  <c r="BL144" i="2" s="1"/>
  <c r="BJ140" i="2"/>
  <c r="BK140" i="2" s="1"/>
  <c r="BL140" i="2" s="1"/>
  <c r="BJ136" i="2"/>
  <c r="BK136" i="2" s="1"/>
  <c r="BL136" i="2" s="1"/>
  <c r="BJ132" i="2"/>
  <c r="BK132" i="2" s="1"/>
  <c r="BL132" i="2" s="1"/>
  <c r="BJ128" i="2"/>
  <c r="BK128" i="2" s="1"/>
  <c r="BL128" i="2" s="1"/>
  <c r="BJ124" i="2"/>
  <c r="BK124" i="2" s="1"/>
  <c r="BL124" i="2" s="1"/>
  <c r="BJ120" i="2"/>
  <c r="BK120" i="2" s="1"/>
  <c r="BL120" i="2" s="1"/>
  <c r="BJ116" i="2"/>
  <c r="BK116" i="2" s="1"/>
  <c r="BL116" i="2" s="1"/>
  <c r="BJ112" i="2"/>
  <c r="BK112" i="2" s="1"/>
  <c r="BL112" i="2" s="1"/>
  <c r="BJ108" i="2"/>
  <c r="BK108" i="2" s="1"/>
  <c r="BL108" i="2" s="1"/>
  <c r="BJ104" i="2"/>
  <c r="BK104" i="2" s="1"/>
  <c r="BL104" i="2" s="1"/>
  <c r="BJ100" i="2"/>
  <c r="BK100" i="2" s="1"/>
  <c r="BL100" i="2" s="1"/>
  <c r="BJ96" i="2"/>
  <c r="BK96" i="2" s="1"/>
  <c r="BL96" i="2" s="1"/>
  <c r="BJ92" i="2"/>
  <c r="BK92" i="2" s="1"/>
  <c r="BL92" i="2" s="1"/>
  <c r="BJ88" i="2"/>
  <c r="BK88" i="2" s="1"/>
  <c r="BL88" i="2" s="1"/>
  <c r="BJ84" i="2"/>
  <c r="BK84" i="2" s="1"/>
  <c r="BL84" i="2" s="1"/>
  <c r="BJ80" i="2"/>
  <c r="BK80" i="2" s="1"/>
  <c r="BL80" i="2" s="1"/>
  <c r="BJ76" i="2"/>
  <c r="BK76" i="2" s="1"/>
  <c r="BL76" i="2" s="1"/>
  <c r="BJ72" i="2"/>
  <c r="BK72" i="2" s="1"/>
  <c r="BL72" i="2" s="1"/>
  <c r="BJ68" i="2"/>
  <c r="BK68" i="2" s="1"/>
  <c r="BL68" i="2" s="1"/>
  <c r="BJ64" i="2"/>
  <c r="BK64" i="2" s="1"/>
  <c r="BL64" i="2" s="1"/>
  <c r="BJ60" i="2"/>
  <c r="BK60" i="2" s="1"/>
  <c r="BL60" i="2" s="1"/>
  <c r="BJ56" i="2"/>
  <c r="BK56" i="2" s="1"/>
  <c r="BL56" i="2" s="1"/>
  <c r="BJ52" i="2"/>
  <c r="BK52" i="2" s="1"/>
  <c r="BL52" i="2" s="1"/>
  <c r="BJ48" i="2"/>
  <c r="BK48" i="2" s="1"/>
  <c r="BL48" i="2" s="1"/>
  <c r="BJ44" i="2"/>
  <c r="BK44" i="2" s="1"/>
  <c r="BL44" i="2" s="1"/>
  <c r="BJ40" i="2"/>
  <c r="BK40" i="2" s="1"/>
  <c r="BL40" i="2" s="1"/>
  <c r="BJ36" i="2"/>
  <c r="BK36" i="2" s="1"/>
  <c r="BL36" i="2" s="1"/>
  <c r="BJ32" i="2"/>
  <c r="BK32" i="2" s="1"/>
  <c r="BL32" i="2" s="1"/>
  <c r="BJ28" i="2"/>
  <c r="BK28" i="2" s="1"/>
  <c r="BL28" i="2" s="1"/>
  <c r="BJ24" i="2"/>
  <c r="BK24" i="2" s="1"/>
  <c r="BL24" i="2" s="1"/>
  <c r="BJ20" i="2"/>
  <c r="BK20" i="2" s="1"/>
  <c r="BL20" i="2" s="1"/>
  <c r="BJ16" i="2"/>
  <c r="BK16" i="2" s="1"/>
  <c r="BL16" i="2" s="1"/>
  <c r="BJ12" i="2"/>
  <c r="BK12" i="2" s="1"/>
  <c r="BL12" i="2" s="1"/>
  <c r="BJ8" i="2"/>
  <c r="BK8" i="2" s="1"/>
  <c r="BL8" i="2" s="1"/>
  <c r="BY153" i="1"/>
  <c r="BZ153" i="1" s="1"/>
  <c r="CA153" i="1" s="1"/>
  <c r="BY149" i="1"/>
  <c r="BZ149" i="1" s="1"/>
  <c r="CA149" i="1" s="1"/>
  <c r="BY145" i="1"/>
  <c r="BZ145" i="1" s="1"/>
  <c r="CA145" i="1" s="1"/>
  <c r="BY141" i="1"/>
  <c r="BZ141" i="1" s="1"/>
  <c r="CA141" i="1" s="1"/>
  <c r="BY137" i="1"/>
  <c r="BZ137" i="1" s="1"/>
  <c r="CA137" i="1" s="1"/>
  <c r="BY133" i="1"/>
  <c r="BZ133" i="1" s="1"/>
  <c r="CA133" i="1" s="1"/>
  <c r="BY129" i="1"/>
  <c r="BZ129" i="1" s="1"/>
  <c r="CA129" i="1" s="1"/>
  <c r="BY125" i="1"/>
  <c r="BZ125" i="1" s="1"/>
  <c r="CA125" i="1" s="1"/>
  <c r="BY121" i="1"/>
  <c r="BZ121" i="1" s="1"/>
  <c r="CA121" i="1" s="1"/>
  <c r="BY117" i="1"/>
  <c r="BZ117" i="1" s="1"/>
  <c r="CA117" i="1" s="1"/>
  <c r="BY113" i="1"/>
  <c r="BZ113" i="1" s="1"/>
  <c r="CA113" i="1" s="1"/>
  <c r="BY109" i="1"/>
  <c r="BZ109" i="1" s="1"/>
  <c r="CA109" i="1" s="1"/>
  <c r="BY105" i="1"/>
  <c r="BZ105" i="1" s="1"/>
  <c r="CA105" i="1" s="1"/>
  <c r="BY101" i="1"/>
  <c r="BZ101" i="1" s="1"/>
  <c r="CA101" i="1" s="1"/>
  <c r="BY97" i="1"/>
  <c r="BZ97" i="1" s="1"/>
  <c r="CA97" i="1" s="1"/>
  <c r="BY93" i="1"/>
  <c r="BZ93" i="1" s="1"/>
  <c r="CA93" i="1" s="1"/>
  <c r="BY89" i="1"/>
  <c r="BZ89" i="1" s="1"/>
  <c r="CA89" i="1" s="1"/>
  <c r="BY85" i="1"/>
  <c r="BZ85" i="1" s="1"/>
  <c r="CA85" i="1" s="1"/>
  <c r="BY81" i="1"/>
  <c r="BZ81" i="1" s="1"/>
  <c r="CA81" i="1" s="1"/>
  <c r="BY77" i="1"/>
  <c r="BZ77" i="1" s="1"/>
  <c r="CA77" i="1" s="1"/>
  <c r="BY73" i="1"/>
  <c r="BZ73" i="1" s="1"/>
  <c r="CA73" i="1" s="1"/>
  <c r="BY69" i="1"/>
  <c r="BZ69" i="1" s="1"/>
  <c r="CA69" i="1" s="1"/>
  <c r="BY65" i="1"/>
  <c r="BZ65" i="1" s="1"/>
  <c r="CA65" i="1" s="1"/>
  <c r="BY61" i="1"/>
  <c r="BZ61" i="1" s="1"/>
  <c r="CA61" i="1" s="1"/>
  <c r="BY57" i="1"/>
  <c r="BZ57" i="1" s="1"/>
  <c r="CA57" i="1" s="1"/>
  <c r="BY53" i="1"/>
  <c r="BZ53" i="1" s="1"/>
  <c r="CA53" i="1" s="1"/>
  <c r="BY49" i="1"/>
  <c r="BZ49" i="1" s="1"/>
  <c r="CA49" i="1" s="1"/>
  <c r="BY45" i="1"/>
  <c r="BZ45" i="1" s="1"/>
  <c r="CA45" i="1" s="1"/>
  <c r="BY41" i="1"/>
  <c r="BZ41" i="1" s="1"/>
  <c r="CA41" i="1" s="1"/>
  <c r="BY37" i="1"/>
  <c r="BZ37" i="1" s="1"/>
  <c r="CA37" i="1" s="1"/>
  <c r="BY33" i="1"/>
  <c r="BZ33" i="1" s="1"/>
  <c r="CA33" i="1" s="1"/>
  <c r="BY29" i="1"/>
  <c r="BZ29" i="1" s="1"/>
  <c r="CA29" i="1" s="1"/>
  <c r="BY25" i="1"/>
  <c r="BZ25" i="1" s="1"/>
  <c r="CA25" i="1" s="1"/>
  <c r="BY21" i="1"/>
  <c r="BZ21" i="1" s="1"/>
  <c r="CA21" i="1" s="1"/>
  <c r="BY17" i="1"/>
  <c r="BZ17" i="1" s="1"/>
  <c r="CA17" i="1" s="1"/>
  <c r="BY13" i="1"/>
  <c r="BZ13" i="1" s="1"/>
  <c r="CA13" i="1" s="1"/>
  <c r="BY9" i="1"/>
  <c r="BZ9" i="1" s="1"/>
  <c r="CA9" i="1" s="1"/>
  <c r="H90" i="14"/>
  <c r="BY152" i="1"/>
  <c r="BZ152" i="1" s="1"/>
  <c r="CA152" i="1" s="1"/>
  <c r="BY148" i="1"/>
  <c r="BZ148" i="1" s="1"/>
  <c r="CA148" i="1" s="1"/>
  <c r="BY144" i="1"/>
  <c r="BZ144" i="1" s="1"/>
  <c r="CA144" i="1" s="1"/>
  <c r="BY140" i="1"/>
  <c r="BZ140" i="1" s="1"/>
  <c r="CA140" i="1" s="1"/>
  <c r="BJ154" i="2"/>
  <c r="BK154" i="2" s="1"/>
  <c r="BL154" i="2" s="1"/>
  <c r="BJ150" i="2"/>
  <c r="BK150" i="2" s="1"/>
  <c r="BL150" i="2" s="1"/>
  <c r="BJ146" i="2"/>
  <c r="BK146" i="2" s="1"/>
  <c r="BL146" i="2" s="1"/>
  <c r="BJ142" i="2"/>
  <c r="BK142" i="2" s="1"/>
  <c r="BL142" i="2" s="1"/>
  <c r="BJ138" i="2"/>
  <c r="BK138" i="2" s="1"/>
  <c r="BL138" i="2" s="1"/>
  <c r="BJ134" i="2"/>
  <c r="BK134" i="2" s="1"/>
  <c r="BL134" i="2" s="1"/>
  <c r="BJ130" i="2"/>
  <c r="BK130" i="2" s="1"/>
  <c r="BL130" i="2" s="1"/>
  <c r="BJ126" i="2"/>
  <c r="BK126" i="2" s="1"/>
  <c r="BL126" i="2" s="1"/>
  <c r="BJ122" i="2"/>
  <c r="BK122" i="2" s="1"/>
  <c r="BL122" i="2" s="1"/>
  <c r="BJ118" i="2"/>
  <c r="BK118" i="2" s="1"/>
  <c r="BL118" i="2" s="1"/>
  <c r="BJ114" i="2"/>
  <c r="BK114" i="2" s="1"/>
  <c r="BL114" i="2" s="1"/>
  <c r="BJ110" i="2"/>
  <c r="BK110" i="2" s="1"/>
  <c r="BL110" i="2" s="1"/>
  <c r="BJ106" i="2"/>
  <c r="BK106" i="2" s="1"/>
  <c r="BL106" i="2" s="1"/>
  <c r="BJ102" i="2"/>
  <c r="BK102" i="2" s="1"/>
  <c r="BL102" i="2" s="1"/>
  <c r="BJ98" i="2"/>
  <c r="BK98" i="2" s="1"/>
  <c r="BL98" i="2" s="1"/>
  <c r="BJ94" i="2"/>
  <c r="BK94" i="2" s="1"/>
  <c r="BL94" i="2" s="1"/>
  <c r="BJ90" i="2"/>
  <c r="BK90" i="2" s="1"/>
  <c r="BL90" i="2" s="1"/>
  <c r="BJ86" i="2"/>
  <c r="BK86" i="2" s="1"/>
  <c r="BL86" i="2" s="1"/>
  <c r="BJ82" i="2"/>
  <c r="BK82" i="2" s="1"/>
  <c r="BL82" i="2" s="1"/>
  <c r="BJ78" i="2"/>
  <c r="BK78" i="2" s="1"/>
  <c r="BL78" i="2" s="1"/>
  <c r="BJ74" i="2"/>
  <c r="BK74" i="2" s="1"/>
  <c r="BL74" i="2" s="1"/>
  <c r="BJ70" i="2"/>
  <c r="BK70" i="2" s="1"/>
  <c r="BL70" i="2" s="1"/>
  <c r="BJ66" i="2"/>
  <c r="BK66" i="2" s="1"/>
  <c r="BL66" i="2" s="1"/>
  <c r="BJ62" i="2"/>
  <c r="BK62" i="2" s="1"/>
  <c r="BL62" i="2" s="1"/>
  <c r="BJ58" i="2"/>
  <c r="BK58" i="2" s="1"/>
  <c r="BL58" i="2" s="1"/>
  <c r="BJ54" i="2"/>
  <c r="BK54" i="2" s="1"/>
  <c r="BL54" i="2" s="1"/>
  <c r="BJ50" i="2"/>
  <c r="BK50" i="2" s="1"/>
  <c r="BL50" i="2" s="1"/>
  <c r="BJ46" i="2"/>
  <c r="BK46" i="2" s="1"/>
  <c r="BL46" i="2" s="1"/>
  <c r="BJ42" i="2"/>
  <c r="BK42" i="2" s="1"/>
  <c r="BL42" i="2" s="1"/>
  <c r="BJ38" i="2"/>
  <c r="BK38" i="2" s="1"/>
  <c r="BL38" i="2" s="1"/>
  <c r="BJ34" i="2"/>
  <c r="BK34" i="2" s="1"/>
  <c r="BL34" i="2" s="1"/>
  <c r="BJ30" i="2"/>
  <c r="BK30" i="2" s="1"/>
  <c r="BL30" i="2" s="1"/>
  <c r="BJ26" i="2"/>
  <c r="BK26" i="2" s="1"/>
  <c r="BL26" i="2" s="1"/>
  <c r="BJ22" i="2"/>
  <c r="BK22" i="2" s="1"/>
  <c r="BL22" i="2" s="1"/>
  <c r="BJ18" i="2"/>
  <c r="BK18" i="2" s="1"/>
  <c r="BL18" i="2" s="1"/>
  <c r="BJ14" i="2"/>
  <c r="BK14" i="2" s="1"/>
  <c r="BL14" i="2" s="1"/>
  <c r="BJ10" i="2"/>
  <c r="BK10" i="2" s="1"/>
  <c r="BL10" i="2" s="1"/>
  <c r="BJ6" i="2"/>
  <c r="BK6" i="2" s="1"/>
  <c r="BL6" i="2" s="1"/>
  <c r="H84" i="14"/>
  <c r="BY151" i="1"/>
  <c r="BZ151" i="1" s="1"/>
  <c r="CA151" i="1" s="1"/>
  <c r="BY147" i="1"/>
  <c r="BZ147" i="1" s="1"/>
  <c r="CA147" i="1" s="1"/>
  <c r="BY143" i="1"/>
  <c r="BZ143" i="1" s="1"/>
  <c r="CA143" i="1" s="1"/>
  <c r="BY139" i="1"/>
  <c r="BZ139" i="1" s="1"/>
  <c r="CA139" i="1" s="1"/>
  <c r="BY135" i="1"/>
  <c r="BZ135" i="1" s="1"/>
  <c r="CA135" i="1" s="1"/>
  <c r="BY131" i="1"/>
  <c r="BZ131" i="1" s="1"/>
  <c r="CA131" i="1" s="1"/>
  <c r="BY127" i="1"/>
  <c r="BZ127" i="1" s="1"/>
  <c r="CA127" i="1" s="1"/>
  <c r="BY123" i="1"/>
  <c r="BZ123" i="1" s="1"/>
  <c r="CA123" i="1" s="1"/>
  <c r="BY119" i="1"/>
  <c r="BZ119" i="1" s="1"/>
  <c r="CA119" i="1" s="1"/>
  <c r="BY115" i="1"/>
  <c r="BZ115" i="1" s="1"/>
  <c r="CA115" i="1" s="1"/>
  <c r="BY111" i="1"/>
  <c r="BZ111" i="1" s="1"/>
  <c r="CA111" i="1" s="1"/>
  <c r="BY107" i="1"/>
  <c r="BZ107" i="1" s="1"/>
  <c r="CA107" i="1" s="1"/>
  <c r="BY103" i="1"/>
  <c r="BZ103" i="1" s="1"/>
  <c r="CA103" i="1" s="1"/>
  <c r="BY99" i="1"/>
  <c r="BZ99" i="1" s="1"/>
  <c r="CA99" i="1" s="1"/>
  <c r="BY95" i="1"/>
  <c r="BZ95" i="1" s="1"/>
  <c r="CA95" i="1" s="1"/>
  <c r="BY91" i="1"/>
  <c r="BZ91" i="1" s="1"/>
  <c r="CA91" i="1" s="1"/>
  <c r="BY87" i="1"/>
  <c r="BZ87" i="1" s="1"/>
  <c r="CA87" i="1" s="1"/>
  <c r="BY83" i="1"/>
  <c r="BZ83" i="1" s="1"/>
  <c r="CA83" i="1" s="1"/>
  <c r="BY79" i="1"/>
  <c r="BZ79" i="1" s="1"/>
  <c r="CA79" i="1" s="1"/>
  <c r="BY75" i="1"/>
  <c r="BZ75" i="1" s="1"/>
  <c r="CA75" i="1" s="1"/>
  <c r="BY71" i="1"/>
  <c r="BZ71" i="1" s="1"/>
  <c r="CA71" i="1" s="1"/>
  <c r="BY67" i="1"/>
  <c r="BZ67" i="1" s="1"/>
  <c r="CA67" i="1" s="1"/>
  <c r="BY63" i="1"/>
  <c r="BZ63" i="1" s="1"/>
  <c r="CA63" i="1" s="1"/>
  <c r="BY59" i="1"/>
  <c r="BZ59" i="1" s="1"/>
  <c r="CA59" i="1" s="1"/>
  <c r="BY55" i="1"/>
  <c r="BZ55" i="1" s="1"/>
  <c r="CA55" i="1" s="1"/>
  <c r="BY51" i="1"/>
  <c r="BZ51" i="1" s="1"/>
  <c r="CA51" i="1" s="1"/>
  <c r="BY47" i="1"/>
  <c r="BZ47" i="1" s="1"/>
  <c r="CA47" i="1" s="1"/>
  <c r="BY43" i="1"/>
  <c r="BZ43" i="1" s="1"/>
  <c r="CA43" i="1" s="1"/>
  <c r="BY39" i="1"/>
  <c r="BZ39" i="1" s="1"/>
  <c r="CA39" i="1" s="1"/>
  <c r="BY35" i="1"/>
  <c r="BZ35" i="1" s="1"/>
  <c r="CA35" i="1" s="1"/>
  <c r="BY31" i="1"/>
  <c r="BZ31" i="1" s="1"/>
  <c r="CA31" i="1" s="1"/>
  <c r="BY27" i="1"/>
  <c r="BZ27" i="1" s="1"/>
  <c r="CA27" i="1" s="1"/>
  <c r="BY23" i="1"/>
  <c r="BZ23" i="1" s="1"/>
  <c r="CA23" i="1" s="1"/>
  <c r="BY19" i="1"/>
  <c r="BZ19" i="1" s="1"/>
  <c r="CA19" i="1" s="1"/>
  <c r="BY15" i="1"/>
  <c r="BZ15" i="1" s="1"/>
  <c r="CA15" i="1" s="1"/>
  <c r="BY11" i="1"/>
  <c r="BZ11" i="1" s="1"/>
  <c r="CA11" i="1" s="1"/>
  <c r="BY7" i="1"/>
  <c r="BZ7" i="1" s="1"/>
  <c r="CA7" i="1" s="1"/>
  <c r="BJ153" i="2"/>
  <c r="BK153" i="2" s="1"/>
  <c r="BL153" i="2" s="1"/>
  <c r="BJ145" i="2"/>
  <c r="BK145" i="2" s="1"/>
  <c r="BL145" i="2" s="1"/>
  <c r="BJ137" i="2"/>
  <c r="BK137" i="2" s="1"/>
  <c r="BL137" i="2" s="1"/>
  <c r="BJ121" i="2"/>
  <c r="BK121" i="2" s="1"/>
  <c r="BL121" i="2" s="1"/>
  <c r="BJ113" i="2"/>
  <c r="BK113" i="2" s="1"/>
  <c r="BL113" i="2" s="1"/>
  <c r="BJ105" i="2"/>
  <c r="BK105" i="2" s="1"/>
  <c r="BL105" i="2" s="1"/>
  <c r="BJ89" i="2"/>
  <c r="BK89" i="2" s="1"/>
  <c r="BL89" i="2" s="1"/>
  <c r="BJ81" i="2"/>
  <c r="BK81" i="2" s="1"/>
  <c r="BL81" i="2" s="1"/>
  <c r="BJ73" i="2"/>
  <c r="BK73" i="2" s="1"/>
  <c r="BL73" i="2" s="1"/>
  <c r="BJ57" i="2"/>
  <c r="BK57" i="2" s="1"/>
  <c r="BL57" i="2" s="1"/>
  <c r="BJ49" i="2"/>
  <c r="BK49" i="2" s="1"/>
  <c r="BL49" i="2" s="1"/>
  <c r="BJ41" i="2"/>
  <c r="BK41" i="2" s="1"/>
  <c r="BL41" i="2" s="1"/>
  <c r="BJ25" i="2"/>
  <c r="BK25" i="2" s="1"/>
  <c r="BL25" i="2" s="1"/>
  <c r="G89" i="14"/>
  <c r="I88" i="14"/>
  <c r="I84" i="14"/>
  <c r="BY5" i="1"/>
  <c r="BZ5" i="1" s="1"/>
  <c r="CA5" i="1" s="1"/>
  <c r="I86" i="14"/>
  <c r="I90" i="14"/>
  <c r="E90" i="14"/>
  <c r="E88" i="14"/>
  <c r="E86" i="14"/>
  <c r="G90" i="14"/>
  <c r="E89" i="14"/>
  <c r="I87" i="14"/>
  <c r="E85" i="14"/>
  <c r="E84" i="14"/>
  <c r="BJ151" i="2"/>
  <c r="BK151" i="2" s="1"/>
  <c r="BL151" i="2" s="1"/>
  <c r="BJ147" i="2"/>
  <c r="BK147" i="2" s="1"/>
  <c r="BL147" i="2" s="1"/>
  <c r="BJ143" i="2"/>
  <c r="BK143" i="2" s="1"/>
  <c r="BL143" i="2" s="1"/>
  <c r="BJ139" i="2"/>
  <c r="BK139" i="2" s="1"/>
  <c r="BL139" i="2" s="1"/>
  <c r="BJ135" i="2"/>
  <c r="BK135" i="2" s="1"/>
  <c r="BL135" i="2" s="1"/>
  <c r="BJ131" i="2"/>
  <c r="BK131" i="2" s="1"/>
  <c r="BL131" i="2" s="1"/>
  <c r="BJ127" i="2"/>
  <c r="BK127" i="2" s="1"/>
  <c r="BL127" i="2" s="1"/>
  <c r="BJ123" i="2"/>
  <c r="BK123" i="2" s="1"/>
  <c r="BL123" i="2" s="1"/>
  <c r="BJ119" i="2"/>
  <c r="BK119" i="2" s="1"/>
  <c r="BL119" i="2" s="1"/>
  <c r="BJ115" i="2"/>
  <c r="BK115" i="2" s="1"/>
  <c r="BL115" i="2" s="1"/>
  <c r="BJ111" i="2"/>
  <c r="BK111" i="2" s="1"/>
  <c r="BL111" i="2" s="1"/>
  <c r="BJ107" i="2"/>
  <c r="BK107" i="2" s="1"/>
  <c r="BL107" i="2" s="1"/>
  <c r="BJ103" i="2"/>
  <c r="BK103" i="2" s="1"/>
  <c r="BL103" i="2" s="1"/>
  <c r="BJ99" i="2"/>
  <c r="BK99" i="2" s="1"/>
  <c r="BL99" i="2" s="1"/>
  <c r="BJ95" i="2"/>
  <c r="BK95" i="2" s="1"/>
  <c r="BL95" i="2" s="1"/>
  <c r="BJ91" i="2"/>
  <c r="BK91" i="2" s="1"/>
  <c r="BL91" i="2" s="1"/>
  <c r="BJ87" i="2"/>
  <c r="BK87" i="2" s="1"/>
  <c r="BL87" i="2" s="1"/>
  <c r="BJ83" i="2"/>
  <c r="BK83" i="2" s="1"/>
  <c r="BL83" i="2" s="1"/>
  <c r="BJ79" i="2"/>
  <c r="BK79" i="2" s="1"/>
  <c r="BL79" i="2" s="1"/>
  <c r="BJ75" i="2"/>
  <c r="BK75" i="2" s="1"/>
  <c r="BL75" i="2" s="1"/>
  <c r="BJ71" i="2"/>
  <c r="BK71" i="2" s="1"/>
  <c r="BL71" i="2" s="1"/>
  <c r="BJ67" i="2"/>
  <c r="BK67" i="2" s="1"/>
  <c r="BL67" i="2" s="1"/>
  <c r="BJ63" i="2"/>
  <c r="BK63" i="2" s="1"/>
  <c r="BL63" i="2" s="1"/>
  <c r="BJ59" i="2"/>
  <c r="BK59" i="2" s="1"/>
  <c r="BL59" i="2" s="1"/>
  <c r="BJ55" i="2"/>
  <c r="BK55" i="2" s="1"/>
  <c r="BL55" i="2" s="1"/>
  <c r="BJ51" i="2"/>
  <c r="BK51" i="2" s="1"/>
  <c r="BL51" i="2" s="1"/>
  <c r="BJ47" i="2"/>
  <c r="BK47" i="2" s="1"/>
  <c r="BL47" i="2" s="1"/>
  <c r="BJ43" i="2"/>
  <c r="BK43" i="2" s="1"/>
  <c r="BL43" i="2" s="1"/>
  <c r="BJ39" i="2"/>
  <c r="BK39" i="2" s="1"/>
  <c r="BL39" i="2" s="1"/>
  <c r="BJ35" i="2"/>
  <c r="BK35" i="2" s="1"/>
  <c r="BL35" i="2" s="1"/>
  <c r="BJ31" i="2"/>
  <c r="BK31" i="2" s="1"/>
  <c r="BL31" i="2" s="1"/>
  <c r="BJ27" i="2"/>
  <c r="BK27" i="2" s="1"/>
  <c r="BL27" i="2" s="1"/>
  <c r="BJ23" i="2"/>
  <c r="BK23" i="2" s="1"/>
  <c r="BL23" i="2" s="1"/>
  <c r="BJ19" i="2"/>
  <c r="BK19" i="2" s="1"/>
  <c r="BL19" i="2" s="1"/>
  <c r="BJ15" i="2"/>
  <c r="BK15" i="2" s="1"/>
  <c r="BL15" i="2" s="1"/>
  <c r="BJ11" i="2"/>
  <c r="BK11" i="2" s="1"/>
  <c r="BL11" i="2" s="1"/>
  <c r="BJ7" i="2"/>
  <c r="BK7" i="2" s="1"/>
  <c r="BL7" i="2" s="1"/>
  <c r="BY10" i="1"/>
  <c r="BZ10" i="1" s="1"/>
  <c r="CA10" i="1" s="1"/>
  <c r="BY6" i="1"/>
  <c r="BZ6" i="1" s="1"/>
  <c r="CA6" i="1" s="1"/>
  <c r="I89" i="14"/>
  <c r="G84" i="14"/>
  <c r="BJ129" i="2"/>
  <c r="BK129" i="2" s="1"/>
  <c r="BL129" i="2" s="1"/>
  <c r="BJ97" i="2"/>
  <c r="BK97" i="2" s="1"/>
  <c r="BL97" i="2" s="1"/>
  <c r="BJ65" i="2"/>
  <c r="BK65" i="2" s="1"/>
  <c r="BL65" i="2" s="1"/>
  <c r="BJ33" i="2"/>
  <c r="BK33" i="2" s="1"/>
  <c r="BL33" i="2" s="1"/>
  <c r="H75" i="14"/>
  <c r="L75" i="14"/>
  <c r="G75" i="14"/>
  <c r="K75" i="14"/>
  <c r="D96" i="14"/>
  <c r="D93" i="14"/>
  <c r="G73" i="14"/>
  <c r="K73" i="14"/>
  <c r="D94" i="14"/>
  <c r="H73" i="14"/>
  <c r="L73" i="14"/>
  <c r="D95" i="14"/>
  <c r="G74" i="14"/>
  <c r="K74" i="14"/>
  <c r="H74" i="14"/>
  <c r="L74" i="14"/>
  <c r="BY136" i="1"/>
  <c r="BZ136" i="1" s="1"/>
  <c r="CA136" i="1" s="1"/>
  <c r="BY132" i="1"/>
  <c r="BZ132" i="1" s="1"/>
  <c r="CA132" i="1" s="1"/>
  <c r="BY128" i="1"/>
  <c r="BZ128" i="1" s="1"/>
  <c r="CA128" i="1" s="1"/>
  <c r="BY124" i="1"/>
  <c r="BZ124" i="1" s="1"/>
  <c r="CA124" i="1" s="1"/>
  <c r="BY120" i="1"/>
  <c r="BZ120" i="1" s="1"/>
  <c r="CA120" i="1" s="1"/>
  <c r="BY116" i="1"/>
  <c r="BZ116" i="1" s="1"/>
  <c r="CA116" i="1" s="1"/>
  <c r="BY112" i="1"/>
  <c r="BZ112" i="1" s="1"/>
  <c r="CA112" i="1" s="1"/>
  <c r="BY108" i="1"/>
  <c r="BZ108" i="1" s="1"/>
  <c r="CA108" i="1" s="1"/>
  <c r="BY104" i="1"/>
  <c r="BZ104" i="1" s="1"/>
  <c r="CA104" i="1" s="1"/>
  <c r="BY100" i="1"/>
  <c r="BZ100" i="1" s="1"/>
  <c r="CA100" i="1" s="1"/>
  <c r="BY96" i="1"/>
  <c r="BZ96" i="1" s="1"/>
  <c r="CA96" i="1" s="1"/>
  <c r="BY92" i="1"/>
  <c r="BZ92" i="1" s="1"/>
  <c r="CA92" i="1" s="1"/>
  <c r="BY88" i="1"/>
  <c r="BZ88" i="1" s="1"/>
  <c r="CA88" i="1" s="1"/>
  <c r="BY84" i="1"/>
  <c r="BZ84" i="1" s="1"/>
  <c r="CA84" i="1" s="1"/>
  <c r="BY80" i="1"/>
  <c r="BZ80" i="1" s="1"/>
  <c r="CA80" i="1" s="1"/>
  <c r="BY76" i="1"/>
  <c r="BZ76" i="1" s="1"/>
  <c r="CA76" i="1" s="1"/>
  <c r="BY72" i="1"/>
  <c r="BZ72" i="1" s="1"/>
  <c r="CA72" i="1" s="1"/>
  <c r="BY68" i="1"/>
  <c r="BZ68" i="1" s="1"/>
  <c r="CA68" i="1" s="1"/>
  <c r="BY64" i="1"/>
  <c r="BZ64" i="1" s="1"/>
  <c r="CA64" i="1" s="1"/>
  <c r="BY60" i="1"/>
  <c r="BZ60" i="1" s="1"/>
  <c r="CA60" i="1" s="1"/>
  <c r="BY56" i="1"/>
  <c r="BZ56" i="1" s="1"/>
  <c r="CA56" i="1" s="1"/>
  <c r="BY52" i="1"/>
  <c r="BZ52" i="1" s="1"/>
  <c r="CA52" i="1" s="1"/>
  <c r="BY48" i="1"/>
  <c r="BZ48" i="1" s="1"/>
  <c r="CA48" i="1" s="1"/>
  <c r="BY44" i="1"/>
  <c r="BZ44" i="1" s="1"/>
  <c r="CA44" i="1" s="1"/>
  <c r="BY40" i="1"/>
  <c r="BZ40" i="1" s="1"/>
  <c r="CA40" i="1" s="1"/>
  <c r="BY36" i="1"/>
  <c r="BZ36" i="1" s="1"/>
  <c r="CA36" i="1" s="1"/>
  <c r="BY32" i="1"/>
  <c r="BZ32" i="1" s="1"/>
  <c r="CA32" i="1" s="1"/>
  <c r="BY28" i="1"/>
  <c r="BZ28" i="1" s="1"/>
  <c r="CA28" i="1" s="1"/>
  <c r="BY24" i="1"/>
  <c r="BZ24" i="1" s="1"/>
  <c r="CA24" i="1" s="1"/>
  <c r="BY20" i="1"/>
  <c r="BZ20" i="1" s="1"/>
  <c r="CA20" i="1" s="1"/>
  <c r="BY16" i="1"/>
  <c r="BZ16" i="1" s="1"/>
  <c r="CA16" i="1" s="1"/>
  <c r="BY12" i="1"/>
  <c r="BZ12" i="1" s="1"/>
  <c r="CA12" i="1" s="1"/>
  <c r="BY8" i="1"/>
  <c r="BZ8" i="1" s="1"/>
  <c r="CA8" i="1" s="1"/>
  <c r="BJ149" i="2"/>
  <c r="BK149" i="2" s="1"/>
  <c r="BL149" i="2" s="1"/>
  <c r="BJ141" i="2"/>
  <c r="BK141" i="2" s="1"/>
  <c r="BL141" i="2" s="1"/>
  <c r="BJ133" i="2"/>
  <c r="BK133" i="2" s="1"/>
  <c r="BL133" i="2" s="1"/>
  <c r="BJ125" i="2"/>
  <c r="BK125" i="2" s="1"/>
  <c r="BL125" i="2" s="1"/>
  <c r="BJ117" i="2"/>
  <c r="BK117" i="2" s="1"/>
  <c r="BL117" i="2" s="1"/>
  <c r="BJ109" i="2"/>
  <c r="BK109" i="2" s="1"/>
  <c r="BL109" i="2" s="1"/>
  <c r="BJ101" i="2"/>
  <c r="BK101" i="2" s="1"/>
  <c r="BL101" i="2" s="1"/>
  <c r="BJ93" i="2"/>
  <c r="BK93" i="2" s="1"/>
  <c r="BL93" i="2" s="1"/>
  <c r="BJ85" i="2"/>
  <c r="BK85" i="2" s="1"/>
  <c r="BL85" i="2" s="1"/>
  <c r="BJ77" i="2"/>
  <c r="BK77" i="2" s="1"/>
  <c r="BL77" i="2" s="1"/>
  <c r="BJ69" i="2"/>
  <c r="BK69" i="2" s="1"/>
  <c r="BL69" i="2" s="1"/>
  <c r="BJ61" i="2"/>
  <c r="BK61" i="2" s="1"/>
  <c r="BL61" i="2" s="1"/>
  <c r="BJ53" i="2"/>
  <c r="BK53" i="2" s="1"/>
  <c r="BL53" i="2" s="1"/>
  <c r="BJ45" i="2"/>
  <c r="BK45" i="2" s="1"/>
  <c r="BL45" i="2" s="1"/>
  <c r="BJ37" i="2"/>
  <c r="BK37" i="2" s="1"/>
  <c r="BL37" i="2" s="1"/>
  <c r="BJ29" i="2"/>
  <c r="BK29" i="2" s="1"/>
  <c r="BL29" i="2" s="1"/>
  <c r="BJ21" i="2"/>
  <c r="BK21" i="2" s="1"/>
  <c r="BL21" i="2" s="1"/>
  <c r="BJ17" i="2"/>
  <c r="BK17" i="2" s="1"/>
  <c r="BL17" i="2" s="1"/>
  <c r="BJ13" i="2"/>
  <c r="BK13" i="2" s="1"/>
  <c r="BL13" i="2" s="1"/>
  <c r="BJ9" i="2"/>
  <c r="BK9" i="2" s="1"/>
  <c r="BL9" i="2" s="1"/>
  <c r="BJ5" i="2"/>
  <c r="BK5" i="2" s="1"/>
  <c r="BL5" i="2" s="1"/>
  <c r="G88" i="14"/>
  <c r="G87" i="14"/>
  <c r="G85" i="14"/>
  <c r="D121" i="14"/>
  <c r="F121" i="14"/>
  <c r="BC39" i="1"/>
  <c r="BC46" i="1"/>
  <c r="AR22" i="2"/>
  <c r="BC40" i="1"/>
  <c r="BC44" i="1"/>
  <c r="AR19" i="2"/>
  <c r="H85" i="14"/>
  <c r="H89" i="14"/>
  <c r="H87" i="14"/>
  <c r="H86" i="14"/>
  <c r="F87" i="14"/>
  <c r="F85" i="14"/>
  <c r="F89" i="14"/>
  <c r="A136" i="14"/>
  <c r="I136" i="14"/>
  <c r="C136" i="14"/>
  <c r="I135" i="14"/>
  <c r="M135" i="14"/>
  <c r="O135" i="14" s="1"/>
  <c r="A135" i="14"/>
  <c r="C135" i="14"/>
  <c r="I134" i="14"/>
  <c r="M134" i="14"/>
  <c r="O134" i="14" s="1"/>
  <c r="A134" i="14"/>
  <c r="C134" i="14"/>
  <c r="E133" i="14"/>
  <c r="I133" i="14"/>
  <c r="M133" i="14"/>
  <c r="O133" i="14" s="1"/>
  <c r="C133" i="14"/>
  <c r="K133" i="14" s="1"/>
  <c r="L133" i="14" s="1"/>
  <c r="G133" i="14"/>
  <c r="A132" i="14"/>
  <c r="I132" i="14"/>
  <c r="M132" i="14"/>
  <c r="C132" i="14"/>
  <c r="E131" i="14"/>
  <c r="I131" i="14"/>
  <c r="M131" i="14"/>
  <c r="A131" i="14"/>
  <c r="C131" i="14"/>
  <c r="Q131" i="14" s="1"/>
  <c r="G131" i="14"/>
  <c r="I130" i="14"/>
  <c r="M130" i="14"/>
  <c r="O130" i="14" s="1"/>
  <c r="A130" i="14"/>
  <c r="C130" i="14"/>
  <c r="I129" i="14"/>
  <c r="M129" i="14"/>
  <c r="O129" i="14" s="1"/>
  <c r="C129" i="14"/>
  <c r="A128" i="14"/>
  <c r="E128" i="14"/>
  <c r="I128" i="14"/>
  <c r="M128" i="14"/>
  <c r="O128" i="14" s="1"/>
  <c r="C128" i="14"/>
  <c r="G128" i="14"/>
  <c r="E127" i="14"/>
  <c r="I127" i="14"/>
  <c r="M127" i="14"/>
  <c r="A127" i="14"/>
  <c r="C127" i="14"/>
  <c r="G127" i="14"/>
  <c r="O127" i="14"/>
  <c r="I126" i="14"/>
  <c r="M126" i="14"/>
  <c r="A126" i="14"/>
  <c r="C126" i="14"/>
  <c r="I125" i="14"/>
  <c r="M125" i="14"/>
  <c r="O125" i="14" s="1"/>
  <c r="C125" i="14"/>
  <c r="A124" i="14"/>
  <c r="I124" i="14"/>
  <c r="M124" i="14"/>
  <c r="O124" i="14" s="1"/>
  <c r="C124" i="14"/>
  <c r="E123" i="14"/>
  <c r="I123" i="14"/>
  <c r="M123" i="14"/>
  <c r="O123" i="14" s="1"/>
  <c r="A123" i="14"/>
  <c r="C123" i="14"/>
  <c r="G123" i="14"/>
  <c r="I122" i="14"/>
  <c r="M122" i="14"/>
  <c r="A122" i="14"/>
  <c r="C122" i="14"/>
  <c r="E121" i="14"/>
  <c r="I121" i="14"/>
  <c r="M121" i="14"/>
  <c r="C121" i="14"/>
  <c r="K121" i="14" s="1"/>
  <c r="L121" i="14" s="1"/>
  <c r="G121" i="14"/>
  <c r="A120" i="14"/>
  <c r="I120" i="14"/>
  <c r="M120" i="14"/>
  <c r="O120" i="14" s="1"/>
  <c r="C120" i="14"/>
  <c r="I119" i="14"/>
  <c r="M119" i="14"/>
  <c r="O119" i="14" s="1"/>
  <c r="A119" i="14"/>
  <c r="C119" i="14"/>
  <c r="I118" i="14"/>
  <c r="M118" i="14"/>
  <c r="O118" i="14" s="1"/>
  <c r="A118" i="14"/>
  <c r="C118" i="14"/>
  <c r="A125" i="14"/>
  <c r="A129" i="14"/>
  <c r="M136" i="14"/>
  <c r="F133" i="14"/>
  <c r="F131" i="14"/>
  <c r="F128" i="14"/>
  <c r="F127" i="14"/>
  <c r="F123" i="14"/>
  <c r="A133" i="14"/>
  <c r="C117" i="14"/>
  <c r="M117" i="14"/>
  <c r="O117" i="14" s="1"/>
  <c r="I117" i="14"/>
  <c r="AB11" i="16"/>
  <c r="AB7" i="16"/>
  <c r="O40" i="5"/>
  <c r="O44" i="5"/>
  <c r="O48" i="5"/>
  <c r="O52" i="5"/>
  <c r="O56" i="5"/>
  <c r="O60" i="5"/>
  <c r="O64" i="5"/>
  <c r="AB18" i="16"/>
  <c r="AB14" i="16"/>
  <c r="AB10" i="16"/>
  <c r="AB6" i="16"/>
  <c r="AB29" i="16"/>
  <c r="AB25" i="16"/>
  <c r="P33" i="5"/>
  <c r="Q33" i="5" s="1"/>
  <c r="AB26" i="16"/>
  <c r="AB22" i="16"/>
  <c r="J15" i="16"/>
  <c r="V69" i="17"/>
  <c r="V65" i="17"/>
  <c r="V61" i="17"/>
  <c r="V57" i="17"/>
  <c r="V53" i="17"/>
  <c r="V49" i="17"/>
  <c r="V45" i="17"/>
  <c r="V41" i="17"/>
  <c r="V37" i="17"/>
  <c r="V33" i="17"/>
  <c r="V29" i="17"/>
  <c r="V25" i="17"/>
  <c r="V21" i="17"/>
  <c r="V17" i="17"/>
  <c r="V13" i="17"/>
  <c r="V9" i="17"/>
  <c r="AB21" i="16"/>
  <c r="AB17" i="16"/>
  <c r="AB13" i="16"/>
  <c r="AB9" i="16"/>
  <c r="AB5" i="16"/>
  <c r="R30" i="5"/>
  <c r="J9" i="16"/>
  <c r="R26" i="16"/>
  <c r="S26" i="16"/>
  <c r="U26" i="16" s="1"/>
  <c r="AC26" i="16" s="1"/>
  <c r="S18" i="16"/>
  <c r="U18" i="16" s="1"/>
  <c r="AC18" i="16" s="1"/>
  <c r="R18" i="16"/>
  <c r="R10" i="16"/>
  <c r="S10" i="16"/>
  <c r="U10" i="16" s="1"/>
  <c r="AC10" i="16" s="1"/>
  <c r="AA21" i="16"/>
  <c r="AA5" i="16"/>
  <c r="J26" i="16"/>
  <c r="Q29" i="16"/>
  <c r="R29" i="16" s="1"/>
  <c r="Q21" i="16"/>
  <c r="R21" i="16" s="1"/>
  <c r="Q13" i="16"/>
  <c r="R13" i="16" s="1"/>
  <c r="Q5" i="16"/>
  <c r="R5" i="16" s="1"/>
  <c r="R14" i="16"/>
  <c r="S22" i="16"/>
  <c r="U22" i="16" s="1"/>
  <c r="AC22" i="16" s="1"/>
  <c r="S6" i="16"/>
  <c r="U6" i="16" s="1"/>
  <c r="AC6" i="16" s="1"/>
  <c r="AA17" i="16"/>
  <c r="V68" i="17"/>
  <c r="V64" i="17"/>
  <c r="V60" i="17"/>
  <c r="V56" i="17"/>
  <c r="V52" i="17"/>
  <c r="D85" i="14" s="1"/>
  <c r="V48" i="17"/>
  <c r="V44" i="17"/>
  <c r="V40" i="17"/>
  <c r="V36" i="17"/>
  <c r="V32" i="17"/>
  <c r="V28" i="17"/>
  <c r="V24" i="17"/>
  <c r="V20" i="17"/>
  <c r="V16" i="17"/>
  <c r="V12" i="17"/>
  <c r="V8" i="17"/>
  <c r="I109" i="3"/>
  <c r="R10" i="5"/>
  <c r="AB27" i="16"/>
  <c r="AB23" i="16"/>
  <c r="AB19" i="16"/>
  <c r="AB15" i="16"/>
  <c r="AA11" i="16"/>
  <c r="AA7" i="16"/>
  <c r="AA29" i="16"/>
  <c r="AA13" i="16"/>
  <c r="V67" i="17"/>
  <c r="V63" i="17"/>
  <c r="V59" i="17"/>
  <c r="V55" i="17"/>
  <c r="V51" i="17"/>
  <c r="V47" i="17"/>
  <c r="V43" i="17"/>
  <c r="V39" i="17"/>
  <c r="V35" i="17"/>
  <c r="V31" i="17"/>
  <c r="V23" i="17"/>
  <c r="V19" i="17"/>
  <c r="V15" i="17"/>
  <c r="V11" i="17"/>
  <c r="V7" i="17"/>
  <c r="R21" i="5"/>
  <c r="R24" i="5"/>
  <c r="Q25" i="16"/>
  <c r="R25" i="16" s="1"/>
  <c r="Q17" i="16"/>
  <c r="R17" i="16" s="1"/>
  <c r="Q9" i="16"/>
  <c r="R9" i="16" s="1"/>
  <c r="R22" i="16"/>
  <c r="R6" i="16"/>
  <c r="S14" i="16"/>
  <c r="U14" i="16" s="1"/>
  <c r="AC14" i="16" s="1"/>
  <c r="AA25" i="16"/>
  <c r="AA9" i="16"/>
  <c r="V70" i="17"/>
  <c r="V62" i="17"/>
  <c r="V58" i="17"/>
  <c r="V54" i="17"/>
  <c r="V50" i="17"/>
  <c r="V46" i="17"/>
  <c r="V42" i="17"/>
  <c r="V38" i="17"/>
  <c r="V34" i="17"/>
  <c r="V30" i="17"/>
  <c r="V26" i="17"/>
  <c r="V22" i="17"/>
  <c r="V18" i="17"/>
  <c r="V14" i="17"/>
  <c r="V10" i="17"/>
  <c r="V6" i="17"/>
  <c r="S28" i="16"/>
  <c r="U28" i="16" s="1"/>
  <c r="AC28" i="16" s="1"/>
  <c r="R28" i="16"/>
  <c r="S24" i="16"/>
  <c r="U24" i="16" s="1"/>
  <c r="AC24" i="16" s="1"/>
  <c r="R24" i="16"/>
  <c r="S20" i="16"/>
  <c r="U20" i="16" s="1"/>
  <c r="AC20" i="16" s="1"/>
  <c r="R20" i="16"/>
  <c r="S16" i="16"/>
  <c r="U16" i="16" s="1"/>
  <c r="AC16" i="16" s="1"/>
  <c r="R16" i="16"/>
  <c r="S12" i="16"/>
  <c r="U12" i="16" s="1"/>
  <c r="AC12" i="16" s="1"/>
  <c r="R12" i="16"/>
  <c r="S8" i="16"/>
  <c r="U8" i="16" s="1"/>
  <c r="AC8" i="16" s="1"/>
  <c r="R8" i="16"/>
  <c r="Q27" i="16"/>
  <c r="Q23" i="16"/>
  <c r="Q19" i="16"/>
  <c r="Q15" i="16"/>
  <c r="Q11" i="16"/>
  <c r="Q7" i="16"/>
  <c r="S21" i="16"/>
  <c r="U21" i="16" s="1"/>
  <c r="AC21" i="16" s="1"/>
  <c r="AA28" i="16"/>
  <c r="AA24" i="16"/>
  <c r="AA20" i="16"/>
  <c r="AA16" i="16"/>
  <c r="AA12" i="16"/>
  <c r="AA8" i="16"/>
  <c r="AA27" i="16"/>
  <c r="AA23" i="16"/>
  <c r="AA19" i="16"/>
  <c r="AA15" i="16"/>
  <c r="AB28" i="16"/>
  <c r="AB24" i="16"/>
  <c r="AB20" i="16"/>
  <c r="AB16" i="16"/>
  <c r="AB12" i="16"/>
  <c r="AB8" i="16"/>
  <c r="AA26" i="16"/>
  <c r="AA22" i="16"/>
  <c r="AA18" i="16"/>
  <c r="AA14" i="16"/>
  <c r="AA10" i="16"/>
  <c r="AA6" i="16"/>
  <c r="U27" i="17"/>
  <c r="V5" i="17"/>
  <c r="V27" i="17"/>
  <c r="U49" i="17"/>
  <c r="U5" i="17"/>
  <c r="E67" i="3"/>
  <c r="AR56" i="2"/>
  <c r="BC98" i="1"/>
  <c r="R17" i="5"/>
  <c r="BC18" i="1"/>
  <c r="BC26" i="1"/>
  <c r="BC12" i="1"/>
  <c r="BC20" i="1"/>
  <c r="BC24" i="1"/>
  <c r="BC28" i="1"/>
  <c r="BC36" i="1"/>
  <c r="AR10" i="2"/>
  <c r="AR14" i="2"/>
  <c r="AR15" i="2"/>
  <c r="BC10" i="1"/>
  <c r="BC14" i="1"/>
  <c r="BC22" i="1"/>
  <c r="BC30" i="1"/>
  <c r="BC34" i="1"/>
  <c r="BC38" i="1"/>
  <c r="BC9" i="1"/>
  <c r="BC13" i="1"/>
  <c r="BC17" i="1"/>
  <c r="BC21" i="1"/>
  <c r="BC25" i="1"/>
  <c r="BC29" i="1"/>
  <c r="BC33" i="1"/>
  <c r="BC37" i="1"/>
  <c r="R15" i="5"/>
  <c r="R19" i="5"/>
  <c r="AR26" i="2"/>
  <c r="AR100" i="2"/>
  <c r="AR11" i="2"/>
  <c r="P103" i="2"/>
  <c r="V103" i="2" s="1"/>
  <c r="BC54" i="1"/>
  <c r="BC59" i="1"/>
  <c r="AR127" i="2"/>
  <c r="Y119" i="1"/>
  <c r="BC15" i="1"/>
  <c r="BC70" i="1"/>
  <c r="AY85" i="1"/>
  <c r="W46" i="1"/>
  <c r="P44" i="2"/>
  <c r="AN44" i="2" s="1"/>
  <c r="P143" i="2"/>
  <c r="V143" i="2" s="1"/>
  <c r="W33" i="1"/>
  <c r="Y33" i="1" s="1"/>
  <c r="AY119" i="1"/>
  <c r="W124" i="1"/>
  <c r="Y124" i="1" s="1"/>
  <c r="AR64" i="2"/>
  <c r="AR125" i="2"/>
  <c r="BC110" i="1"/>
  <c r="AY117" i="1"/>
  <c r="AR48" i="2"/>
  <c r="P88" i="2"/>
  <c r="AN88" i="2" s="1"/>
  <c r="P111" i="2"/>
  <c r="V111" i="2" s="1"/>
  <c r="W17" i="1"/>
  <c r="BC31" i="1"/>
  <c r="Y59" i="1"/>
  <c r="Y115" i="1"/>
  <c r="P36" i="2"/>
  <c r="V36" i="2" s="1"/>
  <c r="AR39" i="2"/>
  <c r="AR105" i="2"/>
  <c r="W12" i="1"/>
  <c r="G120" i="14" s="1"/>
  <c r="W20" i="1"/>
  <c r="Y51" i="1"/>
  <c r="Y67" i="1"/>
  <c r="W146" i="1"/>
  <c r="Y146" i="1" s="1"/>
  <c r="P22" i="2"/>
  <c r="P47" i="2"/>
  <c r="AN47" i="2" s="1"/>
  <c r="P84" i="2"/>
  <c r="AN84" i="2" s="1"/>
  <c r="AR137" i="2"/>
  <c r="AR153" i="2"/>
  <c r="W9" i="1"/>
  <c r="AY9" i="1" s="1"/>
  <c r="BC11" i="1"/>
  <c r="W25" i="1"/>
  <c r="G125" i="14" s="1"/>
  <c r="BC27" i="1"/>
  <c r="Y53" i="1"/>
  <c r="AY61" i="1"/>
  <c r="Y77" i="1"/>
  <c r="W82" i="1"/>
  <c r="AY82" i="1" s="1"/>
  <c r="AY101" i="1"/>
  <c r="Y105" i="1"/>
  <c r="W112" i="1"/>
  <c r="AY112" i="1" s="1"/>
  <c r="AY113" i="1"/>
  <c r="BC154" i="1"/>
  <c r="AR16" i="2"/>
  <c r="AR27" i="2"/>
  <c r="P30" i="2"/>
  <c r="AN30" i="2" s="1"/>
  <c r="AR35" i="2"/>
  <c r="P40" i="2"/>
  <c r="V40" i="2" s="1"/>
  <c r="AR43" i="2"/>
  <c r="AR45" i="2"/>
  <c r="AR49" i="2"/>
  <c r="P52" i="2"/>
  <c r="V52" i="2" s="1"/>
  <c r="P60" i="2"/>
  <c r="AN60" i="2" s="1"/>
  <c r="AR65" i="2"/>
  <c r="AR79" i="2"/>
  <c r="P87" i="2"/>
  <c r="V87" i="2" s="1"/>
  <c r="AR96" i="2"/>
  <c r="P99" i="2"/>
  <c r="AN99" i="2" s="1"/>
  <c r="P104" i="2"/>
  <c r="AN104" i="2" s="1"/>
  <c r="AR135" i="2"/>
  <c r="AR147" i="2"/>
  <c r="W28" i="1"/>
  <c r="W36" i="1"/>
  <c r="Y73" i="1"/>
  <c r="W84" i="1"/>
  <c r="AY84" i="1" s="1"/>
  <c r="W145" i="1"/>
  <c r="Y145" i="1" s="1"/>
  <c r="W149" i="1"/>
  <c r="AY149" i="1" s="1"/>
  <c r="AR7" i="2"/>
  <c r="P10" i="2"/>
  <c r="P119" i="2"/>
  <c r="AN119" i="2" s="1"/>
  <c r="W76" i="1"/>
  <c r="Y76" i="1" s="1"/>
  <c r="AY79" i="1"/>
  <c r="Y87" i="1"/>
  <c r="Y91" i="1"/>
  <c r="W92" i="1"/>
  <c r="Y92" i="1" s="1"/>
  <c r="Y98" i="1"/>
  <c r="W100" i="1"/>
  <c r="Y100" i="1" s="1"/>
  <c r="Y103" i="1"/>
  <c r="BC114" i="1"/>
  <c r="AY150" i="1"/>
  <c r="AR33" i="2"/>
  <c r="P83" i="2"/>
  <c r="V83" i="2" s="1"/>
  <c r="P107" i="2"/>
  <c r="V107" i="2" s="1"/>
  <c r="R8" i="5"/>
  <c r="BC140" i="1"/>
  <c r="W140" i="1"/>
  <c r="Y140" i="1" s="1"/>
  <c r="BC16" i="1"/>
  <c r="BC19" i="1"/>
  <c r="W24" i="1"/>
  <c r="BC32" i="1"/>
  <c r="BC35" i="1"/>
  <c r="BC43" i="1"/>
  <c r="W44" i="1"/>
  <c r="BC51" i="1"/>
  <c r="BC53" i="1"/>
  <c r="BC58" i="1"/>
  <c r="W62" i="1"/>
  <c r="AY62" i="1" s="1"/>
  <c r="Y63" i="1"/>
  <c r="AY69" i="1"/>
  <c r="W72" i="1"/>
  <c r="AY72" i="1" s="1"/>
  <c r="BC78" i="1"/>
  <c r="AY81" i="1"/>
  <c r="Y89" i="1"/>
  <c r="BC94" i="1"/>
  <c r="Y99" i="1"/>
  <c r="Y121" i="1"/>
  <c r="W151" i="1"/>
  <c r="AY151" i="1" s="1"/>
  <c r="AN6" i="2"/>
  <c r="AO6" i="2" s="1"/>
  <c r="V6" i="2"/>
  <c r="P15" i="2"/>
  <c r="V15" i="2" s="1"/>
  <c r="P19" i="2"/>
  <c r="AR23" i="2"/>
  <c r="AR32" i="2"/>
  <c r="P51" i="2"/>
  <c r="V51" i="2" s="1"/>
  <c r="P55" i="2"/>
  <c r="AN55" i="2" s="1"/>
  <c r="P59" i="2"/>
  <c r="AN59" i="2" s="1"/>
  <c r="P63" i="2"/>
  <c r="V63" i="2" s="1"/>
  <c r="AR67" i="2"/>
  <c r="P72" i="2"/>
  <c r="V72" i="2" s="1"/>
  <c r="AR75" i="2"/>
  <c r="AR77" i="2"/>
  <c r="AR81" i="2"/>
  <c r="P92" i="2"/>
  <c r="AN92" i="2" s="1"/>
  <c r="P95" i="2"/>
  <c r="AN95" i="2" s="1"/>
  <c r="AR97" i="2"/>
  <c r="AR117" i="2"/>
  <c r="P123" i="2"/>
  <c r="AN123" i="2" s="1"/>
  <c r="P131" i="2"/>
  <c r="AN131" i="2" s="1"/>
  <c r="AR139" i="2"/>
  <c r="P151" i="2"/>
  <c r="AN151" i="2" s="1"/>
  <c r="BC61" i="1"/>
  <c r="BC74" i="1"/>
  <c r="AY103" i="1"/>
  <c r="P61" i="2"/>
  <c r="V61" i="2" s="1"/>
  <c r="AR61" i="2"/>
  <c r="AR115" i="2"/>
  <c r="P115" i="2"/>
  <c r="V115" i="2" s="1"/>
  <c r="G104" i="3"/>
  <c r="BC23" i="1"/>
  <c r="Y61" i="1"/>
  <c r="Y65" i="1"/>
  <c r="AY67" i="1"/>
  <c r="Y78" i="1"/>
  <c r="AY87" i="1"/>
  <c r="W96" i="1"/>
  <c r="Y96" i="1" s="1"/>
  <c r="AY97" i="1"/>
  <c r="Y107" i="1"/>
  <c r="W108" i="1"/>
  <c r="Y108" i="1" s="1"/>
  <c r="BC116" i="1"/>
  <c r="W116" i="1"/>
  <c r="Y116" i="1" s="1"/>
  <c r="P14" i="2"/>
  <c r="AN14" i="2" s="1"/>
  <c r="AR18" i="2"/>
  <c r="AR20" i="2"/>
  <c r="AR31" i="2"/>
  <c r="P68" i="2"/>
  <c r="V68" i="2" s="1"/>
  <c r="AR71" i="2"/>
  <c r="P76" i="2"/>
  <c r="AN76" i="2" s="1"/>
  <c r="AR80" i="2"/>
  <c r="P109" i="2"/>
  <c r="V109" i="2" s="1"/>
  <c r="AR109" i="2"/>
  <c r="P141" i="2"/>
  <c r="AN141" i="2" s="1"/>
  <c r="AR141" i="2"/>
  <c r="H104" i="3"/>
  <c r="Y114" i="1"/>
  <c r="Q8" i="5"/>
  <c r="Y8" i="1"/>
  <c r="AR25" i="2"/>
  <c r="P25" i="2"/>
  <c r="AR9" i="2"/>
  <c r="P9" i="2"/>
  <c r="AR5" i="2"/>
  <c r="D85" i="3" s="1"/>
  <c r="AY7" i="1"/>
  <c r="W13" i="1"/>
  <c r="D136" i="14" s="1"/>
  <c r="W37" i="1"/>
  <c r="D135" i="14" s="1"/>
  <c r="Y41" i="1"/>
  <c r="AZ41" i="1" s="1"/>
  <c r="Y42" i="1"/>
  <c r="BC88" i="1"/>
  <c r="W88" i="1"/>
  <c r="AY88" i="1" s="1"/>
  <c r="BC104" i="1"/>
  <c r="W104" i="1"/>
  <c r="AY104" i="1" s="1"/>
  <c r="BC120" i="1"/>
  <c r="W120" i="1"/>
  <c r="AY120" i="1" s="1"/>
  <c r="Y138" i="1"/>
  <c r="BC6" i="1"/>
  <c r="W66" i="1"/>
  <c r="Y66" i="1" s="1"/>
  <c r="BC66" i="1"/>
  <c r="W86" i="1"/>
  <c r="Y86" i="1" s="1"/>
  <c r="BC86" i="1"/>
  <c r="W102" i="1"/>
  <c r="Y102" i="1" s="1"/>
  <c r="BC102" i="1"/>
  <c r="W118" i="1"/>
  <c r="AY118" i="1" s="1"/>
  <c r="BC118" i="1"/>
  <c r="W137" i="1"/>
  <c r="Y137" i="1" s="1"/>
  <c r="BC137" i="1"/>
  <c r="P12" i="2"/>
  <c r="V12" i="2" s="1"/>
  <c r="AR12" i="2"/>
  <c r="P28" i="2"/>
  <c r="AN28" i="2" s="1"/>
  <c r="AR28" i="2"/>
  <c r="W21" i="1"/>
  <c r="W29" i="1"/>
  <c r="AY41" i="1"/>
  <c r="BC7" i="1"/>
  <c r="W5" i="1"/>
  <c r="BC42" i="1"/>
  <c r="W45" i="1"/>
  <c r="BC45" i="1"/>
  <c r="AY59" i="1"/>
  <c r="BC64" i="1"/>
  <c r="W64" i="1"/>
  <c r="Y64" i="1" s="1"/>
  <c r="AY91" i="1"/>
  <c r="AY107" i="1"/>
  <c r="Y122" i="1"/>
  <c r="BC136" i="1"/>
  <c r="W136" i="1"/>
  <c r="Y136" i="1" s="1"/>
  <c r="Y43" i="1"/>
  <c r="AY43" i="1"/>
  <c r="BC50" i="1"/>
  <c r="BC52" i="1"/>
  <c r="W52" i="1"/>
  <c r="Y52" i="1" s="1"/>
  <c r="AY54" i="1"/>
  <c r="Y57" i="1"/>
  <c r="AY57" i="1"/>
  <c r="Y58" i="1"/>
  <c r="AY65" i="1"/>
  <c r="AY73" i="1"/>
  <c r="Y74" i="1"/>
  <c r="AY74" i="1"/>
  <c r="AY77" i="1"/>
  <c r="Y83" i="1"/>
  <c r="AY83" i="1"/>
  <c r="Y93" i="1"/>
  <c r="AY93" i="1"/>
  <c r="Y94" i="1"/>
  <c r="AY99" i="1"/>
  <c r="Y109" i="1"/>
  <c r="AY109" i="1"/>
  <c r="Y110" i="1"/>
  <c r="AY115" i="1"/>
  <c r="W125" i="1"/>
  <c r="Y125" i="1" s="1"/>
  <c r="BC125" i="1"/>
  <c r="Y126" i="1"/>
  <c r="W128" i="1"/>
  <c r="Y128" i="1" s="1"/>
  <c r="AY130" i="1"/>
  <c r="W141" i="1"/>
  <c r="Y141" i="1" s="1"/>
  <c r="BC141" i="1"/>
  <c r="Y142" i="1"/>
  <c r="BC150" i="1"/>
  <c r="W153" i="1"/>
  <c r="Y153" i="1" s="1"/>
  <c r="AR8" i="2"/>
  <c r="AR13" i="2"/>
  <c r="P13" i="2"/>
  <c r="AR24" i="2"/>
  <c r="AR29" i="2"/>
  <c r="P29" i="2"/>
  <c r="AR37" i="2"/>
  <c r="AR42" i="2"/>
  <c r="P42" i="2"/>
  <c r="AN48" i="2"/>
  <c r="V48" i="2"/>
  <c r="AR53" i="2"/>
  <c r="AR58" i="2"/>
  <c r="P58" i="2"/>
  <c r="AN64" i="2"/>
  <c r="V64" i="2"/>
  <c r="AR69" i="2"/>
  <c r="AR74" i="2"/>
  <c r="P74" i="2"/>
  <c r="AN80" i="2"/>
  <c r="V80" i="2"/>
  <c r="AR85" i="2"/>
  <c r="AR90" i="2"/>
  <c r="P90" i="2"/>
  <c r="AN96" i="2"/>
  <c r="V96" i="2"/>
  <c r="AN100" i="2"/>
  <c r="V100" i="2"/>
  <c r="P113" i="2"/>
  <c r="AN113" i="2" s="1"/>
  <c r="AR113" i="2"/>
  <c r="AN31" i="2"/>
  <c r="V31" i="2"/>
  <c r="AR38" i="2"/>
  <c r="P38" i="2"/>
  <c r="AR54" i="2"/>
  <c r="P54" i="2"/>
  <c r="AR70" i="2"/>
  <c r="P70" i="2"/>
  <c r="AR86" i="2"/>
  <c r="P86" i="2"/>
  <c r="P133" i="2"/>
  <c r="AN133" i="2" s="1"/>
  <c r="AR133" i="2"/>
  <c r="P145" i="2"/>
  <c r="AN145" i="2" s="1"/>
  <c r="AR145" i="2"/>
  <c r="Y49" i="1"/>
  <c r="Y50" i="1"/>
  <c r="BC60" i="1"/>
  <c r="W60" i="1"/>
  <c r="Y60" i="1" s="1"/>
  <c r="AY106" i="1"/>
  <c r="AY122" i="1"/>
  <c r="Y134" i="1"/>
  <c r="AY138" i="1"/>
  <c r="Y150" i="1"/>
  <c r="AN11" i="2"/>
  <c r="AO11" i="2" s="1"/>
  <c r="V11" i="2"/>
  <c r="AR21" i="2"/>
  <c r="P21" i="2"/>
  <c r="AN27" i="2"/>
  <c r="V27" i="2"/>
  <c r="AR34" i="2"/>
  <c r="P34" i="2"/>
  <c r="AR50" i="2"/>
  <c r="P50" i="2"/>
  <c r="AN56" i="2"/>
  <c r="V56" i="2"/>
  <c r="AR66" i="2"/>
  <c r="P66" i="2"/>
  <c r="AR82" i="2"/>
  <c r="P82" i="2"/>
  <c r="AR91" i="2"/>
  <c r="P91" i="2"/>
  <c r="AN91" i="2" s="1"/>
  <c r="AR98" i="2"/>
  <c r="P98" i="2"/>
  <c r="AY49" i="1"/>
  <c r="Y69" i="1"/>
  <c r="AY90" i="1"/>
  <c r="W133" i="1"/>
  <c r="AY133" i="1" s="1"/>
  <c r="BC133" i="1"/>
  <c r="AY8" i="1"/>
  <c r="Y11" i="1"/>
  <c r="Y15" i="1"/>
  <c r="Y16" i="1"/>
  <c r="Y19" i="1"/>
  <c r="AZ19" i="1" s="1"/>
  <c r="Y23" i="1"/>
  <c r="Y27" i="1"/>
  <c r="AZ27" i="1" s="1"/>
  <c r="Y31" i="1"/>
  <c r="Y32" i="1"/>
  <c r="Y35" i="1"/>
  <c r="AY51" i="1"/>
  <c r="BC68" i="1"/>
  <c r="W68" i="1"/>
  <c r="AY68" i="1" s="1"/>
  <c r="Y71" i="1"/>
  <c r="W129" i="1"/>
  <c r="Y129" i="1" s="1"/>
  <c r="BC129" i="1"/>
  <c r="Y130" i="1"/>
  <c r="W132" i="1"/>
  <c r="AY132" i="1" s="1"/>
  <c r="AN7" i="2"/>
  <c r="AO7" i="2" s="1"/>
  <c r="V7" i="2"/>
  <c r="AR17" i="2"/>
  <c r="P17" i="2"/>
  <c r="AN23" i="2"/>
  <c r="V23" i="2"/>
  <c r="AR41" i="2"/>
  <c r="AR46" i="2"/>
  <c r="P46" i="2"/>
  <c r="AR57" i="2"/>
  <c r="AR62" i="2"/>
  <c r="P62" i="2"/>
  <c r="AR73" i="2"/>
  <c r="AR78" i="2"/>
  <c r="P78" i="2"/>
  <c r="AR89" i="2"/>
  <c r="P93" i="2"/>
  <c r="AN93" i="2" s="1"/>
  <c r="AR93" i="2"/>
  <c r="P101" i="2"/>
  <c r="V101" i="2" s="1"/>
  <c r="AR101" i="2"/>
  <c r="AR106" i="2"/>
  <c r="P106" i="2"/>
  <c r="P121" i="2"/>
  <c r="V121" i="2" s="1"/>
  <c r="AR121" i="2"/>
  <c r="P129" i="2"/>
  <c r="AN129" i="2" s="1"/>
  <c r="AR129" i="2"/>
  <c r="P149" i="2"/>
  <c r="AN149" i="2" s="1"/>
  <c r="AR149" i="2"/>
  <c r="Y54" i="1"/>
  <c r="Y79" i="1"/>
  <c r="AY89" i="1"/>
  <c r="BC90" i="1"/>
  <c r="AY105" i="1"/>
  <c r="BC106" i="1"/>
  <c r="AY121" i="1"/>
  <c r="BC122" i="1"/>
  <c r="BC126" i="1"/>
  <c r="BC130" i="1"/>
  <c r="BC134" i="1"/>
  <c r="BC138" i="1"/>
  <c r="BC142" i="1"/>
  <c r="AR6" i="2"/>
  <c r="AY63" i="1"/>
  <c r="AY71" i="1"/>
  <c r="Y75" i="1"/>
  <c r="AY75" i="1"/>
  <c r="W80" i="1"/>
  <c r="Y80" i="1" s="1"/>
  <c r="Y81" i="1"/>
  <c r="Y85" i="1"/>
  <c r="AY95" i="1"/>
  <c r="Y101" i="1"/>
  <c r="AY111" i="1"/>
  <c r="Y117" i="1"/>
  <c r="W147" i="1"/>
  <c r="Y147" i="1" s="1"/>
  <c r="AR94" i="2"/>
  <c r="P94" i="2"/>
  <c r="AR102" i="2"/>
  <c r="P102" i="2"/>
  <c r="R9" i="5"/>
  <c r="G36" i="12"/>
  <c r="E44" i="3"/>
  <c r="E48" i="3"/>
  <c r="AY11" i="1"/>
  <c r="AY15" i="1"/>
  <c r="AY19" i="1"/>
  <c r="AY23" i="1"/>
  <c r="AY27" i="1"/>
  <c r="AY31" i="1"/>
  <c r="AY35" i="1"/>
  <c r="C30" i="3"/>
  <c r="C32" i="3"/>
  <c r="C31" i="3"/>
  <c r="C29" i="3"/>
  <c r="AY16" i="1"/>
  <c r="AY32" i="1"/>
  <c r="I97" i="3"/>
  <c r="Y7" i="1"/>
  <c r="AY53" i="1"/>
  <c r="BC77" i="1"/>
  <c r="BC93" i="1"/>
  <c r="BC107" i="1"/>
  <c r="E34" i="3"/>
  <c r="BC5" i="1"/>
  <c r="W6" i="1"/>
  <c r="W14" i="1"/>
  <c r="W18" i="1"/>
  <c r="W22" i="1"/>
  <c r="W26" i="1"/>
  <c r="W30" i="1"/>
  <c r="I106" i="3" s="1"/>
  <c r="W38" i="1"/>
  <c r="BC49" i="1"/>
  <c r="BC57" i="1"/>
  <c r="BC63" i="1"/>
  <c r="BC65" i="1"/>
  <c r="AY78" i="1"/>
  <c r="BC79" i="1"/>
  <c r="BC81" i="1"/>
  <c r="AY94" i="1"/>
  <c r="BC95" i="1"/>
  <c r="BC97" i="1"/>
  <c r="AY110" i="1"/>
  <c r="BC111" i="1"/>
  <c r="BC113" i="1"/>
  <c r="W152" i="1"/>
  <c r="Y152" i="1" s="1"/>
  <c r="BC152" i="1"/>
  <c r="AN5" i="2"/>
  <c r="V5" i="2"/>
  <c r="AN18" i="2"/>
  <c r="AO18" i="2" s="1"/>
  <c r="V18" i="2"/>
  <c r="AN26" i="2"/>
  <c r="V26" i="2"/>
  <c r="AN35" i="2"/>
  <c r="V35" i="2"/>
  <c r="AN39" i="2"/>
  <c r="V39" i="2"/>
  <c r="AN43" i="2"/>
  <c r="V43" i="2"/>
  <c r="AN67" i="2"/>
  <c r="V67" i="2"/>
  <c r="AN71" i="2"/>
  <c r="V71" i="2"/>
  <c r="AN75" i="2"/>
  <c r="V75" i="2"/>
  <c r="AN79" i="2"/>
  <c r="V79" i="2"/>
  <c r="AN103" i="2"/>
  <c r="BC8" i="1"/>
  <c r="BC109" i="1"/>
  <c r="BC123" i="1"/>
  <c r="W123" i="1"/>
  <c r="Y123" i="1" s="1"/>
  <c r="BC131" i="1"/>
  <c r="W131" i="1"/>
  <c r="Y131" i="1" s="1"/>
  <c r="BC139" i="1"/>
  <c r="W139" i="1"/>
  <c r="Y139" i="1" s="1"/>
  <c r="W10" i="1"/>
  <c r="W34" i="1"/>
  <c r="BC41" i="1"/>
  <c r="AS5" i="1"/>
  <c r="W39" i="1"/>
  <c r="W40" i="1"/>
  <c r="W47" i="1"/>
  <c r="W48" i="1"/>
  <c r="W55" i="1"/>
  <c r="W56" i="1"/>
  <c r="BC67" i="1"/>
  <c r="BC69" i="1"/>
  <c r="Y70" i="1"/>
  <c r="BC83" i="1"/>
  <c r="Y84" i="1"/>
  <c r="BC85" i="1"/>
  <c r="Y95" i="1"/>
  <c r="Y97" i="1"/>
  <c r="AY98" i="1"/>
  <c r="BC99" i="1"/>
  <c r="BC101" i="1"/>
  <c r="Y111" i="1"/>
  <c r="Y113" i="1"/>
  <c r="AY114" i="1"/>
  <c r="BC115" i="1"/>
  <c r="BC117" i="1"/>
  <c r="AY126" i="1"/>
  <c r="BC127" i="1"/>
  <c r="W127" i="1"/>
  <c r="AY134" i="1"/>
  <c r="BC135" i="1"/>
  <c r="W135" i="1"/>
  <c r="AY142" i="1"/>
  <c r="BC143" i="1"/>
  <c r="W143" i="1"/>
  <c r="W144" i="1"/>
  <c r="Y144" i="1" s="1"/>
  <c r="BC144" i="1"/>
  <c r="Y148" i="1"/>
  <c r="BC75" i="1"/>
  <c r="BC91" i="1"/>
  <c r="AY42" i="1"/>
  <c r="AY50" i="1"/>
  <c r="AY58" i="1"/>
  <c r="AY70" i="1"/>
  <c r="BC71" i="1"/>
  <c r="BC73" i="1"/>
  <c r="BC87" i="1"/>
  <c r="BC89" i="1"/>
  <c r="Y90" i="1"/>
  <c r="BC103" i="1"/>
  <c r="BC105" i="1"/>
  <c r="Y106" i="1"/>
  <c r="BC119" i="1"/>
  <c r="BC121" i="1"/>
  <c r="AY148" i="1"/>
  <c r="AY154" i="1"/>
  <c r="Y154" i="1"/>
  <c r="AN8" i="2"/>
  <c r="AO8" i="2" s="1"/>
  <c r="V8" i="2"/>
  <c r="AN16" i="2"/>
  <c r="AO16" i="2" s="1"/>
  <c r="V16" i="2"/>
  <c r="AN20" i="2"/>
  <c r="AO20" i="2" s="1"/>
  <c r="V20" i="2"/>
  <c r="AN24" i="2"/>
  <c r="V24" i="2"/>
  <c r="AN32" i="2"/>
  <c r="V32" i="2"/>
  <c r="F99" i="3"/>
  <c r="H99" i="3"/>
  <c r="G99" i="3"/>
  <c r="K99" i="3"/>
  <c r="E99" i="3"/>
  <c r="I99" i="3"/>
  <c r="AN33" i="2"/>
  <c r="V33" i="2"/>
  <c r="AN37" i="2"/>
  <c r="V37" i="2"/>
  <c r="AN41" i="2"/>
  <c r="V41" i="2"/>
  <c r="AN45" i="2"/>
  <c r="V45" i="2"/>
  <c r="AN49" i="2"/>
  <c r="V49" i="2"/>
  <c r="AN53" i="2"/>
  <c r="V53" i="2"/>
  <c r="AN57" i="2"/>
  <c r="V57" i="2"/>
  <c r="AN65" i="2"/>
  <c r="V65" i="2"/>
  <c r="AN69" i="2"/>
  <c r="V69" i="2"/>
  <c r="AN73" i="2"/>
  <c r="V73" i="2"/>
  <c r="AN77" i="2"/>
  <c r="V77" i="2"/>
  <c r="AN81" i="2"/>
  <c r="V81" i="2"/>
  <c r="AN85" i="2"/>
  <c r="V85" i="2"/>
  <c r="AN89" i="2"/>
  <c r="V89" i="2"/>
  <c r="AN97" i="2"/>
  <c r="V97" i="2"/>
  <c r="AN105" i="2"/>
  <c r="V105" i="2"/>
  <c r="BC148" i="1"/>
  <c r="AN117" i="2"/>
  <c r="V117" i="2"/>
  <c r="AN125" i="2"/>
  <c r="V125" i="2"/>
  <c r="AN137" i="2"/>
  <c r="V137" i="2"/>
  <c r="AN153" i="2"/>
  <c r="V153" i="2"/>
  <c r="K93" i="3"/>
  <c r="E93" i="3"/>
  <c r="F103" i="3"/>
  <c r="H103" i="3"/>
  <c r="G103" i="3"/>
  <c r="K103" i="3"/>
  <c r="E103" i="3"/>
  <c r="I103" i="3"/>
  <c r="F107" i="3"/>
  <c r="H107" i="3"/>
  <c r="G107" i="3"/>
  <c r="K107" i="3"/>
  <c r="E107" i="3"/>
  <c r="I107" i="3"/>
  <c r="AN127" i="2"/>
  <c r="V127" i="2"/>
  <c r="AN135" i="2"/>
  <c r="V135" i="2"/>
  <c r="AN139" i="2"/>
  <c r="V139" i="2"/>
  <c r="AN147" i="2"/>
  <c r="V147" i="2"/>
  <c r="K95" i="3"/>
  <c r="E95" i="3"/>
  <c r="K111" i="3"/>
  <c r="E111" i="3"/>
  <c r="AR108" i="2"/>
  <c r="P108" i="2"/>
  <c r="AR110" i="2"/>
  <c r="P110" i="2"/>
  <c r="AR112" i="2"/>
  <c r="P112" i="2"/>
  <c r="AR114" i="2"/>
  <c r="P114" i="2"/>
  <c r="AR116" i="2"/>
  <c r="P116" i="2"/>
  <c r="AR118" i="2"/>
  <c r="P118" i="2"/>
  <c r="AR120" i="2"/>
  <c r="P120" i="2"/>
  <c r="AR122" i="2"/>
  <c r="P122" i="2"/>
  <c r="AR124" i="2"/>
  <c r="P124" i="2"/>
  <c r="AR126" i="2"/>
  <c r="P126" i="2"/>
  <c r="AR128" i="2"/>
  <c r="P128" i="2"/>
  <c r="AR130" i="2"/>
  <c r="P130" i="2"/>
  <c r="AR132" i="2"/>
  <c r="P132" i="2"/>
  <c r="AR134" i="2"/>
  <c r="P134" i="2"/>
  <c r="AR136" i="2"/>
  <c r="P136" i="2"/>
  <c r="AR138" i="2"/>
  <c r="P138" i="2"/>
  <c r="AR140" i="2"/>
  <c r="P140" i="2"/>
  <c r="AR142" i="2"/>
  <c r="P142" i="2"/>
  <c r="AR144" i="2"/>
  <c r="P144" i="2"/>
  <c r="AR146" i="2"/>
  <c r="P146" i="2"/>
  <c r="AR148" i="2"/>
  <c r="P148" i="2"/>
  <c r="AR150" i="2"/>
  <c r="P150" i="2"/>
  <c r="AR152" i="2"/>
  <c r="P152" i="2"/>
  <c r="AR154" i="2"/>
  <c r="P154" i="2"/>
  <c r="F97" i="3"/>
  <c r="H97" i="3"/>
  <c r="G97" i="3"/>
  <c r="K97" i="3"/>
  <c r="E97" i="3"/>
  <c r="K105" i="3"/>
  <c r="E105" i="3"/>
  <c r="H101" i="3"/>
  <c r="K101" i="3"/>
  <c r="E101" i="3"/>
  <c r="F109" i="3"/>
  <c r="H109" i="3"/>
  <c r="G109" i="3"/>
  <c r="K109" i="3"/>
  <c r="E109" i="3"/>
  <c r="F104" i="3"/>
  <c r="I104" i="3"/>
  <c r="E94" i="3"/>
  <c r="K94" i="3"/>
  <c r="E96" i="3"/>
  <c r="K96" i="3"/>
  <c r="E98" i="3"/>
  <c r="K98" i="3"/>
  <c r="E100" i="3"/>
  <c r="K100" i="3"/>
  <c r="E102" i="3"/>
  <c r="K102" i="3"/>
  <c r="E104" i="3"/>
  <c r="K104" i="3"/>
  <c r="E106" i="3"/>
  <c r="K106" i="3"/>
  <c r="E108" i="3"/>
  <c r="K108" i="3"/>
  <c r="E110" i="3"/>
  <c r="K110" i="3"/>
  <c r="E112" i="3"/>
  <c r="K112" i="3"/>
  <c r="G33" i="12"/>
  <c r="G37" i="12"/>
  <c r="G34" i="12"/>
  <c r="AZ23" i="1" l="1"/>
  <c r="E118" i="14"/>
  <c r="D124" i="14"/>
  <c r="AZ8" i="1"/>
  <c r="AZ43" i="1"/>
  <c r="AN63" i="2"/>
  <c r="AN115" i="2"/>
  <c r="F101" i="3"/>
  <c r="AY146" i="1"/>
  <c r="G96" i="3"/>
  <c r="G111" i="3"/>
  <c r="V123" i="2"/>
  <c r="V14" i="2"/>
  <c r="I111" i="3"/>
  <c r="H111" i="3"/>
  <c r="J85" i="3"/>
  <c r="D86" i="14"/>
  <c r="AZ42" i="1"/>
  <c r="C85" i="14"/>
  <c r="C88" i="14"/>
  <c r="V113" i="2"/>
  <c r="M73" i="14"/>
  <c r="N73" i="14" s="1"/>
  <c r="O73" i="14" s="1"/>
  <c r="C86" i="14"/>
  <c r="D87" i="14"/>
  <c r="G117" i="14"/>
  <c r="D89" i="14"/>
  <c r="C89" i="14"/>
  <c r="Q133" i="14"/>
  <c r="E119" i="14"/>
  <c r="F134" i="14"/>
  <c r="AN40" i="2"/>
  <c r="V44" i="2"/>
  <c r="AY33" i="1"/>
  <c r="AZ33" i="1" s="1"/>
  <c r="D88" i="14"/>
  <c r="J85" i="14"/>
  <c r="F130" i="14"/>
  <c r="Q121" i="14"/>
  <c r="B85" i="14"/>
  <c r="C84" i="14"/>
  <c r="C90" i="14"/>
  <c r="C87" i="14"/>
  <c r="J87" i="14"/>
  <c r="B87" i="14"/>
  <c r="AY86" i="1"/>
  <c r="E129" i="14"/>
  <c r="V88" i="2"/>
  <c r="B84" i="14"/>
  <c r="J84" i="14"/>
  <c r="B90" i="14"/>
  <c r="J90" i="14"/>
  <c r="J86" i="14"/>
  <c r="B86" i="14"/>
  <c r="B88" i="14"/>
  <c r="J88" i="14"/>
  <c r="D84" i="14"/>
  <c r="D90" i="14"/>
  <c r="E124" i="14"/>
  <c r="Q124" i="14" s="1"/>
  <c r="M75" i="14"/>
  <c r="N75" i="14" s="1"/>
  <c r="O75" i="14" s="1"/>
  <c r="J89" i="14"/>
  <c r="B89" i="14"/>
  <c r="M74" i="14"/>
  <c r="N74" i="14" s="1"/>
  <c r="O74" i="14" s="1"/>
  <c r="Y28" i="1"/>
  <c r="D132" i="14"/>
  <c r="V22" i="2"/>
  <c r="E57" i="3"/>
  <c r="F122" i="14"/>
  <c r="D122" i="14"/>
  <c r="AY17" i="1"/>
  <c r="D126" i="14"/>
  <c r="D97" i="14"/>
  <c r="D98" i="14"/>
  <c r="D100" i="14"/>
  <c r="F126" i="14"/>
  <c r="G126" i="14"/>
  <c r="N131" i="14"/>
  <c r="P131" i="14"/>
  <c r="N132" i="14"/>
  <c r="P132" i="14"/>
  <c r="AN83" i="2"/>
  <c r="Y44" i="1"/>
  <c r="AZ44" i="1"/>
  <c r="D125" i="14"/>
  <c r="F120" i="14"/>
  <c r="D120" i="14"/>
  <c r="AY46" i="1"/>
  <c r="F135" i="14"/>
  <c r="E120" i="14"/>
  <c r="G122" i="14"/>
  <c r="E125" i="14"/>
  <c r="N127" i="14"/>
  <c r="P127" i="14"/>
  <c r="N128" i="14"/>
  <c r="P128" i="14"/>
  <c r="E130" i="14"/>
  <c r="G132" i="14"/>
  <c r="N133" i="14"/>
  <c r="P133" i="14"/>
  <c r="E135" i="14"/>
  <c r="Q135" i="14" s="1"/>
  <c r="D130" i="14"/>
  <c r="H110" i="3"/>
  <c r="D134" i="14"/>
  <c r="Y5" i="1"/>
  <c r="AZ5" i="1" s="1"/>
  <c r="F117" i="14"/>
  <c r="D117" i="14"/>
  <c r="N117" i="14"/>
  <c r="P117" i="14"/>
  <c r="F124" i="14"/>
  <c r="F132" i="14"/>
  <c r="F136" i="14"/>
  <c r="G118" i="14"/>
  <c r="N118" i="14"/>
  <c r="P118" i="14"/>
  <c r="N123" i="14"/>
  <c r="P123" i="14"/>
  <c r="N124" i="14"/>
  <c r="P124" i="14"/>
  <c r="E126" i="14"/>
  <c r="N129" i="14"/>
  <c r="P129" i="14"/>
  <c r="O131" i="14"/>
  <c r="E132" i="14"/>
  <c r="G134" i="14"/>
  <c r="N134" i="14"/>
  <c r="P134" i="14"/>
  <c r="E136" i="14"/>
  <c r="F119" i="14"/>
  <c r="D119" i="14"/>
  <c r="I105" i="3"/>
  <c r="D129" i="14"/>
  <c r="V151" i="2"/>
  <c r="AN22" i="2"/>
  <c r="AO22" i="2" s="1"/>
  <c r="Y45" i="1"/>
  <c r="AZ45" i="1" s="1"/>
  <c r="AN19" i="2"/>
  <c r="AO19" i="2" s="1"/>
  <c r="F125" i="14"/>
  <c r="F129" i="14"/>
  <c r="O136" i="14"/>
  <c r="P136" i="14"/>
  <c r="N136" i="14"/>
  <c r="E117" i="14"/>
  <c r="G119" i="14"/>
  <c r="N119" i="14"/>
  <c r="P119" i="14"/>
  <c r="N120" i="14"/>
  <c r="P120" i="14"/>
  <c r="O121" i="14"/>
  <c r="P121" i="14" s="1"/>
  <c r="E122" i="14"/>
  <c r="G124" i="14"/>
  <c r="N125" i="14"/>
  <c r="P125" i="14"/>
  <c r="G129" i="14"/>
  <c r="G130" i="14"/>
  <c r="N130" i="14"/>
  <c r="P130" i="14"/>
  <c r="O132" i="14"/>
  <c r="G135" i="14"/>
  <c r="N135" i="14"/>
  <c r="P135" i="14"/>
  <c r="G136" i="14"/>
  <c r="D118" i="14"/>
  <c r="Q118" i="14" s="1"/>
  <c r="E134" i="14"/>
  <c r="F118" i="14"/>
  <c r="AN121" i="2"/>
  <c r="AN51" i="2"/>
  <c r="I101" i="3"/>
  <c r="Y118" i="1"/>
  <c r="F111" i="3"/>
  <c r="Y9" i="1"/>
  <c r="AZ9" i="1" s="1"/>
  <c r="I96" i="3"/>
  <c r="AY116" i="1"/>
  <c r="AY100" i="1"/>
  <c r="H96" i="3"/>
  <c r="F98" i="3"/>
  <c r="F108" i="3"/>
  <c r="F96" i="3"/>
  <c r="G101" i="3"/>
  <c r="AY145" i="1"/>
  <c r="AY12" i="1"/>
  <c r="V104" i="2"/>
  <c r="S25" i="16"/>
  <c r="U25" i="16" s="1"/>
  <c r="AC25" i="16" s="1"/>
  <c r="B37" i="14"/>
  <c r="J37" i="14" s="1"/>
  <c r="C37" i="14" s="1"/>
  <c r="S29" i="16"/>
  <c r="U29" i="16" s="1"/>
  <c r="AC29" i="16" s="1"/>
  <c r="R33" i="5"/>
  <c r="E43" i="3" s="1"/>
  <c r="G105" i="3"/>
  <c r="AN101" i="2"/>
  <c r="AN36" i="2"/>
  <c r="AN72" i="2"/>
  <c r="S5" i="16"/>
  <c r="T5" i="16" s="1"/>
  <c r="E32" i="14"/>
  <c r="H105" i="3"/>
  <c r="V119" i="2"/>
  <c r="AN111" i="2"/>
  <c r="AY28" i="1"/>
  <c r="D86" i="3"/>
  <c r="Y20" i="1"/>
  <c r="AZ20" i="1" s="1"/>
  <c r="B27" i="14"/>
  <c r="J27" i="14" s="1"/>
  <c r="C27" i="14" s="1"/>
  <c r="T26" i="16"/>
  <c r="AN143" i="2"/>
  <c r="AY124" i="1"/>
  <c r="AY64" i="1"/>
  <c r="V55" i="2"/>
  <c r="I108" i="3"/>
  <c r="F105" i="3"/>
  <c r="Y104" i="1"/>
  <c r="E31" i="14"/>
  <c r="B12" i="14"/>
  <c r="B33" i="14" s="1"/>
  <c r="T20" i="16"/>
  <c r="F112" i="3"/>
  <c r="F106" i="3"/>
  <c r="AN109" i="2"/>
  <c r="AN87" i="2"/>
  <c r="AN68" i="2"/>
  <c r="AN52" i="2"/>
  <c r="AZ16" i="1"/>
  <c r="C16" i="14"/>
  <c r="S17" i="16"/>
  <c r="U17" i="16" s="1"/>
  <c r="AC17" i="16" s="1"/>
  <c r="E29" i="14"/>
  <c r="V95" i="2"/>
  <c r="V84" i="2"/>
  <c r="E28" i="14"/>
  <c r="T21" i="16"/>
  <c r="S9" i="16"/>
  <c r="U9" i="16" s="1"/>
  <c r="AC9" i="16" s="1"/>
  <c r="F95" i="3"/>
  <c r="I112" i="3"/>
  <c r="I102" i="3"/>
  <c r="AY76" i="1"/>
  <c r="Y72" i="1"/>
  <c r="V92" i="2"/>
  <c r="S13" i="16"/>
  <c r="U13" i="16" s="1"/>
  <c r="AC13" i="16" s="1"/>
  <c r="I110" i="3"/>
  <c r="F100" i="3"/>
  <c r="G112" i="3"/>
  <c r="E30" i="14"/>
  <c r="T6" i="16"/>
  <c r="T18" i="16"/>
  <c r="AY80" i="1"/>
  <c r="H112" i="3"/>
  <c r="T29" i="16"/>
  <c r="T12" i="16"/>
  <c r="T14" i="16"/>
  <c r="T10" i="16"/>
  <c r="T22" i="16"/>
  <c r="B28" i="14"/>
  <c r="T28" i="16"/>
  <c r="B29" i="14"/>
  <c r="S11" i="16"/>
  <c r="U11" i="16" s="1"/>
  <c r="AC11" i="16" s="1"/>
  <c r="R11" i="16"/>
  <c r="S27" i="16"/>
  <c r="U27" i="16" s="1"/>
  <c r="AC27" i="16" s="1"/>
  <c r="R27" i="16"/>
  <c r="T8" i="16"/>
  <c r="T24" i="16"/>
  <c r="B30" i="14"/>
  <c r="S15" i="16"/>
  <c r="U15" i="16" s="1"/>
  <c r="AC15" i="16" s="1"/>
  <c r="R15" i="16"/>
  <c r="E27" i="14"/>
  <c r="E33" i="14"/>
  <c r="B31" i="14"/>
  <c r="S19" i="16"/>
  <c r="U19" i="16" s="1"/>
  <c r="AC19" i="16" s="1"/>
  <c r="R19" i="16"/>
  <c r="T16" i="16"/>
  <c r="B32" i="14"/>
  <c r="T7" i="16"/>
  <c r="S7" i="16"/>
  <c r="U7" i="16" s="1"/>
  <c r="AC7" i="16" s="1"/>
  <c r="R7" i="16"/>
  <c r="S23" i="16"/>
  <c r="U23" i="16" s="1"/>
  <c r="AC23" i="16" s="1"/>
  <c r="R23" i="16"/>
  <c r="I100" i="3"/>
  <c r="I95" i="3"/>
  <c r="H95" i="3"/>
  <c r="G100" i="3"/>
  <c r="AZ31" i="1"/>
  <c r="AZ11" i="1"/>
  <c r="AZ35" i="1"/>
  <c r="I98" i="3"/>
  <c r="F110" i="3"/>
  <c r="F102" i="3"/>
  <c r="G95" i="3"/>
  <c r="AZ15" i="1"/>
  <c r="Y29" i="1"/>
  <c r="AZ29" i="1" s="1"/>
  <c r="E56" i="3"/>
  <c r="AO14" i="2"/>
  <c r="Y24" i="1"/>
  <c r="AZ24" i="1" s="1"/>
  <c r="H106" i="3"/>
  <c r="F94" i="3"/>
  <c r="AZ32" i="1"/>
  <c r="Y21" i="1"/>
  <c r="AZ21" i="1" s="1"/>
  <c r="AN12" i="2"/>
  <c r="AO12" i="2" s="1"/>
  <c r="P88" i="3" s="1"/>
  <c r="G106" i="3"/>
  <c r="AY36" i="1"/>
  <c r="G108" i="3"/>
  <c r="E65" i="3"/>
  <c r="G98" i="3"/>
  <c r="H100" i="3"/>
  <c r="Y37" i="1"/>
  <c r="AZ37" i="1" s="1"/>
  <c r="H102" i="3"/>
  <c r="AY25" i="1"/>
  <c r="AY20" i="1"/>
  <c r="E59" i="3"/>
  <c r="E55" i="3"/>
  <c r="G110" i="3"/>
  <c r="E64" i="3"/>
  <c r="E53" i="3"/>
  <c r="H98" i="3"/>
  <c r="Y13" i="1"/>
  <c r="AZ13" i="1" s="1"/>
  <c r="E54" i="3"/>
  <c r="AN15" i="2"/>
  <c r="AO15" i="2" s="1"/>
  <c r="G102" i="3"/>
  <c r="AN10" i="2"/>
  <c r="AO10" i="2" s="1"/>
  <c r="Y12" i="1"/>
  <c r="AZ12" i="1" s="1"/>
  <c r="Y17" i="1"/>
  <c r="AZ17" i="1" s="1"/>
  <c r="H108" i="3"/>
  <c r="V131" i="2"/>
  <c r="V145" i="2"/>
  <c r="V129" i="2"/>
  <c r="AN61" i="2"/>
  <c r="Y88" i="1"/>
  <c r="AY96" i="1"/>
  <c r="Y82" i="1"/>
  <c r="Y36" i="1"/>
  <c r="AZ36" i="1" s="1"/>
  <c r="Y149" i="1"/>
  <c r="V93" i="2"/>
  <c r="V99" i="2"/>
  <c r="V59" i="2"/>
  <c r="V47" i="2"/>
  <c r="V30" i="2"/>
  <c r="Y120" i="1"/>
  <c r="AY125" i="1"/>
  <c r="V91" i="2"/>
  <c r="I86" i="3"/>
  <c r="AY136" i="1"/>
  <c r="V19" i="2"/>
  <c r="K89" i="3"/>
  <c r="Y25" i="1"/>
  <c r="AZ25" i="1" s="1"/>
  <c r="V10" i="2"/>
  <c r="V141" i="2"/>
  <c r="V133" i="2"/>
  <c r="N86" i="3"/>
  <c r="AY140" i="1"/>
  <c r="Y132" i="1"/>
  <c r="AN107" i="2"/>
  <c r="AY108" i="1"/>
  <c r="AY92" i="1"/>
  <c r="AY45" i="1"/>
  <c r="AY24" i="1"/>
  <c r="Y62" i="1"/>
  <c r="V76" i="2"/>
  <c r="V60" i="2"/>
  <c r="Y112" i="1"/>
  <c r="Y46" i="1"/>
  <c r="AZ46" i="1" s="1"/>
  <c r="V28" i="2"/>
  <c r="AY102" i="1"/>
  <c r="AY66" i="1"/>
  <c r="AZ7" i="1"/>
  <c r="AY60" i="1"/>
  <c r="AY44" i="1"/>
  <c r="Y151" i="1"/>
  <c r="AY144" i="1"/>
  <c r="AY152" i="1"/>
  <c r="AY37" i="1"/>
  <c r="AO5" i="2"/>
  <c r="P85" i="3" s="1"/>
  <c r="E52" i="3"/>
  <c r="AY52" i="1"/>
  <c r="AY13" i="1"/>
  <c r="I89" i="3"/>
  <c r="F29" i="3"/>
  <c r="AN70" i="2"/>
  <c r="V70" i="2"/>
  <c r="AN38" i="2"/>
  <c r="V38" i="2"/>
  <c r="AN58" i="2"/>
  <c r="V58" i="2"/>
  <c r="AN29" i="2"/>
  <c r="V29" i="2"/>
  <c r="AY29" i="1"/>
  <c r="N88" i="3"/>
  <c r="C89" i="3"/>
  <c r="AY141" i="1"/>
  <c r="E58" i="3"/>
  <c r="AN94" i="2"/>
  <c r="V94" i="2"/>
  <c r="AN46" i="2"/>
  <c r="V46" i="2"/>
  <c r="AN98" i="2"/>
  <c r="V98" i="2"/>
  <c r="AN42" i="2"/>
  <c r="V42" i="2"/>
  <c r="AN13" i="2"/>
  <c r="AO13" i="2" s="1"/>
  <c r="V13" i="2"/>
  <c r="Y133" i="1"/>
  <c r="AY21" i="1"/>
  <c r="AN9" i="2"/>
  <c r="AO9" i="2" s="1"/>
  <c r="V9" i="2"/>
  <c r="AN62" i="2"/>
  <c r="V62" i="2"/>
  <c r="AN54" i="2"/>
  <c r="V54" i="2"/>
  <c r="G93" i="3"/>
  <c r="B86" i="3"/>
  <c r="B85" i="3"/>
  <c r="L88" i="3"/>
  <c r="L86" i="3"/>
  <c r="AY137" i="1"/>
  <c r="I94" i="3"/>
  <c r="I93" i="3"/>
  <c r="H93" i="3"/>
  <c r="V149" i="2"/>
  <c r="L87" i="3"/>
  <c r="K86" i="3"/>
  <c r="K85" i="3"/>
  <c r="C85" i="3"/>
  <c r="I85" i="3"/>
  <c r="K87" i="3"/>
  <c r="E66" i="3"/>
  <c r="AY147" i="1"/>
  <c r="Y68" i="1"/>
  <c r="AY129" i="1"/>
  <c r="E42" i="3"/>
  <c r="AN106" i="2"/>
  <c r="V106" i="2"/>
  <c r="AN90" i="2"/>
  <c r="V90" i="2"/>
  <c r="AY128" i="1"/>
  <c r="AN17" i="2"/>
  <c r="AO17" i="2" s="1"/>
  <c r="V17" i="2"/>
  <c r="AN86" i="2"/>
  <c r="V86" i="2"/>
  <c r="J86" i="3"/>
  <c r="P86" i="3"/>
  <c r="F93" i="3"/>
  <c r="J89" i="3"/>
  <c r="D87" i="3"/>
  <c r="C86" i="3"/>
  <c r="L85" i="3"/>
  <c r="N85" i="3"/>
  <c r="D31" i="3"/>
  <c r="AY153" i="1"/>
  <c r="AY123" i="1"/>
  <c r="AN102" i="2"/>
  <c r="V102" i="2"/>
  <c r="AN78" i="2"/>
  <c r="V78" i="2"/>
  <c r="AN82" i="2"/>
  <c r="V82" i="2"/>
  <c r="AN66" i="2"/>
  <c r="V66" i="2"/>
  <c r="AN50" i="2"/>
  <c r="V50" i="2"/>
  <c r="AN34" i="2"/>
  <c r="V34" i="2"/>
  <c r="AN21" i="2"/>
  <c r="AO21" i="2" s="1"/>
  <c r="V21" i="2"/>
  <c r="AN74" i="2"/>
  <c r="V74" i="2"/>
  <c r="AN25" i="2"/>
  <c r="V25" i="2"/>
  <c r="F32" i="3"/>
  <c r="Y55" i="1"/>
  <c r="AY55" i="1"/>
  <c r="Y10" i="1"/>
  <c r="AZ10" i="1" s="1"/>
  <c r="P74" i="3" s="1"/>
  <c r="AY10" i="1"/>
  <c r="J81" i="3"/>
  <c r="B81" i="3"/>
  <c r="K80" i="3"/>
  <c r="C80" i="3"/>
  <c r="L79" i="3"/>
  <c r="D79" i="3"/>
  <c r="N78" i="3"/>
  <c r="I78" i="3"/>
  <c r="J77" i="3"/>
  <c r="B77" i="3"/>
  <c r="K76" i="3"/>
  <c r="C76" i="3"/>
  <c r="L75" i="3"/>
  <c r="D75" i="3"/>
  <c r="N74" i="3"/>
  <c r="I74" i="3"/>
  <c r="J73" i="3"/>
  <c r="B73" i="3"/>
  <c r="K72" i="3"/>
  <c r="C72" i="3"/>
  <c r="K81" i="3"/>
  <c r="I80" i="3"/>
  <c r="N79" i="3"/>
  <c r="C79" i="3"/>
  <c r="K78" i="3"/>
  <c r="B78" i="3"/>
  <c r="I77" i="3"/>
  <c r="N76" i="3"/>
  <c r="D76" i="3"/>
  <c r="K75" i="3"/>
  <c r="B75" i="3"/>
  <c r="J74" i="3"/>
  <c r="N73" i="3"/>
  <c r="D73" i="3"/>
  <c r="L72" i="3"/>
  <c r="B72" i="3"/>
  <c r="I81" i="3"/>
  <c r="N80" i="3"/>
  <c r="D80" i="3"/>
  <c r="K79" i="3"/>
  <c r="B79" i="3"/>
  <c r="J78" i="3"/>
  <c r="N77" i="3"/>
  <c r="D77" i="3"/>
  <c r="L76" i="3"/>
  <c r="B76" i="3"/>
  <c r="J75" i="3"/>
  <c r="D74" i="3"/>
  <c r="L73" i="3"/>
  <c r="C73" i="3"/>
  <c r="J72" i="3"/>
  <c r="N81" i="3"/>
  <c r="D81" i="3"/>
  <c r="L80" i="3"/>
  <c r="B80" i="3"/>
  <c r="J79" i="3"/>
  <c r="D78" i="3"/>
  <c r="L77" i="3"/>
  <c r="C77" i="3"/>
  <c r="J76" i="3"/>
  <c r="I75" i="3"/>
  <c r="L74" i="3"/>
  <c r="C74" i="3"/>
  <c r="K73" i="3"/>
  <c r="I72" i="3"/>
  <c r="L81" i="3"/>
  <c r="I79" i="3"/>
  <c r="K74" i="3"/>
  <c r="D72" i="3"/>
  <c r="J80" i="3"/>
  <c r="C78" i="3"/>
  <c r="N75" i="3"/>
  <c r="I73" i="3"/>
  <c r="C75" i="3"/>
  <c r="L78" i="3"/>
  <c r="B74" i="3"/>
  <c r="K77" i="3"/>
  <c r="N72" i="3"/>
  <c r="I76" i="3"/>
  <c r="C81" i="3"/>
  <c r="F31" i="3"/>
  <c r="F30" i="3"/>
  <c r="N87" i="3"/>
  <c r="I87" i="3"/>
  <c r="L89" i="3"/>
  <c r="D89" i="3"/>
  <c r="B88" i="3"/>
  <c r="N89" i="3"/>
  <c r="D32" i="3"/>
  <c r="Y48" i="1"/>
  <c r="AY48" i="1"/>
  <c r="E32" i="3"/>
  <c r="E31" i="3"/>
  <c r="E30" i="3"/>
  <c r="E29" i="3"/>
  <c r="AY5" i="1"/>
  <c r="AY38" i="1"/>
  <c r="Y38" i="1"/>
  <c r="AZ38" i="1" s="1"/>
  <c r="Y18" i="1"/>
  <c r="AZ18" i="1" s="1"/>
  <c r="AY18" i="1"/>
  <c r="Y22" i="1"/>
  <c r="AZ22" i="1" s="1"/>
  <c r="AY22" i="1"/>
  <c r="AN154" i="2"/>
  <c r="V154" i="2"/>
  <c r="AN150" i="2"/>
  <c r="V150" i="2"/>
  <c r="AN146" i="2"/>
  <c r="V146" i="2"/>
  <c r="AN142" i="2"/>
  <c r="V142" i="2"/>
  <c r="AN138" i="2"/>
  <c r="V138" i="2"/>
  <c r="AN134" i="2"/>
  <c r="V134" i="2"/>
  <c r="AN130" i="2"/>
  <c r="V130" i="2"/>
  <c r="AN126" i="2"/>
  <c r="V126" i="2"/>
  <c r="AN122" i="2"/>
  <c r="V122" i="2"/>
  <c r="AN118" i="2"/>
  <c r="V118" i="2"/>
  <c r="AN114" i="2"/>
  <c r="V114" i="2"/>
  <c r="AN110" i="2"/>
  <c r="V110" i="2"/>
  <c r="E113" i="3"/>
  <c r="D88" i="3"/>
  <c r="I88" i="3"/>
  <c r="P87" i="3"/>
  <c r="J87" i="3"/>
  <c r="P89" i="3"/>
  <c r="J88" i="3"/>
  <c r="D29" i="3"/>
  <c r="F5" i="3"/>
  <c r="Y47" i="1"/>
  <c r="AY47" i="1"/>
  <c r="Y30" i="1"/>
  <c r="AY30" i="1"/>
  <c r="AY14" i="1"/>
  <c r="Y14" i="1"/>
  <c r="AY139" i="1"/>
  <c r="AN152" i="2"/>
  <c r="V152" i="2"/>
  <c r="AN148" i="2"/>
  <c r="V148" i="2"/>
  <c r="AN144" i="2"/>
  <c r="V144" i="2"/>
  <c r="AN140" i="2"/>
  <c r="V140" i="2"/>
  <c r="AN136" i="2"/>
  <c r="V136" i="2"/>
  <c r="AN132" i="2"/>
  <c r="V132" i="2"/>
  <c r="AN128" i="2"/>
  <c r="V128" i="2"/>
  <c r="AN124" i="2"/>
  <c r="V124" i="2"/>
  <c r="AN120" i="2"/>
  <c r="V120" i="2"/>
  <c r="AN116" i="2"/>
  <c r="V116" i="2"/>
  <c r="AN112" i="2"/>
  <c r="V112" i="2"/>
  <c r="AN108" i="2"/>
  <c r="V108" i="2"/>
  <c r="Y39" i="1"/>
  <c r="AZ39" i="1" s="1"/>
  <c r="AY39" i="1"/>
  <c r="K113" i="3"/>
  <c r="B87" i="3"/>
  <c r="B89" i="3"/>
  <c r="K88" i="3"/>
  <c r="C88" i="3"/>
  <c r="C87" i="3"/>
  <c r="D30" i="3"/>
  <c r="H5" i="3"/>
  <c r="Y143" i="1"/>
  <c r="AY143" i="1"/>
  <c r="Y135" i="1"/>
  <c r="AY135" i="1"/>
  <c r="Y127" i="1"/>
  <c r="AY127" i="1"/>
  <c r="Y56" i="1"/>
  <c r="AY56" i="1"/>
  <c r="Y40" i="1"/>
  <c r="AZ40" i="1" s="1"/>
  <c r="AY40" i="1"/>
  <c r="Y34" i="1"/>
  <c r="AY34" i="1"/>
  <c r="J5" i="3"/>
  <c r="Y26" i="1"/>
  <c r="AZ26" i="1" s="1"/>
  <c r="AY26" i="1"/>
  <c r="H94" i="3"/>
  <c r="G94" i="3"/>
  <c r="AY6" i="1"/>
  <c r="Y6" i="1"/>
  <c r="AZ6" i="1" s="1"/>
  <c r="C33" i="3"/>
  <c r="AY131" i="1"/>
  <c r="AZ28" i="1" l="1"/>
  <c r="N122" i="14"/>
  <c r="T25" i="16"/>
  <c r="U5" i="16"/>
  <c r="AC5" i="16" s="1"/>
  <c r="B23" i="14" s="1"/>
  <c r="E46" i="3"/>
  <c r="N126" i="14"/>
  <c r="Q119" i="14"/>
  <c r="T9" i="16"/>
  <c r="D27" i="14" s="1"/>
  <c r="J13" i="14"/>
  <c r="C13" i="14" s="1"/>
  <c r="P79" i="3"/>
  <c r="N121" i="14"/>
  <c r="Q132" i="14"/>
  <c r="P81" i="3"/>
  <c r="Q126" i="14"/>
  <c r="P80" i="3"/>
  <c r="Q130" i="14"/>
  <c r="P76" i="3"/>
  <c r="Q129" i="14"/>
  <c r="Q120" i="14"/>
  <c r="Q122" i="14"/>
  <c r="Q117" i="14"/>
  <c r="D32" i="14"/>
  <c r="T23" i="16"/>
  <c r="D30" i="14" s="1"/>
  <c r="F27" i="14"/>
  <c r="F28" i="14"/>
  <c r="F113" i="3"/>
  <c r="T13" i="16"/>
  <c r="T19" i="16"/>
  <c r="T15" i="16"/>
  <c r="T11" i="16"/>
  <c r="T17" i="16"/>
  <c r="AZ34" i="1"/>
  <c r="J28" i="14"/>
  <c r="C28" i="14" s="1"/>
  <c r="J27" i="16"/>
  <c r="F33" i="14"/>
  <c r="T27" i="16"/>
  <c r="F31" i="14"/>
  <c r="J31" i="14"/>
  <c r="C31" i="14" s="1"/>
  <c r="B16" i="14"/>
  <c r="F30" i="14"/>
  <c r="J30" i="14"/>
  <c r="C30" i="14" s="1"/>
  <c r="D37" i="14"/>
  <c r="F32" i="14"/>
  <c r="J32" i="14"/>
  <c r="C32" i="14" s="1"/>
  <c r="F29" i="14"/>
  <c r="J29" i="14"/>
  <c r="C29" i="14" s="1"/>
  <c r="P73" i="3"/>
  <c r="AZ30" i="1"/>
  <c r="AZ14" i="1"/>
  <c r="P77" i="3"/>
  <c r="H113" i="3"/>
  <c r="P78" i="3"/>
  <c r="I113" i="3"/>
  <c r="G31" i="3"/>
  <c r="G113" i="3"/>
  <c r="P72" i="3"/>
  <c r="L47" i="3"/>
  <c r="L52" i="3"/>
  <c r="L56" i="3"/>
  <c r="L34" i="3"/>
  <c r="L33" i="3"/>
  <c r="L31" i="3"/>
  <c r="L44" i="3"/>
  <c r="L53" i="3"/>
  <c r="L42" i="3"/>
  <c r="L32" i="3"/>
  <c r="L48" i="3"/>
  <c r="L38" i="3"/>
  <c r="L39" i="3"/>
  <c r="L43" i="3"/>
  <c r="L51" i="3"/>
  <c r="L45" i="3"/>
  <c r="L54" i="3"/>
  <c r="L55" i="3"/>
  <c r="L46" i="3"/>
  <c r="L29" i="3"/>
  <c r="L37" i="3"/>
  <c r="L36" i="3"/>
  <c r="L50" i="3"/>
  <c r="L35" i="3"/>
  <c r="L49" i="3"/>
  <c r="L30" i="3"/>
  <c r="L41" i="3"/>
  <c r="L40" i="3"/>
  <c r="G32" i="3"/>
  <c r="K25" i="3"/>
  <c r="F33" i="3"/>
  <c r="K24" i="3"/>
  <c r="E33" i="3"/>
  <c r="G29" i="3"/>
  <c r="D33" i="3"/>
  <c r="K23" i="3"/>
  <c r="G30" i="3"/>
  <c r="K19" i="3"/>
  <c r="K20" i="3"/>
  <c r="K21" i="3"/>
  <c r="P5" i="3"/>
  <c r="P75" i="3"/>
  <c r="B21" i="14" l="1"/>
  <c r="J19" i="14"/>
  <c r="B13" i="14"/>
  <c r="B15" i="14"/>
  <c r="B20" i="14"/>
  <c r="H119" i="14"/>
  <c r="J119" i="14" s="1"/>
  <c r="K119" i="14" s="1"/>
  <c r="L119" i="14" s="1"/>
  <c r="B22" i="14"/>
  <c r="H133" i="14"/>
  <c r="J133" i="14" s="1"/>
  <c r="H135" i="14"/>
  <c r="J135" i="14" s="1"/>
  <c r="K135" i="14" s="1"/>
  <c r="L135" i="14" s="1"/>
  <c r="H126" i="14"/>
  <c r="J126" i="14" s="1"/>
  <c r="K126" i="14" s="1"/>
  <c r="L126" i="14" s="1"/>
  <c r="O126" i="14" s="1"/>
  <c r="P126" i="14" s="1"/>
  <c r="H122" i="14"/>
  <c r="J122" i="14" s="1"/>
  <c r="K122" i="14" s="1"/>
  <c r="L122" i="14" s="1"/>
  <c r="O122" i="14" s="1"/>
  <c r="P122" i="14" s="1"/>
  <c r="H118" i="14"/>
  <c r="J118" i="14" s="1"/>
  <c r="K118" i="14" s="1"/>
  <c r="L118" i="14" s="1"/>
  <c r="H129" i="14"/>
  <c r="J129" i="14" s="1"/>
  <c r="K129" i="14" s="1"/>
  <c r="L129" i="14" s="1"/>
  <c r="H131" i="14"/>
  <c r="J131" i="14" s="1"/>
  <c r="K131" i="14" s="1"/>
  <c r="L131" i="14" s="1"/>
  <c r="H125" i="14"/>
  <c r="H121" i="14"/>
  <c r="J121" i="14" s="1"/>
  <c r="H117" i="14"/>
  <c r="J117" i="14" s="1"/>
  <c r="K117" i="14" s="1"/>
  <c r="H134" i="14"/>
  <c r="H136" i="14"/>
  <c r="H128" i="14"/>
  <c r="H124" i="14"/>
  <c r="J124" i="14" s="1"/>
  <c r="K124" i="14" s="1"/>
  <c r="L124" i="14" s="1"/>
  <c r="H120" i="14"/>
  <c r="J120" i="14" s="1"/>
  <c r="K120" i="14" s="1"/>
  <c r="L120" i="14" s="1"/>
  <c r="H130" i="14"/>
  <c r="J130" i="14" s="1"/>
  <c r="K130" i="14" s="1"/>
  <c r="L130" i="14" s="1"/>
  <c r="H132" i="14"/>
  <c r="J132" i="14" s="1"/>
  <c r="K132" i="14" s="1"/>
  <c r="L132" i="14" s="1"/>
  <c r="H127" i="14"/>
  <c r="H123" i="14"/>
  <c r="D29" i="14"/>
  <c r="D28" i="14"/>
  <c r="E37" i="14"/>
  <c r="J106" i="3"/>
  <c r="K52" i="3"/>
  <c r="E40" i="3"/>
  <c r="J22" i="16" s="1"/>
  <c r="J107" i="3"/>
  <c r="J97" i="3"/>
  <c r="K51" i="3"/>
  <c r="K32" i="3"/>
  <c r="K36" i="3"/>
  <c r="K37" i="3"/>
  <c r="K29" i="3"/>
  <c r="J109" i="3"/>
  <c r="J29" i="16"/>
  <c r="J101" i="3"/>
  <c r="D31" i="14"/>
  <c r="K54" i="3"/>
  <c r="J25" i="16"/>
  <c r="J24" i="16"/>
  <c r="J104" i="3"/>
  <c r="J93" i="3"/>
  <c r="K46" i="3"/>
  <c r="L5" i="3"/>
  <c r="J21" i="16" s="1"/>
  <c r="K43" i="3"/>
  <c r="J18" i="16"/>
  <c r="B17" i="14"/>
  <c r="K39" i="3"/>
  <c r="J100" i="3"/>
  <c r="J96" i="3"/>
  <c r="K33" i="3"/>
  <c r="K50" i="3"/>
  <c r="K49" i="3"/>
  <c r="J111" i="3"/>
  <c r="E49" i="3"/>
  <c r="C33" i="14"/>
  <c r="J19" i="16"/>
  <c r="K44" i="3"/>
  <c r="K42" i="3"/>
  <c r="J103" i="3"/>
  <c r="J99" i="3"/>
  <c r="J105" i="3"/>
  <c r="J98" i="3"/>
  <c r="K40" i="3"/>
  <c r="K35" i="3"/>
  <c r="K55" i="3"/>
  <c r="K56" i="3"/>
  <c r="K41" i="3"/>
  <c r="K34" i="3"/>
  <c r="J112" i="3"/>
  <c r="J110" i="3"/>
  <c r="N5" i="3"/>
  <c r="K38" i="3"/>
  <c r="J94" i="3"/>
  <c r="J102" i="3"/>
  <c r="J108" i="3"/>
  <c r="J95" i="3"/>
  <c r="K45" i="3"/>
  <c r="K48" i="3"/>
  <c r="K47" i="3"/>
  <c r="K31" i="3"/>
  <c r="K30" i="3"/>
  <c r="K53" i="3"/>
  <c r="J136" i="14" l="1"/>
  <c r="K136" i="14" s="1"/>
  <c r="L136" i="14" s="1"/>
  <c r="Q136" i="14"/>
  <c r="Q125" i="14"/>
  <c r="J125" i="14"/>
  <c r="K125" i="14" s="1"/>
  <c r="L125" i="14" s="1"/>
  <c r="Q112" i="14"/>
  <c r="Q110" i="14"/>
  <c r="Q111" i="14"/>
  <c r="Q123" i="14"/>
  <c r="J123" i="14"/>
  <c r="K123" i="14" s="1"/>
  <c r="L123" i="14" s="1"/>
  <c r="J134" i="14"/>
  <c r="K134" i="14" s="1"/>
  <c r="L134" i="14" s="1"/>
  <c r="Q134" i="14"/>
  <c r="Q127" i="14"/>
  <c r="J127" i="14"/>
  <c r="K127" i="14" s="1"/>
  <c r="L127" i="14" s="1"/>
  <c r="L117" i="14"/>
  <c r="Q128" i="14"/>
  <c r="J128" i="14"/>
  <c r="K128" i="14" s="1"/>
  <c r="L128" i="14" s="1"/>
  <c r="D33" i="14"/>
  <c r="B19" i="14"/>
  <c r="J113" i="3"/>
  <c r="Q108" i="14" l="1"/>
  <c r="Q10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Aline Meireles</author>
  </authors>
  <commentList>
    <comment ref="A4" authorId="0" shapeId="0" xr:uid="{00000000-0006-0000-0000-000001000000}">
      <text>
        <r>
          <rPr>
            <sz val="10"/>
            <rFont val="Arial"/>
            <family val="2"/>
          </rPr>
          <t>Código único do risco (ex.: R1, R2). É a chave do vínculo com planos, KRI e Contexto.</t>
        </r>
      </text>
    </comment>
    <comment ref="B4" authorId="0" shapeId="0" xr:uid="{00000000-0006-0000-0000-000002000000}">
      <text>
        <r>
          <rPr>
            <sz val="10"/>
            <rFont val="Arial"/>
            <family val="2"/>
          </rPr>
          <t>Processo/setor responsável (lista em Critérios; use os nomes do macrofluxo de processos da empresa).</t>
        </r>
      </text>
    </comment>
    <comment ref="C4" authorId="0" shapeId="0" xr:uid="{00000000-0006-0000-0000-000003000000}">
      <text>
        <r>
          <rPr>
            <sz val="10"/>
            <rFont val="Arial"/>
            <family val="2"/>
          </rPr>
          <t>O que pode acontecer e ameaça um objetivo. Sugestão: 'X pode ocorrer por Y, causando Z'. Um risco = um evento + a consequência mais crítica plausível; defina o cenário ANTES de pontuar (a classificação depende de como o risco é descrito — ISO 31010 §B.10.3).</t>
        </r>
      </text>
    </comment>
    <comment ref="D4" authorId="0" shapeId="0" xr:uid="{00000000-0006-0000-0000-000004000000}">
      <text>
        <r>
          <rPr>
            <sz val="10"/>
            <rFont val="Arial"/>
            <family val="2"/>
          </rPr>
          <t>De onde veio: PESTEL/SWOT, partes interessadas, AIA, perigos SST, mudança, auditoria, entrevista/checklist, incidente, RNC, requisito legal, efeito de outro tratamento. Aceita texto livre.</t>
        </r>
      </text>
    </comment>
    <comment ref="E4" authorId="0" shapeId="0" xr:uid="{00000000-0006-0000-0000-000005000000}">
      <text>
        <r>
          <rPr>
            <sz val="10"/>
            <rFont val="Arial"/>
            <family val="2"/>
          </rPr>
          <t>Tipo (PMBOK, adaptado no curso): Técnico (desempenho do processo/produto), Práticas de gerenciamento, Organizacional (conflitos internos) ou Externo (fora do controle da organização). 'Externo' = questão externa (ISO 9001 §4.1).</t>
        </r>
      </text>
    </comment>
    <comment ref="F4" authorId="0" shapeId="0" xr:uid="{00000000-0006-0000-0000-000006000000}">
      <text>
        <r>
          <rPr>
            <sz val="10"/>
            <rFont val="Arial"/>
            <family val="2"/>
          </rPr>
          <t>Nível em que o risco é analisado: Estratégico (direção), Gerencial (processo), Operacional (atividade) ou Projeto. Não misture níveis na mesma lista de prioridades (Umbrex; ISO 31000 §6.1; Konrad: estratégico, gerencial e operacional).</t>
        </r>
      </text>
    </comment>
    <comment ref="G4" authorId="0" shapeId="0" xr:uid="{00000000-0006-0000-0000-000007000000}">
      <text>
        <r>
          <rPr>
            <sz val="10"/>
            <rFont val="Arial"/>
            <family val="2"/>
          </rPr>
          <t>Objetivo (estratégico, da qualidade ou gerencial) que o risco ameaça. Risco = efeito da incerteza sobre os objetivos.</t>
        </r>
      </text>
    </comment>
    <comment ref="H4" authorId="0" shapeId="0" xr:uid="{00000000-0006-0000-0000-000008000000}">
      <text>
        <r>
          <rPr>
            <sz val="10"/>
            <rFont val="Arial"/>
            <family val="2"/>
          </rPr>
          <t>Novo, Mantido ou Alterado em relação à análise anterior.</t>
        </r>
      </text>
    </comment>
    <comment ref="I4" authorId="0" shapeId="0" xr:uid="{00000000-0006-0000-0000-000009000000}">
      <text>
        <r>
          <rPr>
            <sz val="10"/>
            <rFont val="Arial"/>
            <family val="2"/>
          </rPr>
          <t>Parte interessada que pode ser afetada (lista da aba Contexto; ISO 9001 §4.2; ISO 31000 §6.2 consulta).</t>
        </r>
      </text>
    </comment>
    <comment ref="J4" authorId="0" shapeId="0" xr:uid="{00000000-0006-0000-0000-00000A000000}">
      <text>
        <r>
          <rPr>
            <sz val="10"/>
            <rFont val="Arial"/>
            <family val="2"/>
          </rPr>
          <t>Causa raiz. Use os 5 porquês ou o diagrama de Ishikawa.</t>
        </r>
      </text>
    </comment>
    <comment ref="K4" authorId="0" shapeId="0" xr:uid="{00000000-0006-0000-0000-00000B000000}">
      <text>
        <r>
          <rPr>
            <sz val="10"/>
            <rFont val="Arial"/>
            <family val="2"/>
          </rPr>
          <t>Categoria da causa (Ishikawa 6M): Método, Máquina, Mão de obra, Material, Meio ambiente ou Medida.</t>
        </r>
      </text>
    </comment>
    <comment ref="L4" authorId="0" shapeId="0" xr:uid="{00000000-0006-0000-0000-00000C000000}">
      <text>
        <r>
          <rPr>
            <sz val="10"/>
            <rFont val="Arial"/>
            <family val="2"/>
          </rPr>
          <t>O que acontecerá com a organização se o risco ocorrer (descrição do impacto). Considere efeitos em cascata (ISO 31000 §3.6, nota 3).</t>
        </r>
      </text>
    </comment>
    <comment ref="M4" authorId="0" shapeId="0" xr:uid="{00000000-0006-0000-0000-00000D000000}">
      <text>
        <r>
          <rPr>
            <sz val="10"/>
            <rFont val="Arial"/>
            <family val="2"/>
          </rPr>
          <t>Escolha a categoria: o impacto (1 a 5) é lido na escala dela (Critérios). Havendo mais de uma, use a de maior impacto. Cada categoria tem seu apetite ao risco.</t>
        </r>
      </text>
    </comment>
    <comment ref="N4" authorId="0" shapeId="0" xr:uid="{00000000-0006-0000-0000-00000E000000}">
      <text>
        <r>
          <rPr>
            <sz val="10"/>
            <rFont val="Arial"/>
            <family val="2"/>
          </rPr>
          <t>1 a 5 conforme a escala em % (Critérios), para a consequência ESPECIFICADA no risco (não do evento em geral). INERENTE = premissa: nenhum controle funciona (ISO 31010 §6.3.7.1). Coluna de referência.</t>
        </r>
      </text>
    </comment>
    <comment ref="O4" authorId="0" shapeId="0" xr:uid="{00000000-0006-0000-0000-00000F000000}">
      <text>
        <r>
          <rPr>
            <sz val="10"/>
            <rFont val="Arial"/>
            <family val="2"/>
          </rPr>
          <t>1 a 5 na categoria escolhida. Impacto 5 nunca fica abaixo do nível mínimo definido em Critérios.</t>
        </r>
      </text>
    </comment>
    <comment ref="P4" authorId="0" shapeId="0" xr:uid="{00000000-0006-0000-0000-000010000000}">
      <text>
        <r>
          <rPr>
            <sz val="10"/>
            <rFont val="Arial"/>
            <family val="2"/>
          </rPr>
          <t>Automático: Probabilidade × Impacto.</t>
        </r>
      </text>
    </comment>
    <comment ref="Q4" authorId="0" shapeId="0" xr:uid="{00000000-0006-0000-0000-000011000000}">
      <text>
        <r>
          <rPr>
            <sz val="10"/>
            <rFont val="Arial"/>
            <family val="2"/>
          </rPr>
          <t>Automático, pelos limites de score definidos em Critérios.</t>
        </r>
      </text>
    </comment>
    <comment ref="R4" authorId="0" shapeId="0" xr:uid="{00000000-0006-0000-0000-000012000000}">
      <text>
        <r>
          <rPr>
            <sz val="10"/>
            <rFont val="Arial"/>
            <family val="2"/>
          </rPr>
          <t>Controles que já existem hoje (preventivos, detectivos ou corretivos).</t>
        </r>
      </text>
    </comment>
    <comment ref="S4" authorId="0" shapeId="0" xr:uid="{00000000-0006-0000-0000-000013000000}">
      <text>
        <r>
          <rPr>
            <sz val="10"/>
            <rFont val="Arial"/>
            <family val="2"/>
          </rPr>
          <t>Alta, Média, Baixa ou Inexistente. Controle de detecção fraco = probabilidade atual maior.</t>
        </r>
      </text>
    </comment>
    <comment ref="T4" authorId="0" shapeId="0" xr:uid="{00000000-0006-0000-0000-000014000000}">
      <text>
        <r>
          <rPr>
            <sz val="10"/>
            <rFont val="Arial"/>
            <family val="2"/>
          </rPr>
          <t>RISCO ATUAL: reavalie a probabilidade com os controles que existem hoje (ISO 31000 §6.4.3). É ele que decide se é preciso tratar.</t>
        </r>
      </text>
    </comment>
    <comment ref="U4" authorId="0" shapeId="0" xr:uid="{00000000-0006-0000-0000-000015000000}">
      <text>
        <r>
          <rPr>
            <sz val="10"/>
            <rFont val="Arial"/>
            <family val="2"/>
          </rPr>
          <t>RISCO ATUAL: impacto com os controles existentes (controles de mitigação reduzem o impacto).</t>
        </r>
      </text>
    </comment>
    <comment ref="V4" authorId="0" shapeId="0" xr:uid="{00000000-0006-0000-0000-000016000000}">
      <text>
        <r>
          <rPr>
            <sz val="10"/>
            <rFont val="Arial"/>
            <family val="2"/>
          </rPr>
          <t>Automático.</t>
        </r>
      </text>
    </comment>
    <comment ref="W4" authorId="0" shapeId="0" xr:uid="{00000000-0006-0000-0000-000017000000}">
      <text>
        <r>
          <rPr>
            <sz val="10"/>
            <rFont val="Arial"/>
            <family val="2"/>
          </rPr>
          <t>Automático. Define a ação recomendada e, comparado ao apetite da categoria, a exigência de tratamento.</t>
        </r>
      </text>
    </comment>
    <comment ref="X4" authorId="0" shapeId="0" xr:uid="{00000000-0006-0000-0000-000018000000}">
      <text>
        <r>
          <rPr>
            <sz val="10"/>
            <rFont val="Arial"/>
            <family val="2"/>
          </rPr>
          <t>Confiança na estimativa: Alta (dados/medições), Média (histórico parcial), Baixa (opinião). Confiança baixa pede aprofundar a análise (ISO 31000 §6.4.2-6.4.3; ISO 31010 §6.4.2).</t>
        </r>
      </text>
    </comment>
    <comment ref="Y4" authorId="0" shapeId="0" xr:uid="{00000000-0006-0000-0000-000019000000}">
      <text>
        <r>
          <rPr>
            <sz val="10"/>
            <rFont val="Arial"/>
            <family val="2"/>
          </rPr>
          <t>Automática pelo nível ATUAL: Prevenir (eliminar), Mitigar (reduzir prob./impacto) ou Monitorar.</t>
        </r>
      </text>
    </comment>
    <comment ref="Z4" authorId="0" shapeId="0" xr:uid="{00000000-0006-0000-0000-00001A000000}">
      <text>
        <r>
          <rPr>
            <sz val="10"/>
            <rFont val="Arial"/>
            <family val="2"/>
          </rPr>
          <t>Decisão tomada. 'Aprofundar análise' = compreender melhor o risco antes de investir (curso M5). Monitorar/Aceitar abaixo da recomendada exige aprovação.</t>
        </r>
      </text>
    </comment>
    <comment ref="AA4" authorId="0" shapeId="0" xr:uid="{00000000-0006-0000-0000-00001B000000}">
      <text>
        <r>
          <rPr>
            <sz val="10"/>
            <rFont val="Arial"/>
            <family val="2"/>
          </rPr>
          <t>Hierarquia do controle principal do tratamento: Eliminação &gt; Substituição &gt; Controle de engenharia &gt; Controle administrativo &gt; EPI (ISO 45001 §8.1.2; curso M6). Risco Alto/Crítico tratado só com administrativo ou EPI gera 'Rever hierarquia de controle'.</t>
        </r>
      </text>
    </comment>
    <comment ref="AB4" authorId="0" shapeId="0" xr:uid="{00000000-0006-0000-0000-00001C000000}">
      <text>
        <r>
          <rPr>
            <sz val="10"/>
            <rFont val="Arial"/>
            <family val="2"/>
          </rPr>
          <t>Aceite é por tempo determinado (ISO 31010 §6.5.2): informe até quando o risco é aceito (ex.: até concluir o plano). Vencida a data, o alerta 'Aceite vencido' pede reconsideração.</t>
        </r>
      </text>
    </comment>
    <comment ref="AC4" authorId="0" shapeId="0" xr:uid="{00000000-0006-0000-0000-00001D000000}">
      <text>
        <r>
          <rPr>
            <sz val="10"/>
            <rFont val="Arial"/>
            <family val="2"/>
          </rPr>
          <t>Resumo em uma linha. Quem, o quê, por quê, quando, como e quanto ficam no plano de ação.</t>
        </r>
      </text>
    </comment>
    <comment ref="AD4" authorId="0" shapeId="0" xr:uid="{00000000-0006-0000-0000-00001E000000}">
      <text>
        <r>
          <rPr>
            <sz val="10"/>
            <rFont val="Arial"/>
            <family val="2"/>
          </rPr>
          <t>Quem responde pelo risco (autoridade). Diferente de quem executa a ação.</t>
        </r>
      </text>
    </comment>
    <comment ref="AE4" authorId="0" shapeId="0" xr:uid="{00000000-0006-0000-0000-00001F000000}">
      <text>
        <r>
          <rPr>
            <sz val="10"/>
            <rFont val="Arial"/>
            <family val="2"/>
          </rPr>
          <t>Quem executa a ação.</t>
        </r>
      </text>
    </comment>
    <comment ref="AF4" authorId="0" shapeId="0" xr:uid="{00000000-0006-0000-0000-000020000000}">
      <text>
        <r>
          <rPr>
            <sz val="10"/>
            <rFont val="Arial"/>
            <family val="2"/>
          </rPr>
          <t>Só para ação simples, sem código de plano. Com código, o prazo vem do plano.</t>
        </r>
      </text>
    </comment>
    <comment ref="AG4" authorId="0" shapeId="0" xr:uid="{00000000-0006-0000-0000-000021000000}">
      <text>
        <r>
          <rPr>
            <sz val="10"/>
            <rFont val="Arial"/>
            <family val="2"/>
          </rPr>
          <t>Só para ação simples, sem código de plano. Com código, o status vem do plano.</t>
        </r>
      </text>
    </comment>
    <comment ref="AH4" authorId="0" shapeId="0" xr:uid="{00000000-0006-0000-0000-000022000000}">
      <text>
        <r>
          <rPr>
            <sz val="10"/>
            <rFont val="Arial"/>
            <family val="2"/>
          </rPr>
          <t>Defina ANTES de executar como saberemos que funcionou (ex.: 'zero paradas por falta de energia até o fim do ano'). ISO 31000 §6.5.3 pede as medidas de desempenho; curso M6 §2.1.1.</t>
        </r>
      </text>
    </comment>
    <comment ref="AI4" authorId="0" shapeId="0" xr:uid="{00000000-0006-0000-0000-000023000000}">
      <text>
        <r>
          <rPr>
            <sz val="10"/>
            <rFont val="Arial"/>
            <family val="2"/>
          </rPr>
          <t>PAC AAAANN (plano de ação) ou RNC AAAANN (não conformidade). Ex.: PAC 202601. Fica vermelho se não estiver na aba Planos.</t>
        </r>
      </text>
    </comment>
    <comment ref="AJ4" authorId="0" shapeId="0" xr:uid="{00000000-0006-0000-0000-000024000000}">
      <text>
        <r>
          <rPr>
            <sz val="10"/>
            <rFont val="Arial"/>
            <family val="2"/>
          </rPr>
          <t>Link para o plano (configure o endereço em Critérios).</t>
        </r>
      </text>
    </comment>
    <comment ref="AK4" authorId="0" shapeId="0" xr:uid="{00000000-0006-0000-0000-000025000000}">
      <text>
        <r>
          <rPr>
            <sz val="10"/>
            <rFont val="Arial"/>
            <family val="2"/>
          </rPr>
          <t>Automático: vem do plano quando há código; senão, da coluna de ação simples.</t>
        </r>
      </text>
    </comment>
    <comment ref="AL4" authorId="0" shapeId="0" xr:uid="{00000000-0006-0000-0000-000026000000}">
      <text>
        <r>
          <rPr>
            <sz val="10"/>
            <rFont val="Arial"/>
            <family val="2"/>
          </rPr>
          <t>Automático: vem do plano quando há código; senão, da coluna de ação simples.</t>
        </r>
      </text>
    </comment>
    <comment ref="AM4" authorId="0" shapeId="0" xr:uid="{00000000-0006-0000-0000-000027000000}">
      <text>
        <r>
          <rPr>
            <sz val="10"/>
            <rFont val="Arial"/>
            <family val="2"/>
          </rPr>
          <t>Data em que a eficácia pode ser verificada (ex.: após 12 meses sem parada). Vencida a data sem avaliação, dispara 'Avaliar eficácia'.</t>
        </r>
      </text>
    </comment>
    <comment ref="AN4" authorId="0" shapeId="0" xr:uid="{00000000-0006-0000-0000-000028000000}">
      <text>
        <r>
          <rPr>
            <sz val="10"/>
            <rFont val="Arial"/>
            <family val="2"/>
          </rPr>
          <t>Direção e gerentes avaliam contra o critério de eficácia: Eficaz, Não eficaz ou Pendente (ISO 31000 §6.5.1; ISO 9001 §9.1.3 e; 9.3.2 e).</t>
        </r>
      </text>
    </comment>
    <comment ref="AO4" authorId="0" shapeId="0" xr:uid="{00000000-0006-0000-0000-000029000000}">
      <text>
        <r>
          <rPr>
            <sz val="10"/>
            <rFont val="Arial"/>
            <family val="2"/>
          </rPr>
          <t>Data em que a eficácia foi avaliada.</t>
        </r>
      </text>
    </comment>
    <comment ref="AP4" authorId="0" shapeId="0" xr:uid="{00000000-0006-0000-0000-00002A000000}">
      <text>
        <r>
          <rPr>
            <sz val="10"/>
            <rFont val="Arial"/>
            <family val="2"/>
          </rPr>
          <t>RESIDUAL = risco que sobra APÓS o tratamento (ISO 31000 §6.5.2, 'risco remanescente'). Antes da eficácia ser avaliada, é a META do plano; depois, o valor real.</t>
        </r>
      </text>
    </comment>
    <comment ref="AQ4" authorId="0" shapeId="0" xr:uid="{00000000-0006-0000-0000-00002B000000}">
      <text>
        <r>
          <rPr>
            <sz val="10"/>
            <rFont val="Arial"/>
            <family val="2"/>
          </rPr>
          <t>Impacto residual após o tratamento. Só preencha se houver ação, plano ou RNC em curso ou concluído.</t>
        </r>
      </text>
    </comment>
    <comment ref="AR4" authorId="0" shapeId="0" xr:uid="{00000000-0006-0000-0000-00002C000000}">
      <text>
        <r>
          <rPr>
            <sz val="10"/>
            <rFont val="Arial"/>
            <family val="2"/>
          </rPr>
          <t>Automático.</t>
        </r>
      </text>
    </comment>
    <comment ref="AS4" authorId="0" shapeId="0" xr:uid="{00000000-0006-0000-0000-00002D000000}">
      <text>
        <r>
          <rPr>
            <sz val="10"/>
            <rFont val="Arial"/>
            <family val="2"/>
          </rPr>
          <t>Automático.</t>
        </r>
      </text>
    </comment>
    <comment ref="AT4" authorId="0" shapeId="0" xr:uid="{00000000-0006-0000-0000-00002E000000}">
      <text>
        <r>
          <rPr>
            <sz val="10"/>
            <rFont val="Arial"/>
            <family val="2"/>
          </rPr>
          <t>Decisão de quem tem autoridade: o risco remanescente é aceitável (dentro do apetite) e o tratamento não criou novos riscos? (ISO 31000 §6.5.1-6.5.2; ISO 31010 §6.5.2). 'Não' gera 'Tratamento adicional'.</t>
        </r>
      </text>
    </comment>
    <comment ref="AU4" authorId="0" shapeId="0" xr:uid="{00000000-0006-0000-0000-00002F000000}">
      <text>
        <r>
          <rPr>
            <sz val="10"/>
            <rFont val="Arial"/>
            <family val="2"/>
          </rPr>
          <t>Indicador ou gatilho que sinaliza aumento do risco. Numéricos vão na aba KRI, com limite e tendência (curso M6 §2.1.4).</t>
        </r>
      </text>
    </comment>
    <comment ref="AV4" authorId="0" shapeId="0" xr:uid="{00000000-0006-0000-0000-000030000000}">
      <text>
        <r>
          <rPr>
            <sz val="10"/>
            <rFont val="Arial"/>
            <family val="2"/>
          </rPr>
          <t>Quantas vezes o risco se materializou nos últimos 12 meses (incidente, RNC, reclamação). Serve para validar a probabilidade estimada (ISO 31010 §6.4.3).</t>
        </r>
      </text>
    </comment>
    <comment ref="AW4" authorId="0" shapeId="0" xr:uid="{00000000-0006-0000-0000-000031000000}">
      <text>
        <r>
          <rPr>
            <sz val="10"/>
            <rFont val="Arial"/>
            <family val="2"/>
          </rPr>
          <t>Data da última avaliação. Define a próxima revisão conforme o nível.</t>
        </r>
      </text>
    </comment>
    <comment ref="AX4" authorId="0" shapeId="0" xr:uid="{00000000-0006-0000-0000-000032000000}">
      <text>
        <r>
          <rPr>
            <sz val="10"/>
            <rFont val="Arial"/>
            <family val="2"/>
          </rPr>
          <t>Quem avaliou. Prefira equipe multifuncional (curso M7). Para reduzir vieses (disponibilidade, ancoragem, representatividade), colete estimativas individuais antes da discussão e registre as divergências.</t>
        </r>
      </text>
    </comment>
    <comment ref="AY4" authorId="0" shapeId="0" xr:uid="{00000000-0006-0000-0000-000033000000}">
      <text>
        <r>
          <rPr>
            <sz val="10"/>
            <rFont val="Arial"/>
            <family val="2"/>
          </rPr>
          <t>Automática: Avaliado em + meses do nível (Critérios). Depois que o residual é confirmado (eficácia 'Eficaz'), vale o nível residual.</t>
        </r>
      </text>
    </comment>
    <comment ref="AZ4" authorId="0" shapeId="0" xr:uid="{00000000-0006-0000-0000-000034000000}">
      <text>
        <r>
          <rPr>
            <sz val="10"/>
            <rFont val="Arial"/>
            <family val="2"/>
          </rPr>
          <t>Automático: pendências do registro. O significado de cada alerta está no Painel.</t>
        </r>
      </text>
    </comment>
    <comment ref="BA4" authorId="0" shapeId="0" xr:uid="{00000000-0006-0000-0000-000035000000}">
      <text>
        <r>
          <rPr>
            <sz val="10"/>
            <rFont val="Arial"/>
            <family val="2"/>
          </rPr>
          <t>Evidências, premissas, fonte da estimativa, motivo da redução do risco atual e justificativa de aceites (decisão fundamentada).</t>
        </r>
      </text>
    </comment>
    <comment ref="BB4" authorId="0" shapeId="0" xr:uid="{00000000-0006-0000-0000-000036000000}">
      <text>
        <r>
          <rPr>
            <sz val="10"/>
            <rFont val="Arial"/>
            <family val="2"/>
          </rPr>
          <t>IDs de riscos/oportunidades ligados a este (causas comuns, efeito cascata, tratamento que afeta outro). Planos coordenados evitam tratar cada risco isolado (ISO 31010 §6.3.6).</t>
        </r>
      </text>
    </comment>
    <comment ref="BC4" authorId="0" shapeId="0" xr:uid="{00000000-0006-0000-0000-000037000000}">
      <text>
        <r>
          <rPr>
            <sz val="10"/>
            <rFont val="Arial"/>
            <family val="2"/>
          </rPr>
          <t>Auxiliar do ranking do Painel.</t>
        </r>
      </text>
    </comment>
    <comment ref="BD4" authorId="1" shapeId="0" xr:uid="{228F2560-032F-4E24-BDF2-4B0D057D081C}">
      <text>
        <r>
          <rPr>
            <b/>
            <sz val="9"/>
            <color indexed="81"/>
            <rFont val="Tahoma"/>
            <charset val="1"/>
          </rPr>
          <t>Em quanto tempo o risco se materializa depois do gatilho: Lenta (meses), Média (semanas), Rápida (dias) ou Imediata (horas). ISO 31000 §6.4.3 (fatores temporais). Velocidade Rápida/Imediata em risco Alto ou Crítico fica destacada: pede KRI antecedente e controle detectivo.</t>
        </r>
      </text>
    </comment>
    <comment ref="BE4" authorId="1" shapeId="0" xr:uid="{24DE2C49-530C-4B89-BD6B-7C6732CB5864}">
      <text>
        <r>
          <rPr>
            <b/>
            <sz val="9"/>
            <color indexed="81"/>
            <rFont val="Tahoma"/>
            <charset val="1"/>
          </rPr>
          <t>Quão rápido a probabilidade pode mudar: Estável, Moderada ou Alta (uma pequena alteração leva a probabilidade de baixa a muito alta; ex.: inflamáveis, barragem, controle paralelo em planilha). Volatilidade alta pede reavaliação mais frequente que a do nível (curso M5; aula Produtividade Máxima 08).</t>
        </r>
      </text>
    </comment>
    <comment ref="BF4" authorId="1" shapeId="0" xr:uid="{D91F937E-A8D0-4BEF-9FD8-45852F817F59}">
      <text>
        <r>
          <rPr>
            <b/>
            <sz val="9"/>
            <color indexed="81"/>
            <rFont val="Tahoma"/>
            <charset val="1"/>
          </rPr>
          <t>Natureza do controle principal (Sheridan MN220 S2-S3): Preventivo (antes do evento), Detectivo (revela que ocorreu), Corretivo (limita o dano), Diretivo (política, procedimento, treinamento) ou Compartilhamento (seguro, contrato). Complementa a 'Hierarquia do controle principal' (eliminação, substituição, engenharia, administrativo, EPI).</t>
        </r>
      </text>
    </comment>
    <comment ref="BG4" authorId="1" shapeId="0" xr:uid="{5186AEAA-076C-425A-A019-24C6BC2875A5}">
      <text>
        <r>
          <rPr>
            <b/>
            <sz val="9"/>
            <color indexed="81"/>
            <rFont val="Tahoma"/>
            <charset val="1"/>
          </rPr>
          <t>Custo estimado para implantar o tratamento (€: investimento + custo do primeiro ano). Base do custo-benefício e do ALARP (curso M5 §2.4.3; Sheridan MN220 S3). Em branco = não estimado.</t>
        </r>
      </text>
    </comment>
    <comment ref="BH4" authorId="1" shapeId="0" xr:uid="{A6A34724-0A09-4103-A38A-A2BF06CD25CD}">
      <text>
        <r>
          <rPr>
            <b/>
            <sz val="9"/>
            <color indexed="81"/>
            <rFont val="Tahoma"/>
            <charset val="1"/>
          </rPr>
          <t>Perda financeira se o risco ocorrer, na consequência especificada (€). Use a escala financeira de Critérios como referência. Inclua perdas diretas e indiretas conhecidas.</t>
        </r>
      </text>
    </comment>
    <comment ref="BI4" authorId="1" shapeId="0" xr:uid="{C39B5B9E-79AA-4049-8116-3018EC688C56}">
      <text>
        <r>
          <rPr>
            <b/>
            <sz val="9"/>
            <color indexed="81"/>
            <rFont val="Tahoma"/>
            <charset val="1"/>
          </rPr>
          <t>Automático: perda potencial × ponto médio da faixa de probabilidade ATUAL (lista em Critérios, coluna R: 10%, 30%, 50%, 70% e 90% por padrão). Estimativa de triagem, não previsão.</t>
        </r>
      </text>
    </comment>
    <comment ref="BJ4" authorId="1" shapeId="0" xr:uid="{C27C03F7-DF14-4E23-AA4B-BDF549B5D141}">
      <text>
        <r>
          <rPr>
            <b/>
            <sz val="9"/>
            <color indexed="81"/>
            <rFont val="Tahoma"/>
            <charset val="1"/>
          </rPr>
          <t>Automático: compara o custo do tratamento com a perda esperada. Custo maior só sustenta reter/aceitar com justificativa em Notas e nunca em SST, Ambiental e Legal (aí vale o apetite e o ALARP). Falta de recursos, sozinha, não justifica aceitar (curso M5).</t>
        </r>
      </text>
    </comment>
    <comment ref="BK4" authorId="1" shapeId="0" xr:uid="{35B02AF2-1A9E-4D65-8B66-4BC961D41C51}">
      <text>
        <r>
          <rPr>
            <b/>
            <sz val="9"/>
            <color indexed="81"/>
            <rFont val="Tahoma"/>
            <charset val="1"/>
          </rPr>
          <t>Para riscos que interrompem função crítica: tempo máximo de parada que a organização tolera (MAO, em horas). Base do plano de continuidade (Sheridan MN220 S8, AS/NZS 5050). Em branco = não se aplica.</t>
        </r>
      </text>
    </comment>
    <comment ref="BL4" authorId="1" shapeId="0" xr:uid="{AAF75BE7-3668-45A9-AF7F-BFC319C8CFCF}">
      <text>
        <r>
          <rPr>
            <b/>
            <sz val="9"/>
            <color indexed="81"/>
            <rFont val="Tahoma"/>
            <charset val="1"/>
          </rPr>
          <t>Código ou link do plano de contingência / continuidade / resposta a emergências que cobre este risco (ex.: PCN-UTIL-01). Curso M6 §2.2: reservas e planos de contingência devem ser revistos no monitoramento.</t>
        </r>
      </text>
    </comment>
    <comment ref="BM4" authorId="1" shapeId="0" xr:uid="{12D71B61-2A41-495B-9CD2-8E441352B58B}">
      <text>
        <r>
          <rPr>
            <b/>
            <sz val="9"/>
            <color indexed="81"/>
            <rFont val="Tahoma"/>
            <charset val="1"/>
          </rPr>
          <t>ID do risco/oportunidade no SGA (RO-xx). Chave usada no PAM (RG-SGA-06) e nos registos do SGA.</t>
        </r>
      </text>
    </comment>
    <comment ref="BN4" authorId="1" shapeId="0" xr:uid="{250BFC8E-3553-4FCB-834A-687115AB7C8F}">
      <text>
        <r>
          <rPr>
            <b/>
            <sz val="9"/>
            <color indexed="81"/>
            <rFont val="Tahoma"/>
            <charset val="1"/>
          </rPr>
          <t>Data em que o item foi identificado no SGA (workshop de riscos e oportunidades).</t>
        </r>
      </text>
    </comment>
    <comment ref="BO4" authorId="1" shapeId="0" xr:uid="{169D9596-8AD3-49BA-9637-DBA29896D06E}">
      <text>
        <r>
          <rPr>
            <b/>
            <sz val="9"/>
            <color indexed="81"/>
            <rFont val="Tahoma"/>
            <charset val="1"/>
          </rPr>
          <t>Item de contexto de origem: SWT-xxx (SWOT), PES-xx (PESTEL) ou LEG-xx (requisito legal) — RG-SGA-01 / RG-SGA-04.</t>
        </r>
      </text>
    </comment>
    <comment ref="BP4" authorId="1" shapeId="0" xr:uid="{2FA6F15E-3C4C-4A57-BC45-A533F95DA66D}">
      <text>
        <r>
          <rPr>
            <b/>
            <sz val="9"/>
            <color indexed="81"/>
            <rFont val="Tahoma"/>
            <charset val="1"/>
          </rPr>
          <t>Sim = um dos 4 itens SWOT avaliados na Atividade 3.1 do curso.</t>
        </r>
      </text>
    </comment>
    <comment ref="BQ4" authorId="1" shapeId="0" xr:uid="{B2DD21D4-A927-4974-8F57-07D0687F22B5}">
      <text>
        <r>
          <rPr>
            <b/>
            <sz val="9"/>
            <color indexed="81"/>
            <rFont val="Tahoma"/>
            <charset val="1"/>
          </rPr>
          <t>Área de gestão conforme o SGA (valor original da Matriz_RO).</t>
        </r>
      </text>
    </comment>
    <comment ref="BR4" authorId="1" shapeId="0" xr:uid="{220EB5FE-4342-4ADF-A406-998DC2F13258}">
      <text>
        <r>
          <rPr>
            <b/>
            <sz val="9"/>
            <color indexed="81"/>
            <rFont val="Tahoma"/>
            <charset val="1"/>
          </rPr>
          <t>Código do processo no SGA (ex.: UTL, REC, RD, GER).</t>
        </r>
      </text>
    </comment>
    <comment ref="BS4" authorId="1" shapeId="0" xr:uid="{3E69C3B0-E7BC-408B-AE12-A0622EC1D3DF}">
      <text>
        <r>
          <rPr>
            <b/>
            <sz val="9"/>
            <color indexed="81"/>
            <rFont val="Tahoma"/>
            <charset val="1"/>
          </rPr>
          <t>Tema ambiental / de gestão do SGA (ex.: Energia, Clima / GEE, Perdas de granulado).</t>
        </r>
      </text>
    </comment>
    <comment ref="BT4" authorId="1" shapeId="0" xr:uid="{2D867A13-4B04-4485-8FA2-289D93120899}">
      <text>
        <r>
          <rPr>
            <b/>
            <sz val="9"/>
            <color indexed="81"/>
            <rFont val="Tahoma"/>
            <charset val="1"/>
          </rPr>
          <t>Todas as partes interessadas afetadas, texto original (a coluna 'Parte interessada' guarda só a principal).</t>
        </r>
      </text>
    </comment>
    <comment ref="BU4" authorId="1" shapeId="0" xr:uid="{15749C27-4780-4854-BC5A-068829B6A0D2}">
      <text>
        <r>
          <rPr>
            <b/>
            <sz val="9"/>
            <color indexed="81"/>
            <rFont val="Tahoma"/>
            <charset val="1"/>
          </rPr>
          <t>Probabilidade na escala do curso: Remota, Provável ou Frequente.</t>
        </r>
      </text>
    </comment>
    <comment ref="BV4" authorId="1" shapeId="0" xr:uid="{10CBF3DD-FE95-4018-A052-FAA0D710000D}">
      <text>
        <r>
          <rPr>
            <b/>
            <sz val="9"/>
            <color indexed="81"/>
            <rFont val="Tahoma"/>
            <charset val="1"/>
          </rPr>
          <t>Severidade na escala do curso para riscos: Menor, Sério ou Crítico (valores negativos).</t>
        </r>
      </text>
    </comment>
    <comment ref="BW4" authorId="1" shapeId="0" xr:uid="{7A7FCE7E-0AEB-4973-BDB6-B9AED932D36D}">
      <text>
        <r>
          <rPr>
            <b/>
            <sz val="9"/>
            <color indexed="81"/>
            <rFont val="Tahoma"/>
            <charset val="1"/>
          </rPr>
          <t>Automático: valor da probabilidade (1 a 3).</t>
        </r>
      </text>
    </comment>
    <comment ref="BX4" authorId="1" shapeId="0" xr:uid="{2BD73ECB-8651-4301-AE5D-4AE2D36C11FD}">
      <text>
        <r>
          <rPr>
            <b/>
            <sz val="9"/>
            <color indexed="81"/>
            <rFont val="Tahoma"/>
            <charset val="1"/>
          </rPr>
          <t>Automático: valor da severidade (−1 a −3).</t>
        </r>
      </text>
    </comment>
    <comment ref="BY4" authorId="1" shapeId="0" xr:uid="{017FA7B6-355A-4F37-8FDB-7CD8377A6DAF}">
      <text>
        <r>
          <rPr>
            <b/>
            <sz val="9"/>
            <color indexed="81"/>
            <rFont val="Tahoma"/>
            <charset val="1"/>
          </rPr>
          <t>Automático: P × S.</t>
        </r>
      </text>
    </comment>
    <comment ref="BZ4" authorId="1" shapeId="0" xr:uid="{21CA45D7-509B-405E-8CC5-EC291971A994}">
      <text>
        <r>
          <rPr>
            <b/>
            <sz val="9"/>
            <color indexed="81"/>
            <rFont val="Tahoma"/>
            <charset val="1"/>
          </rPr>
          <t>Automático: SIGNIFICATIVO, TOLERÁVEL ou BAIXO (limites em Critérios › Metodologia do SGA).</t>
        </r>
      </text>
    </comment>
    <comment ref="CA4" authorId="1" shapeId="0" xr:uid="{9961D7C2-40DF-4916-9591-D0990DB79B08}">
      <text>
        <r>
          <rPr>
            <b/>
            <sz val="9"/>
            <color indexed="81"/>
            <rFont val="Tahoma"/>
            <charset val="1"/>
          </rPr>
          <t>Automático: NÃO ACEITÁVEL se significativo; senão ACEITÁVEL.</t>
        </r>
      </text>
    </comment>
    <comment ref="CB4" authorId="1" shapeId="0" xr:uid="{8E4BF3D9-0059-4D81-AF65-E199EFD65DEF}">
      <text>
        <r>
          <rPr>
            <b/>
            <sz val="9"/>
            <color indexed="81"/>
            <rFont val="Tahoma"/>
            <charset val="1"/>
          </rPr>
          <t>Decisão na nomenclatura do curso (lista em Critérios).</t>
        </r>
      </text>
    </comment>
    <comment ref="CC4" authorId="1" shapeId="0" xr:uid="{14613EDB-2E5B-413A-A6AE-2361F649B94A}">
      <text>
        <r>
          <rPr>
            <b/>
            <sz val="9"/>
            <color indexed="81"/>
            <rFont val="Tahoma"/>
            <charset val="1"/>
          </rPr>
          <t>C1 correção; C2 ação corretiva; M melhoria; — sem ação no PAM.</t>
        </r>
      </text>
    </comment>
    <comment ref="CD4" authorId="1" shapeId="0" xr:uid="{40BC859E-388B-41F7-A4DB-B3C0C8CD4F48}">
      <text>
        <r>
          <rPr>
            <b/>
            <sz val="9"/>
            <color indexed="81"/>
            <rFont val="Tahoma"/>
            <charset val="1"/>
          </rPr>
          <t>Código da ação no Plano de Ações de Melhoria do SGA (PAM-26-xx). Diferente de 'Cód. plano de ação' (PAC/RNC).</t>
        </r>
      </text>
    </comment>
    <comment ref="CE4" authorId="1" shapeId="0" xr:uid="{395BBDAE-D48B-4DA7-A610-0FD33BDEF049}">
      <text>
        <r>
          <rPr>
            <b/>
            <sz val="9"/>
            <color indexed="81"/>
            <rFont val="Tahoma"/>
            <charset val="1"/>
          </rPr>
          <t>Probabilidade esperada após a ação (escala do curso).</t>
        </r>
      </text>
    </comment>
    <comment ref="CF4" authorId="1" shapeId="0" xr:uid="{CD789BA3-3E60-4D12-8F0E-FA6D0FE57990}">
      <text>
        <r>
          <rPr>
            <b/>
            <sz val="9"/>
            <color indexed="81"/>
            <rFont val="Tahoma"/>
            <charset val="1"/>
          </rPr>
          <t>Severidade esperada após a ação (escala do curso).</t>
        </r>
      </text>
    </comment>
    <comment ref="CG4" authorId="1" shapeId="0" xr:uid="{8C5B56E7-AFF0-4467-81F8-44374AFCA5F6}">
      <text>
        <r>
          <rPr>
            <b/>
            <sz val="9"/>
            <color indexed="81"/>
            <rFont val="Tahoma"/>
            <charset val="1"/>
          </rPr>
          <t>Automático: P × S residual.</t>
        </r>
      </text>
    </comment>
    <comment ref="CH4" authorId="1" shapeId="0" xr:uid="{92CD3269-02FA-468E-9387-379B544E5A6E}">
      <text>
        <r>
          <rPr>
            <b/>
            <sz val="9"/>
            <color indexed="81"/>
            <rFont val="Tahoma"/>
            <charset val="1"/>
          </rPr>
          <t>Automático: significância do nível residual.</t>
        </r>
      </text>
    </comment>
    <comment ref="CI4" authorId="1" shapeId="0" xr:uid="{5D78D2A0-D9E1-4048-9AF7-C9F5366CF978}">
      <text>
        <r>
          <rPr>
            <b/>
            <sz val="9"/>
            <color indexed="81"/>
            <rFont val="Tahoma"/>
            <charset val="1"/>
          </rPr>
          <t>Sim = P ou S foram forçados para gerar um item significativo no exercício do curso.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Aline Meireles</author>
  </authors>
  <commentList>
    <comment ref="A4" authorId="0" shapeId="0" xr:uid="{00000000-0006-0000-0100-000001000000}">
      <text>
        <r>
          <rPr>
            <sz val="10"/>
            <rFont val="Arial"/>
            <family val="2"/>
          </rPr>
          <t>Código único da oportunidade (ex.: O1, O2). É a chave do vínculo com os planos de ação e o Contexto.</t>
        </r>
      </text>
    </comment>
    <comment ref="B4" authorId="0" shapeId="0" xr:uid="{00000000-0006-0000-0100-000002000000}">
      <text>
        <r>
          <rPr>
            <sz val="10"/>
            <rFont val="Arial"/>
            <family val="2"/>
          </rPr>
          <t>Processo/setor responsável (lista em Critérios).</t>
        </r>
      </text>
    </comment>
    <comment ref="C4" authorId="0" shapeId="0" xr:uid="{00000000-0006-0000-0100-000003000000}">
      <text>
        <r>
          <rPr>
            <sz val="10"/>
            <rFont val="Arial"/>
            <family val="2"/>
          </rPr>
          <t>Circunstância favorável que amplia o resultado que o processo deveria entregar ou apoia um objetivo.</t>
        </r>
      </text>
    </comment>
    <comment ref="D4" authorId="0" shapeId="0" xr:uid="{00000000-0006-0000-0100-000004000000}">
      <text>
        <r>
          <rPr>
            <sz val="10"/>
            <rFont val="Arial"/>
            <family val="2"/>
          </rPr>
          <t>De onde veio: SWOT (forças/oportunidades), PESTEL, partes interessadas, auditoria, análise crítica, ideia de melhoria, lições aprendidas. Aceita texto livre.</t>
        </r>
      </text>
    </comment>
    <comment ref="E4" authorId="0" shapeId="0" xr:uid="{00000000-0006-0000-0100-000005000000}">
      <text>
        <r>
          <rPr>
            <sz val="10"/>
            <rFont val="Arial"/>
            <family val="2"/>
          </rPr>
          <t>Questão interna ou externa (ISO 9001 §4.1).</t>
        </r>
      </text>
    </comment>
    <comment ref="F4" authorId="0" shapeId="0" xr:uid="{00000000-0006-0000-0100-000006000000}">
      <text>
        <r>
          <rPr>
            <sz val="10"/>
            <rFont val="Arial"/>
            <family val="2"/>
          </rPr>
          <t>Nível em que a oportunidade é analisada: Estratégico, Gerencial (processo), Operacional ou Projeto.</t>
        </r>
      </text>
    </comment>
    <comment ref="G4" authorId="0" shapeId="0" xr:uid="{00000000-0006-0000-0100-000007000000}">
      <text>
        <r>
          <rPr>
            <sz val="10"/>
            <rFont val="Arial"/>
            <family val="2"/>
          </rPr>
          <t>Objetivo (estratégico, da qualidade ou gerencial) que a oportunidade ajuda a alcançar.</t>
        </r>
      </text>
    </comment>
    <comment ref="H4" authorId="0" shapeId="0" xr:uid="{00000000-0006-0000-0100-000008000000}">
      <text>
        <r>
          <rPr>
            <sz val="10"/>
            <rFont val="Arial"/>
            <family val="2"/>
          </rPr>
          <t>Novo, Mantido ou Alterado em relação à análise anterior.</t>
        </r>
      </text>
    </comment>
    <comment ref="I4" authorId="0" shapeId="0" xr:uid="{00000000-0006-0000-0100-000009000000}">
      <text>
        <r>
          <rPr>
            <sz val="10"/>
            <rFont val="Arial"/>
            <family val="2"/>
          </rPr>
          <t>Parte interessada que se beneficia ou deve ser consultada (lista da aba Contexto).</t>
        </r>
      </text>
    </comment>
    <comment ref="J4" authorId="0" shapeId="0" xr:uid="{00000000-0006-0000-0100-00000A000000}">
      <text>
        <r>
          <rPr>
            <sz val="10"/>
            <rFont val="Arial"/>
            <family val="2"/>
          </rPr>
          <t>O que torna a oportunidade possível (incentivo, tecnologia, força interna, demanda do mercado).</t>
        </r>
      </text>
    </comment>
    <comment ref="K4" authorId="0" shapeId="0" xr:uid="{00000000-0006-0000-0100-00000B000000}">
      <text>
        <r>
          <rPr>
            <sz val="10"/>
            <rFont val="Arial"/>
            <family val="2"/>
          </rPr>
          <t>O que a organização ganha se a oportunidade for aproveitada (descrição do impacto positivo).</t>
        </r>
      </text>
    </comment>
    <comment ref="L4" authorId="0" shapeId="0" xr:uid="{00000000-0006-0000-0100-00000C000000}">
      <text>
        <r>
          <rPr>
            <sz val="10"/>
            <rFont val="Arial"/>
            <family val="2"/>
          </rPr>
          <t>Escolha a categoria: o benefício (1 a 5) é lido na escala dela (Critérios).</t>
        </r>
      </text>
    </comment>
    <comment ref="M4" authorId="0" shapeId="0" xr:uid="{00000000-0006-0000-0100-00000D000000}">
      <text>
        <r>
          <rPr>
            <sz val="10"/>
            <rFont val="Arial"/>
            <family val="2"/>
          </rPr>
          <t>Chance de a oportunidade se realizar/ser aproveitada, de 1 a 5 (escala em % em Critérios).</t>
        </r>
      </text>
    </comment>
    <comment ref="N4" authorId="0" shapeId="0" xr:uid="{00000000-0006-0000-0100-00000E000000}">
      <text>
        <r>
          <rPr>
            <sz val="10"/>
            <rFont val="Arial"/>
            <family val="2"/>
          </rPr>
          <t>Tamanho do benefício, de 1 a 5, na categoria escolhida.</t>
        </r>
      </text>
    </comment>
    <comment ref="O4" authorId="0" shapeId="0" xr:uid="{00000000-0006-0000-0100-00000F000000}">
      <text>
        <r>
          <rPr>
            <sz val="10"/>
            <rFont val="Arial"/>
            <family val="2"/>
          </rPr>
          <t>Automático: Probabilidade × Benefício.</t>
        </r>
      </text>
    </comment>
    <comment ref="P4" authorId="0" shapeId="0" xr:uid="{00000000-0006-0000-0100-000010000000}">
      <text>
        <r>
          <rPr>
            <sz val="10"/>
            <rFont val="Arial"/>
            <family val="2"/>
          </rPr>
          <t>Automático: relevância pelos limites de score (Critérios).</t>
        </r>
      </text>
    </comment>
    <comment ref="Q4" authorId="0" shapeId="0" xr:uid="{00000000-0006-0000-0100-000011000000}">
      <text>
        <r>
          <rPr>
            <sz val="10"/>
            <rFont val="Arial"/>
            <family val="2"/>
          </rPr>
          <t>Recursos, competências e capacidades que a organização já tem para aproveitar a oportunidade.</t>
        </r>
      </text>
    </comment>
    <comment ref="R4" authorId="0" shapeId="0" xr:uid="{00000000-0006-0000-0100-000012000000}">
      <text>
        <r>
          <rPr>
            <sz val="10"/>
            <rFont val="Arial"/>
            <family val="2"/>
          </rPr>
          <t>Facilidade de implantar (curso M5, tabela 5): fácil = recursos disponíveis e até 1 semana; média = adquirir recursos com payback até 1 ano; difícil = payback acima de 1 ano.</t>
        </r>
      </text>
    </comment>
    <comment ref="S4" authorId="0" shapeId="0" xr:uid="{00000000-0006-0000-0100-000013000000}">
      <text>
        <r>
          <rPr>
            <sz val="10"/>
            <rFont val="Arial"/>
            <family val="2"/>
          </rPr>
          <t>Quanto a oportunidade reduz a exposição a riscos (curso M5): alta = reduz significativamente perdas/remediações; média = altera a classificação de algum risco; baixa = não altera.</t>
        </r>
      </text>
    </comment>
    <comment ref="T4" authorId="0" shapeId="0" xr:uid="{00000000-0006-0000-0100-000014000000}">
      <text>
        <r>
          <rPr>
            <sz val="10"/>
            <rFont val="Arial"/>
            <family val="2"/>
          </rPr>
          <t>Alinhamento estratégico (curso M5): objetivo estratégico = impacta diretamente um objetivo do planejamento; item de controle = impacta um indicador; nenhum = não impacta.</t>
        </r>
      </text>
    </comment>
    <comment ref="U4" authorId="0" shapeId="0" xr:uid="{00000000-0006-0000-0100-000015000000}">
      <text>
        <r>
          <rPr>
            <sz val="10"/>
            <rFont val="Arial"/>
            <family val="2"/>
          </rPr>
          <t>Automático: soma dos três critérios (3 = melhor em cada). ≥ 8 alta prioridade, 6-7 média, ≤ 5 baixa. Ajuda a decidir QUAIS oportunidades perseguir primeiro quando não dá para todas ao mesmo tempo.</t>
        </r>
      </text>
    </comment>
    <comment ref="V4" authorId="0" shapeId="0" xr:uid="{00000000-0006-0000-0100-000016000000}">
      <text>
        <r>
          <rPr>
            <sz val="10"/>
            <rFont val="Arial"/>
            <family val="2"/>
          </rPr>
          <t>Automática, pelo nível: Explorar (fazer acontecer), Melhorar (aumentar probabilidade e/ou benefício) ou Monitorar.</t>
        </r>
      </text>
    </comment>
    <comment ref="W4" authorId="0" shapeId="0" xr:uid="{00000000-0006-0000-0100-000017000000}">
      <text>
        <r>
          <rPr>
            <sz val="10"/>
            <rFont val="Arial"/>
            <family val="2"/>
          </rPr>
          <t>Decisão tomada. Monitorar, reter ou não perseguir são decisões válidas, registre o motivo em Notas.</t>
        </r>
      </text>
    </comment>
    <comment ref="X4" authorId="0" shapeId="0" xr:uid="{00000000-0006-0000-0100-000018000000}">
      <text>
        <r>
          <rPr>
            <sz val="10"/>
            <rFont val="Arial"/>
            <family val="2"/>
          </rPr>
          <t>Resumo em uma linha. Quem, o quê, por quê, quando, como e quanto ficam no plano de ação.</t>
        </r>
      </text>
    </comment>
    <comment ref="Y4" authorId="0" shapeId="0" xr:uid="{00000000-0006-0000-0100-000019000000}">
      <text>
        <r>
          <rPr>
            <sz val="10"/>
            <rFont val="Arial"/>
            <family val="2"/>
          </rPr>
          <t>Quem responde pela oportunidade.</t>
        </r>
      </text>
    </comment>
    <comment ref="Z4" authorId="0" shapeId="0" xr:uid="{00000000-0006-0000-0100-00001A000000}">
      <text>
        <r>
          <rPr>
            <sz val="10"/>
            <rFont val="Arial"/>
            <family val="2"/>
          </rPr>
          <t>Quem executa a ação.</t>
        </r>
      </text>
    </comment>
    <comment ref="AA4" authorId="0" shapeId="0" xr:uid="{00000000-0006-0000-0100-00001B000000}">
      <text>
        <r>
          <rPr>
            <sz val="10"/>
            <rFont val="Arial"/>
            <family val="2"/>
          </rPr>
          <t>Só para ação simples, sem código de plano. Com código, o prazo vem do plano.</t>
        </r>
      </text>
    </comment>
    <comment ref="AB4" authorId="0" shapeId="0" xr:uid="{00000000-0006-0000-0100-00001C000000}">
      <text>
        <r>
          <rPr>
            <sz val="10"/>
            <rFont val="Arial"/>
            <family val="2"/>
          </rPr>
          <t>Só para ação simples, sem código de plano. Com código, o status vem do plano.</t>
        </r>
      </text>
    </comment>
    <comment ref="AC4" authorId="0" shapeId="0" xr:uid="{00000000-0006-0000-0100-00001D000000}">
      <text>
        <r>
          <rPr>
            <sz val="10"/>
            <rFont val="Arial"/>
            <family val="2"/>
          </rPr>
          <t>PAC AAAANN (tipo M – Melhoria, em geral). Ex.: PAC 202603. Fica vermelho se não estiver na aba Planos.</t>
        </r>
      </text>
    </comment>
    <comment ref="AD4" authorId="0" shapeId="0" xr:uid="{00000000-0006-0000-0100-00001E000000}">
      <text>
        <r>
          <rPr>
            <sz val="10"/>
            <rFont val="Arial"/>
            <family val="2"/>
          </rPr>
          <t>Link para o plano (configure o endereço em Critérios).</t>
        </r>
      </text>
    </comment>
    <comment ref="AE4" authorId="0" shapeId="0" xr:uid="{00000000-0006-0000-0100-00001F000000}">
      <text>
        <r>
          <rPr>
            <sz val="10"/>
            <rFont val="Arial"/>
            <family val="2"/>
          </rPr>
          <t>Automático: vem do plano quando há código; senão, da coluna de ação simples.</t>
        </r>
      </text>
    </comment>
    <comment ref="AF4" authorId="0" shapeId="0" xr:uid="{00000000-0006-0000-0100-000020000000}">
      <text>
        <r>
          <rPr>
            <sz val="10"/>
            <rFont val="Arial"/>
            <family val="2"/>
          </rPr>
          <t>Automático: vem do plano quando há código; senão, da coluna de ação simples.</t>
        </r>
      </text>
    </comment>
    <comment ref="AG4" authorId="0" shapeId="0" xr:uid="{00000000-0006-0000-0100-000021000000}">
      <text>
        <r>
          <rPr>
            <sz val="10"/>
            <rFont val="Arial"/>
            <family val="2"/>
          </rPr>
          <t>O que foi realizado e o benefício obtido (evidência).</t>
        </r>
      </text>
    </comment>
    <comment ref="AH4" authorId="0" shapeId="0" xr:uid="{00000000-0006-0000-0100-000022000000}">
      <text>
        <r>
          <rPr>
            <sz val="10"/>
            <rFont val="Arial"/>
            <family val="2"/>
          </rPr>
          <t>Data em que o benefício pode ser verificado. Vencida a data sem avaliação, dispara 'Avaliar eficácia'.</t>
        </r>
      </text>
    </comment>
    <comment ref="AI4" authorId="0" shapeId="0" xr:uid="{00000000-0006-0000-0100-000023000000}">
      <text>
        <r>
          <rPr>
            <sz val="10"/>
            <rFont val="Arial"/>
            <family val="2"/>
          </rPr>
          <t>Direção e gerentes avaliam se a ação foi eficaz: Eficaz, Não eficaz ou Pendente.</t>
        </r>
      </text>
    </comment>
    <comment ref="AJ4" authorId="0" shapeId="0" xr:uid="{00000000-0006-0000-0100-000024000000}">
      <text>
        <r>
          <rPr>
            <sz val="10"/>
            <rFont val="Arial"/>
            <family val="2"/>
          </rPr>
          <t>Data em que a eficácia foi avaliada.</t>
        </r>
      </text>
    </comment>
    <comment ref="AK4" authorId="0" shapeId="0" xr:uid="{00000000-0006-0000-0100-000025000000}">
      <text>
        <r>
          <rPr>
            <sz val="10"/>
            <rFont val="Arial"/>
            <family val="2"/>
          </rPr>
          <t>Indicador e meta que medem o benefício (ex.: kWh/unidade; % de refugo). Defina ANTES de executar.</t>
        </r>
      </text>
    </comment>
    <comment ref="AL4" authorId="0" shapeId="0" xr:uid="{00000000-0006-0000-0100-000026000000}">
      <text>
        <r>
          <rPr>
            <sz val="10"/>
            <rFont val="Arial"/>
            <family val="2"/>
          </rPr>
          <t>Data da última avaliação. Define a próxima revisão conforme o nível.</t>
        </r>
      </text>
    </comment>
    <comment ref="AM4" authorId="0" shapeId="0" xr:uid="{00000000-0006-0000-0100-000027000000}">
      <text>
        <r>
          <rPr>
            <sz val="10"/>
            <rFont val="Arial"/>
            <family val="2"/>
          </rPr>
          <t>Quem avaliou. Prefira equipe multifuncional.</t>
        </r>
      </text>
    </comment>
    <comment ref="AN4" authorId="0" shapeId="0" xr:uid="{00000000-0006-0000-0100-000028000000}">
      <text>
        <r>
          <rPr>
            <sz val="10"/>
            <rFont val="Arial"/>
            <family val="2"/>
          </rPr>
          <t>Automática: Avaliado em + meses do nível (Critérios).</t>
        </r>
      </text>
    </comment>
    <comment ref="AO4" authorId="0" shapeId="0" xr:uid="{00000000-0006-0000-0100-000029000000}">
      <text>
        <r>
          <rPr>
            <sz val="10"/>
            <rFont val="Arial"/>
            <family val="2"/>
          </rPr>
          <t>Automático: pendências do registro. O significado de cada alerta está no Painel.</t>
        </r>
      </text>
    </comment>
    <comment ref="AP4" authorId="0" shapeId="0" xr:uid="{00000000-0006-0000-0100-00002A000000}">
      <text>
        <r>
          <rPr>
            <sz val="10"/>
            <rFont val="Arial"/>
            <family val="2"/>
          </rPr>
          <t>Premissas, fonte da estimativa e motivo da decisão.</t>
        </r>
      </text>
    </comment>
    <comment ref="AQ4" authorId="0" shapeId="0" xr:uid="{00000000-0006-0000-0100-00002B000000}">
      <text>
        <r>
          <rPr>
            <sz val="10"/>
            <rFont val="Arial"/>
            <family val="2"/>
          </rPr>
          <t>IDs de riscos/oportunidades ligados a esta (a oportunidade pode nascer de um risco ou mitigá-lo).</t>
        </r>
      </text>
    </comment>
    <comment ref="AR4" authorId="0" shapeId="0" xr:uid="{00000000-0006-0000-0100-00002C000000}">
      <text>
        <r>
          <rPr>
            <sz val="10"/>
            <rFont val="Arial"/>
            <family val="2"/>
          </rPr>
          <t>Auxiliar do ranking do Painel.</t>
        </r>
      </text>
    </comment>
    <comment ref="AS4" authorId="1" shapeId="0" xr:uid="{8991050D-1BF9-4287-91C5-3C22A8549920}">
      <text>
        <r>
          <rPr>
            <b/>
            <sz val="9"/>
            <color indexed="81"/>
            <rFont val="Tahoma"/>
            <charset val="1"/>
          </rPr>
          <t>Investimento ou custo estimado para perseguir a oportunidade (€). Sheridan MN220 S4: o registro de oportunidades traz o custo (opportunity cost) ao lado do retorno e da probabilidade.</t>
        </r>
      </text>
    </comment>
    <comment ref="AT4" authorId="1" shapeId="0" xr:uid="{66FF13C7-22EC-44E3-836D-C66557367C37}">
      <text>
        <r>
          <rPr>
            <b/>
            <sz val="9"/>
            <color indexed="81"/>
            <rFont val="Tahoma"/>
            <charset val="1"/>
          </rPr>
          <t>Retorno esperado se a oportunidade se realizar (€: ganho de receita, redução de custo ou perda evitada). Use a escala de benefício financeiro de Critérios como referência.</t>
        </r>
      </text>
    </comment>
    <comment ref="AU4" authorId="1" shapeId="0" xr:uid="{DD32CFB6-FBC8-43C2-8A86-0BA85B92F0F5}">
      <text>
        <r>
          <rPr>
            <b/>
            <sz val="9"/>
            <color indexed="81"/>
            <rFont val="Tahoma"/>
            <charset val="1"/>
          </rPr>
          <t>Automático: retorno esperado × ponto médio da faixa de probabilidade (lista em Critérios, coluna R).</t>
        </r>
      </text>
    </comment>
    <comment ref="AV4" authorId="1" shapeId="0" xr:uid="{15C05030-CCFC-45E6-9223-79A5BD0AFCEA}">
      <text>
        <r>
          <rPr>
            <b/>
            <sz val="9"/>
            <color indexed="81"/>
            <rFont val="Tahoma"/>
            <charset val="1"/>
          </rPr>
          <t>Automático: retorno ponderado ÷ investimento. 1,0x = o retorno esperado paga o custo. Serve para ordenar oportunidades junto com o índice de portfólio (3 a 9); não substitui a decisão da Direção.</t>
        </r>
      </text>
    </comment>
    <comment ref="AW4" authorId="1" shapeId="0" xr:uid="{27670FEE-A084-4AB1-A3BB-B86E3C8C7E29}">
      <text>
        <r>
          <rPr>
            <b/>
            <sz val="9"/>
            <color indexed="81"/>
            <rFont val="Tahoma"/>
            <charset val="1"/>
          </rPr>
          <t>Automático: 1,5x ou mais = priorizar; de 1,0x a 1,5x = viável; abaixo de 1,0x = reavaliar ou reter para avaliação futura (Sheridan: 'oportunidade aceitável?').</t>
        </r>
      </text>
    </comment>
    <comment ref="AX4" authorId="1" shapeId="0" xr:uid="{748BFCAF-301D-403C-80AD-E0BB76AAC43C}">
      <text>
        <r>
          <rPr>
            <b/>
            <sz val="9"/>
            <color indexed="81"/>
            <rFont val="Tahoma"/>
            <charset val="1"/>
          </rPr>
          <t>ID do risco/oportunidade no SGA (RO-xx). Chave usada no PAM (RG-SGA-06) e nos registos do SGA.</t>
        </r>
      </text>
    </comment>
    <comment ref="AY4" authorId="1" shapeId="0" xr:uid="{705FF69E-666F-4822-BCC1-4291A942D1E4}">
      <text>
        <r>
          <rPr>
            <b/>
            <sz val="9"/>
            <color indexed="81"/>
            <rFont val="Tahoma"/>
            <charset val="1"/>
          </rPr>
          <t>Data em que o item foi identificado no SGA (workshop de riscos e oportunidades).</t>
        </r>
      </text>
    </comment>
    <comment ref="AZ4" authorId="1" shapeId="0" xr:uid="{D18E4AEE-6338-4DEC-AA43-D19A6C93A5C0}">
      <text>
        <r>
          <rPr>
            <b/>
            <sz val="9"/>
            <color indexed="81"/>
            <rFont val="Tahoma"/>
            <charset val="1"/>
          </rPr>
          <t>Item de contexto de origem: SWT-xxx (SWOT), PES-xx (PESTEL) ou LEG-xx (requisito legal) — RG-SGA-01 / RG-SGA-04.</t>
        </r>
      </text>
    </comment>
    <comment ref="BA4" authorId="1" shapeId="0" xr:uid="{6A4F5347-3A92-473E-9EBF-FC58C9854DA3}">
      <text>
        <r>
          <rPr>
            <b/>
            <sz val="9"/>
            <color indexed="81"/>
            <rFont val="Tahoma"/>
            <charset val="1"/>
          </rPr>
          <t>Sim = um dos 4 itens SWOT avaliados na Atividade 3.1 do curso.</t>
        </r>
      </text>
    </comment>
    <comment ref="BB4" authorId="1" shapeId="0" xr:uid="{BA349F67-C01A-42D1-9EA3-A2EC2D52271A}">
      <text>
        <r>
          <rPr>
            <b/>
            <sz val="9"/>
            <color indexed="81"/>
            <rFont val="Tahoma"/>
            <charset val="1"/>
          </rPr>
          <t>Área de gestão conforme o SGA (valor original da Matriz_RO).</t>
        </r>
      </text>
    </comment>
    <comment ref="BC4" authorId="1" shapeId="0" xr:uid="{7893E9F7-BD9C-4361-B6B5-B848FE6A7F92}">
      <text>
        <r>
          <rPr>
            <b/>
            <sz val="9"/>
            <color indexed="81"/>
            <rFont val="Tahoma"/>
            <charset val="1"/>
          </rPr>
          <t>Código do processo no SGA (ex.: UTL, REC, RD, GER).</t>
        </r>
      </text>
    </comment>
    <comment ref="BD4" authorId="1" shapeId="0" xr:uid="{656EFFFD-A5DA-42B9-89A0-9CEEC2C9B449}">
      <text>
        <r>
          <rPr>
            <b/>
            <sz val="9"/>
            <color indexed="81"/>
            <rFont val="Tahoma"/>
            <charset val="1"/>
          </rPr>
          <t>Tema ambiental / de gestão do SGA (ex.: Energia, Clima / GEE, Perdas de granulado).</t>
        </r>
      </text>
    </comment>
    <comment ref="BE4" authorId="1" shapeId="0" xr:uid="{BE85261B-8222-4FD7-89D0-4BD09EE9DFD3}">
      <text>
        <r>
          <rPr>
            <b/>
            <sz val="9"/>
            <color indexed="81"/>
            <rFont val="Tahoma"/>
            <charset val="1"/>
          </rPr>
          <t>Todas as partes interessadas afetadas, texto original (a coluna 'Parte interessada' guarda só a principal).</t>
        </r>
      </text>
    </comment>
    <comment ref="BF4" authorId="1" shapeId="0" xr:uid="{4EE3949A-817B-4824-BACD-C6F645733D04}">
      <text>
        <r>
          <rPr>
            <b/>
            <sz val="9"/>
            <color indexed="81"/>
            <rFont val="Tahoma"/>
            <charset val="1"/>
          </rPr>
          <t>Probabilidade na escala do curso: Remota, Provável ou Frequente.</t>
        </r>
      </text>
    </comment>
    <comment ref="BG4" authorId="1" shapeId="0" xr:uid="{C43DF179-D8F9-41E8-8C2B-23FD8240E72D}">
      <text>
        <r>
          <rPr>
            <b/>
            <sz val="9"/>
            <color indexed="81"/>
            <rFont val="Tahoma"/>
            <charset val="1"/>
          </rPr>
          <t>Severidade na escala do curso para oportunidades: Suficiente, Bom ou Muito Bom (valores positivos).</t>
        </r>
      </text>
    </comment>
    <comment ref="BH4" authorId="1" shapeId="0" xr:uid="{8413107E-4018-4586-8035-F582C8BCE761}">
      <text>
        <r>
          <rPr>
            <b/>
            <sz val="9"/>
            <color indexed="81"/>
            <rFont val="Tahoma"/>
            <charset val="1"/>
          </rPr>
          <t>Automático: valor da probabilidade (1 a 3).</t>
        </r>
      </text>
    </comment>
    <comment ref="BI4" authorId="1" shapeId="0" xr:uid="{73213AAD-82F2-45B7-9BCA-32A7EC853990}">
      <text>
        <r>
          <rPr>
            <b/>
            <sz val="9"/>
            <color indexed="81"/>
            <rFont val="Tahoma"/>
            <charset val="1"/>
          </rPr>
          <t>Automático: valor da severidade (1 a 3).</t>
        </r>
      </text>
    </comment>
    <comment ref="BJ4" authorId="1" shapeId="0" xr:uid="{50A0221F-B757-440A-AE8C-180E26E91474}">
      <text>
        <r>
          <rPr>
            <b/>
            <sz val="9"/>
            <color indexed="81"/>
            <rFont val="Tahoma"/>
            <charset val="1"/>
          </rPr>
          <t>Automático: P × S.</t>
        </r>
      </text>
    </comment>
    <comment ref="BK4" authorId="1" shapeId="0" xr:uid="{9A6D1939-C0E5-437B-A8F9-0C37D4C68CDB}">
      <text>
        <r>
          <rPr>
            <b/>
            <sz val="9"/>
            <color indexed="81"/>
            <rFont val="Tahoma"/>
            <charset val="1"/>
          </rPr>
          <t>Automático: SIGNIFICATIVO, TOLERÁVEL ou BAIXO (limites em Critérios › Metodologia do SGA).</t>
        </r>
      </text>
    </comment>
    <comment ref="BL4" authorId="1" shapeId="0" xr:uid="{686710D9-3168-4AEC-AFA9-A038B1B3AB09}">
      <text>
        <r>
          <rPr>
            <b/>
            <sz val="9"/>
            <color indexed="81"/>
            <rFont val="Tahoma"/>
            <charset val="1"/>
          </rPr>
          <t>Automático: AÇÃO REQUERIDA se significativa; senão ACEITÁVEL.</t>
        </r>
      </text>
    </comment>
    <comment ref="BM4" authorId="1" shapeId="0" xr:uid="{0E9CF0CB-5571-4FBC-BB9E-301FE95E453D}">
      <text>
        <r>
          <rPr>
            <b/>
            <sz val="9"/>
            <color indexed="81"/>
            <rFont val="Tahoma"/>
            <charset val="1"/>
          </rPr>
          <t>Decisão na nomenclatura do curso (lista em Critérios).</t>
        </r>
      </text>
    </comment>
    <comment ref="BN4" authorId="1" shapeId="0" xr:uid="{48A1A84F-2A5F-493D-B1BB-A4C5C9D258AB}">
      <text>
        <r>
          <rPr>
            <b/>
            <sz val="9"/>
            <color indexed="81"/>
            <rFont val="Tahoma"/>
            <charset val="1"/>
          </rPr>
          <t>C1 correção; C2 ação corretiva; M melhoria; — sem ação no PAM.</t>
        </r>
      </text>
    </comment>
    <comment ref="BO4" authorId="1" shapeId="0" xr:uid="{89D84F94-4875-4B49-BA11-76086D0DAD20}">
      <text>
        <r>
          <rPr>
            <b/>
            <sz val="9"/>
            <color indexed="81"/>
            <rFont val="Tahoma"/>
            <charset val="1"/>
          </rPr>
          <t>Código da ação no Plano de Ações de Melhoria do SGA (PAM-26-xx). Diferente de 'Cód. plano de ação' (PAC/RNC).</t>
        </r>
      </text>
    </comment>
    <comment ref="BP4" authorId="1" shapeId="0" xr:uid="{0067E2EF-53FB-4AD5-BE2F-B972B181C822}">
      <text>
        <r>
          <rPr>
            <b/>
            <sz val="9"/>
            <color indexed="81"/>
            <rFont val="Tahoma"/>
            <charset val="1"/>
          </rPr>
          <t>Probabilidade esperada após a ação (escala do curso).</t>
        </r>
      </text>
    </comment>
    <comment ref="BQ4" authorId="1" shapeId="0" xr:uid="{84918D94-964A-4901-872D-731F18F2B776}">
      <text>
        <r>
          <rPr>
            <b/>
            <sz val="9"/>
            <color indexed="81"/>
            <rFont val="Tahoma"/>
            <charset val="1"/>
          </rPr>
          <t>Severidade esperada após a ação (escala do curso).</t>
        </r>
      </text>
    </comment>
    <comment ref="BR4" authorId="1" shapeId="0" xr:uid="{6AA6265E-524B-4FAD-9A2F-7294F67F20C5}">
      <text>
        <r>
          <rPr>
            <b/>
            <sz val="9"/>
            <color indexed="81"/>
            <rFont val="Tahoma"/>
            <charset val="1"/>
          </rPr>
          <t>Automático: P × S residual.</t>
        </r>
      </text>
    </comment>
    <comment ref="BS4" authorId="1" shapeId="0" xr:uid="{0C198CFB-FD4F-48DC-80BF-436E1CF41BB9}">
      <text>
        <r>
          <rPr>
            <b/>
            <sz val="9"/>
            <color indexed="81"/>
            <rFont val="Tahoma"/>
            <charset val="1"/>
          </rPr>
          <t>Automático: significância do nível residual.</t>
        </r>
      </text>
    </comment>
    <comment ref="BT4" authorId="1" shapeId="0" xr:uid="{1FCD02C8-24F3-4055-9FAE-C008B2651EF6}">
      <text>
        <r>
          <rPr>
            <b/>
            <sz val="9"/>
            <color indexed="81"/>
            <rFont val="Tahoma"/>
            <charset val="1"/>
          </rPr>
          <t>Sim = P ou S foram forçados para gerar um item significativo no exercício do curso.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Meireles</author>
  </authors>
  <commentList>
    <comment ref="D124" authorId="0" shapeId="0" xr:uid="{BE1B587B-53C2-45B2-B0F4-9ADE6E8E3ED1}">
      <text>
        <r>
          <rPr>
            <b/>
            <sz val="9"/>
            <color indexed="81"/>
            <rFont val="Tahoma"/>
            <charset val="1"/>
          </rPr>
          <t>Riscos: nível ≤ este valor = SIGNIFICATIVO. Oportunidades: nível ≥ D127 = SIGNIFICATIVO. Alterar aqui muda a classificação em Riscos e Oportunidades.</t>
        </r>
      </text>
    </comment>
  </commentList>
</comments>
</file>

<file path=xl/sharedStrings.xml><?xml version="1.0" encoding="utf-8"?>
<sst xmlns="http://schemas.openxmlformats.org/spreadsheetml/2006/main" count="7499" uniqueCount="2842">
  <si>
    <t>REGISTRO DE RISCOS (AMEAÇAS) — FÁBRICA, USO MULTIÁREA</t>
  </si>
  <si>
    <t>Unidade / fábrica</t>
  </si>
  <si>
    <t>Escopo / período</t>
  </si>
  <si>
    <t>Responsável</t>
  </si>
  <si>
    <t>Versão</t>
  </si>
  <si>
    <t>1/2026</t>
  </si>
  <si>
    <t>Atualizado em</t>
  </si>
  <si>
    <t>Cód. documento</t>
  </si>
  <si>
    <t>REG-RISCOS-01</t>
  </si>
  <si>
    <t>Aprovado por / em</t>
  </si>
  <si>
    <t>IDENTIFICAÇÃO</t>
  </si>
  <si>
    <t>INERENTE (sem considerar controles)</t>
  </si>
  <si>
    <t>CONTROLES EXISTENTES</t>
  </si>
  <si>
    <t>RISCO ATUAL (com os controles existentes)</t>
  </si>
  <si>
    <t>TRATAMENTO</t>
  </si>
  <si>
    <t>VÍNCULO PLANO / RNC</t>
  </si>
  <si>
    <t>EFICÁCIA</t>
  </si>
  <si>
    <t>RESIDUAL (após o tratamento)</t>
  </si>
  <si>
    <t>MONITORAMENTO, REVISÃO E ALERTA</t>
  </si>
  <si>
    <t>OUTROS</t>
  </si>
  <si>
    <t>ID</t>
  </si>
  <si>
    <t>Área / processo responsável</t>
  </si>
  <si>
    <t>Descrição do risco</t>
  </si>
  <si>
    <t>Origem</t>
  </si>
  <si>
    <t>Tipo de risco</t>
  </si>
  <si>
    <t>Nível de análise</t>
  </si>
  <si>
    <t>Objetivo afetado</t>
  </si>
  <si>
    <t>Situação vs. análise anterior</t>
  </si>
  <si>
    <t>Parte interessada afetada</t>
  </si>
  <si>
    <t>Causa</t>
  </si>
  <si>
    <t>Consequência (impacto)</t>
  </si>
  <si>
    <t>Categoria de impacto</t>
  </si>
  <si>
    <t>Score</t>
  </si>
  <si>
    <t>Nível</t>
  </si>
  <si>
    <t>Controles existentes</t>
  </si>
  <si>
    <t>Eficácia dos controles</t>
  </si>
  <si>
    <t>Confiança da estimativa</t>
  </si>
  <si>
    <t>Ação recomendada</t>
  </si>
  <si>
    <t>Ação adotada</t>
  </si>
  <si>
    <t>Hierarquia do controle principal</t>
  </si>
  <si>
    <t>Aceite válido até</t>
  </si>
  <si>
    <t>Resumo da ação</t>
  </si>
  <si>
    <t>Dono do risco</t>
  </si>
  <si>
    <t>Resp. da ação</t>
  </si>
  <si>
    <t>Critério de eficácia (meta)</t>
  </si>
  <si>
    <t>Cód. plano de ação / RNC</t>
  </si>
  <si>
    <t>Status atual</t>
  </si>
  <si>
    <t>Prazo atual</t>
  </si>
  <si>
    <t>Verificar eficácia em</t>
  </si>
  <si>
    <t>Eficácia do tratamento</t>
  </si>
  <si>
    <t>Data aval. eficácia</t>
  </si>
  <si>
    <t>Residual aceitável?</t>
  </si>
  <si>
    <t>Indicador (KRI) / gatilho de reavaliação</t>
  </si>
  <si>
    <t>Ocorrências (últimos 12 meses)</t>
  </si>
  <si>
    <t>Avaliado em</t>
  </si>
  <si>
    <t>Avaliado por (equipe)</t>
  </si>
  <si>
    <t>Próx. revisão</t>
  </si>
  <si>
    <t>Alerta</t>
  </si>
  <si>
    <t>Justificativa / evidências / notas</t>
  </si>
  <si>
    <t>Riscos / oport. relacionados (IDs)</t>
  </si>
  <si>
    <t>Ordem</t>
  </si>
  <si>
    <t>R1</t>
  </si>
  <si>
    <t>Produção</t>
  </si>
  <si>
    <t>Perigos SST</t>
  </si>
  <si>
    <t>Técnico</t>
  </si>
  <si>
    <t>Operacional</t>
  </si>
  <si>
    <t>Zero acidentes com afastamento</t>
  </si>
  <si>
    <t>Novo</t>
  </si>
  <si>
    <t>Colaboradores</t>
  </si>
  <si>
    <t>Método</t>
  </si>
  <si>
    <t>SST (saúde e segurança)</t>
  </si>
  <si>
    <t>Média</t>
  </si>
  <si>
    <t>Mitigar</t>
  </si>
  <si>
    <t>Controle de engenharia</t>
  </si>
  <si>
    <t>Gerente de Produção</t>
  </si>
  <si>
    <t>Eng. de Segurança</t>
  </si>
  <si>
    <t>PAC 202601</t>
  </si>
  <si>
    <t>R2</t>
  </si>
  <si>
    <t>Manutenção</t>
  </si>
  <si>
    <t>Auditoria</t>
  </si>
  <si>
    <t>Mantido</t>
  </si>
  <si>
    <t>Produção / Ativos</t>
  </si>
  <si>
    <t>Alta</t>
  </si>
  <si>
    <t>Controle administrativo</t>
  </si>
  <si>
    <t>Gerente de Manutenção</t>
  </si>
  <si>
    <t>Aberto</t>
  </si>
  <si>
    <t>Eng. de Manutenção</t>
  </si>
  <si>
    <t>O1</t>
  </si>
  <si>
    <t>R3</t>
  </si>
  <si>
    <t>Gestão Ambiental</t>
  </si>
  <si>
    <t>AIA (aspetos e impactes)</t>
  </si>
  <si>
    <t>Gerencial (processo)</t>
  </si>
  <si>
    <t>Alterado</t>
  </si>
  <si>
    <t>Máquina</t>
  </si>
  <si>
    <t>Ambiental</t>
  </si>
  <si>
    <t>PAC 202602</t>
  </si>
  <si>
    <t>R4</t>
  </si>
  <si>
    <t>Qualidade</t>
  </si>
  <si>
    <t>RNC / reclamação</t>
  </si>
  <si>
    <t>Práticas de gerenciamento</t>
  </si>
  <si>
    <t>Medida</t>
  </si>
  <si>
    <t>Qualidade / Cliente</t>
  </si>
  <si>
    <t>Baixa</t>
  </si>
  <si>
    <t>Gerente da Qualidade</t>
  </si>
  <si>
    <t>Eng. da Qualidade</t>
  </si>
  <si>
    <t>RNC 202601</t>
  </si>
  <si>
    <t>REGISTRO DE OPORTUNIDADES — FÁBRICA, USO MULTIÁREA</t>
  </si>
  <si>
    <t>REG-OPORT-01</t>
  </si>
  <si>
    <t>POTENCIAL / RELEVÂNCIA</t>
  </si>
  <si>
    <t>RECURSOS E PORTFÓLIO (curso M5, tabela 5)</t>
  </si>
  <si>
    <t>DECISÃO E AÇÃO</t>
  </si>
  <si>
    <t>VÍNCULO PLANO</t>
  </si>
  <si>
    <t>RESULTADO E EFICÁCIA</t>
  </si>
  <si>
    <t>Descrição da oportunidade</t>
  </si>
  <si>
    <t>Interno / Externo</t>
  </si>
  <si>
    <t>Objetivo apoiado</t>
  </si>
  <si>
    <t>Parte interessada beneficiada</t>
  </si>
  <si>
    <t>Fonte / condição favorável</t>
  </si>
  <si>
    <t>Benefício esperado</t>
  </si>
  <si>
    <t>Categoria de benefício</t>
  </si>
  <si>
    <t>Recursos / capacidade existentes</t>
  </si>
  <si>
    <t>Facilidade de implantar</t>
  </si>
  <si>
    <t>Redução da exposição a riscos</t>
  </si>
  <si>
    <t>Alinhamento estratégico</t>
  </si>
  <si>
    <t>Índice de portfólio (3-9)</t>
  </si>
  <si>
    <t>Decisão adotada</t>
  </si>
  <si>
    <t>Dono da oportunidade</t>
  </si>
  <si>
    <t>Cód. plano de ação</t>
  </si>
  <si>
    <t>Resultado / evidência do benefício</t>
  </si>
  <si>
    <t>Eficácia da ação</t>
  </si>
  <si>
    <t>Indicador (KPI) / meta</t>
  </si>
  <si>
    <t>Notas / premissas</t>
  </si>
  <si>
    <t>PESTEL / cenário externo</t>
  </si>
  <si>
    <t>Externo</t>
  </si>
  <si>
    <t>Estratégico</t>
  </si>
  <si>
    <t>Ambiental / Sustentabilidade</t>
  </si>
  <si>
    <t>Média — adquirir recursos, payback ≤ 1 ano</t>
  </si>
  <si>
    <t>Média — altera a classificação de algum risco</t>
  </si>
  <si>
    <t>Objetivo estratégico — impacto direto</t>
  </si>
  <si>
    <t>Melhorar</t>
  </si>
  <si>
    <t>Direção</t>
  </si>
  <si>
    <t>PAC 202603</t>
  </si>
  <si>
    <t>O2</t>
  </si>
  <si>
    <t>Análise crítica</t>
  </si>
  <si>
    <t>Interno</t>
  </si>
  <si>
    <t>Acionistas / Direção</t>
  </si>
  <si>
    <t>Produção / Eficiência</t>
  </si>
  <si>
    <t>Fácil — recursos disponíveis, ≤ 1 semana</t>
  </si>
  <si>
    <t>Baixa — não altera a classificação</t>
  </si>
  <si>
    <t>Item de controle — impacto direto</t>
  </si>
  <si>
    <t>Analisar viabilidade e custo-benefício</t>
  </si>
  <si>
    <t>PAINEL DE RISCOS E OPORTUNIDADES — VISÃO CONSOLIDADA</t>
  </si>
  <si>
    <t>Riscos registrados</t>
  </si>
  <si>
    <t>Oportunidades registradas</t>
  </si>
  <si>
    <t>Riscos críticos (atual)</t>
  </si>
  <si>
    <t>Riscos altos (atual)</t>
  </si>
  <si>
    <t>Oportunidades de alta relevância</t>
  </si>
  <si>
    <t>Ações vencidas (riscos + oport.)</t>
  </si>
  <si>
    <t>Alertas a tratar</t>
  </si>
  <si>
    <t>Revisões em dia</t>
  </si>
  <si>
    <t>RISCOS — ATUAL (controles existentes): nº por Prob. × Impacto</t>
  </si>
  <si>
    <t>RISCOS — RESIDUAL (após tratamento; meta até confirmar)</t>
  </si>
  <si>
    <t>Prob. ↓   Imp. →</t>
  </si>
  <si>
    <t>Cores = nível definido em 'Critérios' (nos riscos inclui a regra de nível mínimo para Impacto 5). O número em cada célula é a quantidade de itens nessa combinação.</t>
  </si>
  <si>
    <t>OPORTUNIDADES — POTENCIAL: nº por Prob. × Benefício</t>
  </si>
  <si>
    <t>MAPA DE AÇÕES (zonas do modelo) — quantos itens em cada ação recomendada</t>
  </si>
  <si>
    <t>Ameaças</t>
  </si>
  <si>
    <t>Qtd.</t>
  </si>
  <si>
    <t>O que fazer (pelo risco atual)</t>
  </si>
  <si>
    <t>Prevenir</t>
  </si>
  <si>
    <t>Eliminar o risco, evitando-o totalmente</t>
  </si>
  <si>
    <t>Reduzir a probabilidade e/ou o impacto do risco</t>
  </si>
  <si>
    <t>Monitorar</t>
  </si>
  <si>
    <t>Documentar e lidar com a consequência se o risco ocorrer</t>
  </si>
  <si>
    <t>Oportunidades</t>
  </si>
  <si>
    <t>O que fazer</t>
  </si>
  <si>
    <t>Explorar</t>
  </si>
  <si>
    <t>Fazer a oportunidade acontecer para se beneficiar do impacto</t>
  </si>
  <si>
    <t>Aumentar a probabilidade e/ou o impacto positivo, maximizando os acionadores</t>
  </si>
  <si>
    <t>Matriz das oportunidades: só o score define o nível (sem a regra de Impacto 5).</t>
  </si>
  <si>
    <t>Documentar e lidar com o impacto positivo se a oportunidade ocorrer</t>
  </si>
  <si>
    <t>DISTRIBUIÇÃO POR NÍVEL</t>
  </si>
  <si>
    <t>ALERTAS DE ACOMPANHAMENTO</t>
  </si>
  <si>
    <t>Risco inerente</t>
  </si>
  <si>
    <t>Risco atual</t>
  </si>
  <si>
    <t>Risco residual</t>
  </si>
  <si>
    <t>Oportun.</t>
  </si>
  <si>
    <t>Δ atual→ resid.</t>
  </si>
  <si>
    <t>Riscos</t>
  </si>
  <si>
    <t>Oport.</t>
  </si>
  <si>
    <t>Significado</t>
  </si>
  <si>
    <t>Sem dono</t>
  </si>
  <si>
    <t>Linha sem dono do risco/oportunidade definido</t>
  </si>
  <si>
    <t>Falta avaliação</t>
  </si>
  <si>
    <t>Prob./impacto (atual, nos riscos) não preenchidos</t>
  </si>
  <si>
    <t>Código não encontrado</t>
  </si>
  <si>
    <t>Código de plano/RNC ausente na aba Planos</t>
  </si>
  <si>
    <t>Vínculo divergente</t>
  </si>
  <si>
    <t>O plano não lista este ID (use ; para planos coordenados)</t>
  </si>
  <si>
    <t>Total</t>
  </si>
  <si>
    <t>Redução s/ controle</t>
  </si>
  <si>
    <t>Risco atual menor que o inerente sem controle eficaz</t>
  </si>
  <si>
    <t>Redução do score (atual → residual, só riscos com residual)</t>
  </si>
  <si>
    <t>Residual s/ tratamento</t>
  </si>
  <si>
    <t>Residual menor que o atual sem ação, plano ou RNC</t>
  </si>
  <si>
    <t>Reavaliar após RNC</t>
  </si>
  <si>
    <t>RNC aberta depois da última avaliação do risco</t>
  </si>
  <si>
    <t>VÍNCULOS E ROTINAS DO SISTEMA DE GESTÃO</t>
  </si>
  <si>
    <t>Recalibrar probabilidade</t>
  </si>
  <si>
    <t>Risco ocorreu no período, mas a probabilidade atual é baixa</t>
  </si>
  <si>
    <t>Linhas com código PAC (R + O)</t>
  </si>
  <si>
    <t>Aceite sem justificativa</t>
  </si>
  <si>
    <t>Risco aceito sem justificativa em Notas</t>
  </si>
  <si>
    <t>Linhas com código RNC</t>
  </si>
  <si>
    <t>Aceite vencido</t>
  </si>
  <si>
    <t>O prazo do aceite temporário terminou: reconsiderar</t>
  </si>
  <si>
    <t>Planos no espelho (aba Planos)</t>
  </si>
  <si>
    <t>Aprovar aceite</t>
  </si>
  <si>
    <t>Monitorar/Aceitar abaixo da ação recomendada: aprovar</t>
  </si>
  <si>
    <t>Acima do apetite, sem plano nem ação</t>
  </si>
  <si>
    <t>Sem ação</t>
  </si>
  <si>
    <t>Acima do apetite da categoria, sem ação nem plano</t>
  </si>
  <si>
    <t>Ocorrências de riscos (12 meses)</t>
  </si>
  <si>
    <t>Aprofundar análise</t>
  </si>
  <si>
    <t>Decisão 'compreender melhor': concluir a análise</t>
  </si>
  <si>
    <t>KRIs que estouraram o limite</t>
  </si>
  <si>
    <t>Definir critério de eficácia</t>
  </si>
  <si>
    <t>Tratamento sem critério (meta) de eficácia</t>
  </si>
  <si>
    <t>KRIs em atenção (tendência de piora)</t>
  </si>
  <si>
    <t>Rever hierarquia de controle</t>
  </si>
  <si>
    <t>Risco Alto/Crítico tratado só com controle administrativo ou EPI</t>
  </si>
  <si>
    <t>Rotinas de monitoramento atrasadas</t>
  </si>
  <si>
    <t>KRI em alerta</t>
  </si>
  <si>
    <t>Indicador estourou o limite ou tende a estourar (aba KRI)</t>
  </si>
  <si>
    <t>Barreira fraca</t>
  </si>
  <si>
    <t>BowTie com barreira de eficácia baixa ou inexistente</t>
  </si>
  <si>
    <t>Conformidade média das auditorias</t>
  </si>
  <si>
    <t>Definir KPI</t>
  </si>
  <si>
    <t>Oportunidade com ação e sem indicador/meta</t>
  </si>
  <si>
    <t>Barreiras BowTie fracas (eficácia baixa/inexistente)</t>
  </si>
  <si>
    <t>Ação ineficaz</t>
  </si>
  <si>
    <t>Eficácia avaliada como 'Não eficaz': replanejar</t>
  </si>
  <si>
    <t>Barreiras BowTie sem verificação em dia</t>
  </si>
  <si>
    <t>Ação vencida</t>
  </si>
  <si>
    <t>Prazo (da linha ou do plano) vencido e ação não concluída</t>
  </si>
  <si>
    <t>Avaliar eficácia</t>
  </si>
  <si>
    <t>Ação concluída ou data de verificação vencida, sem avaliação</t>
  </si>
  <si>
    <t>CAUSAS (6M) E CONTEXTO — riscos</t>
  </si>
  <si>
    <t>Concluir residual</t>
  </si>
  <si>
    <t>Ação eficaz: registrar o residual e decidir se é aceitável</t>
  </si>
  <si>
    <t>Categoria</t>
  </si>
  <si>
    <t>Altos + críticos</t>
  </si>
  <si>
    <t>Tratamento adicional</t>
  </si>
  <si>
    <t>Residual não aceitável: novo ciclo de tratamento</t>
  </si>
  <si>
    <t>Aceite fora do apetite</t>
  </si>
  <si>
    <t>Residual aceito acima do apetite da categoria</t>
  </si>
  <si>
    <t>Sem BowTie</t>
  </si>
  <si>
    <t>Risco Alto/Crítico ou com controle fraco, sem BowTie (aba BowTie)</t>
  </si>
  <si>
    <t>Mão de obra</t>
  </si>
  <si>
    <t>Revisão vencida</t>
  </si>
  <si>
    <t>Data de reavaliação ultrapassada</t>
  </si>
  <si>
    <t>Material</t>
  </si>
  <si>
    <t>Vence em breve</t>
  </si>
  <si>
    <t>Prazo dentro da antecedência configurada em 'Critérios'</t>
  </si>
  <si>
    <t>Meio ambiente</t>
  </si>
  <si>
    <t>OK</t>
  </si>
  <si>
    <t>Sem pendências</t>
  </si>
  <si>
    <t>Contexto interno</t>
  </si>
  <si>
    <t>Contexto externo</t>
  </si>
  <si>
    <t>Interno x Externo vem da coluna 'Tipo de risco' (Externo = questão externa; os demais tipos = interna).</t>
  </si>
  <si>
    <t>POR NÍVEL DE ANÁLISE — não misture níveis na mesma lista de prioridades</t>
  </si>
  <si>
    <t>Altos + crít.</t>
  </si>
  <si>
    <t>Projeto</t>
  </si>
  <si>
    <t>Sem nível definido</t>
  </si>
  <si>
    <t>TOP 10 — RISCOS ATUAIS MAIS ALTOS  (ordem: score atual, depois impacto atual)</t>
  </si>
  <si>
    <t>#</t>
  </si>
  <si>
    <t>Área</t>
  </si>
  <si>
    <t>Descrição</t>
  </si>
  <si>
    <t>Imp.</t>
  </si>
  <si>
    <t>Dono</t>
  </si>
  <si>
    <t>Plano / RNC</t>
  </si>
  <si>
    <t>TOP 5 — OPORTUNIDADES DE MAIOR RELEVÂNCIA  (ordem: score, depois benefício)</t>
  </si>
  <si>
    <t>RESUMO POR ÁREA  (riscos: nível atual)</t>
  </si>
  <si>
    <t>Área / processo</t>
  </si>
  <si>
    <t>Total geral</t>
  </si>
  <si>
    <t>PLANOS DE AÇÃO E RNC — ESPELHO PARA O VÍNCULO COM RISCOS E OPORTUNIDADES</t>
  </si>
  <si>
    <t>Planos no espelho</t>
  </si>
  <si>
    <t>Códigos duplicados (deve ser 0)  →</t>
  </si>
  <si>
    <t>Planos sem risco/oport.</t>
  </si>
  <si>
    <t>Assunto / descrição resumida</t>
  </si>
  <si>
    <t>Tipo de ação</t>
  </si>
  <si>
    <t>Prazo</t>
  </si>
  <si>
    <t>Status</t>
  </si>
  <si>
    <t>Data de fecho</t>
  </si>
  <si>
    <t>Data de abertura</t>
  </si>
  <si>
    <t>C2 - Corretiva</t>
  </si>
  <si>
    <t>Em andamento</t>
  </si>
  <si>
    <t>C1 - Correção</t>
  </si>
  <si>
    <t>M - Melhoria</t>
  </si>
  <si>
    <t>PAC 202604</t>
  </si>
  <si>
    <t>Segurança do Trabalho</t>
  </si>
  <si>
    <t>INDICADORES DE RISCO (KRI) — LIMITE, TENDÊNCIA E SINAL DE ALERTA</t>
  </si>
  <si>
    <t>Projeção:</t>
  </si>
  <si>
    <t>nº de coletas à frente usado na projeção (Atenção)</t>
  </si>
  <si>
    <t>nº da coleta →</t>
  </si>
  <si>
    <t>ID do risco</t>
  </si>
  <si>
    <t>Risco (automático)</t>
  </si>
  <si>
    <t>Indicador (KRI)</t>
  </si>
  <si>
    <t>Unidade</t>
  </si>
  <si>
    <t>Limite (tolerância)</t>
  </si>
  <si>
    <t>Sentido</t>
  </si>
  <si>
    <t>Frequência de coleta</t>
  </si>
  <si>
    <t>Coleta 2</t>
  </si>
  <si>
    <t>Coleta 3</t>
  </si>
  <si>
    <t>Coleta 4</t>
  </si>
  <si>
    <t>Coleta 5</t>
  </si>
  <si>
    <t>Último valor</t>
  </si>
  <si>
    <t>Inclinação (por coleta)</t>
  </si>
  <si>
    <t>Tendência</t>
  </si>
  <si>
    <t>Situação</t>
  </si>
  <si>
    <t>Última coleta</t>
  </si>
  <si>
    <t>Próxima coleta</t>
  </si>
  <si>
    <t>Fonte / responsável</t>
  </si>
  <si>
    <t>Tipo do indicador</t>
  </si>
  <si>
    <t>nº/mês</t>
  </si>
  <si>
    <t>Maior é pior</t>
  </si>
  <si>
    <t>Mensal</t>
  </si>
  <si>
    <t>Antecedente (sinal antecipado)</t>
  </si>
  <si>
    <t>%</t>
  </si>
  <si>
    <t>Diária</t>
  </si>
  <si>
    <t>Reativo (resultado)</t>
  </si>
  <si>
    <t>ANÁLISE BOWTIE — BARREIRAS, EFICÁCIA E FATORES DE INTENSIFICAÇÃO</t>
  </si>
  <si>
    <t>◄ CAUSAS  →  [BARREIRAS PREVENTIVAS]  →  EVENTO-TOPO (o risco do registro)  →  [BARREIRAS REATIVAS]  →  CONSEQUÊNCIAS ►</t>
  </si>
  <si>
    <t>ID do risco / oport.</t>
  </si>
  <si>
    <t>Evento-topo (automático)</t>
  </si>
  <si>
    <t>Lado</t>
  </si>
  <si>
    <t>Causa (preventiva) ou consequência (reativa)</t>
  </si>
  <si>
    <t>Barreira / controle</t>
  </si>
  <si>
    <t>Tipo do controle</t>
  </si>
  <si>
    <t>Eficácia</t>
  </si>
  <si>
    <t>Fator de intensificação (o que pode fazer a barreira falhar)</t>
  </si>
  <si>
    <t>Barreira ao fator de intensificação</t>
  </si>
  <si>
    <t>Dono da barreira</t>
  </si>
  <si>
    <t>Indicador / como é verificada</t>
  </si>
  <si>
    <t>Vínculo no sistema de gestão (procedimento, IT, plano)</t>
  </si>
  <si>
    <t>Última verificação</t>
  </si>
  <si>
    <t>Situação (auto)</t>
  </si>
  <si>
    <t>Preventiva</t>
  </si>
  <si>
    <t>Inexistente</t>
  </si>
  <si>
    <t>Reativa</t>
  </si>
  <si>
    <t>Resposta / recuperação</t>
  </si>
  <si>
    <t>Detecção / alarme</t>
  </si>
  <si>
    <t>Plano de controle</t>
  </si>
  <si>
    <t>PLANO DE MONITORAMENTO, COMUNICAÇÃO E CONSULTA — POR NÍVEL</t>
  </si>
  <si>
    <t>Tipo</t>
  </si>
  <si>
    <t>Atividade / assunto</t>
  </si>
  <si>
    <t>Método / tipo de monitoramento</t>
  </si>
  <si>
    <t>Meio de relato / canal</t>
  </si>
  <si>
    <t>Frequência</t>
  </si>
  <si>
    <t>Audiência / cliente</t>
  </si>
  <si>
    <t>Entrega (saída)</t>
  </si>
  <si>
    <t>Último realizado</t>
  </si>
  <si>
    <t>Próximo (auto)</t>
  </si>
  <si>
    <t>Registro (ata / relatório / código)</t>
  </si>
  <si>
    <t>Monitoramento</t>
  </si>
  <si>
    <t>Trimestral</t>
  </si>
  <si>
    <t>Alta direção</t>
  </si>
  <si>
    <t>Financeiro</t>
  </si>
  <si>
    <t>Sistema de conformidade legal</t>
  </si>
  <si>
    <t>Consultorias especializadas</t>
  </si>
  <si>
    <t>Relatório</t>
  </si>
  <si>
    <t>Ata de reunião</t>
  </si>
  <si>
    <t>Níveis de barganha dos fornecedores; eficácia dos controles</t>
  </si>
  <si>
    <t>Ações dos concorrentes; eficácia dos controles</t>
  </si>
  <si>
    <t>Verificação em auditorias</t>
  </si>
  <si>
    <t>Relatório de auditoria</t>
  </si>
  <si>
    <t>Conforme programa</t>
  </si>
  <si>
    <t>Auditor líder</t>
  </si>
  <si>
    <t>Status das ações planejadas; eficácia dos controles</t>
  </si>
  <si>
    <t>Tático</t>
  </si>
  <si>
    <t>Curva 'S' do planejamento</t>
  </si>
  <si>
    <t>Tendência nos indicadores e funcionamento dos planos de resposta</t>
  </si>
  <si>
    <t>Quadro de indicadores</t>
  </si>
  <si>
    <t>Auditoria de processo</t>
  </si>
  <si>
    <t>Gestor do processo; operadores</t>
  </si>
  <si>
    <t>Vulnerabilidades dos controles</t>
  </si>
  <si>
    <t>Vulnerabilidades dos controles e desempenho dos planos de resposta</t>
  </si>
  <si>
    <t>Transversal</t>
  </si>
  <si>
    <t>Reunião</t>
  </si>
  <si>
    <t>Ata e relatório do Painel</t>
  </si>
  <si>
    <t>Coordenação do SGI</t>
  </si>
  <si>
    <t>Alta direção e gerentes</t>
  </si>
  <si>
    <t>Decisões, recursos e prioridades (ISO 9001 §9.3.2 e)</t>
  </si>
  <si>
    <t>Comunicação</t>
  </si>
  <si>
    <t>Política e apetite ao risco comunicados a toda a organização</t>
  </si>
  <si>
    <t>Comunicado, mural e integração</t>
  </si>
  <si>
    <t>Registro de divulgação e treinamento</t>
  </si>
  <si>
    <t>Anual</t>
  </si>
  <si>
    <t>Todos os colaboradores</t>
  </si>
  <si>
    <t>Colaboradores que sabem o que a Direção aceita e o que não aceita</t>
  </si>
  <si>
    <t>Consulta</t>
  </si>
  <si>
    <t>Consulta às partes interessadas sobre riscos e oportunidades</t>
  </si>
  <si>
    <t>Ata / relatório</t>
  </si>
  <si>
    <t>Semestral</t>
  </si>
  <si>
    <t>Dono do processo</t>
  </si>
  <si>
    <t>Partes interessadas (aba Contexto)</t>
  </si>
  <si>
    <t>Retorno (feedback) registrado e considerado na decisão</t>
  </si>
  <si>
    <t>Semanal</t>
  </si>
  <si>
    <t>1. POLÍTICA E APETITE AO RISCO (declarados pela Alta Direção — curso M3 §2.2 e M5 §2.3)</t>
  </si>
  <si>
    <t>Política de gestão de riscos (código / link)</t>
  </si>
  <si>
    <t>Aprovada por / data</t>
  </si>
  <si>
    <t>Próxima análise crítica da política</t>
  </si>
  <si>
    <t>Declaração de apetite ao risco</t>
  </si>
  <si>
    <t>O apetite por categoria (nível máximo aceito sem tratar) é configurado na aba 'Critérios' e usado nos alertas 'Sem ação' e 'Aceite fora do apetite'. ISO 31010 §6.1.6.2: critérios de aceitação podem diferir conforme o tipo de consequência (ex.: risco financeiro x risco à vida).</t>
  </si>
  <si>
    <t>Classificação</t>
  </si>
  <si>
    <t>Oportunidade</t>
  </si>
  <si>
    <t>Referência</t>
  </si>
  <si>
    <t>Data</t>
  </si>
  <si>
    <t>Sim</t>
  </si>
  <si>
    <t>Não</t>
  </si>
  <si>
    <t>CRITÉRIOS, PARÂMETROS E LISTAS</t>
  </si>
  <si>
    <t>ISO 9001 §6.1 (riscos e oportunidades tratados separadamente na revisão 2026 — confira a numeração no texto oficial) • ISO 31000:2018 §6.3.4 • ISO/IEC 31010:2019. Edite só as células com texto azul ou fundo amarelo.</t>
  </si>
  <si>
    <t>COMO USAR</t>
  </si>
  <si>
    <t>PARÂMETROS GERAIS (células amarelas)</t>
  </si>
  <si>
    <t>Nível mínimo quando Impacto = 5</t>
  </si>
  <si>
    <t>Alto</t>
  </si>
  <si>
    <t>Risco com impacto máximo nunca fica abaixo deste nível, mesmo com baixa probabilidade (ex.: 1×5). Escolha 'Baixo' para desativar. Só vale para riscos.</t>
  </si>
  <si>
    <t>Nível que exige ação</t>
  </si>
  <si>
    <t>Médio</t>
  </si>
  <si>
    <t>Padrão para categorias sem apetite definido (tabela de impacto por categoria, abaixo). A partir deste nível a ação é obrigatória (alerta 'Sem ação'). Riscos: decidir por Monitorar/Aceitar abaixo da ação recomendada exige aprovação. Oportunidades: vira 'AÇÃO REQUERIDA'.</t>
  </si>
  <si>
    <t>Dias de antecedência para alerta de prazo</t>
  </si>
  <si>
    <t>Ações abertas com prazo dentro desta janela recebem o alerta 'Vence em breve'.</t>
  </si>
  <si>
    <t>Endereço / modelo do link do Plano de Ação</t>
  </si>
  <si>
    <t>Cole o endereço (SharePoint, OneDrive ou pasta de rede) da planilha oficial de Planos de Ação/RNC. Se cada plano tiver arquivo ou página própria com o código no nome, use {COD} no lugar do código: ex. https://empresa.sharepoint.com/planos/{COD}.xlsx. Em branco = sem link ↗.</t>
  </si>
  <si>
    <t>Posição do nível mínimo (calculado)</t>
  </si>
  <si>
    <t>Posição do nível de exigência (calculado)</t>
  </si>
  <si>
    <t>NÍVEIS E AÇÕES  (Score = Probabilidade × Impacto; zonas alinhadas ao mapa do modelo: Monitorar &lt; 8 • Mitigar/Melhorar 8–15 • Prevenir/Explorar ≥ 16)</t>
  </si>
  <si>
    <t>Score a partir de</t>
  </si>
  <si>
    <t>Ação recomendada
(riscos)</t>
  </si>
  <si>
    <t>Ação recomendada
(oportunidades)</t>
  </si>
  <si>
    <t>Decisão exigida</t>
  </si>
  <si>
    <t>Aprovação do aceite</t>
  </si>
  <si>
    <t>Revisão a cada (meses)</t>
  </si>
  <si>
    <t>Prazo sugerido</t>
  </si>
  <si>
    <t>Baixo</t>
  </si>
  <si>
    <t>Monitorar na rotina</t>
  </si>
  <si>
    <t>Gestor da área</t>
  </si>
  <si>
    <t>Rotina</t>
  </si>
  <si>
    <t>Ação planejada; verificar eficácia dos controles</t>
  </si>
  <si>
    <t>90 dias</t>
  </si>
  <si>
    <t>Ação prioritária, com dono, responsável e prazo</t>
  </si>
  <si>
    <t>Gerência / Direção</t>
  </si>
  <si>
    <t>30 dias</t>
  </si>
  <si>
    <t>Crítico</t>
  </si>
  <si>
    <t>Ação imediata; avaliar suspender a atividade / priorizar a oportunidade</t>
  </si>
  <si>
    <t>7 dias</t>
  </si>
  <si>
    <t>Prevenir = eliminar o risco, evitando-o • Mitigar = reduzir probabilidade e/ou impacto • Monitorar = documentar e lidar com a consequência se ocorrer • Explorar = fazer a oportunidade acontecer • Melhorar = aumentar probabilidade e/ou impacto positivo. Nas oportunidades, o nível indica relevância.</t>
  </si>
  <si>
    <t>MATRIZ DE CLASSIFICAÇÃO (calculada a partir das regras acima)</t>
  </si>
  <si>
    <t>Prob. \ Impacto</t>
  </si>
  <si>
    <t>Matriz dos riscos (com a regra de Impacto 5). Nas oportunidades vale só o score, sem a regra.</t>
  </si>
  <si>
    <t>ESCALA DE PROBABILIDADE  (chance de o evento ocorrer no horizonte de análise; em oportunidades: chance de a oportunidade se realizar)</t>
  </si>
  <si>
    <t>Valor</t>
  </si>
  <si>
    <t>Faixa</t>
  </si>
  <si>
    <t>Muito baixa</t>
  </si>
  <si>
    <t>0 a 20%</t>
  </si>
  <si>
    <t>Pode ocorrer somente em circunstâncias excepcionais.</t>
  </si>
  <si>
    <t>20 a 40%</t>
  </si>
  <si>
    <t>Dificilmente acontecerá.</t>
  </si>
  <si>
    <t>40 a 60%</t>
  </si>
  <si>
    <t>Pode ocorrer a qualquer momento.</t>
  </si>
  <si>
    <t>60 a 80%</t>
  </si>
  <si>
    <t>Provavelmente acontecerá muitas vezes.</t>
  </si>
  <si>
    <t>Muito alta</t>
  </si>
  <si>
    <t>&gt; 80%</t>
  </si>
  <si>
    <t>Espera-se que aconteça muitas vezes.</t>
  </si>
  <si>
    <t>Apetite: nível máximo aceito sem tratar</t>
  </si>
  <si>
    <t>Posição
(auto)</t>
  </si>
  <si>
    <t>Muito baixo</t>
  </si>
  <si>
    <t>Muito alto</t>
  </si>
  <si>
    <t>Sem lesão; desconforto momentâneo</t>
  </si>
  <si>
    <t>Lesão leve; primeiros socorros, sem afastamento</t>
  </si>
  <si>
    <t>Lesão com afastamento temporário ou tratamento médico</t>
  </si>
  <si>
    <t>Lesão grave, incapacidade permanente ou doença ocupacional</t>
  </si>
  <si>
    <t>Morte ou múltiplas lesões graves</t>
  </si>
  <si>
    <t>Sem dano; contido no local</t>
  </si>
  <si>
    <t>Liberação pequena e contida; limpeza simples</t>
  </si>
  <si>
    <t>Efeito local e reversível; comunicação interna</t>
  </si>
  <si>
    <t>Dano irreversível ou extenso; embargo, interdição ou ação criminal</t>
  </si>
  <si>
    <t>Desvio interno sem efeito no cliente; retrabalho mínimo</t>
  </si>
  <si>
    <t>Parada menor que 1 h; dano desprezível</t>
  </si>
  <si>
    <t>Parada de 1 a 4 h; reparo simples</t>
  </si>
  <si>
    <t>Legal / Conformidade</t>
  </si>
  <si>
    <t>Desvio interno; sem requisito legal afetado</t>
  </si>
  <si>
    <t>Não conformidade menor; ação corretiva interna</t>
  </si>
  <si>
    <t>Interdição, perda de licença ou responsabilização criminal</t>
  </si>
  <si>
    <t>Imagem / Reputação</t>
  </si>
  <si>
    <t>Sem repercussão externa</t>
  </si>
  <si>
    <t>Comentário isolado de cliente ou vizinhança</t>
  </si>
  <si>
    <t>Reclamação formal; repercussão local</t>
  </si>
  <si>
    <t>Cobertura negativa regional ou nacional</t>
  </si>
  <si>
    <t>Crise de imagem prolongada; perda de licença social ou de investidores</t>
  </si>
  <si>
    <t>Pouco efeito na satisfação do cliente</t>
  </si>
  <si>
    <t>Melhoria pequena em reclamações ou prazos</t>
  </si>
  <si>
    <t>Melhoria perceptível: menos reclamações, mais entregas no prazo</t>
  </si>
  <si>
    <t>Novos clientes ou fidelização relevante</t>
  </si>
  <si>
    <t>Diferencial competitivo: cliente-chave ganho ou preço premium</t>
  </si>
  <si>
    <t>Ganho marginal de eficiência</t>
  </si>
  <si>
    <t>Benefício ambiental pequeno</t>
  </si>
  <si>
    <t>Redução pequena de consumo ou resíduos</t>
  </si>
  <si>
    <t>Redução relevante de consumo, emissões ou resíduos</t>
  </si>
  <si>
    <t>Redução grande; certificação ou incentivo ambiental</t>
  </si>
  <si>
    <t>Redução significativa com reconhecimento ou vantagem de mercado</t>
  </si>
  <si>
    <t>SST / Pessoas</t>
  </si>
  <si>
    <t>Benefício pequeno ao clima ou à segurança</t>
  </si>
  <si>
    <t>Melhoria pontual de ergonomia ou treinamento</t>
  </si>
  <si>
    <t>Melhoria relevante de segurança, saúde ou engajamento</t>
  </si>
  <si>
    <t>Redução grande de acidentes ou absenteísmo</t>
  </si>
  <si>
    <t>Cultura de segurança consolidada; referência do setor</t>
  </si>
  <si>
    <t>Imagem / Mercado</t>
  </si>
  <si>
    <t>Pouco benefício à imagem</t>
  </si>
  <si>
    <t>Melhoria pequena de imagem</t>
  </si>
  <si>
    <t>Alguma melhoria de imagem; visibilidade local</t>
  </si>
  <si>
    <t>Melhoria de imagem regional ou nacional</t>
  </si>
  <si>
    <t>Melhoria significativa da imagem e acesso a novos mercados</t>
  </si>
  <si>
    <t>Estratégico / Inovação</t>
  </si>
  <si>
    <t>Contribuição pequena ao planejamento</t>
  </si>
  <si>
    <t>Apoio pontual a um objetivo</t>
  </si>
  <si>
    <t>Apoio relevante a objetivo estratégico</t>
  </si>
  <si>
    <t>Novo produto, serviço ou mercado viável</t>
  </si>
  <si>
    <t>Nova linha de negócio ou mudança de patamar</t>
  </si>
  <si>
    <t>LISTAS DAS CAIXAS DE SELEÇÃO  (azul = editável; cinza = usado nas fórmulas, não altere)</t>
  </si>
  <si>
    <t>Áreas / processos</t>
  </si>
  <si>
    <t>Ação adotada (riscos)</t>
  </si>
  <si>
    <t>Decisão adotada (oportunidades)</t>
  </si>
  <si>
    <t>Status da ação</t>
  </si>
  <si>
    <t>Tipo de risco (PMBOK)</t>
  </si>
  <si>
    <t>Facilidade de implantar (o 1º item vale 3)</t>
  </si>
  <si>
    <t>Redução da exposição a riscos (o 1º item vale 3)</t>
  </si>
  <si>
    <t>Alinhamento estratégico (o 1º item vale 3)</t>
  </si>
  <si>
    <t>Dias</t>
  </si>
  <si>
    <t>SWOT / contexto</t>
  </si>
  <si>
    <t>Alta — reduz significativamente perdas/remediações</t>
  </si>
  <si>
    <t>Contexto – mudanças climáticas (4.1)</t>
  </si>
  <si>
    <t>Concluído</t>
  </si>
  <si>
    <t>Organizacional</t>
  </si>
  <si>
    <t>Difícil — adquirir recursos, payback &gt; 1 ano</t>
  </si>
  <si>
    <t>Nenhum — não impacta item de controle</t>
  </si>
  <si>
    <t>Quinzenal</t>
  </si>
  <si>
    <t>Transferir / compartilhar</t>
  </si>
  <si>
    <t>Partes interessadas (4.2)</t>
  </si>
  <si>
    <t>Cancelado</t>
  </si>
  <si>
    <t>Aceitar</t>
  </si>
  <si>
    <t>Integrar ao planejamento estratégico</t>
  </si>
  <si>
    <t>Processo (atividades)</t>
  </si>
  <si>
    <t>Bimestral</t>
  </si>
  <si>
    <t>Reter para avaliação futura</t>
  </si>
  <si>
    <t>Mapeamento de processo</t>
  </si>
  <si>
    <t>Compras / Fornecedores</t>
  </si>
  <si>
    <t>Não perseguir</t>
  </si>
  <si>
    <t>Entrevista / checklist</t>
  </si>
  <si>
    <t>Utilidades (energia, água, ar)</t>
  </si>
  <si>
    <t>Alteração (gestão de mudança)</t>
  </si>
  <si>
    <t>Recursos Humanos</t>
  </si>
  <si>
    <t>Gestão Financeira</t>
  </si>
  <si>
    <t>Auditoria de riscos</t>
  </si>
  <si>
    <t>Incidente / quase-acidente</t>
  </si>
  <si>
    <t>Gestão Estratégica</t>
  </si>
  <si>
    <t>Gestão Comercial</t>
  </si>
  <si>
    <t>Requisito legal</t>
  </si>
  <si>
    <t>Monitoramento de itens críticos</t>
  </si>
  <si>
    <t>Lições aprendidas</t>
  </si>
  <si>
    <t>Tratamento de outro risco (efeito secundário)</t>
  </si>
  <si>
    <t>LIMITAÇÕES E BOAS PRÁTICAS</t>
  </si>
  <si>
    <t>• Status, ações adotadas e nomes dos níveis são lidos pelas fórmulas: não renomeie. Áreas, origens, eficácia e escalas podem ser editadas.</t>
  </si>
  <si>
    <t>HISTÓRICO DE ALTERAÇÕES E APROVAÇÕES</t>
  </si>
  <si>
    <t>Registre mudanças de critérios, reavaliações relevantes e aceites de risco. Guarda quem alterou, por quê e quem aprovou — evita reduzir o risco residual sem evidência e sustenta auditorias (informação documentada; ISO 31000 §6.7).</t>
  </si>
  <si>
    <t>Aba / ID</t>
  </si>
  <si>
    <t>O que mudou</t>
  </si>
  <si>
    <t>Motivo / evidência</t>
  </si>
  <si>
    <t>Autor</t>
  </si>
  <si>
    <t>Aprovado por</t>
  </si>
  <si>
    <t>Data da aprovação</t>
  </si>
  <si>
    <t>Lição aprendida / conhecimento gerado</t>
  </si>
  <si>
    <t>Critérios</t>
  </si>
  <si>
    <t>Velocidade de impacto</t>
  </si>
  <si>
    <t>Volatilidade da probabilidade</t>
  </si>
  <si>
    <t>Tipo de controle</t>
  </si>
  <si>
    <t>Ponto médio da faixa de prob. (linha = valor 1 a 5)</t>
  </si>
  <si>
    <t>Lenta — meses</t>
  </si>
  <si>
    <t>Média — semanas</t>
  </si>
  <si>
    <t>Rápida — dias</t>
  </si>
  <si>
    <t>Imediata — horas</t>
  </si>
  <si>
    <t>Estável</t>
  </si>
  <si>
    <t>Moderada</t>
  </si>
  <si>
    <t>Alta — muda rápido</t>
  </si>
  <si>
    <t>Preventivo</t>
  </si>
  <si>
    <t>Detectivo</t>
  </si>
  <si>
    <t>Corretivo</t>
  </si>
  <si>
    <t>Diretivo (política/procedimento)</t>
  </si>
  <si>
    <t>Compartilhamento (seguro/contrato)</t>
  </si>
  <si>
    <t>Compartilhar (parceria / contrato)</t>
  </si>
  <si>
    <t>COMPLEMENTOS (velocidade, controle, custo-benefício e continuidade)</t>
  </si>
  <si>
    <t>Tipo do controle principal</t>
  </si>
  <si>
    <t>MAO: parada máx. aceitável (horas)</t>
  </si>
  <si>
    <t>Plano de contingência / continuidade (cód. ou link)</t>
  </si>
  <si>
    <t>INVESTIMENTO E RETORNO (Sheridan MN220 S4)</t>
  </si>
  <si>
    <t>Grau</t>
  </si>
  <si>
    <t>Características principais</t>
  </si>
  <si>
    <t>Ingênuo</t>
  </si>
  <si>
    <t>Não existe abordagem formal; os riscos são tratados quando acontecem, por iniciativa individual.</t>
  </si>
  <si>
    <t>Promove a gestão de riscos e se apoia na avaliação de riscos feita pela própria auditoria.</t>
  </si>
  <si>
    <t>Consciente</t>
  </si>
  <si>
    <t>Há práticas de gestão de riscos, mas dispersas em silos: cada área usa seu método, sem linguagem comum.</t>
  </si>
  <si>
    <t>Promove a abordagem corporativa; ainda usa a avaliação de riscos feita pela própria auditoria.</t>
  </si>
  <si>
    <t>Definido</t>
  </si>
  <si>
    <t>Política, critérios e apetite definidos e comunicados; processo documentado e conhecido.</t>
  </si>
  <si>
    <t>Facilita a gestão de riscos e passa a usar a avaliação feita pela direção/gerência, quando adequada.</t>
  </si>
  <si>
    <t>Gerenciado</t>
  </si>
  <si>
    <t>Abordagem corporativa aplicada em todas as áreas, monitorada e com a eficácia das respostas verificada.</t>
  </si>
  <si>
    <t>Audita os processos de gestão de riscos e usa a avaliação da gerência conforme apropriado.</t>
  </si>
  <si>
    <t>Habilitado</t>
  </si>
  <si>
    <t>Gestão de riscos e controles integrados às operações, às decisões e à cultura; melhoria contínua medida.</t>
  </si>
  <si>
    <t>Audita os processos de gestão de riscos e se apoia na avaliação da direção/gerência.</t>
  </si>
  <si>
    <t>Lacuna</t>
  </si>
  <si>
    <t>Desdobrar os objetivos por processo, exigir o objetivo em toda linha do registro e rever na análise crítica.</t>
  </si>
  <si>
    <t>Aprovar e comunicar a política, nomear dono em 100% das linhas e incluir a responsabilidade nas descrições de cargo.</t>
  </si>
  <si>
    <t>Registrar a aprovação no Histórico e recalibrar as escalas de probabilidade com as ocorrências reais a cada 12 meses.</t>
  </si>
  <si>
    <t>Definir apetite para todas as categorias, comunicar à organização e escalonar à Direção o que excede o apetite.</t>
  </si>
  <si>
    <t>Revisar PESTEL, SWOT e Cinco Forças ao menos uma vez por ano e ligar cada item a um ID de risco ou oportunidade.</t>
  </si>
  <si>
    <t>Aplicar os gatilhos (mudança, incidente, RNC, auditoria) e comparar incidentes reais com o registro para achar riscos não identificados.</t>
  </si>
  <si>
    <t>Colher estimativas individuais antes da discussão, registrar a confiança e reduzir vieses de disponibilidade e ancoragem.</t>
  </si>
  <si>
    <t>Elaborar o BowTie de todo risco Alto/Crítico e verificar as barreiras a cada 12 meses.</t>
  </si>
  <si>
    <t>Comparar opções por custo e efeito, preferir eliminar/substituir/engenharia e registrar custo e perda para sustentar aceites.</t>
  </si>
  <si>
    <t>Não iniciar a execução sem meta de eficácia e cobrar a avaliação na data de verificação.</t>
  </si>
  <si>
    <t>Levar à análise crítica todo risco acima do apetite e renovar aceites por prazo determinado.</t>
  </si>
  <si>
    <t>Aplicar o portfólio a toda oportunidade relevante e fechar o ciclo medindo o benefício contra o KPI.</t>
  </si>
  <si>
    <t>Criar KRI para todo risco Alto/Crítico, com limite e ação de reação, e reavaliar no prazo do nível.</t>
  </si>
  <si>
    <t>Definir audiência, meio e frequência por parte interessada e registrar atas e a percepção do risco.</t>
  </si>
  <si>
    <t>Incentivar o relato de quase-acidentes (cultura de mão levantada, sem culpa), registrar lições ao encerrar planos e reavaliar mudanças.</t>
  </si>
  <si>
    <t>Meta da Direção (grau de 1 a 5)</t>
  </si>
  <si>
    <t>Critérios abaixo da meta</t>
  </si>
  <si>
    <t>PLANO DE AUDITORIA BASEADO EM RISCOS — UNIVERSO E PRIORIDADE POR ÁREA</t>
  </si>
  <si>
    <t>Auditoria baseada em riscos (QSP, ABR; curso M6 §2.1.3): parte dos objetivos, determina o universo de riscos e escolhe as áreas a auditar conforme os riscos que a própria gerência identificou e avaliou; o resultado é garantia de que os riscos estão dentro do apetite ou uma melhoria. O índice de exposição soma os riscos ATUAIS de cada área por nível (com pesos) mais os alertas abertos. É uma heurística de planejamento e não um risco agregado (a matriz não soma riscos: ver Critérios). Área sem riscos registrados não é 'segura': verifique se a identificação está completa. Ajuste os parâmetros amarelos e aprove com a Direção.</t>
  </si>
  <si>
    <t>PARÂMETROS (células amarelas)</t>
  </si>
  <si>
    <t>RESUMO</t>
  </si>
  <si>
    <t>Peso — risco Crítico</t>
  </si>
  <si>
    <t>Peso — risco Alto</t>
  </si>
  <si>
    <t>Peso — risco Médio</t>
  </si>
  <si>
    <t>Peso — risco Baixo</t>
  </si>
  <si>
    <t>Peso — cada alerta aberto</t>
  </si>
  <si>
    <t>Prioridade Alta a partir do índice</t>
  </si>
  <si>
    <t>Prioridade Média a partir do índice</t>
  </si>
  <si>
    <t>Intervalo entre auditorias — Alta (meses)</t>
  </si>
  <si>
    <t>Intervalo — Média (meses)</t>
  </si>
  <si>
    <t>Intervalo — Baixa (meses)</t>
  </si>
  <si>
    <t>Intervalo — área sem riscos registrados (meses)</t>
  </si>
  <si>
    <t>Áreas com prioridade Alta</t>
  </si>
  <si>
    <t>Áreas sem riscos registrados (verificar identificação)</t>
  </si>
  <si>
    <t>Auditorias atrasadas</t>
  </si>
  <si>
    <t>Áreas com riscos nunca auditadas</t>
  </si>
  <si>
    <t>Auditorias que vencem em breve</t>
  </si>
  <si>
    <t>Nº</t>
  </si>
  <si>
    <t>Alertas abertos</t>
  </si>
  <si>
    <t>Oportunid.</t>
  </si>
  <si>
    <t>Índice de exposição</t>
  </si>
  <si>
    <t>Prioridade</t>
  </si>
  <si>
    <t>Intervalo (meses)</t>
  </si>
  <si>
    <t>Última auditoria</t>
  </si>
  <si>
    <t>Conformidade da última</t>
  </si>
  <si>
    <t>Próxima auditoria</t>
  </si>
  <si>
    <t>Foco sugerido da auditoria</t>
  </si>
  <si>
    <t>Observações / escopo (preencher)</t>
  </si>
  <si>
    <t>[pendente — Direção]</t>
  </si>
  <si>
    <t>Grau de maturidade da gestão de riscos</t>
  </si>
  <si>
    <t>Plasticom — Unidade 1 (Portugal)</t>
  </si>
  <si>
    <t>Todas as áreas — jul/2025 a dez/2026</t>
  </si>
  <si>
    <t>Direção — 22/12/2026</t>
  </si>
  <si>
    <t>Registros da Plasticom (fábrica simulada; dados do raio-X analítico)   |   Texto AZUL = preencher   |   Fundo CINZA = fórmula (não editar)   |   Código do plano: PAC 202601 ou RNC 202601   |   Passe o mouse nos cabeçalhos: instruções por coluna   |   Use os botões [–] acima das colunas para recolher blocos</t>
  </si>
  <si>
    <t>Custo estimado do tratamento (€)</t>
  </si>
  <si>
    <t>Perda potencial se ocorrer (€)</t>
  </si>
  <si>
    <t>Sopro (ISBM)</t>
  </si>
  <si>
    <t>Instabilidade da espessura de parede na ISBM-003 gera frascos fora de especificação e lotes rejeitados/refeitos</t>
  </si>
  <si>
    <t>Análise de dados / raio-X analítico</t>
  </si>
  <si>
    <t>Cpk ≥ 1,33 nas características críticas</t>
  </si>
  <si>
    <t>Programação do parison instável: dispersão de espessura (RangeR ≈ 3,0× as demais ISBM) com viés para ombro fino</t>
  </si>
  <si>
    <t>Rejeição e refação de lote (NC-01319), reclamações de frasco deformado/colapsado, custo de refugo e retrabalho</t>
  </si>
  <si>
    <t>Cartas X-barra/R por subgrupo; AQL por lote; inspeção de espessura por turno</t>
  </si>
  <si>
    <t>Verificar programação do parison, atuadores/sensores e cabeçote; comparar Cpk e RangeR antes/depois (RC-01)</t>
  </si>
  <si>
    <t>Eng. de Processo</t>
  </si>
  <si>
    <t>RangeR ISBM-003 ≤ 1,3× a média das demais ISBM e Cpk ≥ 1,33 por 3 meses</t>
  </si>
  <si>
    <t>Razão RangeR espessura ISBM-003 ÷ demais ISBM (aba KRI)</t>
  </si>
  <si>
    <t>Comitê da Qualidade</t>
  </si>
  <si>
    <t>Evidência: RangeR ISBM-003 ≈ 3,0× pares (18 meses); rejeição da máquina 3,94% vs 2,4% da planta. Causa física a confirmar em campo (RC-01).</t>
  </si>
  <si>
    <t>R2;R16</t>
  </si>
  <si>
    <t>Desgaste acumulado do molde M-SOP-007 (ISBM-001) eleva Flash/Leakage até a reforma</t>
  </si>
  <si>
    <t>Taxa de rejeição ≤ 2,0% (baseline 2,39%)</t>
  </si>
  <si>
    <t>Desgaste do molde cresce com as unidades acumuladas; sem contador de ciclos desde a reforma, a ação ocorre só após o lote falhar</t>
  </si>
  <si>
    <t>Lote rejeitado/refeito (NC-01321), Flash e vazamento em frascos e reclamações</t>
  </si>
  <si>
    <t>Reforma do molde em 15/06/2026 (PAC 202604); inspeção AQL de Flash/Leakage por lote</t>
  </si>
  <si>
    <t>Criar contador CiclosDesdeReforma com limite de alerta/ação e inspeção por condição (RC-12)</t>
  </si>
  <si>
    <t>Nenhum lote rejeitado por Flash/Leakage no M-SOP-007 por 6 meses; reforma acionada por condição</t>
  </si>
  <si>
    <t>PAC 202605</t>
  </si>
  <si>
    <t>Unidades desde a reforma e defeitos Flash+Leakage por lote (aba KRI)</t>
  </si>
  <si>
    <t>Manutenção + Qualidade</t>
  </si>
  <si>
    <t>Defeitos Flash/Leakage por lote no M-SOP-007: pico de 1,68 em 2026-04, queda após a reforma de 15/06/2026 e nova subida lenta. Limite de ciclos provisório: calibrar pela curva defeito × ciclos.</t>
  </si>
  <si>
    <t>R1;R19</t>
  </si>
  <si>
    <t>Paradas não planejadas recorrentes na ISBM-005 por envelhecimento hidráulico reduzem a disponibilidade</t>
  </si>
  <si>
    <t>OEE ≥ 81,1% e Disponibilidade ≥ 90% (baseline 79,1% / 87,4%)</t>
  </si>
  <si>
    <t>Envelhecimento do sistema hidráulico: frequência de paradas ≈ 2,3× a base; sem análise de condição por horas de operação</t>
  </si>
  <si>
    <t>Disponibilidade ≈ 80% (planta 87,4%), perda de capacidade e atraso de ordens; qualidade não é afetada</t>
  </si>
  <si>
    <t>Manutenção preventiva calendarizada; reposição reativa de componentes</t>
  </si>
  <si>
    <t>Inspeção hidráulica, histórico de componentes críticos e plano por horas de operação (MTBF/MTTR) (RC-06)</t>
  </si>
  <si>
    <t>Paradas não planejadas da ISBM-005 ≤ 80 h/mês e disponibilidade ≥ 85% por 3 meses</t>
  </si>
  <si>
    <t>PAC 202611</t>
  </si>
  <si>
    <t>Horas de parada não planejada/mês na ISBM-005 (aba KRI)</t>
  </si>
  <si>
    <t>Manutenção + Produção</t>
  </si>
  <si>
    <t>Parada não planejada ISBM-005: ≈ 116 h/mês vs 70 h/mês na média das demais ISBM (custo ilustrativo € 350/h). Não atacar com mais inspeção de produto.</t>
  </si>
  <si>
    <t>R23;R22</t>
  </si>
  <si>
    <t>PCN-ISBM-01 (transferir ordens para ISBM-004/006)</t>
  </si>
  <si>
    <t>Injeção</t>
  </si>
  <si>
    <t>Short shot e variação de peso na IM-002 causados por banda de aquecimento marginal e janela de parâmetros inadequada</t>
  </si>
  <si>
    <t>Banda de aquecimento do canhão marginal: interação temperatura × velocidade de injeção fora da janela ótima</t>
  </si>
  <si>
    <t>Short shot (≈ 13,5 mil DPMO, 3,4× as demais), peças fora de peso, rejeição de lote e reclamações</t>
  </si>
  <si>
    <t>AQL por lote; carta de peso; parâmetros do setup padrão</t>
  </si>
  <si>
    <t>Corrida de confirmação independente do DOE (Short Shot 1,35% → 0,11%), atualizar standard work, plano de controle e FMEA (RC-05)</t>
  </si>
  <si>
    <t>Short Shot IM-002 ≤ 1 500 DPMO e Cpk do peso ≥ 1,33 por 3 meses após replicação</t>
  </si>
  <si>
    <t>Short Shot DPMO da IM-002 (aba KRI)</t>
  </si>
  <si>
    <t>Caso de maior evidência causal: MSA adequado, efeito de máquina após controle de mix e DOE (temperatura, velocidade e interação). Ainda sem prova de sustentação em produção.</t>
  </si>
  <si>
    <t>R10;R19</t>
  </si>
  <si>
    <t>R5</t>
  </si>
  <si>
    <t>Flash crescente na IM-004 em campanhas longas entre trocas de molde (acúmulo de ciclos desde o setup)</t>
  </si>
  <si>
    <t>Campanhas de até 930 mil unidades sem troca; o desgaste do molde cresce com os ciclos e não há contador nem limite de reação</t>
  </si>
  <si>
    <t>Flash em tampas (≈ 15 mil DPMO, 3,8× as demais), lote rejeitado/refeito (NC-01322/01323) e retrabalho</t>
  </si>
  <si>
    <t>AQL de Flash por lote; troca de molde conforme programação</t>
  </si>
  <si>
    <t>Criar contador de unidades desde o setup com limite validado e inspeção de condição antes do limite (RC-02)</t>
  </si>
  <si>
    <t>Flash IM-004 ≤ 4 000 DPMO; nenhuma campanha acima do limite técnico validado</t>
  </si>
  <si>
    <t>Flash DPMO da IM-004 e unidades desde o último setup (aba KRI)</t>
  </si>
  <si>
    <t>Indicador correto é unidades/ciclos desde o setup, não o mês. Limite técnico não escolhido por conveniência: estimar da curva defeito × ciclos e confirmar em campo.</t>
  </si>
  <si>
    <t>R2;R19</t>
  </si>
  <si>
    <t>R6</t>
  </si>
  <si>
    <t>Serigrafia</t>
  </si>
  <si>
    <t>Pico de falha de adesão de tinta em FR-007-PP-350 (SS-002) ligado a lote de resina PP marginal</t>
  </si>
  <si>
    <t>Interação entrada × processo: lote de PP do fornecedor SUP-005 na janela marginal + sensibilidade do processo de decoração</t>
  </si>
  <si>
    <t>Lote rejeitado e refeito (NC-01324), adesão ≈ 1 090 DPMO na janela vs 0 fora dela, reclamações de tinta</t>
  </si>
  <si>
    <t>Inspeção de recebimento de PP; AQL de adesão; teste de aderência no setup</t>
  </si>
  <si>
    <t>Segregar lotes de risco, confirmar o efeito do lote de PP na adesão e fixar a janela de parâmetros da serigrafia (RC-03)</t>
  </si>
  <si>
    <t>Adesão ≤ 300 DPMO por material/lote e nenhum lote de PP liberado sem confirmação</t>
  </si>
  <si>
    <t>PAC 202607</t>
  </si>
  <si>
    <t>Adesão DPMO na serigrafia (aba KRI)</t>
  </si>
  <si>
    <t>Janela 2026-02-20 a 2026-03-13. Não concluir que a serigrafia é ruim: a evidência aponta para interação com o lote de resina. Ligado a R13.</t>
  </si>
  <si>
    <t>R13;R14</t>
  </si>
  <si>
    <t>R7</t>
  </si>
  <si>
    <t>Degradação de confiabilidade da SS-001 (desgaste de rolete/rasqueta e backlog de manutenção) eleva falhas e tempo de reparo</t>
  </si>
  <si>
    <t>Desgaste de rolete/rasqueta com backlog de manutenção: MTTR subiu de ≈ 1,7 h para ≈ 3,5 h até jun/2026</t>
  </si>
  <si>
    <t>Paradas longas, atraso de ordens, lote refeito (NC-01326) e perda de disponibilidade</t>
  </si>
  <si>
    <t>Overhaul executado em 07/2026 (PAC 202609); PM calendarizada genérica</t>
  </si>
  <si>
    <t>Overhaul concluído; falta PM orientada ao modo de falha e acompanhamento de falhas por 100 h (PAC 202610)</t>
  </si>
  <si>
    <t>MTTR SS-001 ≤ 1,5 h por 6 meses após o overhaul</t>
  </si>
  <si>
    <t>PAC 202609</t>
  </si>
  <si>
    <t>Eficaz</t>
  </si>
  <si>
    <t>MTTR e falhas por 100 h da SS-001 (aba KRI)</t>
  </si>
  <si>
    <t>MTTR unplanned SS-001: 2,82 h (jan–jun/2026) → 1,20 h em média (jul–dez/2026). A média de dez/2026 ainda sobe (1,17 h) — manter monitoramento. A análise de DaysSincePM não provou efeito; isso não prova que PM seja inútil.</t>
  </si>
  <si>
    <t>PCN-SS-01 (redistribuir ordens para SS-002)</t>
  </si>
  <si>
    <t>R8</t>
  </si>
  <si>
    <t>Hot Foil</t>
  </si>
  <si>
    <t>Transferência incompleta de foil na HF-001 em alta velocidade, com velocidade real de linha não registrada</t>
  </si>
  <si>
    <t>Velocidade elevada estreita a janela do processo; o parâmetro não é registrado por ordem (só recuperado por ActualCycleTimeSec)</t>
  </si>
  <si>
    <t>Foil Transfer ≈ 416 DPMO (HF-002 ≈ 330), rejeição 3,63% vs 2,99% da HF-002, lote refeito (NC-01325)</t>
  </si>
  <si>
    <t>AQL de Foil Transfer por lote; ajuste manual do operador</t>
  </si>
  <si>
    <t>Instrumentar a velocidade real por ordem, definir janela operacional validada e alarme de limite (RC-04, RC-13)</t>
  </si>
  <si>
    <t>Foil Transfer HF-001 ≤ 330 DPMO (igual à HF-002) e 100% das ordens com velocidade registrada</t>
  </si>
  <si>
    <t>PAC 202608</t>
  </si>
  <si>
    <t>Foil Transfer DPMO da HF-001 (aba KRI)</t>
  </si>
  <si>
    <t>Produção + Qualidade</t>
  </si>
  <si>
    <t>Evidência experimental/sintética: confirmar o parâmetro em linha antes de padronizar.</t>
  </si>
  <si>
    <t>R19</t>
  </si>
  <si>
    <t>R9</t>
  </si>
  <si>
    <t>Produção (transversal)</t>
  </si>
  <si>
    <t>Prêmio de defeito no turno 2 (fadiga/handover) eleva a rejeição em todos os processos</t>
  </si>
  <si>
    <t>Fadiga e passagem de turno (handover); carga e supervisão diferentes no turno 14h–22h</t>
  </si>
  <si>
    <t>Rejeição de 2,82% no turno 2 vs 2,09% no turno 1 (+35%), mais refugo e retrabalho</t>
  </si>
  <si>
    <t>Supervisão de turno; passagem de turno informal</t>
  </si>
  <si>
    <t>Estudar handover, carga, pausas, staffing e parâmetros do turno 2; não culpar operador sem estudo (RC-08)</t>
  </si>
  <si>
    <t>Supervisor de Turno</t>
  </si>
  <si>
    <t>Diferença de rejeição turno 2 vs turno 1 ≤ 0,3 p.p. ajustada por produto/máquina</t>
  </si>
  <si>
    <t>PAC 202612</t>
  </si>
  <si>
    <t>Rejeição do turno 2 (aba KRI)</t>
  </si>
  <si>
    <t>Associação: mecanismo operacional requer validação. Ajustar por produto e máquina antes de concluir.</t>
  </si>
  <si>
    <t>R10;R23</t>
  </si>
  <si>
    <t>R10</t>
  </si>
  <si>
    <t>Alta variabilidade de execução do operador OP-INJ-003 (dispersão 2× os pares, sem viés de média)</t>
  </si>
  <si>
    <t>Método de execução/medição inconsistente e possível ergonomia; RangeR ≈ 5,0 vs ≈ 2,5 dos pares com média semelhante</t>
  </si>
  <si>
    <t>Maior variabilidade intrassubgrupo e menor Cpk; não é viés do operador</t>
  </si>
  <si>
    <t>Cartas X-barra/R; standard work escrito</t>
  </si>
  <si>
    <t>Observar o standard work, revisar método/ergonomia e treinar sem culpabilizar; repetir Gage R&amp;R por característica (RC-10)</t>
  </si>
  <si>
    <t>RangeR do peso ≤ 3,0 sem deslocar a média do processo</t>
  </si>
  <si>
    <t>PAC 202613</t>
  </si>
  <si>
    <t>A carta X-barra sozinha não detecta este sinal: usar carta R. Tratar como variação de método, não como defeito do operador.</t>
  </si>
  <si>
    <t>R4;R9</t>
  </si>
  <si>
    <t>R11</t>
  </si>
  <si>
    <t>Contaminação (black specks) em frascos soprados ligada a lote de masterbatch/cor</t>
  </si>
  <si>
    <t>Reclamações ≤ 3 por milhão de unidades (baseline 4,76)</t>
  </si>
  <si>
    <t>Lote de masterbatch com contaminação e purga insuficiente na troca de cor</t>
  </si>
  <si>
    <t>Pico de black specks (≈ 1,5× a base) em 02–09/02/2026, lote refeito (NC-01320, CAPA-4805) e reclamações de corpo estranho</t>
  </si>
  <si>
    <t>Inspeção visual de black specks; controle de lote de masterbatch; CAPA-4805 concluída e eficaz</t>
  </si>
  <si>
    <t>Reforçar controle de lote de masterbatch (fornecedor SUP-008) e padrão de purga/limpeza na troca de cor</t>
  </si>
  <si>
    <t>Zero lotes rejeitados por black specks por 6 meses</t>
  </si>
  <si>
    <t>PAC 202617</t>
  </si>
  <si>
    <t>Evento de uma semana, fev/2026, no sopro; a refação ocorreu na ISBM-007 (dados).</t>
  </si>
  <si>
    <t>R14</t>
  </si>
  <si>
    <t>R12</t>
  </si>
  <si>
    <t>Engenharia de Processo</t>
  </si>
  <si>
    <t>Lançamento de novos produtos (FR-011/012-PET-400) com curva de aprendizado e defeitos elevados nas primeiras semanas</t>
  </si>
  <si>
    <t>Parâmetros e plano de controle ainda não estabilizados no lançamento; efeito de aprendizado de ~6 semanas</t>
  </si>
  <si>
    <t>Defeito elevado no lançamento (+80% no modelo), sucata e possíveis reclamações</t>
  </si>
  <si>
    <t>Plano de controle de lançamento; inspeção reforçada nas primeiras semanas</t>
  </si>
  <si>
    <t>Manter revisão de riscos de lançamento (APQP simplificado) antes de cada novo SKU</t>
  </si>
  <si>
    <t>Nos dados, a rejeição dos SKUs lançados em 06/04/2026 foi de 2,54% nas primeiras 6 semanas vs 2,43% depois — efeito pequeno e dentro do apetite (Baixo).</t>
  </si>
  <si>
    <t>R13</t>
  </si>
  <si>
    <t>Lotes de matéria-prima fora de especificação do fornecedor SUP-005 (compra spot, PP/PVC) chegam à produção</t>
  </si>
  <si>
    <t>Lotes de matéria-prima não aceitos ≤ 5%</t>
  </si>
  <si>
    <t>Fornecedor spot (4 anos, sem contrato de longo prazo) com processo de fornecimento de maior taxa de lote fora de especificação</t>
  </si>
  <si>
    <t>Lotes não aceitos (25,5% vs 4–9% dos demais; 50% em nov e dez/2026), 29 reclamações ao fornecedor, defeitos a jusante (adesão, refações)</t>
  </si>
  <si>
    <t>Inspeção de recebimento (Melt Index, densidade); segregação de lotes reprovados</t>
  </si>
  <si>
    <t>Substituição</t>
  </si>
  <si>
    <t>CAPA de fornecedor, auditoria de processo, critério de aprovação/descredenciamento e plano de contingência de segunda fonte (RC-11)</t>
  </si>
  <si>
    <t>Gerente de Compras</t>
  </si>
  <si>
    <t>Comprador Sênior</t>
  </si>
  <si>
    <t>Lotes SUP-005 não aceitos ≤ 8% por 3 meses ou fornecedor substituído</t>
  </si>
  <si>
    <t>PAC 202606</t>
  </si>
  <si>
    <t>% de lotes não aceitos do SUP-005 (aba KRI)</t>
  </si>
  <si>
    <t>Compras + Qualidade</t>
  </si>
  <si>
    <t>Fornecedor spot; n mensal de 13–18 lotes: usar leitura de tendência, não de um mês. O descredenciamento exige critérios aprovados e amostra suficiente.</t>
  </si>
  <si>
    <t>R6;R14;R15</t>
  </si>
  <si>
    <t>PCN-COMPRAS-01 (segunda fonte PP: SUP-002/SUP-007)</t>
  </si>
  <si>
    <t>Volatilidade de qualidade e disponibilidade de PCR/rPET e troca de fornecedor de HDPE-PCR</t>
  </si>
  <si>
    <t>Dependência de poucas fontes de material reciclado; transição SUP-001 → SUP-004 (mai–jun/2026) com curva de aprendizado</t>
  </si>
  <si>
    <t>Lotes não aceitos (18,2% na transição vs 9,4% fora dela), mais scrap e limitação das metas de conteúdo reciclado</t>
  </si>
  <si>
    <t>Inspeção de recebimento; especificação técnica de PCR</t>
  </si>
  <si>
    <t>Qualificar fontes múltiplas de PCR/rPET e executar DOE de materiais antes de mudar fornecedor</t>
  </si>
  <si>
    <t>≥ 2 fornecedores aprovados por material reciclado e não aceitação ≤ 8%</t>
  </si>
  <si>
    <t>PAC 202615</t>
  </si>
  <si>
    <t>% de lotes de MP não aceitos — todos os fornecedores (aba KRI)</t>
  </si>
  <si>
    <t>Origem SWOT (Ameaça): custo e disponibilidade de material reciclado. Transição de fornecedor 2026-05-01 a 2026-06-15.</t>
  </si>
  <si>
    <t>R13;R25;O5</t>
  </si>
  <si>
    <t>R15</t>
  </si>
  <si>
    <t>PCP / Planejamento</t>
  </si>
  <si>
    <t>Falta de matéria-prima interrompe ordens de produção (parada por Raw Material Shortage)</t>
  </si>
  <si>
    <t>Continuidade da produção e entregas no prazo</t>
  </si>
  <si>
    <t>Planejamento de compras sem cobertura mínima por material crítico e dependência de fornecedores spot</t>
  </si>
  <si>
    <t>≈ 2 680 h de parada em 18 meses (≈ 149 h/mês), ordens atrasadas e mais reclamações de entrega</t>
  </si>
  <si>
    <t>Reposição por ponto de pedido manual; reunião semanal de compras</t>
  </si>
  <si>
    <t>Estoque de segurança por material crítico, ponto de pedido automático e alerta de cobertura no PCP</t>
  </si>
  <si>
    <t>Planejador de PCP</t>
  </si>
  <si>
    <t>Horas de parada por falta de matéria-prima ≤ 100 h/mês</t>
  </si>
  <si>
    <t>Horas de parada por falta de matéria-prima/mês (aba KRI)</t>
  </si>
  <si>
    <t>PCP + Compras</t>
  </si>
  <si>
    <t>Perda ≈ € 350/h × 149 h/mês ≈ € 52 mil/mês (premissa ilustrativa do projeto).</t>
  </si>
  <si>
    <t>R16</t>
  </si>
  <si>
    <t>Escape de lote marginal ao cliente: passa na amostragem AQL, mas gera reclamação</t>
  </si>
  <si>
    <t>AQL decide o lote, mas não substitui indicadores antecedentes de processo; controle reativo em vez de detecção antecipada</t>
  </si>
  <si>
    <t>208 reclamações em 18 meses (54 críticas; 39 abertas), CPMU 4,76, devolução de lote e perda de confiança</t>
  </si>
  <si>
    <t>Plano de amostragem AQL; inspeção final; tratativa de reclamações</t>
  </si>
  <si>
    <t>Adicionar indicadores antecedentes (KRI/SPC) ao plano de controle e classificar taxonomia de reclamações por lote/defeito (RC-14)</t>
  </si>
  <si>
    <t>CPMU ≤ 3,0 e 100% das reclamações rastreadas a lote/ordem</t>
  </si>
  <si>
    <t>PAC 202616</t>
  </si>
  <si>
    <t>CPMU — reclamações por milhão de unidades (aba KRI)</t>
  </si>
  <si>
    <t>≈ 67% das reclamações rastreáveis vêm de ordem com qualidade interna abaixo da mediana; o sinal é real, mas fraco: alerta baseado só em rejeição interna captura pouco.</t>
  </si>
  <si>
    <t>R18;R21</t>
  </si>
  <si>
    <t>R17</t>
  </si>
  <si>
    <t>Capacidade de processo marginal: 0% dos 190 grupos máquina×molde×característica atingem Cpk ≥ 1,33</t>
  </si>
  <si>
    <t>Centralização e dispersão inadequadas de forma generalizada; máquinas nomeadas (IM-002, ISBM-003) pioram uma base já modesta</t>
  </si>
  <si>
    <t>Risco de não atender exigência de Cpk de clientes, mais inspeção e maior custo de avaliação</t>
  </si>
  <si>
    <t>Cartas de controle; auditoria de processo; inspeção por amostragem</t>
  </si>
  <si>
    <t>Priorizar por Pareto de Cpk × volume × criticidade e conduzir projetos DMAIC nos casos mais fracos</t>
  </si>
  <si>
    <t>Black Belt</t>
  </si>
  <si>
    <t>≥ 50% dos grupos priorizados com Cpk ≥ 1,33 em 12 meses</t>
  </si>
  <si>
    <t>PAC 202618</t>
  </si>
  <si>
    <t>Planta estatisticamente marginal como um todo; o Cpk máximo observado fica abaixo de 1,33 mesmo entre grupos estáveis.</t>
  </si>
  <si>
    <t>R1;R4</t>
  </si>
  <si>
    <t>R18</t>
  </si>
  <si>
    <t>Rastreabilidade incompleta lote → ordem → produto final impede contenção rápida e RTY real</t>
  </si>
  <si>
    <t>Sem rota rastreável sopro → decoração → tampa → produto final; RTY hoje é proxy; parte das reclamações não liga a lote</t>
  </si>
  <si>
    <t>Contenção lenta, recall mais amplo que o necessário e custo de reclamação maior</t>
  </si>
  <si>
    <t>Rastreabilidade por LotId e ProductBatch; registro de ordem</t>
  </si>
  <si>
    <t>Amarrar lote/unidade entre processos e ao pedido de venda, com taxonomia de reclamações (RC-14)</t>
  </si>
  <si>
    <t>Analista de Dados</t>
  </si>
  <si>
    <t>≥ 95% das reclamações rastreáveis a lote de origem e RTY físico medido</t>
  </si>
  <si>
    <t>PAC 202620</t>
  </si>
  <si>
    <t>Qualidade + Dados</t>
  </si>
  <si>
    <t>O RTY calculado é proxy/teórico; transformar em RTY operacional exige rastreabilidade consistente.</t>
  </si>
  <si>
    <t>R16;R19</t>
  </si>
  <si>
    <t>Dados / TI</t>
  </si>
  <si>
    <t>Parâmetros críticos (velocidade, ciclos, pressão, temperatura) não são registrados na hora, impedindo detecção antecipada</t>
  </si>
  <si>
    <t>Parâmetros ocultos (velocidade de linha, ciclos desde setup/reforma) são inferidos retrospectivamente por proxy</t>
  </si>
  <si>
    <t>Causas só descobertas após o lote falhar; indicador antecedente impossível; diagnóstico dependente de proxies</t>
  </si>
  <si>
    <t>Registro parcial de parâmetros de injeção; proxy ActualCycleTimeSec</t>
  </si>
  <si>
    <t>Instrumentar velocidade, pressão e temperatura por ordem com timestamp e reset automático dos contadores (RC-13)</t>
  </si>
  <si>
    <t>Gerente de Dados / TI</t>
  </si>
  <si>
    <t>≥ 90% das ordens com parâmetros críticos registrados e alarmes de limite ativos</t>
  </si>
  <si>
    <t>PAC 202619</t>
  </si>
  <si>
    <t>Cobertura de parâmetros críticos registrados (aba KRI)</t>
  </si>
  <si>
    <t>Dados + Processo</t>
  </si>
  <si>
    <t>Governança de dados: causa comum de R2, R4, R5, R8. Habilita dashboards e indicadores antecedentes.</t>
  </si>
  <si>
    <t>R2;R4;R5;R8</t>
  </si>
  <si>
    <t>R20</t>
  </si>
  <si>
    <t>Backlog de CAPAs vencidas e baixa eficácia (31% não eficazes) permitem recorrência das não conformidades</t>
  </si>
  <si>
    <t>CAPAs vencidas ≤ 15% do total aberto</t>
  </si>
  <si>
    <t>Sem priorização por risco, prazos irrealistas e verificação de eficácia não exigida antes do fechamento</t>
  </si>
  <si>
    <t>187 CAPAs vencidas (23% das 811); 253 não eficazes e 258 com eficácia pendente; recorrência de NC e achados de auditoria</t>
  </si>
  <si>
    <t>Registro de CAPA com prazo e responsável; revisão mensal</t>
  </si>
  <si>
    <t>Mutirão de fechamento, priorização por severidade e regra: nenhuma CAPA encerra sem verificação de eficácia</t>
  </si>
  <si>
    <t>CAPAs vencidas ≤ 15% do total aberto e ≥ 80% das encerradas com eficácia verificada</t>
  </si>
  <si>
    <t>PAC 202622</t>
  </si>
  <si>
    <t>CAPAs vencidas em aberto no fim do mês (aba KRI)</t>
  </si>
  <si>
    <t>CAPAs vencidas em aberto crescem a cada mês (132 → 191 de jul a dez/2026). Hierarquia é administrativa por natureza do risco; risco de reincidência exige BowTie.</t>
  </si>
  <si>
    <t>R21</t>
  </si>
  <si>
    <t>Logística / Expedição</t>
  </si>
  <si>
    <t>Falhas logísticas (atraso, quantidade menor, produto errado) geram reclamações de cliente sem relação com a qualidade do produto</t>
  </si>
  <si>
    <t>Conferência de expedição e planejamento de carga insuficientes; falta de confirmação do pedido antes do envio</t>
  </si>
  <si>
    <t>≈ 37% das reclamações (atraso, falta de quantidade e produto errado) e custo de atendimento</t>
  </si>
  <si>
    <t>Conferência manual da expedição; acompanhamento de pedidos</t>
  </si>
  <si>
    <t>Conferência por leitura de código na expedição e checklist de carga; acompanhar OTIF</t>
  </si>
  <si>
    <t>Gerente de Logística</t>
  </si>
  <si>
    <t>Coordenador de Expedição</t>
  </si>
  <si>
    <t>Reclamações logísticas ≤ 2 por mês</t>
  </si>
  <si>
    <t>Reclamações logísticas/mês (aba KRI)</t>
  </si>
  <si>
    <t>Logística</t>
  </si>
  <si>
    <t>Metade das reclamações é logística/independente (dados): sem sinal interno de qualidade — tratar com taxonomia própria.</t>
  </si>
  <si>
    <t>R22</t>
  </si>
  <si>
    <t>Falta de ar comprimido interrompe máquinas de injeção, sopro e decoração</t>
  </si>
  <si>
    <t>Compressores no limite, vazamentos na rede e sem monitoramento de pressão</t>
  </si>
  <si>
    <t>≈ 2 580 h de parada em 18 meses (≈ 143 h/mês), perda de disponibilidade e custo de energia</t>
  </si>
  <si>
    <t>Manutenção dos compressores; inspeção visual</t>
  </si>
  <si>
    <t>Paradas por ar comprimido ≤ 90 h/mês</t>
  </si>
  <si>
    <t>Horas de parada por falta de ar comprimido/mês (aba KRI)</t>
  </si>
  <si>
    <t>O SGA identifica ar comprimido como consumo energético indireto relevante; benefício duplo (disponibilidade e energia).</t>
  </si>
  <si>
    <t>O6;R3</t>
  </si>
  <si>
    <t>PCN-UTIL-01 (compressor reserva)</t>
  </si>
  <si>
    <t>R23</t>
  </si>
  <si>
    <t>Indisponibilidade de operadores (maior causa de parada não planejada) reduz a utilização das máquinas</t>
  </si>
  <si>
    <t>Escala rígida, absentismo, baixa polivalência e turnos com cobertura mínima</t>
  </si>
  <si>
    <t>≈ 3 606 h de parada em 18 meses (≈ 200 h/mês) — a maior causa isolada de parada</t>
  </si>
  <si>
    <t>Banco de horas; cobertura por supervisor</t>
  </si>
  <si>
    <t>Matriz de polivalência, escala por demanda e plano de cobertura de ausência</t>
  </si>
  <si>
    <t>Gerente de RH</t>
  </si>
  <si>
    <t>Paradas por operador indisponível ≤ 150 h/mês</t>
  </si>
  <si>
    <t>Horas de parada por operador indisponível/mês (aba KRI)</t>
  </si>
  <si>
    <t>RH + Produção</t>
  </si>
  <si>
    <t>Hierarquia administrativa aceitável: não há alternativa de engenharia para ausência. Rever se o nível subir para Crítico.</t>
  </si>
  <si>
    <t>R24</t>
  </si>
  <si>
    <t>Erosão de margem por perdas de qualidade (scrap, refação, reclamações) acima da meta</t>
  </si>
  <si>
    <t>Custo da não-qualidade −15% vs baseline</t>
  </si>
  <si>
    <t>Perdas dominantes por processo sem priorização financeira; foco no KPI em vez do mecanismo</t>
  </si>
  <si>
    <t>Scrap de 2,62 milhões de peças (≈ € 131 mil, premissa de € 0,05/un); 8 refações (181 806 peças); falha externa ≈ € 419 mil (premissas)</t>
  </si>
  <si>
    <t>Acompanhamento mensal de rejeição; painel de KPIs</t>
  </si>
  <si>
    <t>Priorizar por Manufacturing Loss Pareto financeiro (perda × frequência × facilidade × efeito no cliente)</t>
  </si>
  <si>
    <t>Gerente Financeiro</t>
  </si>
  <si>
    <t>Controller Industrial</t>
  </si>
  <si>
    <t>Falha interna + externa −15% vs baseline em 12 meses</t>
  </si>
  <si>
    <t>Taxa de rejeição da planta (aba KRI)</t>
  </si>
  <si>
    <t>Direção + Finanças</t>
  </si>
  <si>
    <t>Valores de custo são modelo ilustrativo sob premissas (scrap € 0,05/un; reclamação € 5 000/€ 1 500/€ 300; parada € 350/h), não custo contábil.</t>
  </si>
  <si>
    <t>R16;R20</t>
  </si>
  <si>
    <t>R25</t>
  </si>
  <si>
    <t>Volatilidade do preço de energia e de polímeros (virgens e reciclados) comprime a margem</t>
  </si>
  <si>
    <t>Preços de energia e resinas voláteis e contratos de fornecimento anuais sem cobertura</t>
  </si>
  <si>
    <t>Aumento do custo por unidade e menor retorno de projetos de eficiência</t>
  </si>
  <si>
    <t>Contratos anuais de resina; acompanhamento de compras</t>
  </si>
  <si>
    <t>Não se aplica</t>
  </si>
  <si>
    <t>Cláusulas de indexação de preço, contratos de energia a prazo e avaliação de custo total (TCO)</t>
  </si>
  <si>
    <t>Variação de custo de material ≤ 5% vs orçamento</t>
  </si>
  <si>
    <t>Fonte: PESTLE (Econômico) do SGA. Exposição estratégica; indicador de preço a definir com Compras.</t>
  </si>
  <si>
    <t>R14;O6</t>
  </si>
  <si>
    <t>R26</t>
  </si>
  <si>
    <t>Indisponibilidade ou corrupção do warehouse/pipeline de dados que sustenta os KPIs e as decisões</t>
  </si>
  <si>
    <t>Carga bronze → silver → gold sem monitoramento de qualidade nem plano de recuperação testado</t>
  </si>
  <si>
    <t>Decisões sem dados ou com dados errados (ex.: erro de dupla contagem nas Seis Grandes Perdas já ocorrido); perda de rastreabilidade</t>
  </si>
  <si>
    <t>Backup do banco; testes de invariantes analíticas</t>
  </si>
  <si>
    <t>Monitorar carga com testes de qualidade de dados e ensaiar a restauração do banco</t>
  </si>
  <si>
    <t>Engenheiro de Dados</t>
  </si>
  <si>
    <t>Restauração testada em ≤ 4 h e 100% dos testes de invariantes no CI</t>
  </si>
  <si>
    <t>PAC 202623</t>
  </si>
  <si>
    <t>Dados</t>
  </si>
  <si>
    <t>Ocorrência real: dupla contagem em gold.six_big_losses_monthly corrigida na auditoria pós-correção.</t>
  </si>
  <si>
    <t>PCN-DADOS-01 (restauração do DW)</t>
  </si>
  <si>
    <t>R27</t>
  </si>
  <si>
    <t>Uso de modelos de Machine Learning de baixa capacidade preditiva como bloqueio automático ou base de decisão</t>
  </si>
  <si>
    <t>Modelos com ROC-AUC 0,59 (manutenção) e 0,69 (qualidade de lote) usados sem baseline, limiar econômico nem monitoramento de drift</t>
  </si>
  <si>
    <t>Falsos positivos/negativos, decisões equivocadas de parada ou liberação</t>
  </si>
  <si>
    <t>Validação temporal (TimeSeriesSplit); auditoria de vazamento</t>
  </si>
  <si>
    <t>Operar em shadow mode, definir limiar econômico e revisar recalibração antes de qualquer uso operacional</t>
  </si>
  <si>
    <t>Cientista de Dados</t>
  </si>
  <si>
    <t>PAC 202621</t>
  </si>
  <si>
    <t>Modelos tratados como apoio à decisão, não substitutos da engenharia. R² alto de produção é condicional ao plano.</t>
  </si>
  <si>
    <t>R28</t>
  </si>
  <si>
    <t>Esmagamento/prensamento de membro superior na troca de molde e no setup de máquinas de injeção e sopro</t>
  </si>
  <si>
    <t>Bloqueio de energias perigosas (LOTO) e intertravamento inconsistentes durante o setup; pressão por produtividade</t>
  </si>
  <si>
    <t>Lesão grave ou amputação do operador de setup</t>
  </si>
  <si>
    <t>Procedimento de bloqueio e etiquetagem; treinamento de setup</t>
  </si>
  <si>
    <t>Instalar intertravamento com chave de segurança nas trocas de molde e auditar comportamento de LOTO</t>
  </si>
  <si>
    <t>Coordenador de SGA e SST</t>
  </si>
  <si>
    <t>Zero quase-acidentes de prensamento e 100% de trocas auditadas com LOTO aplicado por 6 meses</t>
  </si>
  <si>
    <t>PAC 202625</t>
  </si>
  <si>
    <t>Quase-acidentes em troca de molde (aba KRI — a instrumentar)</t>
  </si>
  <si>
    <t>Comitê de SST</t>
  </si>
  <si>
    <t>Sem registro de quase-acidentes no conjunto de dados: a confiança da estimativa é baixa. Tolerância mínima (apetite: Baixo).</t>
  </si>
  <si>
    <t>R29</t>
  </si>
  <si>
    <t>Exposição de trabalhadores a solventes e VOC na serigrafia e no hot stamping</t>
  </si>
  <si>
    <t>Uso de tintas e limpadores com exaustão local insuficiente e sem monitoramento de exposição</t>
  </si>
  <si>
    <t>Doença ocupacional, absentismo e não conformidade com REACH/CLP</t>
  </si>
  <si>
    <t>Ficha de dados de segurança (FDS); EPI; exaustão localizada</t>
  </si>
  <si>
    <t>Técnico de SST</t>
  </si>
  <si>
    <t>Exposição medida abaixo do limite legal e produto substituído onde viável</t>
  </si>
  <si>
    <t>Origem no SGA: aspecto “uso de tintas/solventes” classificado como significativo (E+S+G).</t>
  </si>
  <si>
    <t>R30</t>
  </si>
  <si>
    <t>Derrame de tinta, solvente ou químico no armazém contamina solo ou água</t>
  </si>
  <si>
    <t>Conformidade legal e ambiental (zero coimas)</t>
  </si>
  <si>
    <t>Armazenamento sem bacia de retenção adequada, segregação insuficiente e kits de derrame incompletos</t>
  </si>
  <si>
    <t>Contaminação, coima e paralisação; custo de remediação</t>
  </si>
  <si>
    <t>Inspeções periódicas; kits de derrame; simulacros anuais</t>
  </si>
  <si>
    <t>Técnico de Ambiente</t>
  </si>
  <si>
    <t>Zero derrames fora da contenção e simulacro semestral concluído</t>
  </si>
  <si>
    <t>Incidentes de derrame/mês (aba KRI — a instrumentar)</t>
  </si>
  <si>
    <t>Comitê de SGA</t>
  </si>
  <si>
    <t>PCN-AMB-01 (plano de emergência ambiental)</t>
  </si>
  <si>
    <t>R31</t>
  </si>
  <si>
    <t>Não conformidade com o RGGR: classificação, registro e encaminhamento de resíduos (scrap, resíduos perigosos, e-GAR/MIRR)</t>
  </si>
  <si>
    <t>Pesagens por fluxo e reporte anual dependentes de rotina manual; scrap de 2,62 milhões de peças em 18 meses</t>
  </si>
  <si>
    <t>Coima, retrabalho de reporte e perda de valorização do scrap</t>
  </si>
  <si>
    <t>Segregação; pesagem por fluxo; contratos com operadores; e-GAR</t>
  </si>
  <si>
    <t>100% das obrigações de resíduos cumpridas no prazo</t>
  </si>
  <si>
    <t>Fonte: matriz legal do SGA (LEG-01: Decreto-Lei 102-D/2020). Confirmar aplicabilidade e evidências da instalação real.</t>
  </si>
  <si>
    <t>O10</t>
  </si>
  <si>
    <t>R32</t>
  </si>
  <si>
    <t>Ausência de título/licença de recursos hídricos e de avaliação das condições de descarga e efluentes</t>
  </si>
  <si>
    <t>Título de utilização e parâmetros da descarga ainda não disponibilizados; aplicabilidade a confirmar (LEG-02)</t>
  </si>
  <si>
    <t>Coima, embargo e não conformidade do SGA</t>
  </si>
  <si>
    <t>Contadores; circuito fechado; regras do operador de águas</t>
  </si>
  <si>
    <t>Título/condições confirmados e evidência arquivada; zero não conformidade legal em água</t>
  </si>
  <si>
    <t>Fonte: matriz legal do SGA (LEG-02) — estado NC na simulação. Não declarar conformidade sem título e evidência.</t>
  </si>
  <si>
    <t>R34</t>
  </si>
  <si>
    <t>R33</t>
  </si>
  <si>
    <t>Requisitos do PPWR (Reg. UE 2025/40) e dos clientes europeus de reciclabilidade e conteúdo reciclado não atendidos pelo portfólio</t>
  </si>
  <si>
    <t>Portfólio sem avaliação de design para reciclagem e dependência de dados de fornecedores sobre conteúdo reciclado e composição</t>
  </si>
  <si>
    <t>Perda de negócio com clientes da UE (43% da receita fora de Portugal), alegações ambientais incompletas</t>
  </si>
  <si>
    <t>Especificações de produto; declarações documentadas de fornecedores</t>
  </si>
  <si>
    <t>Diretor Industrial</t>
  </si>
  <si>
    <t>Gerente Comercial + P&amp;D</t>
  </si>
  <si>
    <t>100% das famílias prioritárias avaliadas e dossiê emitido</t>
  </si>
  <si>
    <t>Direção + Comercial</t>
  </si>
  <si>
    <t>O5;R14</t>
  </si>
  <si>
    <t>Alterações climáticas e escassez hídrica reduzem a resiliência operacional (calor, água de arrefecimento, cadeia de abastecimento)</t>
  </si>
  <si>
    <t>Consumo relevante de água de arrefecimento e eletricidade; eventos de calor e restrições hídricas mais frequentes</t>
  </si>
  <si>
    <t>Restrição de produção, custo de energia e risco na cadeia de fornecimento</t>
  </si>
  <si>
    <t>Circuito fechado; monitoramento de consumo parcial</t>
  </si>
  <si>
    <t>Avaliar cenários de escassez hídrica e calor, consumos críticos e continuidade de fornecedores</t>
  </si>
  <si>
    <t>R32;O6</t>
  </si>
  <si>
    <t>Registros da Plasticom (fábrica simulada; dados do raio-X analítico)   |   Texto AZUL = preencher   |   Fundo CINZA = fórmula (não editar)   |   Cabeçalho (unidade, escopo, versão) vem da aba 'Riscos'   |   Passe o mouse nos cabeçalhos: instruções por coluna</t>
  </si>
  <si>
    <t>Investimento / custo estimado (€)</t>
  </si>
  <si>
    <t>Retorno esperado (€)</t>
  </si>
  <si>
    <t>Padronizar a janela de parâmetros validada no DOE da IM-002 e replicar à frota de injeção</t>
  </si>
  <si>
    <t>DOE fatorial + MSA adequado: efeito de temperatura, velocidade e interação sobre o Short Shot</t>
  </si>
  <si>
    <t>Menos short shot e refugo; Cpk do peso maior</t>
  </si>
  <si>
    <t>DOE concluído em 03/08/2026; MSA adequado para peso; equipe de processo</t>
  </si>
  <si>
    <t>Corrida de confirmação independente e atualização de standard work, plano de controle e FMEA</t>
  </si>
  <si>
    <t>PAC 202631</t>
  </si>
  <si>
    <t>Short Shot 1,35% → 0,11% no melhor cenário do experimento (ainda sem prova de sustentação)</t>
  </si>
  <si>
    <t>Short Shot IM-002 ≤ 1 500 DPMO; Cpk do peso ≥ 1,33</t>
  </si>
  <si>
    <t>Evidência experimental de efeito causal dentro do domínio estudado; exige replicação antes de padronizar (RC-05).</t>
  </si>
  <si>
    <t>Manutenção baseada em condição/ciclos com contadores CiclosDesdeSetup e CiclosDesdeReforma</t>
  </si>
  <si>
    <t>Flash (IM-004) e Flash/Leakage (M-SOP-007) crescem com a exposição do molde e caem após reforma/troca</t>
  </si>
  <si>
    <t>Intervir antes do escape; menos lotes refeitos e menos reclamações</t>
  </si>
  <si>
    <t>Dados de setup e produção já disponíveis; equipe de manutenção e dados</t>
  </si>
  <si>
    <t>Contador automático com reset no setup/reforma, limite estimado pela curva defeito × ciclos e inspeção de condição</t>
  </si>
  <si>
    <t>PAC 202632</t>
  </si>
  <si>
    <t>Curva defeito × ciclos dos moldes IM-004 e M-SOP-007</t>
  </si>
  <si>
    <t>Flash DPMO vs ciclos; lotes rejeitados por desgaste = 0</t>
  </si>
  <si>
    <t>Sai de “inspecionar quando o lote falhar” para “monitorar exposição e agir antes do escape”.</t>
  </si>
  <si>
    <t>R2;R5</t>
  </si>
  <si>
    <t>O3</t>
  </si>
  <si>
    <t>Dashboard de causa-raiz e KRIs em tempo quase real integrando qualidade, manutenção, produção e ambiente</t>
  </si>
  <si>
    <t>Cultura de qualidade e dados industriais; camadas bronze/silver/gold já modeladas</t>
  </si>
  <si>
    <t>Decisão por evidência; detecção antecipada de desvios; base do painel ambiental</t>
  </si>
  <si>
    <t>Warehouse SQL Server medalhão, notebook analítico e equipe de dados</t>
  </si>
  <si>
    <t>Publicar KPIs e KRIs prioritários com dono, limite e frequência; conectar a esta planilha</t>
  </si>
  <si>
    <t>Cobertura de KPIs prioritários</t>
  </si>
  <si>
    <t>≥ 80% dos KPIs prioritários com dado confiável</t>
  </si>
  <si>
    <t>Dados + Direção</t>
  </si>
  <si>
    <t>R19;R26</t>
  </si>
  <si>
    <t>O4</t>
  </si>
  <si>
    <t>Reduzir a parada não planejada (Disponibilidade 87,4% → 90%) atacando operador indisponível, ar comprimido e matéria-prima</t>
  </si>
  <si>
    <t>Disponibilidade é o pilar mais fraco em todos os processos; as três maiores causas somam ≈ 8 900 h em 18 meses</t>
  </si>
  <si>
    <t>+2,6 p.p. de disponibilidade e mais capacidade sem nova máquina</t>
  </si>
  <si>
    <t>Dados de parada por causa e por máquina; equipes de manutenção e PCP</t>
  </si>
  <si>
    <t>Programa integrado de paradas: polivalência, vazamentos de ar, cobertura de matéria-prima</t>
  </si>
  <si>
    <t>PAC 202634</t>
  </si>
  <si>
    <t>Horas de parada não planejada por causa</t>
  </si>
  <si>
    <t>Disponibilidade ≥ 90% e paradas não planejadas −20%</t>
  </si>
  <si>
    <t>Produção + Manutenção</t>
  </si>
  <si>
    <t>Injeção é a principal candidata à restrição (TOC) sob o proxy de utilização; confirmar com throughput sistêmico.</t>
  </si>
  <si>
    <t>R3;R15;R22;R23</t>
  </si>
  <si>
    <t>O5</t>
  </si>
  <si>
    <t>Programa Design for Recycling e conteúdo reciclado como diferencial com clientes europeus (PPWR)</t>
  </si>
  <si>
    <t>PPWR e economia circular; clientes europeus exigem melhor circularidade; 43% da receita fora de Portugal</t>
  </si>
  <si>
    <t>Diferenciação, retenção e novos negócios com clientes da UE</t>
  </si>
  <si>
    <t>PCR/rPET já processados; equipe de P&amp;D e qualidade</t>
  </si>
  <si>
    <t>Avaliar reciclabilidade das famílias prioritárias e emitir dossiê técnico</t>
  </si>
  <si>
    <t>% do portfólio avaliado</t>
  </si>
  <si>
    <t>100% das famílias prioritárias avaliadas</t>
  </si>
  <si>
    <t>R33;R14</t>
  </si>
  <si>
    <t>O6</t>
  </si>
  <si>
    <t>Eficiência energética com submedição por processo e detecção de vazamentos de ar comprimido</t>
  </si>
  <si>
    <t>Consumo relevante de eletricidade e ar comprimido; dados ambientais ainda não medidos em profundidade</t>
  </si>
  <si>
    <t>Menor custo de energia; baseline confiável para metas de clima e água</t>
  </si>
  <si>
    <t>Equipe de manutenção; contadores gerais existentes</t>
  </si>
  <si>
    <t>Instalar submedição prioritária de energia, água e pesagem de resíduos e definir baseline por processo</t>
  </si>
  <si>
    <t>% de consumos com medição</t>
  </si>
  <si>
    <t>≥ 80% dos consumos relevantes medidos; kWh/1 000 peças</t>
  </si>
  <si>
    <t>Manutenção + SGA</t>
  </si>
  <si>
    <t>Preço de energia é risco (R25); medição é pré-requisito para metas robustas.</t>
  </si>
  <si>
    <t>R22;R25;R34</t>
  </si>
  <si>
    <t>O7</t>
  </si>
  <si>
    <t>Programa de dados ambientais e de qualidade de fornecedores (questionário ESG e evidência documental)</t>
  </si>
  <si>
    <t>Fraqueza: conteúdo reciclado, composição e carbono incorporado dependem de informação externa</t>
  </si>
  <si>
    <t>Rastreabilidade de materiais e alegações ambientais sustentadas</t>
  </si>
  <si>
    <t>Cadastro de 8 fornecedores e histórico de lotes</t>
  </si>
  <si>
    <t>Questionário ESG e critérios mínimos de qualidade para os fornecedores críticos</t>
  </si>
  <si>
    <t>% de fornecedores críticos avaliados</t>
  </si>
  <si>
    <t>≥ 90% dos fornecedores críticos avaliados</t>
  </si>
  <si>
    <t>Fraqueza + Oportunidade do cruzamento estratégico (Contexto §6).</t>
  </si>
  <si>
    <t>R13;R14;R33</t>
  </si>
  <si>
    <t>O8</t>
  </si>
  <si>
    <t>Scorecard de fornecedor e migração de compras spot para contratos com critérios de qualidade</t>
  </si>
  <si>
    <t>Fornecedores por contrato anual/multianual têm 4–9% de lotes não aceitos vs 25,5% do fornecedor spot</t>
  </si>
  <si>
    <t>Menos lotes fora de especificação, refações e reclamações</t>
  </si>
  <si>
    <t>Histórico de lotes, PPM/OOS e lead time de CAPA por fornecedor</t>
  </si>
  <si>
    <t>Scorecard com PPM/OOS, taxa de aprovação, severidade, recorrência e lead time de CAPA</t>
  </si>
  <si>
    <t>PAC 202638</t>
  </si>
  <si>
    <t>Scorecard mensal por fornecedor</t>
  </si>
  <si>
    <t>Não aceitação global ≤ 5% e zero fornecedores spot críticos</t>
  </si>
  <si>
    <t>Descredenciamento só com critérios aprovados e amostra suficiente.</t>
  </si>
  <si>
    <t>O9</t>
  </si>
  <si>
    <t>SMED nas trocas de molde e setup para reduzir tempo de parada e aumentar a flexibilidade</t>
  </si>
  <si>
    <t>Eventos de troca de molde/setup registrados por máquina; oportunidade SMED priorizada por tempo de parada</t>
  </si>
  <si>
    <t>Menos tempo de troca e trocas mais seguras (LOTO padronizado)</t>
  </si>
  <si>
    <t>Registros de setup por máquina; equipe de processo</t>
  </si>
  <si>
    <t>Filmar e separar trocas internas/externas nas 3 máquinas com mais setups</t>
  </si>
  <si>
    <t>Tempo médio de troca por máquina</t>
  </si>
  <si>
    <t>Tempo de troca −30% nas máquinas piloto</t>
  </si>
  <si>
    <t>Produção + Processo</t>
  </si>
  <si>
    <t>Ação simples, sem código de plano. Combina com R28 (LOTO nas trocas).</t>
  </si>
  <si>
    <t>Reaproveitamento controlado de rebarbas e scrap plástico e valorização por operador autorizado</t>
  </si>
  <si>
    <t>Operadores de gestão de resíduos</t>
  </si>
  <si>
    <t>Scrap de 2,62 milhões de peças em 18 meses; segregação de resíduos existente</t>
  </si>
  <si>
    <t>Menos resíduo, menor custo de material e melhor taxa de valorização</t>
  </si>
  <si>
    <t>Segregação e pesagem por fluxo já implantadas</t>
  </si>
  <si>
    <t>Definir reintrodução controlada e destino de valorização por material, com balanço de massa</t>
  </si>
  <si>
    <t>kg scrap reaproveitado por 1 000 peças</t>
  </si>
  <si>
    <t>Scrap −15% vs baseline e ≥ 60% valorizado</t>
  </si>
  <si>
    <t>SGA + Produção</t>
  </si>
  <si>
    <t>O11</t>
  </si>
  <si>
    <t>Eliminar as causas upstream das refações de lote (“fábrica escondida”)</t>
  </si>
  <si>
    <t>8 episódios de lote rejeitado e refeito (181 806 peças) ligados a causas conhecidas</t>
  </si>
  <si>
    <t>Menos horas de refação e capacidade recuperada</t>
  </si>
  <si>
    <t>Registro de NC e CAPA por episódio; dados de refação</t>
  </si>
  <si>
    <t>Acompanhar rework rate, horas e unidades de refação como métrica de fábrica escondida</t>
  </si>
  <si>
    <t>Rework rate, redo hours e redo units</t>
  </si>
  <si>
    <t>Zero refações repetidas pela mesma causa em 12 meses</t>
  </si>
  <si>
    <t>Cada episódio tem NC e, em geral, CAPA (NC-01319 a NC-01326).</t>
  </si>
  <si>
    <t>R1;R2;R5;R7</t>
  </si>
  <si>
    <t>O12</t>
  </si>
  <si>
    <t>Rastreabilidade ponta a ponta lote → produto final → cliente para RTY físico e menor custo de reclamação</t>
  </si>
  <si>
    <t>LotId e ProductBatch já unificados entre produção, qualidade e disposição</t>
  </si>
  <si>
    <t>Contenção rápida e melhor taxonomia de reclamações</t>
  </si>
  <si>
    <t>Esquema LOTE-{molde}-{n} consistente</t>
  </si>
  <si>
    <t>Fechar a rota rastreável sopro → decoração → tampa → produto final e ao pedido de venda</t>
  </si>
  <si>
    <t>% de reclamações rastreáveis</t>
  </si>
  <si>
    <t>≥ 95% de reclamações rastreáveis a lote</t>
  </si>
  <si>
    <t>Complementa PAC 202620 (R18).</t>
  </si>
  <si>
    <t>R18;R16</t>
  </si>
  <si>
    <t>O13</t>
  </si>
  <si>
    <t>Laboratório da Qualidade</t>
  </si>
  <si>
    <t>Inspeção automática por visão nas características críticas de decoração e de aparência</t>
  </si>
  <si>
    <t>Tendência tecnológica (automação, visão artificial, dados); AQL por amostragem é reativa</t>
  </si>
  <si>
    <t>Detecção 100% em pontos críticos e menor custo de avaliação</t>
  </si>
  <si>
    <t>Dados de defeitos por característica; sem equipamento de visão</t>
  </si>
  <si>
    <t>Business case de visão em Foil Transfer, Adhesion e Registration antes de investir</t>
  </si>
  <si>
    <t>Business case aprovado ou rejeitado</t>
  </si>
  <si>
    <t>Custo de avaliação −20% com detecção ≥ 95%</t>
  </si>
  <si>
    <t>Avaliação de Custo de Avaliação: 1,9 milhão no modelo ilustrativo é dominado por esforço de amostragem.</t>
  </si>
  <si>
    <t>O14</t>
  </si>
  <si>
    <t>Planejar capacidade e turnos para o pico sazonal de setembro–novembro</t>
  </si>
  <si>
    <t>Pico de demanda de cosmética e higiene pessoal pré-Natal: velocidade +15% em set–nov</t>
  </si>
  <si>
    <t>Entregas no prazo no pico sem aumentar defeitos sensíveis à velocidade</t>
  </si>
  <si>
    <t>Histórico de duas temporadas (2025 e 2026)</t>
  </si>
  <si>
    <t>Plano de capacidade e estoque de segurança de materiais antes do pico; limites de velocidade por processo</t>
  </si>
  <si>
    <t>OTIF e rejeição em set–nov</t>
  </si>
  <si>
    <t>Rejeição em set–nov ≤ média anual</t>
  </si>
  <si>
    <t>PCP + Produção</t>
  </si>
  <si>
    <t>Rejeição set–nov 2,45% vs 2,37% no restante: sinal pequeno, mas recorrente nos dois anos.</t>
  </si>
  <si>
    <t>R15;R21</t>
  </si>
  <si>
    <t>ISBM-003: verificar programação do parison, atuadores/sensores e cabeçote; recalcular Cpk e RangeR (RC-01)</t>
  </si>
  <si>
    <t>IM-002: corrida de confirmação do DOE e atualização de standard work, plano de controle e FMEA (RC-05)</t>
  </si>
  <si>
    <t>IM-004: contador de unidades desde o setup, limite validado e inspeção de condição (RC-02)</t>
  </si>
  <si>
    <t>Reforma do molde M-SOP-007 (ISBM-001) após pico de Flash/Leakage</t>
  </si>
  <si>
    <t>M-SOP-007: contador CiclosDesdeReforma com limite de alerta/ação e manutenção por condição (RC-12)</t>
  </si>
  <si>
    <t>SUP-005: CAPA de fornecedor, auditoria de processo e critérios de aprovação/descredenciamento (RC-11)</t>
  </si>
  <si>
    <t>SS-002 / FR-007-PP-350: teste de confirmação por lote de PP e janela de parâmetros da serigrafia (RC-03)</t>
  </si>
  <si>
    <t>HF-001: instrumentar a velocidade real por ordem e definir janela operacional com alarme (RC-04, RC-13)</t>
  </si>
  <si>
    <t>SS-001: overhaul de rolete/rasqueta e eliminação do backlog de manutenção (RC-07)</t>
  </si>
  <si>
    <t>PAC 202610</t>
  </si>
  <si>
    <t>SS-001: PM orientada ao modo de falha e acompanhamento de falhas por 100 h de operação</t>
  </si>
  <si>
    <t>ISBM-005: inspeção hidráulica, histórico de componentes críticos e plano por horas de operação (RC-06)</t>
  </si>
  <si>
    <t>Turno 2: estudo de handover, carga, pausas e staffing ajustado por produto/máquina (RC-08)</t>
  </si>
  <si>
    <t>OP-INJ-003: observação de standard work, ergonomia e treino; repetir Gage R&amp;R por característica (RC-10)</t>
  </si>
  <si>
    <t>PAC 202614</t>
  </si>
  <si>
    <t>Qualificar segunda fonte de PP como contingência do SUP-005</t>
  </si>
  <si>
    <t>Qualificar fontes múltiplas de PCR/rPET e executar DOE de materiais</t>
  </si>
  <si>
    <t>Indicadores antecedentes (KRI/SPC) no plano de controle e taxonomia de reclamações por lote (RC-14)</t>
  </si>
  <si>
    <t>Controle de lote de masterbatch e padrão de purga/limpeza na troca de cor</t>
  </si>
  <si>
    <t>Pareto de Cpk × volume × criticidade e projetos DMAIC nos casos mais fracos</t>
  </si>
  <si>
    <t>Instrumentação de velocidade, pressão e temperatura por ordem com timestamp (RC-13)</t>
  </si>
  <si>
    <t>Rastreabilidade lote → produto final → pedido de venda (RTY físico)</t>
  </si>
  <si>
    <t>Modelos de ML em shadow mode com limiar econômico, baseline e monitoramento de drift</t>
  </si>
  <si>
    <t>Mutirão de fechamento de CAPAs vencidas e regra de verificação de eficácia antes do encerramento</t>
  </si>
  <si>
    <t>Testes de qualidade de dados na carga e ensaio de restauração do warehouse</t>
  </si>
  <si>
    <t>Intertravamento com chave de segurança nas trocas de molde e auditoria de LOTO</t>
  </si>
  <si>
    <t>Replicar a janela de parâmetros validada no DOE da IM-002 na frota de injeção</t>
  </si>
  <si>
    <t>Manutenção baseada em condição: contadores, limites e inspeção antes do escape</t>
  </si>
  <si>
    <t>Programa integrado de redução de paradas (polivalência, ar comprimido, matéria-prima)</t>
  </si>
  <si>
    <t>Scorecard de fornecedor e migração de compras spot para contratos</t>
  </si>
  <si>
    <t>RNC 202501</t>
  </si>
  <si>
    <t>NC-01319: lote LOTE-M-SOP-021-2890 rejeitado (ISBM-003, espessura) e refeito em 03/07/2025</t>
  </si>
  <si>
    <t>RNC 202502</t>
  </si>
  <si>
    <t>NC-01325 / CAPA-4809: lote rejeitado na HF-001 e refeito em 17/11/2025 (CAPA fechada e eficaz em 21/12/2025)</t>
  </si>
  <si>
    <t>RNC 202503</t>
  </si>
  <si>
    <t>NC-01322 / CAPA-4806: lote rejeitado na IM-004 (Flash) e refeito em 05/11/2025 (CAPA fechada e eficaz em 19/12/2025)</t>
  </si>
  <si>
    <t>RNC 202504</t>
  </si>
  <si>
    <t>NC-01323 / CAPA-4807: mesmo episódio da IM-004 com lote de PP do SUP-005; CAPA vencida</t>
  </si>
  <si>
    <t>RNC 202505</t>
  </si>
  <si>
    <t>NC-01321: lote rejeitado (M-SOP-007, ISBM-001) e refeito em 29/12/2025</t>
  </si>
  <si>
    <t>NC-01320 / CAPA-4805: contaminação (black specks) em sopro, lote refeito em 03/02/2026 (CAPA fechada e eficaz em 26/03/2026)</t>
  </si>
  <si>
    <t>RNC 202602</t>
  </si>
  <si>
    <t>NC-01324 / CAPA-4808: lote rejeitado na SS-002 (adesão) e refeito em 05/03/2026 (CAPA fechada e eficaz em 30/03/2026)</t>
  </si>
  <si>
    <t>RNC 202603</t>
  </si>
  <si>
    <t>NC-01326 / CAPA-4810: lote rejeitado na SS-001 (desgaste) e refeito em 30/04/2026; CAPA vencida</t>
  </si>
  <si>
    <t>Razão RangeR de espessura: ISBM-003 ÷ demais ISBM</t>
  </si>
  <si>
    <t>×</t>
  </si>
  <si>
    <t>fact_bottle_inspection_variables_cq (SPC) · Eng. de Processo · limite 1,3× proposto</t>
  </si>
  <si>
    <t>% de subgrupos de espessura da ISBM-003 fora de controle (R)</t>
  </si>
  <si>
    <t>fact_bottle_inspection_variables_cq · Eng. da Qualidade · limite proposto</t>
  </si>
  <si>
    <t>Unidades desde a reforma do molde M-SOP-007</t>
  </si>
  <si>
    <t>mil un</t>
  </si>
  <si>
    <t>fact_production (ToolId M-SOP-007) · Manutenção · limite provisório: calibrar pela curva defeito × ciclos</t>
  </si>
  <si>
    <t>Defeitos Flash+Leakage por lote inspecionado (M-SOP-007)</t>
  </si>
  <si>
    <t>def/lote</t>
  </si>
  <si>
    <t>fact_bottle_attribute_inspection_cq · Qualidade · limite proposto</t>
  </si>
  <si>
    <t>Horas de parada não planejada por mês — ISBM-005</t>
  </si>
  <si>
    <t>h/mês</t>
  </si>
  <si>
    <t>fact_downtime · Manutenção · média das demais ISBM ≈ 70 h/mês</t>
  </si>
  <si>
    <t>Disponibilidade da ISBM-005</t>
  </si>
  <si>
    <t>Menor é pior</t>
  </si>
  <si>
    <t>fact_production · Manutenção · planta = 87,4%</t>
  </si>
  <si>
    <t>Short Shot — IM-002</t>
  </si>
  <si>
    <t>DPMO</t>
  </si>
  <si>
    <t>fact_cap_attribute_inspection_cq · Qualidade · demais injetoras ≈ 3 900 DPMO</t>
  </si>
  <si>
    <t>Taxa de rejeição da IM-002</t>
  </si>
  <si>
    <t>fact_production · Qualidade · planta = 2,39%</t>
  </si>
  <si>
    <t>Unidades desde o último setup — IM-004</t>
  </si>
  <si>
    <t>fact_production + fact_downtime · Manutenção · limite provisório (campanha máx. 931 mil)</t>
  </si>
  <si>
    <t>Flash — IM-004</t>
  </si>
  <si>
    <t>Falha de adesão de tinta na serigrafia</t>
  </si>
  <si>
    <t>fact_ink_attribute_inspection_cq · Qualidade · limite proposto</t>
  </si>
  <si>
    <t>MTTR das falhas não planejadas — SS-001</t>
  </si>
  <si>
    <t>h</t>
  </si>
  <si>
    <t>fact_downtime · Manutenção · pré-overhaul = 2,8 h (jan–jun/2026)</t>
  </si>
  <si>
    <t>Falhas não planejadas por 100 h de operação — SS-001</t>
  </si>
  <si>
    <t>nº/100 h</t>
  </si>
  <si>
    <t>fact_downtime + fact_production · Manutenção · limite = média pré-overhaul (jan–jun/2026)</t>
  </si>
  <si>
    <t>Foil Transfer — HF-001</t>
  </si>
  <si>
    <t>fact_ink_attribute_inspection_cq · Produção · HF-002 ≈ 330 DPMO</t>
  </si>
  <si>
    <t>Taxa de rejeição da HF-001</t>
  </si>
  <si>
    <t>fact_production · Produção · HF-002 = 2,99%</t>
  </si>
  <si>
    <t>Taxa de rejeição do turno 2</t>
  </si>
  <si>
    <t>fact_production (ShiftNumber) · Produção · turno 1 = 2,09%</t>
  </si>
  <si>
    <t>% de lotes de matéria-prima não aceitos — SUP-005</t>
  </si>
  <si>
    <t>fact_raw_material_lot_disposition · Compras · n mensal = 13–18 lotes: ler a tendência</t>
  </si>
  <si>
    <t>Reclamações a fornecedores por mês (todos)</t>
  </si>
  <si>
    <t>fact_supplier_complaints · Compras · limite proposto</t>
  </si>
  <si>
    <t>% de lotes de matéria-prima não aceitos — todos os fornecedores</t>
  </si>
  <si>
    <t>fact_raw_material_lot_disposition · Compras · limite proposto</t>
  </si>
  <si>
    <t>Horas de parada por falta de matéria-prima</t>
  </si>
  <si>
    <t>fact_downtime (Raw Material Shortage) · PCP · limite proposto</t>
  </si>
  <si>
    <t>CPMU — reclamações por milhão de unidades</t>
  </si>
  <si>
    <t>nº/M un</t>
  </si>
  <si>
    <t>fact_customer_complaints ÷ fact_sales · Qualidade · baseline 4,76</t>
  </si>
  <si>
    <t>Cobertura de parâmetros críticos registrados por ordem</t>
  </si>
  <si>
    <t>fact_process_parameters × fact_production · Dados · só a injeção registra parâmetros</t>
  </si>
  <si>
    <t>CAPAs vencidas em aberto no fim do mês</t>
  </si>
  <si>
    <t>nº</t>
  </si>
  <si>
    <t>fact_capa · Qualidade · limite proposto</t>
  </si>
  <si>
    <t>Reclamações logísticas por mês (atraso, quantidade, produto errado)</t>
  </si>
  <si>
    <t>fact_customer_complaints · Logística · limite proposto</t>
  </si>
  <si>
    <t>Horas de parada por falta de ar comprimido</t>
  </si>
  <si>
    <t>fact_downtime (Utilities Shortage) · Manutenção · limite proposto</t>
  </si>
  <si>
    <t>Horas de parada por operador indisponível</t>
  </si>
  <si>
    <t>fact_downtime (Operator Unavailable) · RH · limite proposto</t>
  </si>
  <si>
    <t>Taxa de rejeição da planta</t>
  </si>
  <si>
    <t>fact_production · Controller · baseline 2,39%</t>
  </si>
  <si>
    <t>Quase-acidentes em troca de molde</t>
  </si>
  <si>
    <t>A instrumentar: sem registro no dataset · Comitê de SST</t>
  </si>
  <si>
    <t>Incidentes de derrame de químicos</t>
  </si>
  <si>
    <t>% das obrigações legais de resíduos cumpridas no prazo</t>
  </si>
  <si>
    <t>Programação do parison instável</t>
  </si>
  <si>
    <t>Cartas X-barra/R e alarme de regra de sequência (Western Electric)</t>
  </si>
  <si>
    <t>Subgrupos com amostragem espaçada</t>
  </si>
  <si>
    <t>Aumentar a frequência de subgrupos enquanto a causa não for corrigida</t>
  </si>
  <si>
    <t>% de subgrupos R fora de controle</t>
  </si>
  <si>
    <t>Plano de controle do frasco</t>
  </si>
  <si>
    <t>Atuadores/sensores do cabeçote fora de calibração</t>
  </si>
  <si>
    <t>Verificação e calibração do controlador de parison (PAC 202601)</t>
  </si>
  <si>
    <t>Verificação depende de parada</t>
  </si>
  <si>
    <t>Janela de verificação em troca de molde</t>
  </si>
  <si>
    <t>Cpk e RangeR antes/depois</t>
  </si>
  <si>
    <t>Lote com espessura fora de especificação</t>
  </si>
  <si>
    <t>Retenção do lote, AQL/ISO 3951 e segregação</t>
  </si>
  <si>
    <t>Amostragem AQL não detecta lote marginal</t>
  </si>
  <si>
    <t>Reforço de inspeção por variáveis enquanto a causa estiver aberta</t>
  </si>
  <si>
    <t>Lotes rejeitados por espessura</t>
  </si>
  <si>
    <t>Instrução de disposição de lote</t>
  </si>
  <si>
    <t>Vazamento/desgaste de componentes hidráulicos</t>
  </si>
  <si>
    <t>Inspeção hidráulica e análise de condição (PAC 202611)</t>
  </si>
  <si>
    <t>Componentes críticos sem histórico por horas</t>
  </si>
  <si>
    <t>Cadastro de componentes com horas acumuladas</t>
  </si>
  <si>
    <t>MTBF e MTTR da ISBM-005</t>
  </si>
  <si>
    <t>Parada longa da ISBM-005</t>
  </si>
  <si>
    <t>Transferência de ordens para ISBM-004/006 (PCN-ISBM-01)</t>
  </si>
  <si>
    <t>Moldes e materiais não intercambiáveis</t>
  </si>
  <si>
    <t>Matriz de compatibilidade molde × máquina</t>
  </si>
  <si>
    <t>Horas de parada não planejada</t>
  </si>
  <si>
    <t>PCN-ISBM-01</t>
  </si>
  <si>
    <t>Banda de aquecimento marginal e janela térmica</t>
  </si>
  <si>
    <t>Janela de parâmetros validada em DOE e monitorada (PAC 202602)</t>
  </si>
  <si>
    <t>Desvio de temperatura sem alarme</t>
  </si>
  <si>
    <t>Alarme de temperatura do canhão no PLC</t>
  </si>
  <si>
    <t>Short Shot DPMO</t>
  </si>
  <si>
    <t>Peças com short shot chegam ao lote</t>
  </si>
  <si>
    <t>AQL de Short Shot e carta de peso por lote</t>
  </si>
  <si>
    <t>Amostragem por lote não detecta deriva rápida</t>
  </si>
  <si>
    <t>Verificação de peso por hora</t>
  </si>
  <si>
    <t>% de lotes reprovados por Short Shot</t>
  </si>
  <si>
    <t>Plano de controle de tampas</t>
  </si>
  <si>
    <t>Campanha longa sem troca de molde</t>
  </si>
  <si>
    <t>Contador de unidades desde o setup com limite validado (PAC 202603)</t>
  </si>
  <si>
    <t>Reset do contador não automático</t>
  </si>
  <si>
    <t>Reset automático no evento de setup</t>
  </si>
  <si>
    <t>Unidades desde o último setup</t>
  </si>
  <si>
    <t>Flash em tampas no lote</t>
  </si>
  <si>
    <t>AQL de Flash por lote e retenção</t>
  </si>
  <si>
    <t>Flash cresce dentro do lote</t>
  </si>
  <si>
    <t>Inspeção adicional no fim da campanha</t>
  </si>
  <si>
    <t>Flash DPMO da IM-004</t>
  </si>
  <si>
    <t>Lote de PP fora da janela entra na serigrafia</t>
  </si>
  <si>
    <t>Segregação do lote de risco e confirmação por lote (PAC 202607)</t>
  </si>
  <si>
    <t>Lote misturado no armazém</t>
  </si>
  <si>
    <t>Identificação visual e FIFO de lotes segregados</t>
  </si>
  <si>
    <t>Adesão DPMO por lote</t>
  </si>
  <si>
    <t>Adesão de tinta insuficiente detectada</t>
  </si>
  <si>
    <t>Retenção do lote decorado e teste de aderência</t>
  </si>
  <si>
    <t>Teste feito só no setup</t>
  </si>
  <si>
    <t>Teste de aderência a cada troca de lote de resina</t>
  </si>
  <si>
    <t>Lotes retidos por adesão</t>
  </si>
  <si>
    <t>Plano de controle de decoração</t>
  </si>
  <si>
    <t>Velocidade de linha acima da janela</t>
  </si>
  <si>
    <t>Janela operacional e alarme de velocidade (PAC 202608)</t>
  </si>
  <si>
    <t>Velocidade não registrada por ordem</t>
  </si>
  <si>
    <t>Instrumentar velocidade com timestamp</t>
  </si>
  <si>
    <t>Foil Transfer DPMO da HF-001</t>
  </si>
  <si>
    <t>Transferência incompleta de foil</t>
  </si>
  <si>
    <t>AQL de Foil Transfer e retenção</t>
  </si>
  <si>
    <t>Defeito visível só após a decoração</t>
  </si>
  <si>
    <t>Inspeção visual em linha na saída da HF-001</t>
  </si>
  <si>
    <t>Lotes retidos por Foil Transfer</t>
  </si>
  <si>
    <t>Plano de controle de hot foil</t>
  </si>
  <si>
    <t>Fadiga e passagem de turno no turno 2</t>
  </si>
  <si>
    <t>Checklist de handover e supervisão reforçada</t>
  </si>
  <si>
    <t>Checklist não é auditado</t>
  </si>
  <si>
    <t>Auditoria mensal de handover pela liderança</t>
  </si>
  <si>
    <t>Rejeição do turno 2</t>
  </si>
  <si>
    <t>Rejeição acima da meta no turno</t>
  </si>
  <si>
    <t>Análise de rejeição por turno na reunião diária</t>
  </si>
  <si>
    <t>Dado chega com atraso</t>
  </si>
  <si>
    <t>Painel por turno atualizado no fim de cada turno</t>
  </si>
  <si>
    <t>Rejeição por turno</t>
  </si>
  <si>
    <t>Reunião diária de produção</t>
  </si>
  <si>
    <t>Lote de matéria-prima fora de especificação</t>
  </si>
  <si>
    <t>Inspeção de recebimento (Melt Index, densidade) e bloqueio do lote</t>
  </si>
  <si>
    <t>Amostra do lote não representativa</t>
  </si>
  <si>
    <t>Amostragem por fração do lote e retenção de contra-amostra</t>
  </si>
  <si>
    <t>% de lotes SUP-005 não aceitos</t>
  </si>
  <si>
    <t>Plano de inspeção de recebimento</t>
  </si>
  <si>
    <t>Dependência de fornecedor spot</t>
  </si>
  <si>
    <t>Qualificação de segunda fonte (PAC 202614)</t>
  </si>
  <si>
    <t>Segunda fonte sem homologação técnica</t>
  </si>
  <si>
    <t>Homologação com corrida de teste antes da necessidade</t>
  </si>
  <si>
    <t>Nº de fontes aprovadas por material</t>
  </si>
  <si>
    <t>Defeitos a jusante por resina marginal</t>
  </si>
  <si>
    <t>CAPA de fornecedor e plano de contingência (PAC 202606)</t>
  </si>
  <si>
    <t>CAPA sem prazo de resposta do fornecedor</t>
  </si>
  <si>
    <t>Prazo contratual de resposta e escalonamento</t>
  </si>
  <si>
    <t>Lead time de CAPA de fornecedor</t>
  </si>
  <si>
    <t>AQL aprova lote marginal</t>
  </si>
  <si>
    <t>Indicadores antecedentes (KRI/SPC) no plano de controle (PAC 202616)</t>
  </si>
  <si>
    <t>KRI sem limite aprovado</t>
  </si>
  <si>
    <t>Aprovar limites na análise crítica</t>
  </si>
  <si>
    <t>KRIs em alerta</t>
  </si>
  <si>
    <t>Reclamação do cliente</t>
  </si>
  <si>
    <t>Tratativa de reclamação com rastreio ao lote (8D simplificado)</t>
  </si>
  <si>
    <t>Reclamação não rastreável ao lote</t>
  </si>
  <si>
    <t>Taxonomia de reclamações e vínculo obrigatório ao lote</t>
  </si>
  <si>
    <t>Procedimento de reclamação</t>
  </si>
  <si>
    <t>Centralização e dispersão inadequadas</t>
  </si>
  <si>
    <t>Projetos DMAIC priorizados por Pareto de Cpk (PAC 202618)</t>
  </si>
  <si>
    <t>Falta de capacidade de engenharia</t>
  </si>
  <si>
    <t>Priorizar por criticidade e volume</t>
  </si>
  <si>
    <t>% de grupos com Cpk ≥ 1,33</t>
  </si>
  <si>
    <t>Cliente exige Cpk demonstrado</t>
  </si>
  <si>
    <t>Relatório de capacidade por característica com Cpk/Ppk</t>
  </si>
  <si>
    <t>Dados não estratificados por máquina/molde</t>
  </si>
  <si>
    <t>Estratificar por máquina × molde × característica</t>
  </si>
  <si>
    <t>Relatórios de capacidade emitidos</t>
  </si>
  <si>
    <t>Lote sem vínculo entre processos</t>
  </si>
  <si>
    <t>LotId e ProductBatch unificados (LOTE-{molde}-{n})</t>
  </si>
  <si>
    <t>Lote de decoração sem lote do frasco de origem</t>
  </si>
  <si>
    <t>Validação de integridade na carga (bronze → silver)</t>
  </si>
  <si>
    <t>% de lotes com vínculo</t>
  </si>
  <si>
    <t>Dicionário de dados</t>
  </si>
  <si>
    <t>Recall ou contenção de lote</t>
  </si>
  <si>
    <t>Procedimento de contenção com lista de lotes afetados</t>
  </si>
  <si>
    <t>Falta de rota até o produto final</t>
  </si>
  <si>
    <t>Rastreabilidade ao pedido de venda (PAC 202620)</t>
  </si>
  <si>
    <t>Tempo para listar lotes afetados</t>
  </si>
  <si>
    <t>Parâmetro crítico não registrado</t>
  </si>
  <si>
    <t>Registro por ordem com timestamp (PAC 202619)</t>
  </si>
  <si>
    <t>Sensores sem integração ao banco</t>
  </si>
  <si>
    <t>Camada de coleta com validação de campo obrigatório</t>
  </si>
  <si>
    <t>% de ordens com parâmetros registrados</t>
  </si>
  <si>
    <t>Desvio só descoberto no lote</t>
  </si>
  <si>
    <t>Análise retrospectiva por proxy (ActualCycleTimeSec)</t>
  </si>
  <si>
    <t>Proxy impreciso</t>
  </si>
  <si>
    <t>Instrumentar o parâmetro real</t>
  </si>
  <si>
    <t>Cobertura de parâmetros</t>
  </si>
  <si>
    <t>Prazo irrealista e falta de priorização de CAPA</t>
  </si>
  <si>
    <t>Priorização por severidade e prazo por classe</t>
  </si>
  <si>
    <t>Prazo renegociado sem controle</t>
  </si>
  <si>
    <t>Aprovação do gestor para prorrogação</t>
  </si>
  <si>
    <t>CAPAs vencidas em aberto</t>
  </si>
  <si>
    <t>CAPA fechada sem eficácia</t>
  </si>
  <si>
    <t>Verificação de eficácia obrigatória antes do encerramento</t>
  </si>
  <si>
    <t>Fechamento por pressão de prazo</t>
  </si>
  <si>
    <t>Bloqueio no sistema até a eficácia ser registrada</t>
  </si>
  <si>
    <t>% de CAPAs encerradas com eficácia</t>
  </si>
  <si>
    <t>Vazamentos na rede de ar comprimido</t>
  </si>
  <si>
    <t>Rede extensa sem medição por trecho</t>
  </si>
  <si>
    <t>Medição de pressão por setor</t>
  </si>
  <si>
    <t>Horas de parada por ar comprimido</t>
  </si>
  <si>
    <t>Queda de pressão para as máquinas</t>
  </si>
  <si>
    <t>Compressor reserva e chaveamento (PCN-UTIL-01)</t>
  </si>
  <si>
    <t>Reserva sem manutenção regular</t>
  </si>
  <si>
    <t>Teste mensal do compressor reserva</t>
  </si>
  <si>
    <t>PCN-UTIL-01</t>
  </si>
  <si>
    <t>Ausência não coberta</t>
  </si>
  <si>
    <t>Matriz de polivalência e escala por demanda</t>
  </si>
  <si>
    <t>Poucos operadores polivalentes</t>
  </si>
  <si>
    <t>Treinamento cruzado por processo</t>
  </si>
  <si>
    <t>Plano de RH</t>
  </si>
  <si>
    <t>Máquina parada por falta de operador</t>
  </si>
  <si>
    <t>Realocação de operadores entre máquinas do mesmo processo</t>
  </si>
  <si>
    <t>Realocação lenta</t>
  </si>
  <si>
    <t>Regra de cobertura na passagem de turno</t>
  </si>
  <si>
    <t>Tempo de máquina parada por ausência</t>
  </si>
  <si>
    <t>Procedimento de escala</t>
  </si>
  <si>
    <t>Variação de preço de resina e energia</t>
  </si>
  <si>
    <t>Cláusulas de indexação de preço e contratos de energia a prazo</t>
  </si>
  <si>
    <t>Contratos curtos sem cobertura</t>
  </si>
  <si>
    <t>Ampliar prazo dos contratos críticos</t>
  </si>
  <si>
    <t>Variação de custo vs orçamento</t>
  </si>
  <si>
    <t>Política de compras</t>
  </si>
  <si>
    <t>Aumento de custo por unidade</t>
  </si>
  <si>
    <t>Revisão de preço com clientes e ações de eficiência</t>
  </si>
  <si>
    <t>Contratos com preço fixo ao cliente</t>
  </si>
  <si>
    <t>Cláusula de repasse em novos contratos</t>
  </si>
  <si>
    <t>Gerente Comercial</t>
  </si>
  <si>
    <t>Margem por família</t>
  </si>
  <si>
    <t>Contratos com clientes</t>
  </si>
  <si>
    <t>Título de recursos hídricos não confirmado</t>
  </si>
  <si>
    <t>Documento sem responsável</t>
  </si>
  <si>
    <t>Responsável e prazo no calendário legal</t>
  </si>
  <si>
    <t>Evidência arquivada</t>
  </si>
  <si>
    <t>Descarga fora das condições</t>
  </si>
  <si>
    <t>Plano de emergência ambiental e contenção</t>
  </si>
  <si>
    <t>Plano sem simulacro recente</t>
  </si>
  <si>
    <t>Simulacro semestral</t>
  </si>
  <si>
    <t>Simulacros realizados</t>
  </si>
  <si>
    <t>Plano de emergência ambiental</t>
  </si>
  <si>
    <t>Portfólio sem avaliação de reciclabilidade</t>
  </si>
  <si>
    <t>Dados de fornecedores incompletos</t>
  </si>
  <si>
    <t>% de famílias avaliadas</t>
  </si>
  <si>
    <t>Cliente europeu exige conformidade</t>
  </si>
  <si>
    <t>Dossiê técnico e declaração de conformidade por produto</t>
  </si>
  <si>
    <t>Dossiê sem versão controlada</t>
  </si>
  <si>
    <t>Controle de documentos do SGI</t>
  </si>
  <si>
    <t>Dossiês emitidos</t>
  </si>
  <si>
    <t>Controle de informação documentada</t>
  </si>
  <si>
    <t>Cenário político e regulatório da UE (PPWR, economia circular)</t>
  </si>
  <si>
    <t>Acompanhamento de legislação da UE, Diário da República e associações setoriais</t>
  </si>
  <si>
    <t>Revisão do PESTEL</t>
  </si>
  <si>
    <t>Tendências e impactos; eficácia dos controles</t>
  </si>
  <si>
    <t>Ata de análise crítica 12/2026</t>
  </si>
  <si>
    <t>Cenário econômico (energia e polímeros)</t>
  </si>
  <si>
    <t>Índices de preço, cotações de compras e orçamento</t>
  </si>
  <si>
    <t>Cenário tecnológico (visão artificial, dados, automação)</t>
  </si>
  <si>
    <t>Consultorias, feiras e benchmarking</t>
  </si>
  <si>
    <t>Tendências e oportunidades tecnológicas</t>
  </si>
  <si>
    <t>Relatório de tecnologia Q4/2026</t>
  </si>
  <si>
    <t>Cenário legal (matriz de requisitos legais)</t>
  </si>
  <si>
    <t>Calendário de conformidade</t>
  </si>
  <si>
    <t>Obrigações novas e status de conformidade</t>
  </si>
  <si>
    <t>Clientes (exigências de Cpk, rastreabilidade e PPWR)</t>
  </si>
  <si>
    <t>Pesquisa de satisfação e reunião com clientes</t>
  </si>
  <si>
    <t>Níveis de barganha e requisitos novos dos clientes</t>
  </si>
  <si>
    <t>Ata de reunião com clientes 10/2026</t>
  </si>
  <si>
    <t>Fornecedores (scorecard: PPM/OOS, aprovação, CAPA)</t>
  </si>
  <si>
    <t>Reunião mensal e scorecard de fornecedores</t>
  </si>
  <si>
    <t>Ata de reunião e scorecard</t>
  </si>
  <si>
    <t>Scorecard 11/2026</t>
  </si>
  <si>
    <t>Substitutos e novos entrantes</t>
  </si>
  <si>
    <t>Possíveis barreiras e ameaças de substituição</t>
  </si>
  <si>
    <t>Mercado (concorrentes e preço)</t>
  </si>
  <si>
    <t>Plano de ação para alcançar os objetivos (Painel)</t>
  </si>
  <si>
    <t>Verificação de recursos e prazos dos PAC</t>
  </si>
  <si>
    <t>Necessidade de correções e ações corretivas</t>
  </si>
  <si>
    <t>Relatório do Painel 12/2026</t>
  </si>
  <si>
    <t>Desempenho dos processos (OEE, disponibilidade, MTBF/MTTR)</t>
  </si>
  <si>
    <t>Quadro de indicadores (BI)</t>
  </si>
  <si>
    <t>Necessidade de correções; eficácia dos controles</t>
  </si>
  <si>
    <t>Quadro de indicadores 11/2026</t>
  </si>
  <si>
    <t>Desempenho da qualidade (FPY, CPMU, Cpk)</t>
  </si>
  <si>
    <t>Desempenho da manutenção (backlog, MTBF, MTTR, condição)</t>
  </si>
  <si>
    <t>Desempenho de fornecedores (lotes não aceitos e reclamações)</t>
  </si>
  <si>
    <t>Desempenho ambiental (energia, água, resíduos)</t>
  </si>
  <si>
    <t>Tendência nos indicadores (a instrumentar)</t>
  </si>
  <si>
    <t>Baseline e metas ambientais</t>
  </si>
  <si>
    <t>Desempenho de SST (quase-acidentes, LOTO)</t>
  </si>
  <si>
    <t>Ata do Comitê de SST 12/2026</t>
  </si>
  <si>
    <t>Situação das CAPAs (vencidas, eficácia)</t>
  </si>
  <si>
    <t>Tendência da fila de CAPAs e eficácia</t>
  </si>
  <si>
    <t>Quadro de CAPAs 11/2026</t>
  </si>
  <si>
    <t>Aderência a procedimentos de setup e LOTO</t>
  </si>
  <si>
    <t>Relatório de auditoria de processo 11/2026</t>
  </si>
  <si>
    <t>Resultados dos controles de qualidade (SPC e AQL)</t>
  </si>
  <si>
    <t>Cartas X-barra/R e AQL por lote</t>
  </si>
  <si>
    <t>Painel de qualidade (dia)</t>
  </si>
  <si>
    <t>Parâmetros críticos de processo (velocidade, temperatura, ciclos)</t>
  </si>
  <si>
    <t>Registro por ordem com timestamp (a instrumentar em sopro, serigrafia e hot foil)</t>
  </si>
  <si>
    <t>Painel de parâmetros</t>
  </si>
  <si>
    <t>Desvios antes do escape ao lote</t>
  </si>
  <si>
    <t>Painel de parâmetros (dia)</t>
  </si>
  <si>
    <t>Contadores de ciclos de molde e manutenção por condição</t>
  </si>
  <si>
    <t>Contadores CiclosDesdeSetup e CiclosDesdeReforma</t>
  </si>
  <si>
    <t>Painel de manutenção</t>
  </si>
  <si>
    <t>Gestor do processo; manutenção</t>
  </si>
  <si>
    <t>Molde perto do limite</t>
  </si>
  <si>
    <t>Painel de manutenção (semana 52)</t>
  </si>
  <si>
    <t>Inspeção de recebimento de matéria-prima</t>
  </si>
  <si>
    <t>Ensaios de recebimento e disposição de lote</t>
  </si>
  <si>
    <t>Registro do laboratório</t>
  </si>
  <si>
    <t>Gestor do processo; compras</t>
  </si>
  <si>
    <t>Lotes não aceitos e resposta do fornecedor</t>
  </si>
  <si>
    <t>Registro de recebimento (dia)</t>
  </si>
  <si>
    <t>Resíduos e derrames</t>
  </si>
  <si>
    <t>Ronda operacional ambiental</t>
  </si>
  <si>
    <t>Checklist de ronda</t>
  </si>
  <si>
    <t>Não conformidades de resíduos e químicos</t>
  </si>
  <si>
    <t>Análise crítica de riscos e oportunidades com a Alta Direção</t>
  </si>
  <si>
    <t>Revisão dos KRIs, limites e horizonte de projeção</t>
  </si>
  <si>
    <t>Ata e aba KRI</t>
  </si>
  <si>
    <t>Gerentes e donos de risco</t>
  </si>
  <si>
    <t>Limites aprovados e KRIs em alerta com plano</t>
  </si>
  <si>
    <t>Ata de revisão de KRIs 12/2026</t>
  </si>
  <si>
    <t>Registro de divulgação 12/2026</t>
  </si>
  <si>
    <t>Reunião ou pesquisa (clientes, fornecedores, autoridades)</t>
  </si>
  <si>
    <t>Ata de consulta 10/2026</t>
  </si>
  <si>
    <t>Riscos; Oportunidades</t>
  </si>
  <si>
    <t>Criação dos registros da Plasticom: 34 riscos e 14 oportunidades derivados do raio-X analítico (18 meses de dados) e do SGA ISO 14001.</t>
  </si>
  <si>
    <t>Dataset Versão 00 (2025-07-01 a 2026-12-30), relatório de causas-raiz RC-01 a RC-14 e matriz legal do SGA.</t>
  </si>
  <si>
    <t>Registrar cada risco com evidência numérica e vincular a KRI, BowTie e plano antes de aprovar.</t>
  </si>
  <si>
    <t>Escalas de impacto e benefício recalibradas em € para receita anual ≈ € 3,7 milhões; áreas = processos e funções da planta; origem “Análise de dados / raio-X analítico” incluída.</t>
  </si>
  <si>
    <t>Receita 2026 = € 3,68 milhões; custo por parada € 350/h e refugo € 0,05/un (premissas do projeto).</t>
  </si>
  <si>
    <t>Recalibrar as escalas de probabilidade com as ocorrências reais da unidade após 12 meses.</t>
  </si>
  <si>
    <t>Contexto</t>
  </si>
  <si>
    <t>Aba 04_SWOT_PESTLE condensada em Contexto: PESTEL (§2) e SWOT (§3) com prioridade, ESG, evidência e KPI; cruzamento estratégico (TOWS) no novo §6.</t>
  </si>
  <si>
    <t>Consolidar o contexto do SGA no mesmo registro de riscos e oportunidades, com vínculo obrigatório a ID.</t>
  </si>
  <si>
    <t>Todo item de ameaça, fraqueza ou oportunidade precisa de ID de risco ou oportunidade; a coluna Situação revela o que ficou sem tratamento.</t>
  </si>
  <si>
    <t>KRI</t>
  </si>
  <si>
    <t>Séries de jul a dez/2026 calculadas do warehouse (silver): 27 KRIs com limites propostos e 3 a instrumentar.</t>
  </si>
  <si>
    <t>Tabelas fact_production, fact_downtime, QC, fornecedores, reclamações e CAPA (SQL Server/CSV).</t>
  </si>
  <si>
    <t>Limites propostos precisam ser aprovados na análise crítica; SST e ambiente não têm série no dataset (a instrumentar).</t>
  </si>
  <si>
    <t>Auditoria; Maturidade</t>
  </si>
  <si>
    <t>Auditorias de riscos (Qualidade, Manutenção, Compras) e autoavaliação de maturidade lançadas como avaliação simulada.</t>
  </si>
  <si>
    <t>Não derivadas do dataset: ilustram o uso do roteiro; substituir por resultados reais.</t>
  </si>
  <si>
    <t>Resultados simulados não devem ser tratados como evidência de auditoria real.</t>
  </si>
  <si>
    <t>Auditor interno (SGI)</t>
  </si>
  <si>
    <t>Escopo: ISBM-001 a ISBM-00x; espessura (ISBM-003), molde M-SOP-007 e paradas hidráulicas (ISBM-005).</t>
  </si>
  <si>
    <t>Escopo: IM-001 a IM-006; IM-002 (short shot), IM-004 (flash por campanha) e variação de operador.</t>
  </si>
  <si>
    <t>Escopo: SS-001 (confiabilidade) e SS-002 (adesão/lote de PP); segurança química.</t>
  </si>
  <si>
    <t>Escopo: HF-001 e HF-002; janela de velocidade e foil transfer.</t>
  </si>
  <si>
    <t>Escopo: MTBF/MTTR, manutenção por condição e backlog.</t>
  </si>
  <si>
    <t>Escopo: plano de controle, AQL, SPC, reclamações e CAPA.</t>
  </si>
  <si>
    <t>Escopo: LOTO nas trocas de molde, exposição a solventes e quase-acidentes.</t>
  </si>
  <si>
    <t>Escopo: resíduos (RGGR), derrames, água e efluentes.</t>
  </si>
  <si>
    <t>Escopo: expedição, conferência de carga e reclamações logísticas.</t>
  </si>
  <si>
    <t>Escopo: SUP-005, PCR/rPET, scorecard e inspeção de recebimento.</t>
  </si>
  <si>
    <t>Escopo: cobertura de materiais, ponto de pedido e plano de capacidade.</t>
  </si>
  <si>
    <t>Escopo: lançamentos, DOE, FMEA e mudanças de parâmetro.</t>
  </si>
  <si>
    <t>Escopo: ar comprimido, energia e água; submedição.</t>
  </si>
  <si>
    <t>Escopo: warehouse, qualidade de dados, backup e ML.</t>
  </si>
  <si>
    <t>Escopo: escala, polivalência e absentismo.</t>
  </si>
  <si>
    <t>Escopo: custo da não-qualidade, preço de energia e resinas.</t>
  </si>
  <si>
    <t>Escopo: ensaios de recebimento e sistema de medição (MSA).</t>
  </si>
  <si>
    <t>Escopo: clima, PPWR e resiliência.</t>
  </si>
  <si>
    <t>Escopo: requisitos de clientes UE e Design for Recycling.</t>
  </si>
  <si>
    <t>Escopo: turno 2, handover e padrão de trabalho.</t>
  </si>
  <si>
    <t>Dano relevante; notificação à APA/CCDR; coima</t>
  </si>
  <si>
    <t>Refugo ou retrabalho pontual (&lt; 0,5% do lote); sem reclamação</t>
  </si>
  <si>
    <t>Reclamação Minor/Major de cliente; lote retido ou devolvido</t>
  </si>
  <si>
    <t>Reclamação Critical, perda de cliente relevante ou recall parcial</t>
  </si>
  <si>
    <t>Recall total, dano ao consumidor final ou perda de cliente-chave (≥ 10% da receita)</t>
  </si>
  <si>
    <t>Parada de 4 h a 1 dia; perda de produção do turno/dia</t>
  </si>
  <si>
    <t>Parada de 1 a 7 dias; dano a equipamento crítico ou à restrição (injeção)</t>
  </si>
  <si>
    <t>Parada acima de 7 dias ou perda de linha/processo crítico</t>
  </si>
  <si>
    <t>Notificação ou advertência de autoridade (APA, CCDR, ACT)</t>
  </si>
  <si>
    <t>Coima significativa; suspensão parcial de licença</t>
  </si>
  <si>
    <t>Perda abaixo de € 5 mil</t>
  </si>
  <si>
    <t>Perda de € 5 a 25 mil</t>
  </si>
  <si>
    <t>Perda de € 25 a 100 mil</t>
  </si>
  <si>
    <t>Perda de € 100 a 300 mil</t>
  </si>
  <si>
    <t>Perda acima de € 300 mil (≈ 8% da receita anual) ou inviabiliza a unidade</t>
  </si>
  <si>
    <t>Redução pequena de perdas ou de tempo (&lt; 0,5 p.p. de OEE)</t>
  </si>
  <si>
    <t>Ganho relevante: +0,5 a 1,5 p.p. de OEE ou menos refugo</t>
  </si>
  <si>
    <t>Ganho grande e sustentado: +1,5 a 3 p.p. de OEE</t>
  </si>
  <si>
    <t>Salto de capacidade ou rendimento: &gt; 3 p.p. de OEE</t>
  </si>
  <si>
    <t>Ganho abaixo de € 5 mil</t>
  </si>
  <si>
    <t>Ganho de € 5 a 25 mil</t>
  </si>
  <si>
    <t>Ganho de € 25 a 100 mil</t>
  </si>
  <si>
    <t>Ganho de € 100 a 300 mil</t>
  </si>
  <si>
    <t>Ganho acima de € 300 mil (≈ 8% da receita anual)</t>
  </si>
  <si>
    <t>ESCALA DE IMPACTO E APETITE AO RISCO POR CATEGORIA  (calibrada para a Plasticom; valores financeiros em € — receita 2026 ≈ € 3,7 milhões)</t>
  </si>
  <si>
    <t>ESCALA DE BENEFÍCIO DAS OPORTUNIDADES POR CATEGORIA  (calibrada para a Plasticom; valores em €)</t>
  </si>
  <si>
    <t>POL-RISCOS-01 — Política de Gestão de Riscos e Oportunidades da Plasticom (documento controlado)</t>
  </si>
  <si>
    <t>Tolerância mínima para riscos com potencial de morte, lesão grave, dano ambiental irreversível ou infração legal (SST, Ambiental e Legal: aceita-se apenas nível Baixo sem tratamento). Riscos de produção, qualidade/cliente, financeiros e de imagem podem ser aceitos até o nível Médio quando o custo de tratar superar a perda esperada, com aprovação na alçada indicada em Critérios. Nenhum lote com defeito crítico conhecido é liberado ao cliente.</t>
  </si>
  <si>
    <t>GUIA DE AVALIAÇÃO — COMO PONTUAR A MATURIDADE E CLASSIFICAR A AUDITORIA</t>
  </si>
  <si>
    <t>Modelo interno baseado na ISO 31000:2018 (conteúdo), na IEC 31010 e na ISO 19011 (auditoria), e nos graus do QSP/ABR. A escala de maturidade NÃO é uma escala oficial da ISO 31000: deve ser calibrada e validada pela Direção. O resultado é apoio à decisão, não certificação nem parecer independente.</t>
  </si>
  <si>
    <t>1. MATURIDADE — cada critério passa por 4 testes de evidência (em vez de uma nota subjetiva)</t>
  </si>
  <si>
    <t>Teste</t>
  </si>
  <si>
    <t>Pergunta-guia</t>
  </si>
  <si>
    <t>Sim (vale 1)</t>
  </si>
  <si>
    <t>Parcial (vale 0,5)</t>
  </si>
  <si>
    <t>Não (vale 0)</t>
  </si>
  <si>
    <t>Peso na nota do critério</t>
  </si>
  <si>
    <t>A prática existe, está documentada e é conhecida por quem a executa?</t>
  </si>
  <si>
    <t>Documentada, aprovada e comunicada</t>
  </si>
  <si>
    <t>Existe de forma informal ou incompleta</t>
  </si>
  <si>
    <t>Não existe</t>
  </si>
  <si>
    <t>Aplicado</t>
  </si>
  <si>
    <t>É aplicada de forma consistente, em mais de uma área ou período, com evidência de execução?</t>
  </si>
  <si>
    <t>Registros mostram uso regular</t>
  </si>
  <si>
    <t>Aplicada em parte das áreas/períodos</t>
  </si>
  <si>
    <t>Não é aplicada</t>
  </si>
  <si>
    <t>Produz resultado medido (indicador, teste, tendência) e a eficácia foi verificada?</t>
  </si>
  <si>
    <t>Resultado medido e verificado</t>
  </si>
  <si>
    <t>Resultado medido em parte</t>
  </si>
  <si>
    <t>Sem medição de resultado</t>
  </si>
  <si>
    <t>Melhorado</t>
  </si>
  <si>
    <t>É revista e melhorada com base em dados, incidentes e lições aprendidas?</t>
  </si>
  <si>
    <t>Melhorias implantadas e verificadas</t>
  </si>
  <si>
    <t>Revisão sem melhoria verificada</t>
  </si>
  <si>
    <t>Sem revisão</t>
  </si>
  <si>
    <t>Regras: (1) Encadeamento — Aplicado só conta se Definido ≥ Parcial; Eficaz só conta se Aplicado ≥ Parcial; Melhorado só conta se Eficaz ≥ Parcial. (2) Evidência obrigatória — sem "Evidência observada" só o teste Definido conta (o critério fica limitado a 25%). (3) Índice do critério = soma dos pesos × valor dos testes (0 a 100%) → nível 1 a 5 pelas faixas do quadro 2. (4) Índice geral = média ponderada pela criticidade (Crítica 3 · Alta 2 · Média 1). (5) A conclusão só dá "META ATINGIDA" se o grau ≥ meta, não houver critério crítico abaixo da meta e a cobertura de evidência ≥ mínimo.</t>
  </si>
  <si>
    <t>2. OS CINCO GRAUS (QSP / ABR) E AS FAIXAS DO ÍNDICE</t>
  </si>
  <si>
    <t>Como a auditoria interna atua neste grau</t>
  </si>
  <si>
    <t>Leitura com os 4 testes</t>
  </si>
  <si>
    <t>Índice a partir de</t>
  </si>
  <si>
    <t>Nada definido (índice &lt; 12,5%).</t>
  </si>
  <si>
    <t>Prática definida (total ou em parte), ainda não aplicada de forma consistente.</t>
  </si>
  <si>
    <t>Definida e aplicada com evidência, mas sem medir o resultado.</t>
  </si>
  <si>
    <t>Aplicada e com resultado medido ou eficácia verificada.</t>
  </si>
  <si>
    <t>Eficaz e melhorada continuamente com base em dados (todos os testes cumpridos).</t>
  </si>
  <si>
    <t>3. AUDITORIA — como classificar cada pergunta (em vez de Sim/Não)</t>
  </si>
  <si>
    <t>Resultado</t>
  </si>
  <si>
    <t>Quando usar</t>
  </si>
  <si>
    <t>Pontos</t>
  </si>
  <si>
    <t>Classificação gerada</t>
  </si>
  <si>
    <t>Exigência</t>
  </si>
  <si>
    <t>Conforme</t>
  </si>
  <si>
    <t>O critério é atendido e há evidência objetiva (documento, registro, observação ou teste).</t>
  </si>
  <si>
    <t>Evidência obrigatória; sem evidência vira "Não verificado" e vale 0.</t>
  </si>
  <si>
    <t>Parcial</t>
  </si>
  <si>
    <t>O critério é atendido em parte (algumas áreas, períodos ou etapas).</t>
  </si>
  <si>
    <t>0,5</t>
  </si>
  <si>
    <t>Observação</t>
  </si>
  <si>
    <t>Evidência obrigatória; ação recomendada.</t>
  </si>
  <si>
    <t>Não conforme</t>
  </si>
  <si>
    <t>O critério não é atendido. Em pergunta de criticidade Crítica é "NC maior"; nas demais, "NC menor".</t>
  </si>
  <si>
    <t>NC maior / NC menor</t>
  </si>
  <si>
    <t>Abrir PAC ou RNC; definir verificação de eficácia.</t>
  </si>
  <si>
    <t>N/A</t>
  </si>
  <si>
    <t>O critério não se aplica ao processo auditado neste período.</t>
  </si>
  <si>
    <t>fora do cálculo</t>
  </si>
  <si>
    <t>Justificativa obrigatória, aprovada pelo auditor líder; não entra no denominador.</t>
  </si>
  <si>
    <t>Peso por criticidade: Crítica 3 · Alta 2 · Média 1. Índice de conformidade = Σ(peso × pontos) ÷ Σ(peso das perguntas aplicáveis). Situação: CONFORME = índice ≥ 90%, nenhuma NC maior e nenhum item não verificado · ATENÇÃO = 70% a 89%, ou 1 NC maior, ou itens não verificados · CRÍTICO = índice &lt; 70% ou 2 ou mais NC maiores. Toda NC exige ação (PAC/RNC) e verificação de eficácia; concluir a ação não equivale a eficácia.</t>
  </si>
  <si>
    <t>Regra 1: A nota deve ser sustentada por evidência ou por justificativa documentada de ausência de evidência.</t>
  </si>
  <si>
    <t>Regra 2: Maturidade mede a capacidade e a prática do sistema; a auditoria verifica evidências de implementação e conformidade. Use as duas juntas: o perfil por dimensão cruza ambas.</t>
  </si>
  <si>
    <t>Regra 3: Critérios críticos têm tratamento próprio, mesmo quando a média geral está acima da meta.</t>
  </si>
  <si>
    <t>Regra 4: A média geral deve ser lida com o perfil por dimensão, as lacunas críticas e a tendência entre ciclos.</t>
  </si>
  <si>
    <t>Regra 5: Repita a avaliação a cada ciclo (semestral) e após mudança relevante, incidente grave ou alteração de contexto.</t>
  </si>
  <si>
    <t>Pergunta</t>
  </si>
  <si>
    <t>Crítica</t>
  </si>
  <si>
    <t>LstTeste</t>
  </si>
  <si>
    <t>LstCrit</t>
  </si>
  <si>
    <t>LstResultado</t>
  </si>
  <si>
    <t>LstMetodo</t>
  </si>
  <si>
    <t>Documento</t>
  </si>
  <si>
    <t>Registro</t>
  </si>
  <si>
    <t>Entrevista</t>
  </si>
  <si>
    <t>LstEficacia</t>
  </si>
  <si>
    <t>Pendente</t>
  </si>
  <si>
    <t>Não eficaz</t>
  </si>
  <si>
    <t>MATURIDADE — REGISTRO DE AVALIAÇÃO POR CRITÉRIO (1 linha = 1 critério × 1 ciclo)</t>
  </si>
  <si>
    <t>Como preencher: (1) escolha o Ciclo; (2) responda os 4 testes (Definido, Aplicado, Eficaz, Melhorado) com Sim, Parcial ou Não; (3) cite a evidência observada — sem evidência só o teste "Definido" conta; (4) registre constatação, próximo passo, ação (PAC/RNC), responsável e prazo. Texto AZUL = preencher · fundo CINZA = fórmula. Para um novo ciclo, copie as linhas, mude o Ciclo e refaça os testes. Regras: aba Guia_Avaliação.</t>
  </si>
  <si>
    <t>Ciclo</t>
  </si>
  <si>
    <t>Dimensão</t>
  </si>
  <si>
    <t>Critério</t>
  </si>
  <si>
    <t>Pergunta de avaliação</t>
  </si>
  <si>
    <t>Evidência esperada</t>
  </si>
  <si>
    <t>Criticidade</t>
  </si>
  <si>
    <t>Peso</t>
  </si>
  <si>
    <t>Meta</t>
  </si>
  <si>
    <t>Evidência automática</t>
  </si>
  <si>
    <t>Evidência observada</t>
  </si>
  <si>
    <t>Índice</t>
  </si>
  <si>
    <t>Constatação</t>
  </si>
  <si>
    <t>Próximo passo</t>
  </si>
  <si>
    <t>Ação vinculada</t>
  </si>
  <si>
    <t>Pontos ponderados</t>
  </si>
  <si>
    <t>Peso avaliado</t>
  </si>
  <si>
    <t>AUDITORIA — REGISTRO DE CONSTATAÇÕES (1 linha = 1 pergunta × 1 auditoria)</t>
  </si>
  <si>
    <t>Evidência objetiva</t>
  </si>
  <si>
    <t>Critério de maturidade</t>
  </si>
  <si>
    <t>Risco associado</t>
  </si>
  <si>
    <t>Ação</t>
  </si>
  <si>
    <t>AUDITORIA DO PROCESSO DE GESTÃO DE RISCOS — RESULTADO POR AUDITORIA</t>
  </si>
  <si>
    <t>1. CADASTRO E RESULTADO POR AUDITORIA (até 8 auditorias)</t>
  </si>
  <si>
    <t>Auditores</t>
  </si>
  <si>
    <t>Itens</t>
  </si>
  <si>
    <t>Conformes</t>
  </si>
  <si>
    <t>Parciais</t>
  </si>
  <si>
    <t>Não conformes</t>
  </si>
  <si>
    <t>Não verificados</t>
  </si>
  <si>
    <t>NC maiores</t>
  </si>
  <si>
    <t>Conclusão</t>
  </si>
  <si>
    <t>2026-S2</t>
  </si>
  <si>
    <t>GOV-01</t>
  </si>
  <si>
    <t>Governança</t>
  </si>
  <si>
    <t>Objetivos e integração estratégica</t>
  </si>
  <si>
    <t>Os objetivos estão desdobrados por processo e a gestão de riscos está integrada ao planejamento estratégico e operacional?</t>
  </si>
  <si>
    <t>Plano estratégico, objetivos por processo, atas de análise crítica; abas Riscos (Objetivo afetado) e Oportunidades (Objetivo apoiado)</t>
  </si>
  <si>
    <t>GOV-02</t>
  </si>
  <si>
    <t>Política, papéis e alçadas</t>
  </si>
  <si>
    <t>A Direção aprovou a política, atribuiu papéis (dono do risco, responsável, coordenação do SGI) e definiu as alçadas de aceite?</t>
  </si>
  <si>
    <t>Política aprovada, RACI, matriz de alçadas; aba Contexto §1 e aba Critérios</t>
  </si>
  <si>
    <t>GOV-03</t>
  </si>
  <si>
    <t>Recursos adequados</t>
  </si>
  <si>
    <t>A Direção avalia se os recursos destinados à gestão de riscos (pessoas, tempo, orçamento) são adequados?</t>
  </si>
  <si>
    <t>Ata de análise crítica, orçamento e plano de recursos</t>
  </si>
  <si>
    <t>GOV-04</t>
  </si>
  <si>
    <t>Critérios de risco calibrados</t>
  </si>
  <si>
    <t>Os critérios (escalas, níveis, regra de impacto máximo, prazos de revisão) foram aprovados e são calibrados com o histórico de ocorrências?</t>
  </si>
  <si>
    <t>Critérios aprovados (Histórico), ocorrências dos últimos 12 meses, calibração; aba Critérios</t>
  </si>
  <si>
    <t>GOV-05</t>
  </si>
  <si>
    <t>Apetite ao risco por categoria</t>
  </si>
  <si>
    <t>O apetite ao risco está declarado por categoria de impacto e orienta as decisões de tratar ou aceitar?</t>
  </si>
  <si>
    <t>Declaração de apetite; coluna Apetite (aba Critérios)</t>
  </si>
  <si>
    <t>GOV-06</t>
  </si>
  <si>
    <t>Riscos em mudanças, projetos e investimentos</t>
  </si>
  <si>
    <t>A gestão de riscos é considerada antes de projetos, investimentos e mudanças relevantes?</t>
  </si>
  <si>
    <t>Registros de projeto e de mudança (MOC), decisões de investimento; origem "Alteração (gestão de mudança)"</t>
  </si>
  <si>
    <t>IDE-01</t>
  </si>
  <si>
    <t>Identificação</t>
  </si>
  <si>
    <t>Contexto e partes interessadas</t>
  </si>
  <si>
    <t>O contexto interno e externo (PESTEL, SWOT, Cinco Forças, TOWS, partes interessadas) é analisado e cada ameaça, fraqueza ou oportunidade vira risco ou oportunidade?</t>
  </si>
  <si>
    <t>IDE-02</t>
  </si>
  <si>
    <t>Método sistemático de identificação</t>
  </si>
  <si>
    <t>Existe método para identificar riscos em processos novos, modificados e existentes (workshops, checklists, gatilhos)?</t>
  </si>
  <si>
    <t>IDE-03</t>
  </si>
  <si>
    <t>Qualidade da descrição</t>
  </si>
  <si>
    <t>Cada risco descreve evento, causa, consequência, origem e interdependências (IDs relacionados)?</t>
  </si>
  <si>
    <t>Aba Riscos (Descrição, Causa 6M, Consequência, IDs relacionados)</t>
  </si>
  <si>
    <t>IDE-04</t>
  </si>
  <si>
    <t>Fontes de informação</t>
  </si>
  <si>
    <t>A identificação usa auditorias, incidentes, reclamações, quase-acidentes e lições aprendidas?</t>
  </si>
  <si>
    <t>Relatórios, histórico de NC/CAPA, reclamações e atas</t>
  </si>
  <si>
    <t>IDE-05</t>
  </si>
  <si>
    <t>Oportunidades priorizadas</t>
  </si>
  <si>
    <t>As oportunidades são identificadas e priorizadas em portfólio, com investimento, retorno esperado, indicador e meta?</t>
  </si>
  <si>
    <t>Aba Oportunidades (Índice de portfólio, Investimento e retorno, KPI)</t>
  </si>
  <si>
    <t>ANA-01</t>
  </si>
  <si>
    <t>Análise e avaliação</t>
  </si>
  <si>
    <t>Risco inerente, atual e residual</t>
  </si>
  <si>
    <t>Os riscos são avaliados antes e depois dos controles, com a premissa sobre os controles declarada e o residual real substituindo a meta após a eficácia?</t>
  </si>
  <si>
    <t>Aba Riscos (Prob./Imp. inerente, atual e residual; Confiança); Critérios</t>
  </si>
  <si>
    <t>ANA-02</t>
  </si>
  <si>
    <t>Incerteza e confiança das estimativas</t>
  </si>
  <si>
    <t>As premissas, limitações e incertezas das estimativas são documentadas e os vieses (disponibilidade, ancoragem) são tratados?</t>
  </si>
  <si>
    <t>Justificativas, confiança da estimativa e dados usados; aba Riscos (Confiança, Notas)</t>
  </si>
  <si>
    <t>ANA-03</t>
  </si>
  <si>
    <t>Técnicas aprofundadas</t>
  </si>
  <si>
    <t>Riscos Altos/Críticos ou complexos são analisados com técnica proporcional (BowTie, FMEA, HAZOP) e a matriz é usada só como triagem?</t>
  </si>
  <si>
    <t>Aba BowTie; FMEA; alerta "Sem BowTie" no Painel</t>
  </si>
  <si>
    <t>ANA-04</t>
  </si>
  <si>
    <t>Atualização da avaliação</t>
  </si>
  <si>
    <t>A avaliação é revista quando surgem novas evidências, incidentes ou mudanças de contexto?</t>
  </si>
  <si>
    <t>Histórico de revisões, incidentes e mudanças; datas de próxima revisão</t>
  </si>
  <si>
    <t>TRA-01</t>
  </si>
  <si>
    <t>Tratamento e controles</t>
  </si>
  <si>
    <t>Seleção de respostas</t>
  </si>
  <si>
    <t>As respostas são escolhidas com custo-benefício e hierarquia de controle, considerando recursos e efeitos secundários?</t>
  </si>
  <si>
    <t>Plano de tratamento, análise de opções e custos; aba Riscos (Ação adotada, Hierarquia, Custo e perda)</t>
  </si>
  <si>
    <t>TRA-02</t>
  </si>
  <si>
    <t>Responsável, prazo e recursos</t>
  </si>
  <si>
    <t>Cada tratamento tem responsável, prazo, recursos e critério de conclusão definidos antes de executar?</t>
  </si>
  <si>
    <t>Plano de ação, responsáveis e cronograma; aba Planos</t>
  </si>
  <si>
    <t>TRA-03</t>
  </si>
  <si>
    <t>Aceitação do residual</t>
  </si>
  <si>
    <t>O residual é aceito por quem tem alçada, com validade e monitoramento; o que excede o apetite é levado à Direção?</t>
  </si>
  <si>
    <t>Registro de aceite, alçada e validade; colunas "Residual aceitável?" e "Aceite válido até"; alertas "Sem ação" e "Aceite fora do apetite"</t>
  </si>
  <si>
    <t>TRA-04</t>
  </si>
  <si>
    <t>Verificação de eficácia</t>
  </si>
  <si>
    <t>A eficácia dos tratamentos é verificada após a implementação, com critério definido antes e residual real registrado?</t>
  </si>
  <si>
    <t>Critério de eficácia, teste, indicador e reavaliação; abas Riscos e KRI; alertas "Avaliar eficácia"</t>
  </si>
  <si>
    <t>MON-01</t>
  </si>
  <si>
    <t>Monitoramento e comunicação</t>
  </si>
  <si>
    <t>KRI, limites e ação de reação</t>
  </si>
  <si>
    <t>Os KRI têm meta, limite de alerta, responsável, frequência e ação de reação, e acompanham a validade das premissas?</t>
  </si>
  <si>
    <t>KRI, dashboard, limites e planos de reação; abas KRI, Monitoramento e Painel</t>
  </si>
  <si>
    <t>MON-02</t>
  </si>
  <si>
    <t>Periodicidade proporcional</t>
  </si>
  <si>
    <t>A periodicidade de revisão é proporcional ao nível do risco e à velocidade de mudança?</t>
  </si>
  <si>
    <t>Calendário de revisões e justificativas; coluna Próx. revisão; Critérios (meses por nível)</t>
  </si>
  <si>
    <t>MON-03</t>
  </si>
  <si>
    <t>Comunicação e consulta</t>
  </si>
  <si>
    <t>Riscos que afetam outras áreas ou partes interessadas são comunicados e registrados, com audiência, meio e frequência planejados?</t>
  </si>
  <si>
    <t>Plano de comunicação, atas e notificações; aba Monitoramento (Comunicação, Consulta); Contexto §4</t>
  </si>
  <si>
    <t>MON-04</t>
  </si>
  <si>
    <t>Auditoria e análise crítica</t>
  </si>
  <si>
    <t>Auditorias de riscos e a análise crítica pela Direção ocorrem no prazo, e cada desvio gera PAC ou RNC?</t>
  </si>
  <si>
    <t>APR-01</t>
  </si>
  <si>
    <t>Aprendizagem e melhoria</t>
  </si>
  <si>
    <t>As lições aprendidas produzem mudanças verificáveis em processos ou controles, e a cultura favorece o relato sem retaliação?</t>
  </si>
  <si>
    <t>Histórico (lições), Riscos (origem: gestão de mudança, lições aprendidas), atas</t>
  </si>
  <si>
    <t>APR-02</t>
  </si>
  <si>
    <t>Melhoria do sistema</t>
  </si>
  <si>
    <t>O desempenho do sistema de gestão de riscos é avaliado (indicadores, análise crítica) e usado para melhoria contínua?</t>
  </si>
  <si>
    <t>Indicadores do sistema, análise crítica e plano de melhoria; Painel</t>
  </si>
  <si>
    <t>34/34 riscos e 14/14 oportunidades citam o objetivo; baseline do projeto (OEE 79,1%; CPMU 4,76; rejeição 2,39%)</t>
  </si>
  <si>
    <t>POL-RISCOS-01 aprovada em 22/12/2026; 34/34 riscos com dono; alçadas na aba Critérios</t>
  </si>
  <si>
    <t>Critérios aprovados em 22/12/2026 (Histórico); escalas em € calibradas na receita 2026; ocorrências informadas em 28 riscos</t>
  </si>
  <si>
    <t>7/7 categorias com apetite; declaração registrada no Contexto §1</t>
  </si>
  <si>
    <t>R12 (lançamento de SKU) registrado como mudança; sem gatilho formal em compras de capital</t>
  </si>
  <si>
    <t>PESTEL (10), SWOT (18), Cinco Forças (5) e TOWS (6) sem item "Sem tratamento"; 8 partes interessadas</t>
  </si>
  <si>
    <t>34 riscos com origem, tipo e nível de análise; 13 origens diferentes (dados, RNC, SWOT, requisito legal, SST, AIA)</t>
  </si>
  <si>
    <t>34/34 riscos com causa, consequência e categoria 6M; IDs relacionados em 33</t>
  </si>
  <si>
    <t>Riscos originados de RNC/reclamação, análise de dados, requisito legal e lições aprendidas (aba Riscos, coluna Origem)</t>
  </si>
  <si>
    <t>14 oportunidades com índice de portfólio, investimento, retorno e KPI</t>
  </si>
  <si>
    <t>34/34 riscos com inerente e atual; 31 com residual (meta); residual real confirmado apenas no R7</t>
  </si>
  <si>
    <t>Confiança registrada em 34/34; notas com evidência numérica na maioria</t>
  </si>
  <si>
    <t>BowTie para 18 riscos Altos/Críticos e R9 (38 barreiras); FMEA de M-SOP-007 no projeto</t>
  </si>
  <si>
    <t>Próxima revisão calculada por nível (1/3/6/12 meses); avaliação única em 15/12/2026</t>
  </si>
  <si>
    <t>34/34 riscos com ação adotada; custo e perda estimados em 31; hierarquia de controle registrada</t>
  </si>
  <si>
    <t>46 planos (PAC/RNC) com responsável e prazo; critério de eficácia em 31 riscos</t>
  </si>
  <si>
    <t>Residual "aceitável" previsto em 31 riscos; nenhum aceite formal com validade registrado no Histórico</t>
  </si>
  <si>
    <t>Critério de eficácia em 31 riscos; eficácia verificada em 1 (R7); 253 CAPAs "Not Effective" e 258 pendentes no dataset</t>
  </si>
  <si>
    <t>30 KRIs (27 com série jul–dez/2026); 17 estouraram o limite; limites são propostas ainda não aprovadas</t>
  </si>
  <si>
    <t>Prazos por nível definidos (1/3/6/12 meses); revisões em dia no Painel</t>
  </si>
  <si>
    <t>28 rotinas de monitoramento, comunicação e consulta; política comunicada em 22/12/2026</t>
  </si>
  <si>
    <t>3 auditorias no 1º ciclo (Qualidade, Manutenção, Compras); NC geram PAC/RNC; análise crítica em 18/12/2026</t>
  </si>
  <si>
    <t>Lições registradas no Histórico e origem "Lições aprendidas" em 1 risco</t>
  </si>
  <si>
    <t>Objetivos com baseline e meta, mas sem desdobramento formal por processo e sem revisão na análise crítica.</t>
  </si>
  <si>
    <t>Política e alçadas definidas; a responsabilidade ainda não consta nas descrições de cargo.</t>
  </si>
  <si>
    <t>Custos estimados por risco, mas sem orçamento consolidado aprovado para os PAC e sem evidência de análise de recursos.</t>
  </si>
  <si>
    <t>Consolidar o custo dos PAC em um orçamento aprovado e registrar a análise de recursos na análise crítica.</t>
  </si>
  <si>
    <t>Falta calibrar a probabilidade com 12 meses de ocorrências reais da unidade.</t>
  </si>
  <si>
    <t>Apetite declarado; nem todo risco acima do apetite tem decisão de aceite registrada pela Direção.</t>
  </si>
  <si>
    <t>Só o lançamento de produto passa pela análise de riscos; investimentos e mudanças de processo ainda não têm gatilho formal.</t>
  </si>
  <si>
    <t>Exigir análise de riscos no MOC e no business case de todo CAPEX, e registrar a origem "Alteração (gestão de mudança)".</t>
  </si>
  <si>
    <t>Contexto completo e vinculado a IDs; consulta às partes interessadas é semestral e sem retorno registrado.</t>
  </si>
  <si>
    <t>Identificação apoiada em dados reais, mas sem comparação sistemática entre incidentes reais e o registro.</t>
  </si>
  <si>
    <t>Descrições completas; padronizar "X pode ocorrer por Y, causando Z" e revisar riscos agrupados demais.</t>
  </si>
  <si>
    <t>Adotar o formato evento + causa + consequência e revisar por pares as descrições de riscos Altos/Críticos.</t>
  </si>
  <si>
    <t>Sem base de quase-acidentes (SST) nem de incidentes ambientais: a identificação nessas áreas depende de inventário, não de eventos reais.</t>
  </si>
  <si>
    <t>Instrumentar o registro de quase-acidentes e incidentes ambientais (KRI de R28 e R30).</t>
  </si>
  <si>
    <t>Portfólio completo no 1º ciclo; falta medir o benefício realizado contra o KPI.</t>
  </si>
  <si>
    <t>O residual ainda é meta em 30 dos 31 riscos: só o R7 tem residual confirmado por eficácia.</t>
  </si>
  <si>
    <t>Confiança registrada, mas sem estimativa individual prévia nem revisão independente dos números.</t>
  </si>
  <si>
    <t>Colher estimativas individuais antes da discussão e registrar divergências.</t>
  </si>
  <si>
    <t>BowTie cobre os riscos Altos/Críticos, mas 11 barreiras seguem sem verificação e o FMEA ainda não foi atualizado.</t>
  </si>
  <si>
    <t>Primeiro ciclo: não há histórico de reavaliações para comprovar a atualização.</t>
  </si>
  <si>
    <t>Reavaliar no prazo do nível e registrar no Histórico cada mudança de nível com a evidência.</t>
  </si>
  <si>
    <t>3 riscos Altos/Críticos tratados só com controle administrativo (alerta "Rever hierarquia de controle").</t>
  </si>
  <si>
    <t>Todos os PAC têm dono e prazo; 2 RNC de refação seguem em andamento com prazo vencido (RNC 202504 e RNC 202603).</t>
  </si>
  <si>
    <t>Crítico: o residual previsto é tratado como aceitável sem aprovação registrada da alçada indicada em Critérios.</t>
  </si>
  <si>
    <t>Crítico: a eficácia só foi verificada no R7; o encerramento de CAPA ainda não exige comprovação de eficácia.</t>
  </si>
  <si>
    <t>KRIs monitorados mensalmente, mas os limites não foram aprovados e os que estouraram ainda não têm plano de reação formal.</t>
  </si>
  <si>
    <t>A regra existe, mas o 1º ciclo não tem histórico de cumprimento.</t>
  </si>
  <si>
    <t>Registrar no Histórico cada revisão feita e cobrar as vencidas na análise crítica.</t>
  </si>
  <si>
    <t>Rotinas definidas; a consulta às partes interessadas é semestral e o retorno ainda não é registrado.</t>
  </si>
  <si>
    <t>Auditorias por exposição (Plano ABR) iniciadas; faltam programa anual e reauditoria das NC maiores.</t>
  </si>
  <si>
    <t>Lições registradas, mas sem verificação de que geraram mudança no processo; sem canal de relato de quase-acidentes.</t>
  </si>
  <si>
    <t>Este é o primeiro ciclo de avaliação da maturidade: ainda não há indicadores do próprio sistema nem plano de melhoria dele.</t>
  </si>
  <si>
    <t>Definir 3 indicadores do sistema (alertas abertos, KRIs sem limite aprovado, NC de auditoria) e revisá-los a cada ciclo.</t>
  </si>
  <si>
    <t>AU-01</t>
  </si>
  <si>
    <t>A política, os critérios e o apetite ao risco são conhecidos pelo processo auditado?</t>
  </si>
  <si>
    <t>ISO 31000 §5.2 • Contexto §1</t>
  </si>
  <si>
    <t>Política POL-RISCOS-01 divulgada (registro de 22/12/2026); pessoal entrevistado a conhece</t>
  </si>
  <si>
    <t>AU-02</t>
  </si>
  <si>
    <t>As responsabilidades, alçadas e critérios de aceitação estão definidos e aplicados?</t>
  </si>
  <si>
    <t>ISO 31000 §5.3 • aba Critérios</t>
  </si>
  <si>
    <t>34/34 riscos com dono; matriz de alçadas na aba Critérios</t>
  </si>
  <si>
    <t>AU-03</t>
  </si>
  <si>
    <t>O procedimento aplicável (PG-SGI-006) é adequado ao processo e foi seguido no período?</t>
  </si>
  <si>
    <t>PG-SGI-006</t>
  </si>
  <si>
    <t>Registros da área seguem o PG-SGI-006 (amostra de 5 riscos)</t>
  </si>
  <si>
    <t>AU-04</t>
  </si>
  <si>
    <t>Riscos e oportunidades foram identificados considerando evento, causa, consequência e partes interessadas?</t>
  </si>
  <si>
    <t>ISO 31000 §6.4.2</t>
  </si>
  <si>
    <t>Riscos da área citam clientes e fornecedores, mas a consulta ao laboratório e à expedição não está documentada</t>
  </si>
  <si>
    <t>AU-05</t>
  </si>
  <si>
    <t>Os riscos e oportunidades do processo são conhecidos pelo pessoal que o executa?</t>
  </si>
  <si>
    <t>PG-SGI-006 • ISO 9001 §7.3</t>
  </si>
  <si>
    <t>Três colaboradores entrevistados citaram corretamente os principais riscos</t>
  </si>
  <si>
    <t>AU-06</t>
  </si>
  <si>
    <t>A avaliação de probabilidade, impacto e incerteza é coerente com as evidências e as ocorrências do processo?</t>
  </si>
  <si>
    <t>ISO 31000 §6.4.3 • IEC 31010</t>
  </si>
  <si>
    <t>Probabilidade e impacto coerentes com as ocorrências informadas (aba Riscos)</t>
  </si>
  <si>
    <t>AU-07</t>
  </si>
  <si>
    <t>A distinção entre risco inerente, atual e residual está documentada e é consistente?</t>
  </si>
  <si>
    <t>Critérios internos • ISO 31000 §6.5</t>
  </si>
  <si>
    <t>Riscos da área com inerente, atual e residual e a premissa sobre os controles declarada</t>
  </si>
  <si>
    <t>AU-08</t>
  </si>
  <si>
    <t>Foram usadas técnicas aprofundadas (BowTie, FMEA) quando a criticidade ou a complexidade justificava?</t>
  </si>
  <si>
    <t>IEC 31010</t>
  </si>
  <si>
    <t>BowTie disponível para os riscos Altos/Críticos da área</t>
  </si>
  <si>
    <t>AU-09</t>
  </si>
  <si>
    <t>As opções de tratamento consideraram hierarquia de controles, custo-benefício, ALARP e efeitos secundários?</t>
  </si>
  <si>
    <t>ISO 31000 §6.5</t>
  </si>
  <si>
    <t>Ação adotada, hierarquia de controle, custo e perda estimados registrados</t>
  </si>
  <si>
    <t>AU-10</t>
  </si>
  <si>
    <t>Cada tratamento tem responsável, prazo, recursos e critério de eficácia definido antes de executar?</t>
  </si>
  <si>
    <t>ISO 31000 §6.5.3</t>
  </si>
  <si>
    <t>187 CAPAs vencidas de 811; PAC novos têm dono e prazo, mas as CAPAs legadas não têm critério de eficácia</t>
  </si>
  <si>
    <t>AU-11</t>
  </si>
  <si>
    <t>O risco residual foi calculado considerando a eficácia real dos controles?</t>
  </si>
  <si>
    <t>Residual calculado a partir do controle existente e da eficácia declarada</t>
  </si>
  <si>
    <t>AU-12</t>
  </si>
  <si>
    <t>O risco residual foi aceito por autoridade competente e dentro da alçada?</t>
  </si>
  <si>
    <t>Critérios de aceitação</t>
  </si>
  <si>
    <t>Aceite registrado na alçada indicada em Critérios (Histórico)</t>
  </si>
  <si>
    <t>AU-13</t>
  </si>
  <si>
    <t>Os controles críticos foram executados e existe evidência da execução?</t>
  </si>
  <si>
    <t>Controles e procedimentos</t>
  </si>
  <si>
    <t>Registros de execução dos controles (checklists, calibrações, planos de manutenção)</t>
  </si>
  <si>
    <t>AU-14</t>
  </si>
  <si>
    <t>A eficácia dos controles foi testada ou verificada por método adequado?</t>
  </si>
  <si>
    <t>Eficácia de controles • ISO 9001 §9.1.3</t>
  </si>
  <si>
    <t>253 CAPAs "Not Effective" e 258 com eficácia pendente; nenhum teste sistemático de eficácia dos controles críticos</t>
  </si>
  <si>
    <t>AU-15</t>
  </si>
  <si>
    <t>Os KRI, limites de alerta e ações de reação são monitorados conforme definido?</t>
  </si>
  <si>
    <t>KRI e monitoramento</t>
  </si>
  <si>
    <t>KRIs da qualidade coletados mensalmente, mas os limites ainda são proposta não aprovada</t>
  </si>
  <si>
    <t>AU-16</t>
  </si>
  <si>
    <t>A periodicidade de revisão é proporcional ao nível de risco e às mudanças ocorridas?</t>
  </si>
  <si>
    <t>ISO 31000 §6.6</t>
  </si>
  <si>
    <t>Datas de próxima revisão proporcionais ao nível (1/3/6/12 meses)</t>
  </si>
  <si>
    <t>AU-17</t>
  </si>
  <si>
    <t>Riscos que afetam outras áreas ou partes interessadas são comunicados e registrados em ata?</t>
  </si>
  <si>
    <t>ISO 31000 §6.2</t>
  </si>
  <si>
    <t>Riscos comunicados às áreas afetadas em ata da reunião mensal</t>
  </si>
  <si>
    <t>AU-18</t>
  </si>
  <si>
    <t>Mudanças, projetos, incidentes e reclamações desencadearam reavaliação quando necessário?</t>
  </si>
  <si>
    <t>Gestão de mudanças • ISO 31000 §6.6</t>
  </si>
  <si>
    <t>Mudanças e reclamações da área geraram reavaliação (Histórico)</t>
  </si>
  <si>
    <t>AU-19</t>
  </si>
  <si>
    <t>As falhas e lições aprendidas geraram ações verificáveis e mudança no processo?</t>
  </si>
  <si>
    <t>Melhoria contínua</t>
  </si>
  <si>
    <t>Lições registradas no Histórico com ação vinculada</t>
  </si>
  <si>
    <t>AU-20</t>
  </si>
  <si>
    <t>A direção ou o responsável pelo processo usa a informação de riscos nas decisões?</t>
  </si>
  <si>
    <t>Integração com decisões • ISO 31000 §4</t>
  </si>
  <si>
    <t>Decisões de prioridade tomadas com base no Painel na análise crítica</t>
  </si>
  <si>
    <t>AU-21</t>
  </si>
  <si>
    <t>As ações concluídas foram verificadas quanto à eficácia e ao risco residual real?</t>
  </si>
  <si>
    <t>Auditoria baseada em riscos</t>
  </si>
  <si>
    <t>CAPAs fechadas sem verificação de eficácia (32% fechadas fora do prazo); R7 é o único caso com eficácia registrada</t>
  </si>
  <si>
    <t>AU-22</t>
  </si>
  <si>
    <t>Riscos, oportunidades e ações são classificados e relatados de forma adequada e monitorados para seguirem eficazes?</t>
  </si>
  <si>
    <t>ABR • ISO 31000 §6.7</t>
  </si>
  <si>
    <t>Classificação e relatórios do Painel consistentes com os registros</t>
  </si>
  <si>
    <t>Riscos da área com evento, causa (6M), consequência e parte interessada</t>
  </si>
  <si>
    <t>Dois de três mecânicos entrevistados não souberam citar o risco R3 (paradas da ISBM-005)</t>
  </si>
  <si>
    <t>BowTie de R3 existe, mas não há análise de condição hidráulica nem FMEA atualizado da ISBM-005</t>
  </si>
  <si>
    <t>PAC com responsável, prazo e critério de eficácia (abas Planos e Riscos)</t>
  </si>
  <si>
    <t>PM da SS-001 genérica: sem registro de execução por modo de falha; inspeção hidráulica da ISBM-005 sem evidência</t>
  </si>
  <si>
    <t>Eficácia do overhaul da SS-001 comprovada (MTTR 2,8 h → 1,2 h); eficácia da PM não testada</t>
  </si>
  <si>
    <t>KRIs de MTTR e disponibilidade monitorados; limite do M-SOP-007 ainda provisório</t>
  </si>
  <si>
    <t>PM calendarizada igual para todas as ISBM; ISBM-005 para ≈ 116 h/mês vs ≈ 70 h/mês nas demais</t>
  </si>
  <si>
    <t>Backlog de manutenção informado à produção por e-mail, sem ata</t>
  </si>
  <si>
    <t>Ações concluídas com avaliação de eficácia e residual registrado</t>
  </si>
  <si>
    <t>Compras seguem o PG-SGI-006 para os riscos R13 e R14, mas não registram os riscos de fornecedor spot fora desses IDs</t>
  </si>
  <si>
    <t>Partes interessadas "fornecedores" registradas; percepção do fornecedor spot não consultada</t>
  </si>
  <si>
    <t>Probabilidade atual do R13 = 4 (60–80%) e o SUP-005 teve 25,5% de lotes não aceitos e 50% em nov e dez/2026</t>
  </si>
  <si>
    <t>Segunda fonte de PP planejada (PAC 202614), mas sem análise de custo-benefício do fornecimento spot</t>
  </si>
  <si>
    <t>Residual do R13 previsto em 2×3 sem eficácia real medida: SUP-005 segue com 50% de lotes não aceitos</t>
  </si>
  <si>
    <t>Lotes marginais do SUP-005 aceitos com concessão sem aprovação registrada da alçada</t>
  </si>
  <si>
    <t>Teste funcional ou indicador de eficácia do controle amostrado</t>
  </si>
  <si>
    <t>KRIs da área com coleta em dia (aba KRI)</t>
  </si>
  <si>
    <t>Revisão do R13 e do R14 ainda no prazo do nível anterior; sem reavaliação após a piora de nov/2026</t>
  </si>
  <si>
    <t>Resultado do scorecard comunicado à qualidade, mas sem ata de retorno ao fornecedor</t>
  </si>
  <si>
    <t>Sem mudança de projeto, incidente ou reclamação de fornecedor novo no período; justificativa aprovada pelo auditor líder</t>
  </si>
  <si>
    <t>Lições do episódio SUP-005 registradas, mas sem mudança no critério de aprovação de fornecedor</t>
  </si>
  <si>
    <t>Decisões de compra ainda usam preço como critério principal; scorecard sem peso na decisão</t>
  </si>
  <si>
    <t>RNC 202504 (CAPA-4807) segue vencida desde 12/12/2025, sem verificação de eficácia</t>
  </si>
  <si>
    <t>Auditor líder; Auditor interno (SGI)</t>
  </si>
  <si>
    <t>Baseada em risco</t>
  </si>
  <si>
    <t>2. CONFORMIDADE POR DIMENSÃO × AUDITORIA (índice ponderado)</t>
  </si>
  <si>
    <t>Todas</t>
  </si>
  <si>
    <t>Geral</t>
  </si>
  <si>
    <t>3. PENDÊNCIAS DAS CONSTATAÇÕES (todas as auditorias)</t>
  </si>
  <si>
    <t>NC maiores (pergunta Crítica não conforme)</t>
  </si>
  <si>
    <t>NC menores</t>
  </si>
  <si>
    <t>Observações (resultado Parcial com evidência)</t>
  </si>
  <si>
    <t>Itens não verificados (sem evidência)</t>
  </si>
  <si>
    <t>NC sem PAC/RNC</t>
  </si>
  <si>
    <t>Ações vencidas</t>
  </si>
  <si>
    <t>Verificações de eficácia pendentes</t>
  </si>
  <si>
    <t>N/A sem justificativa</t>
  </si>
  <si>
    <t>Faixas (revisão): CONFORME ≥ 90% sem NC maior e sem item não verificado · ATENÇÃO 70–89% ou 1 NC maior · CRÍTICO &lt; 70% ou 2+ NC maiores. A conformidade média das auditorias aparece no Painel; o Plano ABR usa a última auditoria de cada área.</t>
  </si>
  <si>
    <t>MATURIDADE DA GESTÃO DE RISCOS — RESULTADO DA AVALIAÇÃO</t>
  </si>
  <si>
    <t>1. PARÂMETROS DO CICLO</t>
  </si>
  <si>
    <t>Ciclo avaliado</t>
  </si>
  <si>
    <t>Data da avaliação</t>
  </si>
  <si>
    <t>Avaliadores / áreas</t>
  </si>
  <si>
    <t>Cobertura mínima de evidência</t>
  </si>
  <si>
    <t>Comitê da Qualidade; Produção; Manutenção; Compras; SGA e SST (avaliação simulada do 1º ciclo)</t>
  </si>
  <si>
    <t>Deve existir na coluna Ciclo da aba Maturidade_Registro</t>
  </si>
  <si>
    <t>Percentual de critérios com evidência observada registrada</t>
  </si>
  <si>
    <t>2. RESULTADO E CONCLUSÃO</t>
  </si>
  <si>
    <t>Índice de maturidade (0–100%)</t>
  </si>
  <si>
    <t>Grau atual</t>
  </si>
  <si>
    <t>Meta da Direção</t>
  </si>
  <si>
    <t>Lacuna até a meta (graus)</t>
  </si>
  <si>
    <t>Critérios críticos abaixo da meta</t>
  </si>
  <si>
    <t>Cobertura de evidência</t>
  </si>
  <si>
    <t>CONCLUSÃO</t>
  </si>
  <si>
    <t>Como a auditoria interna deve atuar</t>
  </si>
  <si>
    <t>Maior lacuna (1ª)</t>
  </si>
  <si>
    <t>Maior lacuna (2ª)</t>
  </si>
  <si>
    <t>Maior lacuna (3ª)</t>
  </si>
  <si>
    <t>Média ponderada pela criticidade (Crítica 3 · Alta 2 · Média 1) do índice de cada critério</t>
  </si>
  <si>
    <t>Diferença entre a meta e o grau atual</t>
  </si>
  <si>
    <t>Critérios de criticidade Crítica com grau menor que a meta — a média não pode escondê-los</t>
  </si>
  <si>
    <t>3. PERFIL POR DIMENSÃO — maturidade × auditoria</t>
  </si>
  <si>
    <t>Índice de maturidade</t>
  </si>
  <si>
    <t>Críticos abaixo da meta</t>
  </si>
  <si>
    <t>Conformidade em auditoria</t>
  </si>
  <si>
    <t>Leitura cruzada (maturidade × auditoria)</t>
  </si>
  <si>
    <t>4. TENDÊNCIA POR CICLO (informe os ciclos avaliados)</t>
  </si>
  <si>
    <t>Fontes: QSP, "ABR – Auditoria Baseada em Riscos" (2021) para os graus e a atuação da auditoria; ISO 31000:2018 §5 e §6; IEC 31010:2019; ISO 19011; curso Bureau Veritas M3, M5, M6 e M7; Sheridan MN220 (S9). A escala é um modelo interno e deve ser calibrada pela organização.</t>
  </si>
  <si>
    <t>Modelo 3.5</t>
  </si>
  <si>
    <t>Maturidade; Auditoria; Guia_Avaliação</t>
  </si>
  <si>
    <t>Avaliação modernizada: maturidade por 4 testes de evidência (Definido, Aplicado, Eficaz, Melhorado) com índice 0–100%, peso por criticidade e conclusão automática; auditoria em 4 resultados (Conforme, Parcial, Não conforme, N/A) com evidência objetiva, NC maior/menor, verificação de eficácia e situação automática. Registros em tabelas planas (tbMat, tbAud, tbAuditorias) prontas para dashboards; novas abas Maturidade_Registro, Auditoria_Registro e Guia_Avaliação.</t>
  </si>
  <si>
    <t>Consolidação do modelo original (16 critérios, 22 perguntas Sim/Não) com a revisão metodológica proposta (critérios, criticidade, evidências, banco de perguntas).</t>
  </si>
  <si>
    <t>Coordenação do SGI (revisar)</t>
  </si>
  <si>
    <t>Medir a capacidade (maturidade) e a prática (auditoria) separadamente e cruzá-las; a média não pode esconder critério crítico fraco.</t>
  </si>
  <si>
    <t>4. REGRAS DE USO E LIMITES</t>
  </si>
  <si>
    <t>5. LISTAS DAS CAIXAS DE SELEÇÃO (não altere)</t>
  </si>
  <si>
    <t>1. Estrutura: 'Riscos' registra ameaças e 'Oportunidades' registra circunstâncias favoráveis; o cabeçalho (unidade, escopo, versão) é preenchido em 'Riscos'. Cada aba de registro é uma tabela (uma linha = um registro): não insira linhas acima do cabeçalho nem mescle células.</t>
  </si>
  <si>
    <t>2. Fluxo: Contexto (política, apetite, PESTEL, SWOT) → identificar → analisar (probabilidade 1–5 × impacto/benefício 1–5; nível e ação recomendada automáticos) → tratar (ação, dono, critério de eficácia e prazo definidos ANTES de executar) → monitorar (KRI, BowTie, Monitoramento, Painel) → avaliar a eficácia e registrar o residual.</t>
  </si>
  <si>
    <t>3. Três fotografias do risco: INERENTE (nenhum controle funciona), ATUAL (com os controles existentes; decide o tratamento) e RESIDUAL (após o tratamento; é a meta do plano até a eficácia ser confirmada).</t>
  </si>
  <si>
    <t>4. Planos: registre o PAC/RNC na aba 'Planos' e digite o código na linha do risco ou da oportunidade (PAC 202601 ou RNC 202601); o status e o prazo passam a vir do plano.</t>
  </si>
  <si>
    <t>5. Texto AZUL = preencher; fundo CINZA = fórmula (não editar). Status, ações adotadas e nomes dos níveis são lidos pelas fórmulas: não renomeie. Áreas, origens, eficácia e escalas podem ser editadas.</t>
  </si>
  <si>
    <t>• Matriz de risco é técnica de triagem (ISO/IEC 31010): nos riscos Altos e Críticos, aprofunde com BowTie, FMEA ou HAZOP.</t>
  </si>
  <si>
    <t>• As escalas estão calibradas em € para a Plasticom (receita anual ≈ € 3,7 milhões): valide com a Direção e registre a aprovação em 'Histórico'.</t>
  </si>
  <si>
    <t>• Aceite é por tempo determinado: informe 'Aceite válido até' e justifique em Notas; a falta de recursos, sozinha, não justifica aceitar. Em SST, Ambiental e Legal valem o apetite e o ALARP, não o custo.</t>
  </si>
  <si>
    <t>• Risco que se materializa (incidente, reclamação) abre RNC/PAC e volta ao registro como Origem. Efeito negativo sobre o objetivo é risco; efeito que amplia o resultado é oportunidade.</t>
  </si>
  <si>
    <t>• Hierarquia de controle: eliminar &gt; substituir &gt; engenharia &gt; administrativo &gt; EPI. Risco Alto/Crítico tratado só com controle administrativo ou EPI exige justificativa.</t>
  </si>
  <si>
    <t>Um KRI por linha: cadastre limite, sentido e frequência aqui e registre cada medição na aba KRI_Coletas (uma linha por coleta). As colunas Coleta 1–6 mostram as 6 últimas coletas; tendência, situação e próxima coleta são automáticas (Atenção = a tendência estoura o limite dentro do horizonte de projeção).</t>
  </si>
  <si>
    <t>Uma linha por barreira: ID do risco, lado (preventiva/reativa), causa ou consequência, barreira, tipo, eficácia, fator de intensificação e sua barreira, dono, indicador e última verificação. Obrigatório para riscos Altos/Críticos (ISO/IEC 31010 §B.4.2).</t>
  </si>
  <si>
    <t>Rotinas de monitoramento, comunicação, consulta e análise crítica por nível. Informe a data do último relato: a próxima data e a situação (Em dia, Vence em breve, Atrasado) são automáticas. ISO 31000 §6.2, §6.6 e §6.7.</t>
  </si>
  <si>
    <t>Espelho do registro oficial de PAC/RNC: uma linha por plano. Riscos e Oportunidades guardam só o código; o status e o prazo vêm daqui.</t>
  </si>
  <si>
    <t>Regras: código único por linha (PAC 202601 ou RNC 202601) · Status: Aberto, Em andamento, Concluído ou Cancelado · vários IDs separados por ';' · Data de abertura posterior à última avaliação de um risco com RNC gera o alerta 'Reavaliar após RNC'.</t>
  </si>
  <si>
    <t>Procedimento PG-SGI-006, aba Riscos (Origem, Tipo, Causa, Consequência)</t>
  </si>
  <si>
    <t>ID KRI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</si>
  <si>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</si>
  <si>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</si>
  <si>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</si>
  <si>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</si>
  <si>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</si>
  <si>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</si>
  <si>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</si>
  <si>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</si>
  <si>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</si>
  <si>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</si>
  <si>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</si>
  <si>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</si>
  <si>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</si>
  <si>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</si>
  <si>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</si>
  <si>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</si>
  <si>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</si>
  <si>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</si>
  <si>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</si>
  <si>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</si>
  <si>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</si>
  <si>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</si>
  <si>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</si>
  <si>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</si>
  <si>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</si>
  <si>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</si>
  <si>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</si>
  <si>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</si>
  <si>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</si>
  <si>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</si>
  <si>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KRI — COLETAS (1 linha = 1 medição de 1 KRI)</t>
  </si>
  <si>
    <t>Registre cada medição em uma nova linha: ID KRI (cadastrado na aba KRI), data da coleta e valor na unidade do KRI. Uma linha por KRI e data. A aba KRI usa as 6 últimas coletas de cada KRI para tendência e situação.</t>
  </si>
  <si>
    <t>Data da coleta</t>
  </si>
  <si>
    <t>Causa (6M)</t>
  </si>
  <si>
    <t>Prob. inerente</t>
  </si>
  <si>
    <t>Imp. inerente</t>
  </si>
  <si>
    <t>Score inerente</t>
  </si>
  <si>
    <t>Nível inerente</t>
  </si>
  <si>
    <t>Prob. atual</t>
  </si>
  <si>
    <t>Imp. atual</t>
  </si>
  <si>
    <t>Score atual</t>
  </si>
  <si>
    <t>Nível atual</t>
  </si>
  <si>
    <t>Prazo (ação simples)</t>
  </si>
  <si>
    <t>Status (ação simples)</t>
  </si>
  <si>
    <t>Abrir plano (link)</t>
  </si>
  <si>
    <t>Prob. residual</t>
  </si>
  <si>
    <t>Imp. residual</t>
  </si>
  <si>
    <t>Score residual</t>
  </si>
  <si>
    <t>Nível residual</t>
  </si>
  <si>
    <t>Ordem (ranking)</t>
  </si>
  <si>
    <t>Perda esperada (€)</t>
  </si>
  <si>
    <t>Leitura custo-benefício</t>
  </si>
  <si>
    <t>Probabilidade (1-5)</t>
  </si>
  <si>
    <t>Benefício (1-5)</t>
  </si>
  <si>
    <t>Nível (relevância)</t>
  </si>
  <si>
    <t>Retorno ponderado (€)</t>
  </si>
  <si>
    <t>Retorno ÷ custo</t>
  </si>
  <si>
    <t>Leitura retorno/custo</t>
  </si>
  <si>
    <t>Código</t>
  </si>
  <si>
    <t>ID(s) risco/oport.</t>
  </si>
  <si>
    <t>ID vinculado</t>
  </si>
  <si>
    <t>Aba vinculada</t>
  </si>
  <si>
    <t>Coleta 1 (mais antiga)</t>
  </si>
  <si>
    <t>Coleta 6 (mais recente)</t>
  </si>
  <si>
    <t>Modelo 3.6</t>
  </si>
  <si>
    <t>Todas as abas; KRI_Coletas; Dicionário_Dados</t>
  </si>
  <si>
    <t>Estrutura de dados: cada registro virou tabela nomeada com cabeçalho de uma linha (tbRiscos, tbOportunidades, tbPlanos, tbKRI, tbBowTie, tbMonitoramento, tbHistorico, tbPlanoABR, tbPESTEL, tbSWOT, tbPartesInteressadas, tbCincoForcas, tbTOWS, tbMat, tbAud, tbAuditorias); coletas de KRI em formato longo (tbKRIColetas); nova aba Dicionário_Dados; excluídas as abas Fluxo Riscos e Fluxo Oportunidades e o texto didático extenso de Critérios.</t>
  </si>
  <si>
    <t>Facilitar a extração para dashboards e relatórios (Power BI/Power Query) sem reestruturar a planilha.</t>
  </si>
  <si>
    <t>Uma linha por registro, um cabeçalho por coluna e uma chave por tabela: o dado bruto e a apresentação ficam separados.</t>
  </si>
  <si>
    <t>DICIONÁRIO DE DADOS — tabelas, campos, tipos e valores permitidos</t>
  </si>
  <si>
    <t>Uma linha por campo de cada tabela do arquivo. Para usar os dados no Power BI ou Power Query: Obter dados &gt; Pasta de trabalho do Excel &gt; selecione as tabelas 'tb…'. Entrada = preenchido pelo usuário; Fórmula = calculado (não editar). Campos com vários IDs separam os valores por ';' (dividir em linhas no Power Query). Tabelas de registro mantêm linhas de reserva vazias: filtre pelo campo ID/Código não vazio.</t>
  </si>
  <si>
    <t>Aba</t>
  </si>
  <si>
    <t>Tabela</t>
  </si>
  <si>
    <t>Campo</t>
  </si>
  <si>
    <t>Formato</t>
  </si>
  <si>
    <t>Valores permitidos</t>
  </si>
  <si>
    <t>Descrição / instrução</t>
  </si>
  <si>
    <t>tbRiscos</t>
  </si>
  <si>
    <t>Entrada</t>
  </si>
  <si>
    <t>Texto</t>
  </si>
  <si>
    <t>Código único do risco (ex.: R1, R2). É a chave do vínculo com planos, KRI e Contexto.</t>
  </si>
  <si>
    <t>Processo/setor responsável (lista em Critérios; use os nomes do macrofluxo de processos da empresa).</t>
  </si>
  <si>
    <t>O que pode acontecer e ameaça um objetivo. Sugestão: 'X pode ocorrer por Y, causando Z'. Um risco = um evento + a consequência mais crítica plausível; defina o cenário ANTES de pontuar (a classificação depende de como o risco é descrito — ISO 31010 §B.10.3).</t>
  </si>
  <si>
    <t>De onde veio: PESTEL/SWOT, partes interessadas, AIA, perigos SST, mudança, auditoria, entrevista/checklist, incidente, RNC, requisito legal, efeito de outro tratamento. Aceita texto livre.</t>
  </si>
  <si>
    <t>Tipo (PMBOK, adaptado no curso): Técnico (desempenho do processo/produto), Práticas de gerenciamento, Organizacional (conflitos internos) ou Externo (fora do controle da organização). 'Externo' = questão externa (ISO 9001 §4.1).</t>
  </si>
  <si>
    <t>Estratégico | Gerencial (processo) | Operacional | Projeto</t>
  </si>
  <si>
    <t>Nível em que o risco é analisado: Estratégico (direção), Gerencial (processo), Operacional (atividade) ou Projeto. Não misture níveis na mesma lista de prioridades (Umbrex; ISO 31000 §6.1; Konrad: estratégico, gerencial e operacional).</t>
  </si>
  <si>
    <t>Objetivo (estratégico, da qualidade ou gerencial) que o risco ameaça. Risco = efeito da incerteza sobre os objetivos.</t>
  </si>
  <si>
    <t>Novo | Mantido | Alterado</t>
  </si>
  <si>
    <t>Novo, Mantido ou Alterado em relação à análise anterior.</t>
  </si>
  <si>
    <t>Parte interessada que pode ser afetada (lista da aba Contexto; ISO 9001 §4.2; ISO 31000 §6.2 consulta).</t>
  </si>
  <si>
    <t>Causa raiz. Use os 5 porquês ou o diagrama de Ishikawa.</t>
  </si>
  <si>
    <t>Método | Máquina | Mão de obra | Material | Meio ambiente | Medida</t>
  </si>
  <si>
    <t>Categoria da causa (Ishikawa 6M): Método, Máquina, Mão de obra, Material, Meio ambiente ou Medida.</t>
  </si>
  <si>
    <t>O que acontecerá com a organização se o risco ocorrer (descrição do impacto). Considere efeitos em cascata (ISO 31000 §3.6, nota 3).</t>
  </si>
  <si>
    <t>Escolha a categoria: o impacto (1 a 5) é lido na escala dela (Critérios). Havendo mais de uma, use a de maior impacto. Cada categoria tem seu apetite ao risco.</t>
  </si>
  <si>
    <t>Número</t>
  </si>
  <si>
    <t>Número inteiro</t>
  </si>
  <si>
    <t>1 a 5 conforme a escala em % (Critérios), para a consequência ESPECIFICADA no risco (não do evento em geral). INERENTE = premissa: nenhum controle funciona (ISO 31010 §6.3.7.1). Coluna de referência.</t>
  </si>
  <si>
    <t>1 a 5 na categoria escolhida. Impacto 5 nunca fica abaixo do nível mínimo definido em Critérios.</t>
  </si>
  <si>
    <t>Fórmula</t>
  </si>
  <si>
    <t>Automático: Probabilidade × Impacto.</t>
  </si>
  <si>
    <t>Automático, pelos limites de score definidos em Critérios.</t>
  </si>
  <si>
    <t>Controles que já existem hoje (preventivos, detectivos ou corretivos).</t>
  </si>
  <si>
    <t>Alta, Média, Baixa ou Inexistente. Controle de detecção fraco = probabilidade atual maior.</t>
  </si>
  <si>
    <t>RISCO ATUAL: reavalie a probabilidade com os controles que existem hoje (ISO 31000 §6.4.3). É ele que decide se é preciso tratar.</t>
  </si>
  <si>
    <t>RISCO ATUAL: impacto com os controles existentes (controles de mitigação reduzem o impacto).</t>
  </si>
  <si>
    <t>Automático.</t>
  </si>
  <si>
    <t>Automático. Define a ação recomendada e, comparado ao apetite da categoria, a exigência de tratamento.</t>
  </si>
  <si>
    <t>Confiança na estimativa: Alta (dados/medições), Média (histórico parcial), Baixa (opinião). Confiança baixa pede aprofundar a análise (ISO 31000 §6.4.2-6.4.3; ISO 31010 §6.4.2).</t>
  </si>
  <si>
    <t>Automática pelo nível ATUAL: Prevenir (eliminar), Mitigar (reduzir prob./impacto) ou Monitorar.</t>
  </si>
  <si>
    <t>Decisão tomada. 'Aprofundar análise' = compreender melhor o risco antes de investir (curso M5). Monitorar/Aceitar abaixo da recomendada exige aprovação.</t>
  </si>
  <si>
    <t>Eliminação | Substituição | Controle de engenharia | Controle administrativo | EPI | Não se aplica</t>
  </si>
  <si>
    <t>Hierarquia do controle principal do tratamento: Eliminação &gt; Substituição &gt; Controle de engenharia &gt; Controle administrativo &gt; EPI (ISO 45001 §8.1.2; curso M6). Risco Alto/Crítico tratado só com administrativo ou EPI gera 'Rever hierarquia de controle'.</t>
  </si>
  <si>
    <t>Aceite é por tempo determinado (ISO 31010 §6.5.2): informe até quando o risco é aceito (ex.: até concluir o plano). Vencida a data, o alerta 'Aceite vencido' pede reconsideração.</t>
  </si>
  <si>
    <t>Resumo em uma linha. Quem, o quê, por quê, quando, como e quanto ficam no plano de ação.</t>
  </si>
  <si>
    <t>Quem responde pelo risco (autoridade). Diferente de quem executa a ação.</t>
  </si>
  <si>
    <t>Quem executa a ação.</t>
  </si>
  <si>
    <t>Só para ação simples, sem código de plano. Com código, o prazo vem do plano.</t>
  </si>
  <si>
    <t>Só para ação simples, sem código de plano. Com código, o status vem do plano.</t>
  </si>
  <si>
    <t>Defina ANTES de executar como saberemos que funcionou (ex.: 'zero paradas por falta de energia até o fim do ano'). ISO 31000 §6.5.3 pede as medidas de desempenho; curso M6 §2.1.1.</t>
  </si>
  <si>
    <t>Formato de código PAC/RNC (ex.: PAC 202601)</t>
  </si>
  <si>
    <t>PAC AAAANN (plano de ação) ou RNC AAAANN (não conformidade). Ex.: PAC 202601. Fica vermelho se não estiver na aba Planos.</t>
  </si>
  <si>
    <t>Link para o plano (configure o endereço em Critérios).</t>
  </si>
  <si>
    <t>Automático: vem do plano quando há código; senão, da coluna de ação simples.</t>
  </si>
  <si>
    <t>Data em que a eficácia pode ser verificada (ex.: após 12 meses sem parada). Vencida a data sem avaliação, dispara 'Avaliar eficácia'.</t>
  </si>
  <si>
    <t>Eficaz | Não eficaz | Pendente</t>
  </si>
  <si>
    <t>Direção e gerentes avaliam contra o critério de eficácia: Eficaz, Não eficaz ou Pendente (ISO 31000 §6.5.1; ISO 9001 §9.1.3 e; 9.3.2 e).</t>
  </si>
  <si>
    <t>Data em que a eficácia foi avaliada.</t>
  </si>
  <si>
    <t>RESIDUAL = risco que sobra APÓS o tratamento (ISO 31000 §6.5.2, 'risco remanescente'). Antes da eficácia ser avaliada, é a META do plano; depois, o valor real.</t>
  </si>
  <si>
    <t>Impacto residual após o tratamento. Só preencha se houver ação, plano ou RNC em curso ou concluído.</t>
  </si>
  <si>
    <t>Sim | Não</t>
  </si>
  <si>
    <t>Decisão de quem tem autoridade: o risco remanescente é aceitável (dentro do apetite) e o tratamento não criou novos riscos? (ISO 31000 §6.5.1-6.5.2; ISO 31010 §6.5.2). 'Não' gera 'Tratamento adicional'.</t>
  </si>
  <si>
    <t>Indicador ou gatilho que sinaliza aumento do risco. Numéricos vão na aba KRI, com limite e tendência (curso M6 §2.1.4).</t>
  </si>
  <si>
    <t>Quantas vezes o risco se materializou nos últimos 12 meses (incidente, RNC, reclamação). Serve para validar a probabilidade estimada (ISO 31010 §6.4.3).</t>
  </si>
  <si>
    <t>Data da última avaliação. Define a próxima revisão conforme o nível.</t>
  </si>
  <si>
    <t>Quem avaliou. Prefira equipe multifuncional (curso M7). Para reduzir vieses (disponibilidade, ancoragem, representatividade), colete estimativas individuais antes da discussão e registre as divergências.</t>
  </si>
  <si>
    <t>Automática: Avaliado em + meses do nível (Critérios). Depois que o residual é confirmado (eficácia 'Eficaz'), vale o nível residual.</t>
  </si>
  <si>
    <t>Automático: pendências do registro. O significado de cada alerta está no Painel.</t>
  </si>
  <si>
    <t>Evidências, premissas, fonte da estimativa, motivo da redução do risco atual e justificativa de aceites (decisão fundamentada).</t>
  </si>
  <si>
    <t>IDs de riscos/oportunidades ligados a este (causas comuns, efeito cascata, tratamento que afeta outro). Planos coordenados evitam tratar cada risco isolado (ISO 31010 §6.3.6).</t>
  </si>
  <si>
    <t>Auxiliar do ranking do Painel.</t>
  </si>
  <si>
    <t>Em quanto tempo o risco se materializa depois do gatilho: Lenta (meses), Média (semanas), Rápida (dias) ou Imediata (horas). ISO 31000 §6.4.3 (fatores temporais). Velocidade Rápida/Imediata em risco Alto ou Crítico fica destacada: pede KRI antecedente e controle detectivo.</t>
  </si>
  <si>
    <t>Quão rápido a probabilidade pode mudar: Estável, Moderada ou Alta (uma pequena alteração leva a probabilidade de baixa a muito alta; ex.: inflamáveis, barragem, controle paralelo em planilha). Volatilidade alta pede reavaliação mais frequente que a do nível (curso M5; aula Produtividade Máxima 08).</t>
  </si>
  <si>
    <t>Natureza do controle principal (Sheridan MN220 S2-S3): Preventivo (antes do evento), Detectivo (revela que ocorreu), Corretivo (limita o dano), Diretivo (política, procedimento, treinamento) ou Compartilhamento (seguro, contrato). Complementa a 'Hierarquia do controle principal' (eliminação, substituição, engenharia, administrativo, EPI).</t>
  </si>
  <si>
    <t>Número decimal</t>
  </si>
  <si>
    <t>Custo estimado para implantar o tratamento (€: investimento + custo do primeiro ano). Base do custo-benefício e do ALARP (curso M5 §2.4.3; Sheridan MN220 S3). Em branco = não estimado.</t>
  </si>
  <si>
    <t>Perda financeira se o risco ocorrer, na consequência especificada (€). Use a escala financeira de Critérios como referência. Inclua perdas diretas e indiretas conhecidas.</t>
  </si>
  <si>
    <t>Automático: perda potencial × ponto médio da faixa de probabilidade ATUAL (lista em Critérios, coluna R: 10%, 30%, 50%, 70% e 90% por padrão). Estimativa de triagem, não previsão.</t>
  </si>
  <si>
    <t>Automático: compara o custo do tratamento com a perda esperada. Custo maior só sustenta reter/aceitar com justificativa em Notas e nunca em SST, Ambiental e Legal (aí vale o apetite e o ALARP). Falta de recursos, sozinha, não justifica aceitar (curso M5).</t>
  </si>
  <si>
    <t>Para riscos que interrompem função crítica: tempo máximo de parada que a organização tolera (MAO, em horas). Base do plano de continuidade (Sheridan MN220 S8, AS/NZS 5050). Em branco = não se aplica.</t>
  </si>
  <si>
    <t>Código ou link do plano de contingência / continuidade / resposta a emergências que cobre este risco (ex.: PCN-UTIL-01). Curso M6 §2.2: reservas e planos de contingência devem ser revistos no monitoramento.</t>
  </si>
  <si>
    <t>tbOportunidades</t>
  </si>
  <si>
    <t>Código único da oportunidade (ex.: O1, O2). É a chave do vínculo com os planos de ação e o Contexto.</t>
  </si>
  <si>
    <t>Processo/setor responsável (lista em Critérios).</t>
  </si>
  <si>
    <t>Circunstância favorável que amplia o resultado que o processo deveria entregar ou apoia um objetivo.</t>
  </si>
  <si>
    <t>De onde veio: SWOT (forças/oportunidades), PESTEL, partes interessadas, auditoria, análise crítica, ideia de melhoria, lições aprendidas. Aceita texto livre.</t>
  </si>
  <si>
    <t>Interno | Externo</t>
  </si>
  <si>
    <t>Questão interna ou externa (ISO 9001 §4.1).</t>
  </si>
  <si>
    <t>Nível em que a oportunidade é analisada: Estratégico, Gerencial (processo), Operacional ou Projeto.</t>
  </si>
  <si>
    <t>Objetivo (estratégico, da qualidade ou gerencial) que a oportunidade ajuda a alcançar.</t>
  </si>
  <si>
    <t>Parte interessada que se beneficia ou deve ser consultada (lista da aba Contexto).</t>
  </si>
  <si>
    <t>O que torna a oportunidade possível (incentivo, tecnologia, força interna, demanda do mercado).</t>
  </si>
  <si>
    <t>O que a organização ganha se a oportunidade for aproveitada (descrição do impacto positivo).</t>
  </si>
  <si>
    <t>Escolha a categoria: o benefício (1 a 5) é lido na escala dela (Critérios).</t>
  </si>
  <si>
    <t>Chance de a oportunidade se realizar/ser aproveitada, de 1 a 5 (escala em % em Critérios).</t>
  </si>
  <si>
    <t>Tamanho do benefício, de 1 a 5, na categoria escolhida.</t>
  </si>
  <si>
    <t>Automático: Probabilidade × Benefício.</t>
  </si>
  <si>
    <t>Automático: relevância pelos limites de score (Critérios).</t>
  </si>
  <si>
    <t>Recursos, competências e capacidades que a organização já tem para aproveitar a oportunidade.</t>
  </si>
  <si>
    <t>Facilidade de implantar (curso M5, tabela 5): fácil = recursos disponíveis e até 1 semana; média = adquirir recursos com payback até 1 ano; difícil = payback acima de 1 ano.</t>
  </si>
  <si>
    <t>Quanto a oportunidade reduz a exposição a riscos (curso M5): alta = reduz significativamente perdas/remediações; média = altera a classificação de algum risco; baixa = não altera.</t>
  </si>
  <si>
    <t>Alinhamento estratégico (curso M5): objetivo estratégico = impacta diretamente um objetivo do planejamento; item de controle = impacta um indicador; nenhum = não impacta.</t>
  </si>
  <si>
    <t>Automático: soma dos três critérios (3 = melhor em cada). ≥ 8 alta prioridade, 6-7 média, ≤ 5 baixa. Ajuda a decidir QUAIS oportunidades perseguir primeiro quando não dá para todas ao mesmo tempo.</t>
  </si>
  <si>
    <t>Automática, pelo nível: Explorar (fazer acontecer), Melhorar (aumentar probabilidade e/ou benefício) ou Monitorar.</t>
  </si>
  <si>
    <t>Decisão tomada. Monitorar, reter ou não perseguir são decisões válidas, registre o motivo em Notas.</t>
  </si>
  <si>
    <t>Quem responde pela oportunidade.</t>
  </si>
  <si>
    <t>PAC AAAANN (tipo M – Melhoria, em geral). Ex.: PAC 202603. Fica vermelho se não estiver na aba Planos.</t>
  </si>
  <si>
    <t>O que foi realizado e o benefício obtido (evidência).</t>
  </si>
  <si>
    <t>Data em que o benefício pode ser verificado. Vencida a data sem avaliação, dispara 'Avaliar eficácia'.</t>
  </si>
  <si>
    <t>Direção e gerentes avaliam se a ação foi eficaz: Eficaz, Não eficaz ou Pendente.</t>
  </si>
  <si>
    <t>Indicador e meta que medem o benefício (ex.: kWh/unidade; % de refugo). Defina ANTES de executar.</t>
  </si>
  <si>
    <t>Quem avaliou. Prefira equipe multifuncional.</t>
  </si>
  <si>
    <t>Automática: Avaliado em + meses do nível (Critérios).</t>
  </si>
  <si>
    <t>Premissas, fonte da estimativa e motivo da decisão.</t>
  </si>
  <si>
    <t>IDs de riscos/oportunidades ligados a esta (a oportunidade pode nascer de um risco ou mitigá-lo).</t>
  </si>
  <si>
    <t>Investimento ou custo estimado para perseguir a oportunidade (€). Sheridan MN220 S4: o registro de oportunidades traz o custo (opportunity cost) ao lado do retorno e da probabilidade.</t>
  </si>
  <si>
    <t>Retorno esperado se a oportunidade se realizar (€: ganho de receita, redução de custo ou perda evitada). Use a escala de benefício financeiro de Critérios como referência.</t>
  </si>
  <si>
    <t>Automático: retorno esperado × ponto médio da faixa de probabilidade (lista em Critérios, coluna R).</t>
  </si>
  <si>
    <t>Automático: retorno ponderado ÷ investimento. 1,0x = o retorno esperado paga o custo. Serve para ordenar oportunidades junto com o índice de portfólio (3 a 9); não substitui a decisão da Direção.</t>
  </si>
  <si>
    <t>Automático: 1,5x ou mais = priorizar; de 1,0x a 1,5x = viável; abaixo de 1,0x = reavaliar ou reter para avaliação futura (Sheridan: 'oportunidade aceitável?').</t>
  </si>
  <si>
    <t>Planos</t>
  </si>
  <si>
    <t>tbPlanos</t>
  </si>
  <si>
    <t>Código único do plano: PAC AAAANN ou RNC AAAANN.</t>
  </si>
  <si>
    <t>IDs de riscos/oportunidades cobertos, separados por ';'.</t>
  </si>
  <si>
    <t>O que o plano faz.</t>
  </si>
  <si>
    <t>C1 - Correção | C2 - Corretiva | M - Melhoria</t>
  </si>
  <si>
    <t>C1 - Correção, C2 - Corretiva ou M - Melhoria.</t>
  </si>
  <si>
    <t>Aberto, Em andamento, Concluído ou Cancelado.</t>
  </si>
  <si>
    <t>Primeiro risco/oportunidade encontrado na aba de registro (calculado).</t>
  </si>
  <si>
    <t>Riscos ou Oportunidades (calculado).</t>
  </si>
  <si>
    <t>tbKRI</t>
  </si>
  <si>
    <t>Chave única do KRI; liga com tbKRIColetas[ID KRI].</t>
  </si>
  <si>
    <t>Risco monitorado (tbRiscos[ID]).</t>
  </si>
  <si>
    <t>Nome do indicador de risco.</t>
  </si>
  <si>
    <t>Valor a partir do qual o KRI estoura.</t>
  </si>
  <si>
    <t>Maior é pior | Menor é pior</t>
  </si>
  <si>
    <t>Maior é pior ou Menor é pior.</t>
  </si>
  <si>
    <t>Periodicidade planejada da medição.</t>
  </si>
  <si>
    <t>Última coleta (calculado).</t>
  </si>
  <si>
    <t>Tendência linear das últimas coletas (calculado).</t>
  </si>
  <si>
    <t>Piora, melhora ou estável (calculado).</t>
  </si>
  <si>
    <t>OK, Atenção (tende a estourar), Estourou ou Sem dados (calculado).</t>
  </si>
  <si>
    <t>Data da coleta mais recente em tbKRIColetas (calculado).</t>
  </si>
  <si>
    <t>Última coleta + frequência (calculado).</t>
  </si>
  <si>
    <t>Origem do dado, dono e critério do limite.</t>
  </si>
  <si>
    <t>Antecedente (sinal antecipado) | Reativo (resultado)</t>
  </si>
  <si>
    <t>Antecedente (sinal antecipado) ou Reativo (resultado).</t>
  </si>
  <si>
    <t>BowTie</t>
  </si>
  <si>
    <t>tbBowTie</t>
  </si>
  <si>
    <t>Preventiva | Reativa</t>
  </si>
  <si>
    <t>Eliminação | Substituição | Controle de engenharia | Controle administrativo | EPI | Detecção / alarme | Resposta / recuperação</t>
  </si>
  <si>
    <t>tbMonitoramento</t>
  </si>
  <si>
    <t>Estratégico | Tático | Operacional | Transversal</t>
  </si>
  <si>
    <t>Monitoramento | Comunicação | Consulta | Análise crítica</t>
  </si>
  <si>
    <t>KRI_Coletas</t>
  </si>
  <si>
    <t>tbKRIColetas</t>
  </si>
  <si>
    <t>Chave do KRI (aba KRI).</t>
  </si>
  <si>
    <t>Data (fim do período) da medição.</t>
  </si>
  <si>
    <t>Valor medido, na unidade do KRI.</t>
  </si>
  <si>
    <t>Nota livre sobre a coleta.</t>
  </si>
  <si>
    <t>Maturidade_Registro</t>
  </si>
  <si>
    <t>tbMat</t>
  </si>
  <si>
    <t>Ciclo da avaliação (ex.: 2026-S2).</t>
  </si>
  <si>
    <t>Código do critério (dimensão-número).</t>
  </si>
  <si>
    <t>Crítica, Alta ou Média; define o peso 3, 2 ou 1.</t>
  </si>
  <si>
    <t>Grau alvo do critério (1 a 5).</t>
  </si>
  <si>
    <t>Teste 1 (peso 25%): prática documentada e conhecida.</t>
  </si>
  <si>
    <t>Teste 2 (peso 30%): aplicada com consistência e evidência.</t>
  </si>
  <si>
    <t>Teste 3 (peso 30%): resultado medido e verificado.</t>
  </si>
  <si>
    <t>Teste 4 (peso 15%): revista e melhorada com dados.</t>
  </si>
  <si>
    <t>Documento ou registro que sustenta a nota; sem ele só o teste Definido conta.</t>
  </si>
  <si>
    <t>Percentual</t>
  </si>
  <si>
    <t>Pontuação do critério, de 0 a 100% (calculado).</t>
  </si>
  <si>
    <t>Grau 1 a 5 pelas faixas do Guia (calculado).</t>
  </si>
  <si>
    <t>Graus que faltam até a meta (calculado).</t>
  </si>
  <si>
    <t>Atinge a meta, Abaixo da meta, Crítico abaixo da meta, Sem evidência ou Não avaliado (calculado).</t>
  </si>
  <si>
    <t>Peso × lacuna (calculado).</t>
  </si>
  <si>
    <t>tbAuditorias</t>
  </si>
  <si>
    <t>ID único da auditoria (chave de tbAud[Auditoria]).</t>
  </si>
  <si>
    <t>Conformidade ponderada pelo peso, 0 a 100% (calculado).</t>
  </si>
  <si>
    <t>Conforme, Atenção ou Crítico (calculado).</t>
  </si>
  <si>
    <t>Auditoria_Registro</t>
  </si>
  <si>
    <t>tbAud</t>
  </si>
  <si>
    <t>ID da pergunta.</t>
  </si>
  <si>
    <t>Conforme, Parcial, Não conforme ou N/A.</t>
  </si>
  <si>
    <t>Documento, Registro, Observação, Entrevista ou Teste.</t>
  </si>
  <si>
    <t>Evidência da constatação; em N/A, a justificativa.</t>
  </si>
  <si>
    <t>1, 0,5 ou 0; vazio em N/A (calculado).</t>
  </si>
  <si>
    <t>Crítica 3, Alta 2, Média 1; vazio em N/A (calculado).</t>
  </si>
  <si>
    <t>Conforme, Observação, NC maior, NC menor, Não verificado ou N/A (calculado).</t>
  </si>
  <si>
    <t>ID do critério de maturidade que a pergunta testa.</t>
  </si>
  <si>
    <t>ID do risco relacionado à constatação.</t>
  </si>
  <si>
    <t>Código do PAC/RNC aberto.</t>
  </si>
  <si>
    <t>Pendente, Eficaz, Não eficaz ou N/A.</t>
  </si>
  <si>
    <t>Pendência do registro (calculado).</t>
  </si>
  <si>
    <t>tbPlanoABR</t>
  </si>
  <si>
    <t>Histórico</t>
  </si>
  <si>
    <t>tbHistorico</t>
  </si>
  <si>
    <t>Data da alteração.</t>
  </si>
  <si>
    <t>Versão do modelo/registro.</t>
  </si>
  <si>
    <t>Aba ou ID afetado.</t>
  </si>
  <si>
    <t>Descrição da mudança.</t>
  </si>
  <si>
    <t>Quem aprovou.</t>
  </si>
  <si>
    <t>CONTROLO DO DOCUMENTO (7.5 — informação documentada)</t>
  </si>
  <si>
    <t>Código do registo</t>
  </si>
  <si>
    <t>Título</t>
  </si>
  <si>
    <t>Versão / Revisão</t>
  </si>
  <si>
    <t>Data de emissão</t>
  </si>
  <si>
    <t>Elaborado por</t>
  </si>
  <si>
    <t>Gestor(a) do SGA / EHS</t>
  </si>
  <si>
    <t>Diretor Geral</t>
  </si>
  <si>
    <t>Estado</t>
  </si>
  <si>
    <t>Em vigor</t>
  </si>
  <si>
    <t>Retenção</t>
  </si>
  <si>
    <t>5 anos após substituição</t>
  </si>
  <si>
    <t>Localização</t>
  </si>
  <si>
    <t>FINALIDADE E ÂMBITO</t>
  </si>
  <si>
    <t>Finalidade</t>
  </si>
  <si>
    <t>Atividades do curso</t>
  </si>
  <si>
    <t>Requisitos ISO 14001:2026</t>
  </si>
  <si>
    <t>6.1.1; 6.1.4 Riscos e oportunidades; 6.1.5 Planeamento de ações (numeração ISO 14001:2026)</t>
  </si>
  <si>
    <t>CONVENÇÕES (prontas para análise de dados e machine learning)</t>
  </si>
  <si>
    <t>Tabelas</t>
  </si>
  <si>
    <t>Validação</t>
  </si>
  <si>
    <t>Chaves</t>
  </si>
  <si>
    <t>Datas e unidades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</si>
  <si>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</si>
  <si>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</si>
  <si>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</si>
  <si>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RG-SGA-01 Contexto</t>
  </si>
  <si>
    <t>RG-SGA-06 PAM</t>
  </si>
  <si>
    <t>RO-01</t>
  </si>
  <si>
    <t>SWT-F01</t>
  </si>
  <si>
    <t>GER</t>
  </si>
  <si>
    <t>Governação e dados</t>
  </si>
  <si>
    <t>Acionistas / Gerência; clientes</t>
  </si>
  <si>
    <t>Frequente</t>
  </si>
  <si>
    <t>Muito Bom</t>
  </si>
  <si>
    <t>O - Desenvolver ações para perseguir a Oportunidade</t>
  </si>
  <si>
    <t>M</t>
  </si>
  <si>
    <t>PAM-26-09</t>
  </si>
  <si>
    <t>Gestor do SGA / EHS (Responsável Ambiental)</t>
  </si>
  <si>
    <t>RO-02</t>
  </si>
  <si>
    <t>SWT-W01</t>
  </si>
  <si>
    <t>Risco</t>
  </si>
  <si>
    <t>Incapacidade de demonstrar o desempenho ambiental e a eficácia das ações de eficiência por falta de submedição de energia e água por processo.</t>
  </si>
  <si>
    <t>Só existem os contadores gerais da fatura (eletricidade e água); consumos por processo são estimados.</t>
  </si>
  <si>
    <t>Metas de energia/água não verificáveis; não conformidade com 9.1.1 (avaliar desempenho e eficácia); poupanças não capturadas; resposta fraca a clientes.</t>
  </si>
  <si>
    <t>Equipamentos e Infraestruturas</t>
  </si>
  <si>
    <t>UTL</t>
  </si>
  <si>
    <t>Energia</t>
  </si>
  <si>
    <t>Acionistas / Gerência; clientes; auditor de certificação</t>
  </si>
  <si>
    <t>Leitura mensal das faturas; estimativas por horas de marcha.</t>
  </si>
  <si>
    <t>Sério</t>
  </si>
  <si>
    <t>R - Mitigar o Risco</t>
  </si>
  <si>
    <t>Instalar 6 analisadores de energia (Injeção, Sopro, Decoração, Compressores, Arrefecimento, Geral) e 3 contadores de água com telemetria; rotina mensal de validação dos dados.</t>
  </si>
  <si>
    <t>PAM-26-02</t>
  </si>
  <si>
    <t>Remota</t>
  </si>
  <si>
    <t>% do consumo total de eletricidade com submedição (meta ≥ 90%)</t>
  </si>
  <si>
    <t>RO-03</t>
  </si>
  <si>
    <t>SWT-O01</t>
  </si>
  <si>
    <t>RD</t>
  </si>
  <si>
    <t>Produto / embalagem</t>
  </si>
  <si>
    <t>Clientes europeus</t>
  </si>
  <si>
    <t>Provável</t>
  </si>
  <si>
    <t>O - Estudar a viabilidade e custo-benefício</t>
  </si>
  <si>
    <t>—</t>
  </si>
  <si>
    <t>RO-04</t>
  </si>
  <si>
    <t>SWT-T01</t>
  </si>
  <si>
    <t>Clima / GEE</t>
  </si>
  <si>
    <t>Vizinhança / comunidade local; entidade gestora da água</t>
  </si>
  <si>
    <t>R - Monitorizar o Risco</t>
  </si>
  <si>
    <t>Menor</t>
  </si>
  <si>
    <t>RO-05</t>
  </si>
  <si>
    <t>SWT-W02</t>
  </si>
  <si>
    <t>Lotes de resina fora de especificação e declarações de conteúdo reciclado não verificadas de fornecedores spot (SUP-005) e de PCR.</t>
  </si>
  <si>
    <t>Compras spot sem avaliação ambiental; volatilidade do mercado de PCR.</t>
  </si>
  <si>
    <t>Mais scrap e energia desperdiçada; alegações ambientais incorretas a clientes (Diretiva (UE) 2024/825).</t>
  </si>
  <si>
    <t>Compras e Fornecedores</t>
  </si>
  <si>
    <t>CMP</t>
  </si>
  <si>
    <t>Cadeia de valor / fornecedores</t>
  </si>
  <si>
    <t>Clientes europeus; fornecedores</t>
  </si>
  <si>
    <t>Inspeção de receção de qualidade; sem critérios ambientais.</t>
  </si>
  <si>
    <t>Aplicar a avaliação ambiental de fornecedores (RG-SGA-11) aos fornecedores críticos de resina e exigir certificação de conteúdo reciclado.</t>
  </si>
  <si>
    <t>PAM-26-16</t>
  </si>
  <si>
    <t>Responsável de Compras</t>
  </si>
  <si>
    <t>% compras de resina a fornecedores avaliados (meta ≥ 90%)</t>
  </si>
  <si>
    <t>RO-06</t>
  </si>
  <si>
    <t>PES-12</t>
  </si>
  <si>
    <t>Legal / conformidade</t>
  </si>
  <si>
    <t>Clientes europeus; autoridades</t>
  </si>
  <si>
    <t>C2</t>
  </si>
  <si>
    <t>RO-07</t>
  </si>
  <si>
    <t>PES-11</t>
  </si>
  <si>
    <t>Perdas de granulado de plástico na descarga de silos e big bags chegam à rede pluvial e ao meio aquático.</t>
  </si>
  <si>
    <t>Descarga de big bags ao ar livre; sarjetas sem filtros; limpeza a seco não sistemática.</t>
  </si>
  <si>
    <t>Poluição por microplásticos; não conformidade com o regulamento europeu de granulados; dano reputacional.</t>
  </si>
  <si>
    <t>REC</t>
  </si>
  <si>
    <t>Perdas de granulado (microplásticos)</t>
  </si>
  <si>
    <t>Vizinhança / comunidade local; ONG; autoridades</t>
  </si>
  <si>
    <t>Varrimento diário da zona de silos.</t>
  </si>
  <si>
    <t>Programa Operation Clean Sweep: filtros nas sarjetas, bacias de descarga, kits de recolha e inspeção semanal do perímetro.</t>
  </si>
  <si>
    <t>PAM-26-11</t>
  </si>
  <si>
    <t>kg de granulado recolhido nos pontos de contenção / mês</t>
  </si>
  <si>
    <t>RO-08</t>
  </si>
  <si>
    <t>PES-10</t>
  </si>
  <si>
    <t>Incêndio no armazém de matérias-primas com libertação de fumos e águas de combate contaminadas para a rede pluvial e a floresta envolvente.</t>
  </si>
  <si>
    <t>Grande carga de incêndio (granulado e embalagem); proximidade ao Pinhal de Leiria.</t>
  </si>
  <si>
    <t>Contaminação do solo e da água; dano a ecossistemas florestais; paragem prolongada.</t>
  </si>
  <si>
    <t>Emergência</t>
  </si>
  <si>
    <t>Vizinhança / comunidade local; bombeiros; seguradora</t>
  </si>
  <si>
    <t>Medidas de autoproteção (SCIE), deteção automática, válvula de corte na rede pluvial, simulacro anual.</t>
  </si>
  <si>
    <t>R - Transferir o Risco</t>
  </si>
  <si>
    <t>Manter seguro multirriscos e rever o plano de retenção de águas de combate no simulacro de 2026.</t>
  </si>
  <si>
    <t>Tempo de fecho da válvula de corte em simulacro (meta ≤ 5 min)</t>
  </si>
  <si>
    <t>RO-09</t>
  </si>
  <si>
    <t>SWT-O02</t>
  </si>
  <si>
    <t>Autoconsumo fotovoltaico na cobertura e eletricidade com garantia de origem renovável.</t>
  </si>
  <si>
    <t>≈ 9.000 m² de cobertura disponível; processo 100% elétrico.</t>
  </si>
  <si>
    <t>Redução das emissões do âmbito 2 e do custo de energia.</t>
  </si>
  <si>
    <t>Contrato de eletricidade com 55% de origem renovável (rótulo do comercializador).</t>
  </si>
  <si>
    <t>Estudo de viabilidade de UPAC (≈ 1 MWp) com candidatura a financiamento.</t>
  </si>
  <si>
    <t>Diretor Financeiro</t>
  </si>
  <si>
    <t>% energia renovável</t>
  </si>
  <si>
    <t>RO-10</t>
  </si>
  <si>
    <t>SWT-W04</t>
  </si>
  <si>
    <t>ARQ</t>
  </si>
  <si>
    <t>Produtos químicos</t>
  </si>
  <si>
    <t>Autoridades; trabalhadores</t>
  </si>
  <si>
    <t>RO-11</t>
  </si>
  <si>
    <t>SWT-F03</t>
  </si>
  <si>
    <t>MOA</t>
  </si>
  <si>
    <t>Materiais e circularidade</t>
  </si>
  <si>
    <t>Acionistas / Gerência</t>
  </si>
  <si>
    <t>Bom</t>
  </si>
  <si>
    <t>O - Integrar no Planeamento Estratégico</t>
  </si>
  <si>
    <t>RO-12</t>
  </si>
  <si>
    <t>LEG-05</t>
  </si>
  <si>
    <t>Reclamação da vizinhança por ruído dos novos compressores instalados em 2026 sem avaliação acústica atualizada.</t>
  </si>
  <si>
    <t>Alteração de equipamento sem avaliação de ruído no recetor (falha de gestão da mudança 6.3).</t>
  </si>
  <si>
    <t>Incumprimento do RGR; reclamação e coima.</t>
  </si>
  <si>
    <t>Ruído</t>
  </si>
  <si>
    <t>Vizinhança / comunidade local</t>
  </si>
  <si>
    <t>Compressores em sala fechada; última avaliação acústica em 2023.</t>
  </si>
  <si>
    <t>Avaliação acústica por laboratório acreditado (C1) e gatilho de avaliação de ruído no controlo de mudanças (C2).</t>
  </si>
  <si>
    <t>C1</t>
  </si>
  <si>
    <t>PAM-26-03</t>
  </si>
  <si>
    <t>N.º reclamações de ruído</t>
  </si>
  <si>
    <t>PROBABILIDADE (P)</t>
  </si>
  <si>
    <t>Pouco provável de ocorrer no horizonte de 1 ano; sem histórico na Plasticom.</t>
  </si>
  <si>
    <t>Pode ocorrer no horizonte de 1 ano; já ocorreu no setor ou pontualmente na Plasticom.</t>
  </si>
  <si>
    <t>Ocorre ou é esperado ocorrer várias vezes por ano / condição permanente.</t>
  </si>
  <si>
    <t>Suficiente</t>
  </si>
  <si>
    <t>Benefício ambiental/de negócio limitado ou local.</t>
  </si>
  <si>
    <t>Benefício relevante num processo ou num indicador.</t>
  </si>
  <si>
    <t>Benefício relevante para vários processos, clientes ou objetivos estratégicos.</t>
  </si>
  <si>
    <t>Efeito reduzido e reversível, contido no local; sem implicação legal.</t>
  </si>
  <si>
    <t>Efeito relevante num objetivo ou indicador; potencial reclamação ou desvio legal menor.</t>
  </si>
  <si>
    <t>Dano ambiental relevante, incumprimento legal, perda de clientes ou paragem.</t>
  </si>
  <si>
    <t>9</t>
  </si>
  <si>
    <t>3, 4, 6</t>
  </si>
  <si>
    <t>1, 2</t>
  </si>
  <si>
    <t>R - Assumir o Risco</t>
  </si>
  <si>
    <t>R - Eliminar a fonte do Risco</t>
  </si>
  <si>
    <t>O - Aceitar a Oportunidade</t>
  </si>
  <si>
    <t>O - Monitorizar a Oportunidade</t>
  </si>
  <si>
    <t>O - Reter oportunidade para avaliação futura</t>
  </si>
  <si>
    <t>METODOLOGIA DO SGA — AVALIAÇÃO P × S 3×3 (ISO 14001:2026; curso UC00557, OA 3.1)  — usada no grupo de colunas 'METODOLOGIA SGA' de Riscos e Oportunidades</t>
  </si>
  <si>
    <t>Fonte: METODOLOGIA DE AVALIAÇÃO DE RISCOS E OPORTUNIDADES (UC00557, OA 3.1) · Matriz de Riscos e Oportunidades do curso (ex-aba Criterios do RG-SGA-02). Nível = P × S: riscos têm S negativa (−1 a −3) e oportunidades S positiva (1 a 3). Conversão para a escala 1–5 deste registo: valor 1–5 = |valor SGA| + 1 (coluna Equivalente).</t>
  </si>
  <si>
    <t>Valor SGA</t>
  </si>
  <si>
    <t>Equivalente 1–5</t>
  </si>
  <si>
    <t>SEVERIDADE (S) — RISCOS (valores negativos)</t>
  </si>
  <si>
    <t>SEVERIDADE (S) — OPORTUNIDADES (valores positivos)</t>
  </si>
  <si>
    <t>SIGNIFICÂNCIA (Nível = P × S) — o limite (coluna D) é lido pelas fórmulas</t>
  </si>
  <si>
    <t>Níveis possíveis</t>
  </si>
  <si>
    <t>Limite do nível</t>
  </si>
  <si>
    <t>Classificação — aceitabilidade / resposta</t>
  </si>
  <si>
    <t>−6, −9</t>
  </si>
  <si>
    <t>SIGNIFICATIVO — NÃO ACEITÁVEL → decisão e ação de tratamento obrigatórias</t>
  </si>
  <si>
    <t>−3, −4</t>
  </si>
  <si>
    <t>TOLERÁVEL — ACEITÁVEL → monitorizar / controlos existentes</t>
  </si>
  <si>
    <t>−1, −2</t>
  </si>
  <si>
    <t>BAIXO — ACEITÁVEL → assumir o risco</t>
  </si>
  <si>
    <t>SIGNIFICATIVO — AÇÃO REQUERIDA → desenvolver ações / integrar no planeamento</t>
  </si>
  <si>
    <t>TOLERÁVEL — ACEITÁVEL → estudar viabilidade / reter</t>
  </si>
  <si>
    <t>BAIXO — ACEITÁVEL → monitorizar</t>
  </si>
  <si>
    <t>DECISÕES E TIPO DE AÇÃO (listas das colunas 'Decisão SGA' e 'Tipo de ação SGA')</t>
  </si>
  <si>
    <t>Decisão — riscos</t>
  </si>
  <si>
    <t>Decisão — oportunidades</t>
  </si>
  <si>
    <t>Tipo de ação (PAM)</t>
  </si>
  <si>
    <t>Correção</t>
  </si>
  <si>
    <t>Ação corretiva</t>
  </si>
  <si>
    <t>Melhoria</t>
  </si>
  <si>
    <t>Sem ação no PAM</t>
  </si>
  <si>
    <t>Nota do enunciado (Atividade 3.1): se nenhum dos 4 itens SWOT selecionados resultasse em SIGNIFICATIVO, forçar P ou S e marcar 'Simulação forçada' = Sim. Não foi necessário: RO-01 (9) e RO-02 (−6) são significativos com valores realistas. Mapeamento de decisões para as listas do registo: R-Mitigar→Mitigar; R-Monitorizar→Monitorar; R-Transferir→Transferir / compartilhar; R-Assumir→Aceitar; R-Eliminar→Prevenir; O-Desenvolver ações→Explorar; O-Estudar viabilidade→Analisar viabilidade e custo-benefício; O-Integrar→Integrar ao planejamento estratégico.</t>
  </si>
  <si>
    <t>6. Dados: os registros são tabelas nomeadas (tbRiscos, tbOportunidades, tbPlanos, tbKRI, tbKRIColetas, tbBowTie, tbMonitoramento, tbHistorico, tbMat, tbAud, tbAuditorias…). Campos, tipos e valores permitidos estão na aba Dicionário_Dados. Vários IDs no mesmo campo são separados por ';'. Os riscos e oportunidades do SGA (ISO 14001) têm ainda a avaliação P × S 3×3 do curso no grupo 'METODOLOGIA SGA' (critérios na secção final desta aba).</t>
  </si>
  <si>
    <t>ID RO (SGA)</t>
  </si>
  <si>
    <t>Data de identificação (SGA)</t>
  </si>
  <si>
    <t>ID de origem (contexto SGA)</t>
  </si>
  <si>
    <t>Selecionado Atividade 3.1</t>
  </si>
  <si>
    <t>Área de gestão (SGA)</t>
  </si>
  <si>
    <t>Processo (código SGA)</t>
  </si>
  <si>
    <t>Tema (SGA)</t>
  </si>
  <si>
    <t>Partes interessadas (SGA)</t>
  </si>
  <si>
    <t>Probabilidade SGA</t>
  </si>
  <si>
    <t>Severidade SGA</t>
  </si>
  <si>
    <t>P (valor SGA)</t>
  </si>
  <si>
    <t>S (valor SGA)</t>
  </si>
  <si>
    <t>Nível SGA (P×S)</t>
  </si>
  <si>
    <t>Significância SGA</t>
  </si>
  <si>
    <t>Aceitabilidade SGA</t>
  </si>
  <si>
    <t>Decisão SGA</t>
  </si>
  <si>
    <t>Tipo de ação SGA</t>
  </si>
  <si>
    <t>Cód. PAM (RG-SGA-06)</t>
  </si>
  <si>
    <t>Probabilidade SGA residual</t>
  </si>
  <si>
    <t>Severidade SGA residual</t>
  </si>
  <si>
    <t>Nível SGA residual</t>
  </si>
  <si>
    <t>Significância SGA residual</t>
  </si>
  <si>
    <t>Simulação forçada (Atv 3.1)</t>
  </si>
  <si>
    <t>METODOLOGIA SGA — ISO 14001:2026 (curso UC00557 · Nível = P × S, escala 3×3; critérios em Critérios › Metodologia do SGA)</t>
  </si>
  <si>
    <t>O15</t>
  </si>
  <si>
    <t>Workshop de R&amp;O do SGA</t>
  </si>
  <si>
    <t>R35</t>
  </si>
  <si>
    <t>O6;R25</t>
  </si>
  <si>
    <t>R36</t>
  </si>
  <si>
    <t>R37</t>
  </si>
  <si>
    <t>Migrado da Matriz_RO (RG-SGA-02, workshop de R&amp;O de 14/04/2026). Escala 1–5 = |valor P×S do SGA| + 1 (regra em Critérios › Metodologia do SGA); inerente não avaliado no workshop. Tipo, nível de análise e categoria atribuídos na migração: validar com o dono.</t>
  </si>
  <si>
    <t>R13;R14;O7</t>
  </si>
  <si>
    <t>R38</t>
  </si>
  <si>
    <t>R39</t>
  </si>
  <si>
    <t>Aba de avaliação do processo de gestão de riscos, em 4 secções: (A) Maturidade — linhas 1–65 (com gráfico); (B) Auditoria — resultado por auditoria, linha 68; (C) Plano ABR — prioridade de auditoria por área, linha 104; (D) Guia de avaliação — regras de pontuação, linha 139. Índice de maturidade de 0 a 100% a partir de 4 testes de evidência por critério (Definido → Aplicado → Eficaz → Melhorado), ponderado pela criticidade; graus do QSP/ABR (modelo interno, não escala oficial da ISO 31000). Os critérios ficam na aba Maturidade_Registro; as regras, na secção D.</t>
  </si>
  <si>
    <t>Auditoria baseada em risco (ISO 19011, ISO 31000, QSP/ABR): cada pergunta é classificada em Conforme, Parcial, Não conforme ou N/A, com evidência objetiva e peso por criticidade. Cadastre a auditoria abaixo (ID, data, área, auditores) e registre as constatações na aba Auditoria_Registro. O índice, a situação e a conclusão são automáticos (regras na secção D — Guia de avaliação, nesta aba).</t>
  </si>
  <si>
    <t>A coluna 'Última auditoria' lê o cadastro de auditorias (secção B desta aba: Área/processo e Data, até 8). Use no cadastro os mesmos nomes de área da lista em Critérios. Alertas abertos = riscos da área com alerta diferente de 'OK'.</t>
  </si>
  <si>
    <t>Como preencher: (1) escolha o ID da auditoria (cadastrada na aba Maturidade_Auditoria, secção B); (2) marque o Resultado: Conforme, Parcial, Não conforme ou N/A; (3) registre a evidência objetiva e o método — sem evidência o item vira "Não verificado"; (4) para Não conforme informe a ação (PAC/RNC), responsável, prazo e a verificação de eficácia. Pontos, peso, classificação, área, data e alerta são automáticos. Texto AZUL = preencher · fundo CINZA = fórmula.</t>
  </si>
  <si>
    <t>Abas Maturidade_Auditoria (secções B e C: Auditoria e Plano ABR), Histórico e Monitoramento (análise crítica)</t>
  </si>
  <si>
    <t>Auditar por exposição (Plano ABR, aba Maturidade_Auditoria), abrir PAC/RNC para cada 'Não' e levar os resultados à análise crítica.</t>
  </si>
  <si>
    <t>ID do risco/oportunidade no SGA (RO-xx). Chave usada no PAM (RG-SGA-06) e nos registos do SGA.</t>
  </si>
  <si>
    <t>Data em que o item foi identificado no SGA (workshop de riscos e oportunidades).</t>
  </si>
  <si>
    <t>Item de contexto de origem: SWT-xxx (SWOT), PES-xx (PESTEL) ou LEG-xx (requisito legal) — RG-SGA-01 / RG-SGA-04.</t>
  </si>
  <si>
    <t>Sim; Não</t>
  </si>
  <si>
    <t>Sim = um dos 4 itens SWOT avaliados na Atividade 3.1 do curso.</t>
  </si>
  <si>
    <t>Área de gestão conforme o SGA (valor original da Matriz_RO).</t>
  </si>
  <si>
    <t>Código do processo no SGA (ex.: UTL, REC, RD, GER).</t>
  </si>
  <si>
    <t>Tema ambiental / de gestão do SGA (ex.: Energia, Clima / GEE, Perdas de granulado).</t>
  </si>
  <si>
    <t>Todas as partes interessadas afetadas, texto original (a coluna 'Parte interessada' guarda só a principal).</t>
  </si>
  <si>
    <t>Lista em Critérios › Metodologia do SGA (SgaProbNivel)</t>
  </si>
  <si>
    <t>Probabilidade na escala do curso: Remota, Provável ou Frequente.</t>
  </si>
  <si>
    <t>Lista em Critérios › Metodologia do SGA (SgaSevRiNivel)</t>
  </si>
  <si>
    <t>Severidade na escala do curso para riscos: Menor, Sério ou Crítico (valores negativos).</t>
  </si>
  <si>
    <t>Automático: valor da probabilidade (1 a 3).</t>
  </si>
  <si>
    <t>Automático: valor da severidade (−1 a −3).</t>
  </si>
  <si>
    <t>Automático: P × S.</t>
  </si>
  <si>
    <t>Automático: SIGNIFICATIVO, TOLERÁVEL ou BAIXO (limites em Critérios › Metodologia do SGA).</t>
  </si>
  <si>
    <t>Automático: NÃO ACEITÁVEL se significativo; senão ACEITÁVEL.</t>
  </si>
  <si>
    <t>Lista em Critérios › Metodologia do SGA (SgaDecRisco)</t>
  </si>
  <si>
    <t>Decisão na nomenclatura do curso (lista em Critérios).</t>
  </si>
  <si>
    <t>Lista em Critérios › Metodologia do SGA (SgaTipoAcao)</t>
  </si>
  <si>
    <t>C1 correção; C2 ação corretiva; M melhoria; — sem ação no PAM.</t>
  </si>
  <si>
    <t>Código da ação no Plano de Ações de Melhoria do SGA (PAM-26-xx). Diferente de 'Cód. plano de ação' (PAC/RNC).</t>
  </si>
  <si>
    <t>Probabilidade esperada após a ação (escala do curso).</t>
  </si>
  <si>
    <t>Severidade esperada após a ação (escala do curso).</t>
  </si>
  <si>
    <t>Automático: P × S residual.</t>
  </si>
  <si>
    <t>Automático: significância do nível residual.</t>
  </si>
  <si>
    <t>Sim = P ou S foram forçados para gerar um item significativo no exercício do curso.</t>
  </si>
  <si>
    <t>Lista em Critérios › Metodologia do SGA (SgaSevOpNivel)</t>
  </si>
  <si>
    <t>Severidade na escala do curso para oportunidades: Suficiente, Bom ou Muito Bom (valores positivos).</t>
  </si>
  <si>
    <t>Automático: valor da severidade (1 a 3).</t>
  </si>
  <si>
    <t>Automático: AÇÃO REQUERIDA se significativa; senão ACEITÁVEL.</t>
  </si>
  <si>
    <t>Lista em Critérios › Metodologia do SGA (SgaDecOport)</t>
  </si>
  <si>
    <t>Maturidade_Auditoria</t>
  </si>
  <si>
    <t>ID da auditoria (cadastrada na aba Maturidade_Auditoria, secção B).</t>
  </si>
  <si>
    <t>Riscos; Oportunidades; Critérios; Maturidade_Auditoria; 00_LEIA-ME</t>
  </si>
  <si>
    <t>Matriz_RO do RG-SGA-02 migrada: 8 riscos e 4 oportunidades do SGA (RO-02→R35; RO-04→R36; RO-05→R37; RO-06→R38; RO-07→R39; RO-08→R40; RO-10→R41; RO-12→R42; RO-01→O15; RO-03→O16; RO-09→O17; RO-11→O18), com a avaliação P×S 3×3 do curso no novo grupo 'METODOLOGIA SGA'. Critérios do curso passam para Critérios; abas Matriz_RO e Criterios eliminadas; Maturidade, Auditoria, Plano ABR e Guia_Avaliação consolidadas em Maturidade_Auditoria (21 → 16 abas).</t>
  </si>
  <si>
    <t>Um único registo de riscos e oportunidades (corporativo + SGA) para análise de dados; menos abas.</t>
  </si>
  <si>
    <t>A escala 1–5 dos itens do SGA foi convertida (|P×S| + 1): reavaliar no próximo ciclo com a escala 5×5.</t>
  </si>
  <si>
    <t>RG-SGA-02 — Gestão de Riscos e Oportunidades — registo corporativo multiárea com a matriz do SGA</t>
  </si>
  <si>
    <t>Sistema de Gestão Ambiental NP EN ISO 14001:2026 · Plasticom — Unidade 1 (Marinha Grande, Portugal) · ficheiro gestao-riscos-oportunidades-v3.6-Plasticom.xlsx (fábrica simulada)</t>
  </si>
  <si>
    <t>RG-SGA-02 (registo corporativo: REG-RISCOS-01 / REG-OPORT-01)</t>
  </si>
  <si>
    <t>Gestão de Riscos e Oportunidades — Identificação, Avaliação, Tratamento e Monitorização</t>
  </si>
  <si>
    <t>02 — integra a Matriz_RO e os critérios do SGA (antes aba própria) e consolida abas</t>
  </si>
  <si>
    <t>Repositório controlado do SGA &gt; SGA_Sistema-de-gestao-ambiental (versão eletrónica é a versão controlada; cópias impressas são não controladas)</t>
  </si>
  <si>
    <t>Registo único de riscos (ameaças) e oportunidades da Plasticom — qualidade, SST, ambiente e negócio. Todos os itens usam a escala 5×5 (probabilidade × impacto/benefício). Os itens do SGA (ISO 14001) têm ainda a avaliação do curso no grupo de colunas 'METODOLOGIA SGA' (Nível = P × S; P 1 a 3; S −1 a −3 para riscos e 1 a 3 para oportunidades), com a decisão e a ação de tratamento.</t>
  </si>
  <si>
    <t>Atividade 3.1 — Aplicação da Matriz de Riscos e Planeamento de Ações: filtrar 'Selecionado Atividade 3.1' = Sim (4 itens da SWOT: RO-01 a RO-04).</t>
  </si>
  <si>
    <t>Itens do SGA migrados</t>
  </si>
  <si>
    <t>ESTRUTURA DO FICHEIRO (16 abas)</t>
  </si>
  <si>
    <t>tbRiscos — registo de riscos: identificação, inerente, controlos, risco atual, tratamento, plano, eficácia, residual, monitorização, custo-benefício e, à direita, o grupo METODOLOGIA SGA.</t>
  </si>
  <si>
    <t>tbOportunidades — registo de oportunidades: potencial, portfólio, decisão, plano, resultado, retorno e o grupo METODOLOGIA SGA.</t>
  </si>
  <si>
    <t>Painel</t>
  </si>
  <si>
    <t>Visão consolidada (calculada): mapas de calor, alertas, planos, KRI e BowTie.</t>
  </si>
  <si>
    <t>tbPlanos — espelho dos planos de ação / RNC (PAC ou RNC + nº) ligados por código aos riscos e oportunidades.</t>
  </si>
  <si>
    <t>tbKRI — cadastro dos indicadores de risco: limite, sentido, tendência e situação (calculada).</t>
  </si>
  <si>
    <t>tbKRIColetas — medições dos KRI em formato longo (1 linha = 1 medição).</t>
  </si>
  <si>
    <t>tbBowTie — barreiras preventivas e reativas por risco, eficácia e fatores de intensificação.</t>
  </si>
  <si>
    <t>tbMonitoramento — rotinas de monitorização, comunicação e consulta por nível.</t>
  </si>
  <si>
    <t>Avaliação do processo de gestão de riscos (calculada): A) Maturidade (linha 1), B) Auditoria — tbAuditorias (linha 68), C) Plano ABR — tbPlanoABR (linha 104), D) Guia de avaliação (linha 139). Substitui as abas Maturidade, Auditoria, Plano ABR e Guia_Avaliação.</t>
  </si>
  <si>
    <t>tbMat — avaliação de maturidade por critério e ciclo (4 testes de evidência).</t>
  </si>
  <si>
    <t>tbAud — constatações de auditoria (1 linha = 1 pergunta avaliada).</t>
  </si>
  <si>
    <t>Parâmetros, escalas 5×5, apetite ao risco, listas de validação e, na secção final (linha 101), a Metodologia do SGA (escalas P e S, significância, decisões). Substitui a aba Criterios.</t>
  </si>
  <si>
    <t>tbHistorico — alterações de critérios, reavaliações e aprovações.</t>
  </si>
  <si>
    <t>Dicionário_Dados</t>
  </si>
  <si>
    <t>tbDicionario — uma linha por campo de cada tabela: tipo, formato, valores permitidos e descrição.</t>
  </si>
  <si>
    <t>Cada registo é uma Tabela Excel com nome próprio (tb*): uma linha = um registo, cabeçalho único. Ler com Power BI/Power Query (Obter Dados &gt; Tabela) ou com pandas: Riscos e Oportunidades têm o cabeçalho na linha 4 (pd.read_excel(ficheiro, sheet_name='Riscos', header=3)). As tabelas têm linhas de reserva vazias: filtrar pelo ID não vazio.</t>
  </si>
  <si>
    <t>Texto azul / fundo cinzento</t>
  </si>
  <si>
    <t>Azul = entrada; cabeçalho laranja e fundo cinzento = coluna CALCULADA por fórmula (não escrever por cima).</t>
  </si>
  <si>
    <t>Colunas com lista controlada só aceitam valores das listas em Critérios (evita categorias duplicadas por grafia diferente).</t>
  </si>
  <si>
    <t>ID (R1…, O1…) é a chave primária; 'ID RO (SGA)' liga ao SGA (RG-SGA-01 contexto, RG-SGA-06 PAM); campos com vários IDs usam ';' — ver SGA-00_Indice_Modelo_Dados.xlsx.</t>
  </si>
  <si>
    <t>Segmentação</t>
  </si>
  <si>
    <t>Para filtrar só o SGA: filtro ou segmentação de dados (Tabela &gt; Inserir Segmentação) em 'ID RO (SGA)' não vazio, 'Significância SGA' ou 'Selecionado Atividade 3.1'.</t>
  </si>
  <si>
    <t>Datas em formato data (aaaa-mm-dd); números como números; a unidade está no nome da coluna ou no dicionário.</t>
  </si>
  <si>
    <t>A coluna 'ID de origem (contexto SGA)' aponta para o item SWOT/PESTEL de origem.</t>
  </si>
  <si>
    <t>RG-SGA-04 Requisitos legais</t>
  </si>
  <si>
    <t>A coluna 'ID de origem (contexto SGA)' = LEG-xx aponta para a obrigação de conformidade.</t>
  </si>
  <si>
    <t>A coluna 'Cód. PAM (RG-SGA-06)' aponta para a ação no Plano de Ações de Melhoria (Mod.G.10.00); o PAM usa o 'ID RO (SGA)'.</t>
  </si>
  <si>
    <t>Registos_SGA_Plasticom/SGA-02_Gestao_Riscos_Oportunidades.xlsx</t>
  </si>
  <si>
    <t>Fonte: PESTLE (Ambiental) e RO-06 do SGA. Baixa confiança: sem série histórica estruturada de energia e água por processo (fraqueza registrada). | Consolidado em 24/09/2026 com RO-04 da Matriz_RO do SGA (duplicado eliminado): avaliação P×S no grupo METODOLOGIA SGA; ação SGA: Monitorizar m³/1.000 un normalizado pela temperatura (KPI-02) e avaliar circuito fechado no objetivo OBJ-05.</t>
  </si>
  <si>
    <t>Origem no PESTLE Legal/Político do SGA. 43% da receita vem de clientes fora de Portugal (Espanha 13,5%, Alemanha 7,9%, Itália 7,6%, Polônia 7,5%, França 6,6%). | Consolidado em 24/09/2026 com RO-06 da Matriz_RO do SGA (duplicado eliminado): avaliação P×S no grupo METODOLOGIA SGA; ação SGA: Concluir documentação técnica e declaração UE de conformidade para 100% das famílias (OBJ-04).</t>
  </si>
  <si>
    <t>R29;R31</t>
  </si>
  <si>
    <t>Origem no SGA (RO-05); tolerância mínima para categoria Ambiental. | Consolidado em 24/09/2026 com RO-10 da Matriz_RO do SGA (duplicado eliminado): avaliação P×S no grupo METODOLOGIA SGA; ação SGA: Rever IT-SGA-01, stock mínimo de kits, selo numerado e verificação semanal do conteúdo (ver NC-SGA-26-03).</t>
  </si>
  <si>
    <t>Risco SIGNIFICATIVO (nível -6). Transferido para o PAM na Atividade 3.5 (ação 02/26). | Migrado da Matriz_RO (RG-SGA-02, workshop de R&amp;O de 14/04/2026). Escala 1–5 = |valor P×S do SGA| + 1 (regra em Critérios › Metodologia do SGA); inerente SIMULADO em 24/09/2026 (P5×I3: sem qualquer contagem, os consumos por processo seriam desconhecidos de forma permanente; a leitura das faturas só dá o total) — validar com o dono. Tipo, nível de análise e categoria atribuídos na migração: validar com o dono.</t>
  </si>
  <si>
    <t>Migrado da Matriz_RO (RG-SGA-02, workshop de R&amp;O de 14/04/2026). Escala 1–5 = |valor P×S do SGA| + 1 (regra em Critérios › Metodologia do SGA); inerente SIMULADO em 24/09/2026 (P5×I3: compras spot recorrentes sem qualquer inspeção deixariam entrar lotes fora de especificação em quase todas as campanhas; a inspeção de receção trava parte) — validar com o dono. Tipo, nível de análise e categoria atribuídos na migração: validar com o dono.</t>
  </si>
  <si>
    <t>Migrado da Matriz_RO (RG-SGA-02, workshop de R&amp;O de 14/04/2026). Escala 1–5 = |valor P×S do SGA| + 1 (regra em Critérios › Metodologia do SGA); inerente SIMULADO em 24/09/2026 (P4×I4: sem varrimento, as perdas na descarga chegariam à rede pluvial com frequência; o impacto (microplásticos no meio aquático) é o mesmo) — validar com o dono. Tipo, nível de análise e categoria atribuídos na migração: validar com o dono.</t>
  </si>
  <si>
    <t>Ver EMG-02 no RG-SGA-12. | Migrado da Matriz_RO (RG-SGA-02, workshop de R&amp;O de 14/04/2026). Escala 1–5 = |valor P×S do SGA| + 1 (regra em Critérios › Metodologia do SGA); inerente SIMULADO em 24/09/2026 (P3×I5: sem SCIE, deteção e válvula de corte, um incêndio seria mais provável e as águas de combate chegariam ao meio (impacto máximo)) — validar com o dono. Tipo, nível de análise e categoria atribuídos na migração: validar com o dono.</t>
  </si>
  <si>
    <t>Migrado da Matriz_RO (RG-SGA-02, workshop de R&amp;O de 14/04/2026). Escala 1–5 = |valor P×S do SGA| + 1 (regra em Critérios › Metodologia do SGA); inerente SIMULADO em 24/09/2026 (P4×I3: compressores fora de sala fechada tornariam provável o incumprimento do RGR no recetor) — validar com o dono. Tipo, nível de análise e categoria atribuídos na migração: validar com o dono.</t>
  </si>
  <si>
    <t>Riscos; 00_LEIA-ME</t>
  </si>
  <si>
    <t>Duplicados eliminados: R36 (RO-04) consolidado em R34, R38 (RO-06) em R33 e R41 (RO-10) em R30 — a avaliação P×S do SGA passou para a linha mantida. Riscos SGA renumerados: RO-02→R35; RO-05→R36; RO-07→R37; RO-08→R38; RO-12→R39. Risco inerente simulado para os 5 riscos novos.</t>
  </si>
  <si>
    <t>Evitar dupla contagem no Painel, no Plano ABR e nas análises; completar a avaliação inerente.</t>
  </si>
  <si>
    <t>Antes de migrar itens de outra matriz, cruzar pelo ID corporativo equivalente e consolidar em vez de duplicar.</t>
  </si>
  <si>
    <t>Força + Oportunidade do cruzamento estratégico (Contexto §6). | Consolidado em 24/09/2026 com RO-01 da Matriz_RO do SGA (duplicado eliminado): avaliação P×S no grupo METODOLOGIA SGA; ação SGA: Integrar no Power BI industrial os consumos de energia, água, resíduos (por código LER) e solventes, com modelo de dados comum (máquina, turno, lote, mês) e relatório mensal automático.</t>
  </si>
  <si>
    <t>Depende de dados de fornecedores sobre conteúdo reciclado e composição (ligado a R33). | Consolidado em 24/09/2026 com RO-03 da Matriz_RO do SGA (duplicado eliminado): avaliação P×S no grupo METODOLOGIA SGA; ação SGA: Estudo de mercado e de custo do PCR certificado por família de produto antes de decidir o investimento.</t>
  </si>
  <si>
    <t>Reintrodução deve respeitar requisitos técnicos e do cliente. | Consolidado em 24/09/2026 com RO-11 da Matriz_RO do SGA (duplicado eliminado): avaliação P×S no grupo METODOLOGIA SGA; ação SGA: Integrar no objetivo OBJ-02 (scrap) com segregação na fonte por cor/polímero.</t>
  </si>
  <si>
    <t>Riscos: RO-02 = R35; RO-05 = R36; RO-07 = R37; RO-08 = R38; RO-12 = R39; consolidados em riscos já existentes: RO-04 = R34; RO-06 = R33; RO-10 = R30. Oportunidades: RO-09 = O15; consolidadas em oportunidades já existentes: RO-01 = O3; RO-03 = O5; RO-11 = O10. O ID original fica na coluna 'ID RO (SGA)'. O risco inerente dos itens novos é simulado (validar).</t>
  </si>
  <si>
    <t>Oportunidades; 00_LEIA-ME</t>
  </si>
  <si>
    <t>Oportunidades duplicadas eliminadas: O15 (RO-01) consolidada em O3, O16 (RO-03) em O5 e O18 (RO-11) em O10 — a avaliação P×S do SGA passou para a linha mantida. Renumeração: RO-09→O15.</t>
  </si>
  <si>
    <t>Evitar dupla contagem no Painel e nas análises.</t>
  </si>
  <si>
    <t>Cruzar sempre pelo ID corporativo equivalente antes de incluir itens de outra matriz.</t>
  </si>
  <si>
    <t>≥ 90% do consumo de eletricidade e 100% da água com submedição por processo; 3 meses seguidos com diferença fatura × soma dos contadores ≤ 5%</t>
  </si>
  <si>
    <t>≥ 90% das compras de resina a fornecedores avaliados (RG-SGA-11), 100% dos lotes PCR com certificado de conteúdo reciclado e zero lotes rejeitados de fornecedor spot em 6 meses</t>
  </si>
  <si>
    <t>Zero granulado nas sarjetas e na rede pluvial nas inspeções semanais durante 6 meses; 100% dos pontos de descarga com contenção</t>
  </si>
  <si>
    <t>Apólice multirriscos em vigor com cobertura de dano ambiental; válvula de corte fechada em ≤ 5 min no simulacro e 100% das águas de combate retidas</t>
  </si>
  <si>
    <t>Avaliação acústica acreditada com critério de incomodidade do RGR cumprido no recetor, zero reclamações de ruído em 12 meses e 100% das mudanças de equipamento com avaliação de ruído</t>
  </si>
  <si>
    <t>Critério de eficácia (meta) e data de verificação definidos para os riscos do SGA R35 a R39, a partir do KRI e da ação de cada um.</t>
  </si>
  <si>
    <t>Fechar o alerta 'Definir critério de eficácia' antes de executar as ações.</t>
  </si>
  <si>
    <t>Definir o critério de eficácia junto com a ação, na própria avaliação.</t>
  </si>
  <si>
    <t>Consumos por processo apenas estimados</t>
  </si>
  <si>
    <t>Leitura mensal das faturas e estimativa por horas de marcha</t>
  </si>
  <si>
    <t>Estimativas nunca comparadas com medição real</t>
  </si>
  <si>
    <t>Comparação mensal fatura × soma das estimativas com desvio máximo definido</t>
  </si>
  <si>
    <t>Desvio fatura × estimativa (%)</t>
  </si>
  <si>
    <t>Monitorização e medição (RG-SGA-13)</t>
  </si>
  <si>
    <t>Ausência de contadores por processo</t>
  </si>
  <si>
    <t>6 analisadores de energia e 3 contadores de água com telemetria (PAM-26-02)</t>
  </si>
  <si>
    <t>Contador sem calibração ou falha de telemetria</t>
  </si>
  <si>
    <t>Validação mensal dos dados e plano de calibração</t>
  </si>
  <si>
    <t>% do consumo de eletricidade com submedição</t>
  </si>
  <si>
    <t>Meta de energia/água não verificável em auditoria</t>
  </si>
  <si>
    <t>Estimativa documentada (método e incerteza) e ação corretiva no PAM</t>
  </si>
  <si>
    <t>Série histórica medida insuficiente</t>
  </si>
  <si>
    <t>Manter a estimativa documentada até haver 12 meses de medição</t>
  </si>
  <si>
    <t>NC de auditoria no requisito 9.1.1</t>
  </si>
  <si>
    <t>Não conformidades (RG-SGA-07)</t>
  </si>
  <si>
    <t>Lote de resina fora de especificação</t>
  </si>
  <si>
    <t>Inspeção de receção de qualidade</t>
  </si>
  <si>
    <t>Amostragem não cobre todos os lotes spot</t>
  </si>
  <si>
    <t>Inspeção reforçada para fornecedores spot</t>
  </si>
  <si>
    <t>Lotes de resina rejeitados na receção</t>
  </si>
  <si>
    <t>Plano de inspeção de receção</t>
  </si>
  <si>
    <t>Declaração de conteúdo reciclado não verificada</t>
  </si>
  <si>
    <t>Avaliação ambiental de fornecedores críticos e certificado de conteúdo reciclado (PAM-26-16)</t>
  </si>
  <si>
    <t>Compra urgente a fornecedor fora da lista aprovada</t>
  </si>
  <si>
    <t>Bloqueio do pedido a fornecedor não avaliado</t>
  </si>
  <si>
    <t>% compras de resina a fornecedores avaliados</t>
  </si>
  <si>
    <t>PAM-26-16; RG-SGA-11</t>
  </si>
  <si>
    <t>Alegação ambiental incorreta comunicada a cliente</t>
  </si>
  <si>
    <t>Revisão das declarações ao cliente e retirada da alegação</t>
  </si>
  <si>
    <t>Sem rastreabilidade lote de PCR → produto</t>
  </si>
  <si>
    <t>Registo do lote de resina na ordem de produção</t>
  </si>
  <si>
    <t>Responsável de R&amp;D</t>
  </si>
  <si>
    <t>Reclamações sobre alegações ambientais</t>
  </si>
  <si>
    <t>Derrame de granulado na descarga de silos e big bags</t>
  </si>
  <si>
    <t>Varrimento diário da zona de silos</t>
  </si>
  <si>
    <t>Descarga ao ar livre com vento ou chuva</t>
  </si>
  <si>
    <t>Bacias de descarga e kits de recolha (PAM-26-11)</t>
  </si>
  <si>
    <t>Responsável de Armazém e Logística</t>
  </si>
  <si>
    <t>Programa Operation Clean Sweep</t>
  </si>
  <si>
    <t>Granulado arrastado para as sarjetas</t>
  </si>
  <si>
    <t>Filtros nas sarjetas e inspeção semanal do perímetro (PAM-26-11)</t>
  </si>
  <si>
    <t>Filtros colmatados ou sem manutenção</t>
  </si>
  <si>
    <t>Limpeza dos filtros incluída na inspeção semanal</t>
  </si>
  <si>
    <t>Inspeções semanais sem granulado nas sarjetas</t>
  </si>
  <si>
    <t>Granulado na rede pluvial e no meio aquático</t>
  </si>
  <si>
    <t>Recolha e limpeza da rede pluvial; comunicação à autoridade quando aplicável</t>
  </si>
  <si>
    <t>Deteção tardia</t>
  </si>
  <si>
    <t>Inspeção da rede pluvial após chuva forte</t>
  </si>
  <si>
    <t>Ocorrências de granulado fora do perímetro</t>
  </si>
  <si>
    <t>Emergências ambientais (RG-SGA-12)</t>
  </si>
  <si>
    <t>BowTie criado para os riscos do SGA R35, R36 e R37 (9 barreiras: 6 preventivas e 3 reativas). Barreiras planeadas no PAM ficam com eficácia 'Inexistente' até serem implantadas.</t>
  </si>
  <si>
    <t>Riscos Altos exigem BowTie (ISO/IEC 31010 §B.4.2); fechar o alerta 'Sem BowTie'.</t>
  </si>
  <si>
    <t>Atualizar a eficácia e a data de verificação quando cada ação do PAM for concluída.</t>
  </si>
  <si>
    <t>Registo do SGA RG-SGA-02, revisão 02 (24/09/2026): só os itens do SGA, com a mesma estrutura deste ficheiro — abas Riscos (tbl_riscos) e Oportunidades (tbl_oportunidades), critérios P×S na folha Listas. Chave comum: ID_RO = 'ID RO (SGA)'; a coluna ID_Registo_Corporativo do SGA-02 aponta para o ID deste ficheiro (R30, R33–R39; O3, O5, O10, O15). A avaliação 5×5, o inerente, o critério de eficácia e o BowTie ficam aqui.</t>
  </si>
  <si>
    <t>Partes interessadas (validação) — mestre: RG-SGA-01 tbl_partes_interessadas</t>
  </si>
  <si>
    <t>Representantes dos trabalhadores (SST/Ambiente)</t>
  </si>
  <si>
    <t>Clientes de cosmética (marcas UE)</t>
  </si>
  <si>
    <t>Clientes alimentar e farmacêutico</t>
  </si>
  <si>
    <t>Fornecedores de polímero e PCR</t>
  </si>
  <si>
    <t>APA / CCDR Centro</t>
  </si>
  <si>
    <t>Câmara Municipal da Marinha Grande</t>
  </si>
  <si>
    <t>Entidade gestora de água e saneamento</t>
  </si>
  <si>
    <t>Comunidade / vizinhança (≈ 250 m)</t>
  </si>
  <si>
    <t>Seguradora / banco</t>
  </si>
  <si>
    <t>Associação setorial (plásticos)</t>
  </si>
  <si>
    <t>ONG ambientais</t>
  </si>
  <si>
    <t>Bombeiros / Proteção Civil</t>
  </si>
  <si>
    <t>Contexto (PESTEL/SWOT/5 Forças/TOWS) → registado no RG-SGA-01</t>
  </si>
  <si>
    <t>RG-SGA-01</t>
  </si>
  <si>
    <t>RG-SGA-01 (tbl_pestel, tbl_swot, tbl_partes_interessadas, tbl_cinco_forcas, tbl_tows — coluna IDs_Risco_SGI)</t>
  </si>
  <si>
    <t>Contexto consolidado no RG-SGA-01 em 24/09/2026; a ligação aos riscos R/O é verificada na integridade referencial do SGA-00</t>
  </si>
  <si>
    <t>POLÍTICA DE GESTÃO DE RISCOS E APETITE AO RISCO</t>
  </si>
  <si>
    <t>Política e apetite (§1). O contexto do sistema integrado — PESTEL, SWOT, partes interessadas, 5 forças e TOWS — regista-se só no RG-SGA-01 (fonte única desde 24/09/2026), com a coluna IDs_Risco_SGI a ligar aos riscos R-nn / O-nn deste registo.</t>
  </si>
  <si>
    <t>§2 a §6 (PESTEL, SWOT, partes interessadas, 5 forças, TOWS) → RG-SGA-01_Contexto_SWOT_PESTEL.xlsx</t>
  </si>
  <si>
    <t>PAM-26-01</t>
  </si>
  <si>
    <t>Ações no PAM (RG-SGA-06): PAM-26-01. Detecção de vazamentos, monitoramento de pressão com alarme e avaliação de redundância de compressor</t>
  </si>
  <si>
    <t>PAM-26-29; PAM-26-30; PAM-26-31; PAM-26-35</t>
  </si>
  <si>
    <t>Ações no PAM (RG-SGA-06): PAM-26-29; PAM-26-30; PAM-26-31; PAM-26-35. Avaliar substituição por produtos menos perigosos, medir exposição e melhorar exaustão</t>
  </si>
  <si>
    <t>PAM-26-05; PAM-26-19; PAM-26-21; PAM-26-33</t>
  </si>
  <si>
    <t>Ações no PAM (RG-SGA-06): PAM-26-05; PAM-26-19; PAM-26-21; PAM-26-33. Instalar bacias de retenção, segregar por compatibilidade e treinar resposta a derrames</t>
  </si>
  <si>
    <t>PAM-26-37</t>
  </si>
  <si>
    <t>Ações no PAM (RG-SGA-06): PAM-26-37. Calendário de conformidade (MIRR/SILiAmb), checklist e auditoria trimestral de evidências</t>
  </si>
  <si>
    <t>PAM-26-36</t>
  </si>
  <si>
    <t>Ações no PAM (RG-SGA-06): PAM-26-36. Verificação documental do título e das condições de descarga; parecer técnico quando aplicável</t>
  </si>
  <si>
    <t>PAM-26-10; PAM-26-22; PAM-26-23; PAM-26-24</t>
  </si>
  <si>
    <t>Ações no PAM (RG-SGA-06): PAM-26-10; PAM-26-22; PAM-26-23; PAM-26-24. Programa Design for Recycling para as famílias prioritárias e dossiê técnico por produto</t>
  </si>
  <si>
    <t>PAM-26-10; PAM-26-24</t>
  </si>
  <si>
    <t>Detecção de vazamentos e monitoramento de pressão (PAM-26-01)</t>
  </si>
  <si>
    <t>Verificação documental (PAM-26-36)</t>
  </si>
  <si>
    <t>Programa Design for Recycling (PAM-26-10; PAM-26-22 a 24)</t>
  </si>
  <si>
    <t>PAM-26-10; PAM-26-22 a 24</t>
  </si>
  <si>
    <t>Questionário ESG e evidência documental (PAM-26-16)</t>
  </si>
  <si>
    <t>AUD-SGI-2026-01</t>
  </si>
  <si>
    <t>AUD-SGI-2026-02</t>
  </si>
  <si>
    <t>AUD-SGI-2026-03</t>
  </si>
  <si>
    <t>RG-SGA-01 tbl_pestel; RG-SGA-04 tbl_legal</t>
  </si>
  <si>
    <t>RG-SGA-04 tbl_legal e tbl_obrigacoes</t>
  </si>
  <si>
    <t>RG-SGA-01 tbl_cinco_forcas</t>
  </si>
  <si>
    <t>Contexto interno e externo (PESTEL, SWOT, 5 forças, TOWS)</t>
  </si>
  <si>
    <t>Partes interessadas e obrigações de conformidade</t>
  </si>
  <si>
    <t>RG-SGA-01 tbl_partes_interessadas</t>
  </si>
  <si>
    <t>RG-SGA-13 Indicadores_Mensais; RG-SGA-05 KPI</t>
  </si>
  <si>
    <t>RG-SGA-10 rondas; RG-SGA-07 tbl_incidentes</t>
  </si>
  <si>
    <t>A instrumentar: sem registro no dataset · Técnico de Ambiente — contagem a partir do RG-SGA-07 tbl_incidentes (Tipo = Derrame)</t>
  </si>
  <si>
    <t>A instrumentar: matriz legal do SGA · Técnico de Ambiente — a partir do RG-SGA-04 tbl_obrigacoes (LEG-01, LEG-13)</t>
  </si>
  <si>
    <t>Politica_Apetite</t>
  </si>
  <si>
    <t>Política de gestão de riscos e apetite ao risco (§1). O contexto (PESTEL, SWOT, partes interessadas, 5 forças, TOWS) regista-se só no RG-SGA-01 desde 24/09/2026. Ações ambientais: só no PAM (RG-SGA-06), ligadas pela coluna 'Cód. PAM (RG-SGA-06)'.</t>
  </si>
  <si>
    <t>Contexto; Planos; Riscos; Oportunidades; Auditorias; Monitoramento; KRI</t>
  </si>
  <si>
    <t>Revisão de redundâncias entre ficheiros do SGA (mesmo assunto registado em ficheiros diferentes).</t>
  </si>
  <si>
    <t>Gestor do SGA / EHS</t>
  </si>
  <si>
    <t>Um assunto, um registo: nos outros ficheiros guarda-se só o ID. Backup em _backup/.</t>
  </si>
  <si>
    <t>ACT — Autoridade para as Condições do Trabalho</t>
  </si>
  <si>
    <t>Consolidação (fonte única): contexto §2–§6 movido para o RG-SGA-01; 10 planos PAC ambientais substituídos pelo PAM (PAM-26-01/02/05/09/10/16/19/21–24/29–31/33/35–37); auditorias renomeadas AUD-SGI-2026-nn; monitoramento e KRI apontam para os registos donos.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</si>
</sst>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;\-0;;@"/>
    <numFmt numFmtId="165" formatCode="\+0;\-0;0"/>
    <numFmt numFmtId="166" formatCode="0.000"/>
    <numFmt numFmtId="167" formatCode="&quot;R$&quot;\ #,##0"/>
    <numFmt numFmtId="168" formatCode="0.0&quot;x&quot;"/>
    <numFmt numFmtId="169" formatCode="0.0%"/>
    <numFmt numFmtId="170" formatCode="dd/mm/\y\y\y\y"/>
  </numFmts>
  <fonts count="38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sz val="9"/>
      <color rgb="FF000000"/>
      <name val="Arial"/>
      <family val="2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8"/>
      <color rgb="FF1F3864"/>
      <name val="Arial"/>
      <family val="2"/>
    </font>
    <font>
      <b/>
      <sz val="16"/>
      <color rgb="FF1F4E79"/>
      <name val="Arial"/>
      <family val="2"/>
    </font>
    <font>
      <b/>
      <sz val="10"/>
      <color rgb="FFFFFFFF"/>
      <name val="Arial"/>
      <family val="2"/>
    </font>
    <font>
      <b/>
      <sz val="7"/>
      <color rgb="FF1F3864"/>
      <name val="Arial"/>
      <family val="2"/>
    </font>
    <font>
      <b/>
      <sz val="8"/>
      <color rgb="FFFFFFFF"/>
      <name val="Arial"/>
      <family val="2"/>
    </font>
    <font>
      <b/>
      <sz val="11"/>
      <color rgb="FF000000"/>
      <name val="Arial"/>
      <family val="2"/>
    </font>
    <font>
      <i/>
      <sz val="8"/>
      <color rgb="FF595959"/>
      <name val="Arial"/>
      <family val="2"/>
    </font>
    <font>
      <sz val="8"/>
      <color rgb="FF595959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9C0006"/>
      <name val="Arial"/>
      <family val="2"/>
    </font>
    <font>
      <sz val="8"/>
      <color rgb="FF0000FF"/>
      <name val="Arial"/>
      <family val="2"/>
    </font>
    <font>
      <b/>
      <sz val="9"/>
      <color indexed="81"/>
      <name val="Tahoma"/>
      <charset val="1"/>
    </font>
    <font>
      <sz val="9"/>
      <color theme="1"/>
      <name val="Arial"/>
      <family val="2"/>
    </font>
    <font>
      <sz val="9"/>
      <color rgb="FFFFFFFF"/>
      <name val="Arial"/>
      <family val="2"/>
    </font>
    <font>
      <sz val="11"/>
      <name val="Carlito"/>
    </font>
    <font>
      <b/>
      <sz val="9"/>
      <color theme="1"/>
      <name val="Arial"/>
      <family val="2"/>
    </font>
    <font>
      <i/>
      <sz val="9"/>
      <color rgb="FF595959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rgb="FF7F7F7F"/>
      <name val="Arial"/>
      <family val="2"/>
    </font>
    <font>
      <sz val="8"/>
      <name val="Calibri"/>
      <family val="2"/>
      <charset val="1"/>
    </font>
    <font>
      <sz val="10"/>
      <color theme="1"/>
      <name val="Arial"/>
      <family val="2"/>
    </font>
    <font>
      <b/>
      <sz val="14"/>
      <color rgb="FF0F2F3A"/>
      <name val="Arial"/>
      <family val="2"/>
    </font>
    <font>
      <sz val="10"/>
      <color rgb="FF4A5A6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2E75B6"/>
        <bgColor rgb="FF1B7F79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1F3864"/>
      </patternFill>
    </fill>
    <fill>
      <patternFill patternType="solid">
        <fgColor rgb="FFC55A11"/>
        <bgColor rgb="FF9C5700"/>
      </patternFill>
    </fill>
    <fill>
      <patternFill patternType="solid">
        <fgColor rgb="FF7F7F7F"/>
        <bgColor rgb="FF548235"/>
      </patternFill>
    </fill>
    <fill>
      <patternFill patternType="solid">
        <fgColor rgb="FF9C5700"/>
        <bgColor rgb="FF7F6000"/>
      </patternFill>
    </fill>
    <fill>
      <patternFill patternType="solid">
        <fgColor rgb="FF7030A0"/>
        <bgColor rgb="FF5B2C83"/>
      </patternFill>
    </fill>
    <fill>
      <patternFill patternType="solid">
        <fgColor rgb="FF548235"/>
        <bgColor rgb="FF3D8B6D"/>
      </patternFill>
    </fill>
    <fill>
      <patternFill patternType="solid">
        <fgColor rgb="FFF2F2F2"/>
        <bgColor rgb="FFEDEDED"/>
      </patternFill>
    </fill>
    <fill>
      <patternFill patternType="solid">
        <fgColor rgb="FF1B7F79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3D8B6D"/>
        <bgColor rgb="FF1B7F79"/>
      </patternFill>
    </fill>
    <fill>
      <patternFill patternType="solid">
        <fgColor rgb="FFEDCD67"/>
        <bgColor rgb="FFF4B183"/>
      </patternFill>
    </fill>
    <fill>
      <patternFill patternType="solid">
        <fgColor rgb="FFE89B3C"/>
        <bgColor rgb="FFF4B183"/>
      </patternFill>
    </fill>
    <fill>
      <patternFill patternType="solid">
        <fgColor rgb="FFC23F42"/>
        <bgColor rgb="FFC55A11"/>
      </patternFill>
    </fill>
    <fill>
      <patternFill patternType="solid">
        <fgColor rgb="FF5B2C83"/>
        <bgColor rgb="FF7030A0"/>
      </patternFill>
    </fill>
    <fill>
      <patternFill patternType="solid">
        <fgColor rgb="FF1F7A7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DCEBEF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26" fillId="0" borderId="0"/>
    <xf numFmtId="0" fontId="1" fillId="0" borderId="0"/>
  </cellStyleXfs>
  <cellXfs count="29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8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8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center" wrapText="1"/>
    </xf>
    <xf numFmtId="166" fontId="8" fillId="1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8" fillId="21" borderId="1" xfId="0" applyFont="1" applyFill="1" applyBorder="1" applyAlignment="1">
      <alignment horizontal="left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8" fillId="26" borderId="2" xfId="0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25" fillId="0" borderId="0" xfId="0" applyFont="1"/>
    <xf numFmtId="0" fontId="5" fillId="26" borderId="1" xfId="0" applyFont="1" applyFill="1" applyBorder="1" applyAlignment="1">
      <alignment horizontal="left" vertical="center" wrapText="1"/>
    </xf>
    <xf numFmtId="0" fontId="8" fillId="21" borderId="4" xfId="0" applyFont="1" applyFill="1" applyBorder="1" applyAlignment="1">
      <alignment horizontal="left" vertical="center" wrapText="1"/>
    </xf>
    <xf numFmtId="0" fontId="5" fillId="26" borderId="4" xfId="0" applyFont="1" applyFill="1" applyBorder="1" applyAlignment="1">
      <alignment horizontal="left" vertical="center" wrapText="1"/>
    </xf>
    <xf numFmtId="0" fontId="4" fillId="27" borderId="4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9" fontId="8" fillId="26" borderId="1" xfId="0" applyNumberFormat="1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7" fontId="8" fillId="12" borderId="1" xfId="0" applyNumberFormat="1" applyFont="1" applyFill="1" applyBorder="1" applyAlignment="1">
      <alignment horizontal="center" vertical="center" wrapText="1"/>
    </xf>
    <xf numFmtId="168" fontId="8" fillId="12" borderId="1" xfId="0" applyNumberFormat="1" applyFont="1" applyFill="1" applyBorder="1" applyAlignment="1">
      <alignment horizontal="center" vertical="center" wrapText="1"/>
    </xf>
    <xf numFmtId="14" fontId="8" fillId="26" borderId="1" xfId="0" applyNumberFormat="1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9" fontId="27" fillId="0" borderId="1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9" fontId="27" fillId="0" borderId="4" xfId="0" applyNumberFormat="1" applyFont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 wrapText="1"/>
    </xf>
    <xf numFmtId="169" fontId="7" fillId="0" borderId="4" xfId="0" applyNumberFormat="1" applyFont="1" applyBorder="1" applyAlignment="1">
      <alignment horizontal="center" vertical="center" wrapText="1"/>
    </xf>
    <xf numFmtId="0" fontId="27" fillId="23" borderId="4" xfId="0" applyFont="1" applyFill="1" applyBorder="1" applyAlignment="1">
      <alignment horizontal="center" vertical="center" wrapText="1"/>
    </xf>
    <xf numFmtId="0" fontId="27" fillId="30" borderId="4" xfId="0" applyFont="1" applyFill="1" applyBorder="1" applyAlignment="1">
      <alignment horizontal="center" vertical="center" wrapText="1"/>
    </xf>
    <xf numFmtId="0" fontId="27" fillId="24" borderId="4" xfId="0" applyFont="1" applyFill="1" applyBorder="1" applyAlignment="1">
      <alignment horizontal="center" vertical="center" wrapText="1"/>
    </xf>
    <xf numFmtId="0" fontId="27" fillId="25" borderId="4" xfId="0" applyFont="1" applyFill="1" applyBorder="1" applyAlignment="1">
      <alignment horizontal="center" vertical="center" wrapText="1"/>
    </xf>
    <xf numFmtId="0" fontId="27" fillId="31" borderId="1" xfId="0" applyFont="1" applyFill="1" applyBorder="1" applyAlignment="1">
      <alignment horizontal="center" vertical="center" wrapText="1"/>
    </xf>
    <xf numFmtId="0" fontId="4" fillId="27" borderId="0" xfId="0" applyFont="1" applyFill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7" fillId="26" borderId="1" xfId="0" applyFont="1" applyFill="1" applyBorder="1" applyAlignment="1">
      <alignment horizontal="center" vertical="center" wrapText="1"/>
    </xf>
    <xf numFmtId="0" fontId="27" fillId="26" borderId="4" xfId="0" applyFont="1" applyFill="1" applyBorder="1" applyAlignment="1">
      <alignment horizontal="center" vertical="center" wrapText="1"/>
    </xf>
    <xf numFmtId="0" fontId="24" fillId="26" borderId="1" xfId="0" applyFont="1" applyFill="1" applyBorder="1" applyAlignment="1">
      <alignment vertical="center" wrapText="1"/>
    </xf>
    <xf numFmtId="9" fontId="27" fillId="26" borderId="1" xfId="0" applyNumberFormat="1" applyFont="1" applyFill="1" applyBorder="1" applyAlignment="1">
      <alignment horizontal="center" vertical="center" wrapText="1"/>
    </xf>
    <xf numFmtId="0" fontId="27" fillId="21" borderId="2" xfId="0" applyFont="1" applyFill="1" applyBorder="1" applyAlignment="1">
      <alignment horizontal="left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9" fillId="26" borderId="2" xfId="0" applyFont="1" applyFill="1" applyBorder="1" applyAlignment="1">
      <alignment horizontal="center" vertical="center" wrapText="1"/>
    </xf>
    <xf numFmtId="169" fontId="29" fillId="26" borderId="2" xfId="0" applyNumberFormat="1" applyFont="1" applyFill="1" applyBorder="1" applyAlignment="1">
      <alignment horizontal="center" vertical="center" wrapText="1"/>
    </xf>
    <xf numFmtId="9" fontId="29" fillId="26" borderId="3" xfId="0" applyNumberFormat="1" applyFont="1" applyFill="1" applyBorder="1" applyAlignment="1">
      <alignment horizontal="center" vertical="center" wrapText="1"/>
    </xf>
    <xf numFmtId="0" fontId="24" fillId="26" borderId="1" xfId="0" applyFont="1" applyFill="1" applyBorder="1" applyAlignment="1">
      <alignment horizontal="center" vertical="center" wrapText="1"/>
    </xf>
    <xf numFmtId="169" fontId="24" fillId="26" borderId="1" xfId="0" applyNumberFormat="1" applyFont="1" applyFill="1" applyBorder="1" applyAlignment="1">
      <alignment horizontal="center" vertical="center" wrapText="1"/>
    </xf>
    <xf numFmtId="169" fontId="27" fillId="26" borderId="1" xfId="0" applyNumberFormat="1" applyFont="1" applyFill="1" applyBorder="1" applyAlignment="1">
      <alignment horizontal="center" vertical="center" wrapText="1"/>
    </xf>
    <xf numFmtId="9" fontId="24" fillId="2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9" fontId="5" fillId="26" borderId="1" xfId="0" applyNumberFormat="1" applyFont="1" applyFill="1" applyBorder="1" applyAlignment="1">
      <alignment horizontal="center" vertical="center" wrapText="1"/>
    </xf>
    <xf numFmtId="2" fontId="5" fillId="26" borderId="1" xfId="0" applyNumberFormat="1" applyFont="1" applyFill="1" applyBorder="1" applyAlignment="1">
      <alignment horizontal="center" vertical="center" wrapText="1"/>
    </xf>
    <xf numFmtId="0" fontId="4" fillId="28" borderId="0" xfId="0" applyFont="1" applyFill="1" applyAlignment="1">
      <alignment horizontal="center" vertical="center" wrapText="1"/>
    </xf>
    <xf numFmtId="2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14" fontId="5" fillId="26" borderId="1" xfId="0" applyNumberFormat="1" applyFont="1" applyFill="1" applyBorder="1" applyAlignment="1">
      <alignment horizontal="center" vertical="center" wrapText="1"/>
    </xf>
    <xf numFmtId="0" fontId="4" fillId="33" borderId="0" xfId="0" applyFont="1" applyFill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6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8" fillId="12" borderId="4" xfId="0" applyNumberFormat="1" applyFont="1" applyFill="1" applyBorder="1" applyAlignment="1">
      <alignment horizontal="center" vertical="center" wrapText="1"/>
    </xf>
    <xf numFmtId="167" fontId="6" fillId="0" borderId="4" xfId="0" applyNumberFormat="1" applyFont="1" applyBorder="1" applyAlignment="1">
      <alignment horizontal="center" vertical="center" wrapText="1"/>
    </xf>
    <xf numFmtId="167" fontId="8" fillId="12" borderId="4" xfId="0" applyNumberFormat="1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168" fontId="8" fillId="12" borderId="4" xfId="0" applyNumberFormat="1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left" vertical="center" wrapText="1"/>
    </xf>
    <xf numFmtId="166" fontId="8" fillId="12" borderId="4" xfId="0" applyNumberFormat="1" applyFont="1" applyFill="1" applyBorder="1" applyAlignment="1">
      <alignment horizontal="center" vertical="center" wrapText="1"/>
    </xf>
    <xf numFmtId="14" fontId="8" fillId="26" borderId="4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0" fontId="8" fillId="26" borderId="7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4" fillId="27" borderId="12" xfId="0" applyFont="1" applyFill="1" applyBorder="1" applyAlignment="1">
      <alignment horizontal="center" vertical="center" wrapText="1"/>
    </xf>
    <xf numFmtId="0" fontId="4" fillId="27" borderId="15" xfId="0" applyFont="1" applyFill="1" applyBorder="1" applyAlignment="1">
      <alignment horizontal="center" vertical="center" wrapText="1"/>
    </xf>
    <xf numFmtId="0" fontId="4" fillId="27" borderId="8" xfId="0" applyFont="1" applyFill="1" applyBorder="1" applyAlignment="1">
      <alignment horizontal="center" vertical="center" wrapText="1"/>
    </xf>
    <xf numFmtId="0" fontId="8" fillId="26" borderId="14" xfId="0" applyFont="1" applyFill="1" applyBorder="1" applyAlignment="1">
      <alignment horizontal="center" vertical="center" wrapText="1"/>
    </xf>
    <xf numFmtId="0" fontId="8" fillId="26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>
      <alignment horizontal="center" vertical="center" wrapText="1"/>
    </xf>
    <xf numFmtId="9" fontId="8" fillId="26" borderId="4" xfId="0" applyNumberFormat="1" applyFont="1" applyFill="1" applyBorder="1" applyAlignment="1">
      <alignment horizontal="center" vertical="center" wrapText="1"/>
    </xf>
    <xf numFmtId="0" fontId="8" fillId="26" borderId="3" xfId="0" applyFont="1" applyFill="1" applyBorder="1" applyAlignment="1">
      <alignment horizontal="left" vertical="center" wrapText="1"/>
    </xf>
    <xf numFmtId="0" fontId="6" fillId="22" borderId="3" xfId="0" applyFont="1" applyFill="1" applyBorder="1" applyAlignment="1">
      <alignment horizontal="left" vertical="center" wrapText="1"/>
    </xf>
    <xf numFmtId="1" fontId="24" fillId="0" borderId="0" xfId="0" applyNumberFormat="1" applyFont="1"/>
    <xf numFmtId="0" fontId="4" fillId="28" borderId="0" xfId="0" applyFont="1" applyFill="1" applyAlignment="1">
      <alignment horizontal="center"/>
    </xf>
    <xf numFmtId="1" fontId="4" fillId="28" borderId="0" xfId="0" applyNumberFormat="1" applyFont="1" applyFill="1" applyAlignment="1">
      <alignment horizontal="center"/>
    </xf>
    <xf numFmtId="0" fontId="24" fillId="0" borderId="1" xfId="0" applyFont="1" applyBorder="1" applyAlignment="1">
      <alignment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1" fillId="0" borderId="0" xfId="2"/>
    <xf numFmtId="49" fontId="5" fillId="12" borderId="1" xfId="0" applyNumberFormat="1" applyFont="1" applyFill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vertical="top" wrapText="1"/>
    </xf>
    <xf numFmtId="0" fontId="34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3" fillId="34" borderId="0" xfId="0" applyFont="1" applyFill="1" applyAlignment="1">
      <alignment vertical="top" wrapText="1"/>
    </xf>
    <xf numFmtId="0" fontId="36" fillId="34" borderId="0" xfId="0" applyFont="1" applyFill="1" applyAlignment="1">
      <alignment vertical="top"/>
    </xf>
    <xf numFmtId="0" fontId="36" fillId="0" borderId="0" xfId="0" applyFont="1" applyAlignment="1">
      <alignment vertical="top" wrapText="1"/>
    </xf>
    <xf numFmtId="14" fontId="33" fillId="0" borderId="0" xfId="0" applyNumberFormat="1" applyFont="1" applyAlignment="1">
      <alignment horizontal="left" vertical="top" wrapText="1"/>
    </xf>
    <xf numFmtId="0" fontId="37" fillId="0" borderId="0" xfId="0" applyFont="1"/>
    <xf numFmtId="170" fontId="6" fillId="0" borderId="1" xfId="0" applyNumberFormat="1" applyFont="1" applyBorder="1" applyAlignment="1">
      <alignment horizontal="center" vertical="center" wrapText="1"/>
    </xf>
    <xf numFmtId="0" fontId="3" fillId="27" borderId="0" xfId="0" applyFont="1" applyFill="1" applyAlignment="1">
      <alignment horizontal="left" vertical="center"/>
    </xf>
    <xf numFmtId="0" fontId="8" fillId="21" borderId="0" xfId="0" applyFont="1" applyFill="1" applyAlignment="1">
      <alignment horizontal="left" vertical="top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11" xfId="0" applyFont="1" applyFill="1" applyBorder="1" applyAlignment="1">
      <alignment horizontal="center" vertical="center" wrapText="1"/>
    </xf>
    <xf numFmtId="0" fontId="4" fillId="28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6" xfId="0" applyFont="1" applyFill="1" applyBorder="1" applyAlignment="1">
      <alignment horizontal="center" vertical="center" wrapText="1"/>
    </xf>
    <xf numFmtId="0" fontId="4" fillId="28" borderId="7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14" fontId="8" fillId="12" borderId="1" xfId="0" applyNumberFormat="1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" fontId="12" fillId="14" borderId="1" xfId="0" applyNumberFormat="1" applyFont="1" applyFill="1" applyBorder="1" applyAlignment="1">
      <alignment horizontal="center" vertical="center" wrapText="1"/>
    </xf>
    <xf numFmtId="9" fontId="12" fillId="14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3" fillId="33" borderId="0" xfId="0" applyFont="1" applyFill="1"/>
    <xf numFmtId="0" fontId="24" fillId="21" borderId="0" xfId="0" applyFont="1" applyFill="1" applyAlignment="1">
      <alignment vertical="top" wrapText="1"/>
    </xf>
    <xf numFmtId="0" fontId="3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1" borderId="8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13" fillId="11" borderId="8" xfId="0" applyFont="1" applyFill="1" applyBorder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14" fontId="6" fillId="5" borderId="8" xfId="0" applyNumberFormat="1" applyFont="1" applyFill="1" applyBorder="1" applyAlignment="1">
      <alignment horizontal="left" vertical="center" wrapText="1"/>
    </xf>
    <xf numFmtId="14" fontId="6" fillId="5" borderId="0" xfId="0" applyNumberFormat="1" applyFont="1" applyFill="1" applyAlignment="1">
      <alignment horizontal="left" vertical="center" wrapText="1"/>
    </xf>
    <xf numFmtId="0" fontId="13" fillId="29" borderId="0" xfId="0" applyFont="1" applyFill="1" applyAlignment="1">
      <alignment horizontal="left" vertical="center"/>
    </xf>
    <xf numFmtId="0" fontId="24" fillId="21" borderId="0" xfId="0" applyFont="1" applyFill="1" applyAlignment="1">
      <alignment horizontal="left" vertical="top" wrapText="1"/>
    </xf>
    <xf numFmtId="0" fontId="3" fillId="29" borderId="0" xfId="0" applyFont="1" applyFill="1" applyAlignment="1">
      <alignment horizontal="left" vertical="center"/>
    </xf>
    <xf numFmtId="0" fontId="24" fillId="21" borderId="11" xfId="0" applyFont="1" applyFill="1" applyBorder="1" applyAlignment="1">
      <alignment horizontal="left" vertical="top" wrapText="1"/>
    </xf>
    <xf numFmtId="0" fontId="13" fillId="28" borderId="0" xfId="0" applyFont="1" applyFill="1" applyAlignment="1">
      <alignment horizontal="left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8" fillId="21" borderId="4" xfId="0" applyFont="1" applyFill="1" applyBorder="1" applyAlignment="1">
      <alignment horizontal="left" vertical="center" wrapText="1"/>
    </xf>
    <xf numFmtId="0" fontId="3" fillId="27" borderId="4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13" fillId="27" borderId="1" xfId="0" applyFont="1" applyFill="1" applyBorder="1" applyAlignment="1">
      <alignment horizontal="left" vertical="center" wrapText="1"/>
    </xf>
    <xf numFmtId="0" fontId="13" fillId="27" borderId="4" xfId="0" applyFont="1" applyFill="1" applyBorder="1" applyAlignment="1">
      <alignment horizontal="left" vertical="center" wrapText="1"/>
    </xf>
    <xf numFmtId="0" fontId="8" fillId="21" borderId="3" xfId="0" applyFont="1" applyFill="1" applyBorder="1" applyAlignment="1">
      <alignment horizontal="left" vertical="center" wrapText="1"/>
    </xf>
    <xf numFmtId="0" fontId="8" fillId="21" borderId="2" xfId="0" applyFont="1" applyFill="1" applyBorder="1" applyAlignment="1">
      <alignment horizontal="left" vertical="center" wrapText="1"/>
    </xf>
    <xf numFmtId="0" fontId="17" fillId="22" borderId="0" xfId="0" applyFont="1" applyFill="1" applyAlignment="1">
      <alignment horizontal="left" vertical="top" wrapText="1"/>
    </xf>
    <xf numFmtId="0" fontId="27" fillId="21" borderId="1" xfId="0" applyFont="1" applyFill="1" applyBorder="1" applyAlignment="1">
      <alignment horizontal="left" vertical="center" wrapText="1"/>
    </xf>
    <xf numFmtId="0" fontId="27" fillId="21" borderId="2" xfId="0" applyFont="1" applyFill="1" applyBorder="1" applyAlignment="1">
      <alignment horizontal="left" vertical="center" wrapText="1"/>
    </xf>
    <xf numFmtId="0" fontId="13" fillId="32" borderId="0" xfId="0" applyFont="1" applyFill="1" applyAlignment="1">
      <alignment horizontal="left" vertical="center"/>
    </xf>
    <xf numFmtId="0" fontId="24" fillId="26" borderId="1" xfId="0" applyFont="1" applyFill="1" applyBorder="1" applyAlignment="1">
      <alignment horizontal="left" vertical="center" wrapText="1"/>
    </xf>
    <xf numFmtId="0" fontId="13" fillId="20" borderId="0" xfId="0" applyFont="1" applyFill="1" applyAlignment="1">
      <alignment horizontal="left" vertical="center"/>
    </xf>
    <xf numFmtId="0" fontId="4" fillId="20" borderId="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30" fillId="26" borderId="4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7" fillId="2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28" borderId="0" xfId="0" applyFont="1" applyFill="1"/>
  </cellXfs>
  <cellStyles count="3">
    <cellStyle name="Normal" xfId="0" builtinId="0"/>
    <cellStyle name="Normal 2" xfId="1" xr:uid="{ED70366B-060A-4A7C-93E0-91E51F22FFC3}"/>
    <cellStyle name="Normal 3" xfId="2" xr:uid="{50B78D30-3663-4733-86AE-8335BAE1E4DB}"/>
  </cellStyles>
  <dxfs count="510"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i val="0"/>
        <color rgb="FF833C0B"/>
      </font>
      <fill>
        <patternFill>
          <bgColor rgb="FFF4B084"/>
        </patternFill>
      </fill>
    </dxf>
    <dxf>
      <font>
        <b/>
        <i val="0"/>
        <color rgb="FF7F6000"/>
      </font>
      <fill>
        <patternFill>
          <bgColor rgb="FFFFEB9C"/>
        </patternFill>
      </fill>
    </dxf>
    <dxf>
      <font>
        <b/>
        <i val="0"/>
        <color rgb="FF7F6000"/>
      </font>
      <fill>
        <patternFill>
          <bgColor rgb="FFFFEB9C"/>
        </patternFill>
      </fill>
    </dxf>
    <dxf>
      <font>
        <b/>
        <i val="0"/>
        <color rgb="FF7F0000"/>
      </font>
      <fill>
        <patternFill>
          <bgColor rgb="FFFF7C80"/>
        </patternFill>
      </fill>
    </dxf>
    <dxf>
      <font>
        <b/>
        <i val="0"/>
        <color rgb="FF7F0000"/>
      </font>
      <fill>
        <patternFill>
          <bgColor rgb="FFFF7C80"/>
        </patternFill>
      </fill>
    </dxf>
    <dxf>
      <font>
        <b/>
        <i val="0"/>
        <color rgb="FF375623"/>
      </font>
      <fill>
        <patternFill>
          <bgColor rgb="FFC6E0B4"/>
        </patternFill>
      </fill>
    </dxf>
    <dxf>
      <font>
        <b/>
        <i val="0"/>
        <color rgb="FF404040"/>
      </font>
      <fill>
        <patternFill>
          <bgColor rgb="FFD9D9D9"/>
        </patternFill>
      </fill>
    </dxf>
    <dxf>
      <font>
        <b/>
        <i val="0"/>
        <color rgb="FF833C0B"/>
      </font>
      <fill>
        <patternFill>
          <bgColor rgb="FFF4B084"/>
        </patternFill>
      </fill>
    </dxf>
    <dxf>
      <font>
        <b/>
        <i val="0"/>
        <color rgb="FF7F0000"/>
      </font>
      <fill>
        <patternFill>
          <bgColor rgb="FFFF7C80"/>
        </patternFill>
      </fill>
    </dxf>
    <dxf>
      <font>
        <b/>
        <i val="0"/>
        <color rgb="FF7F6000"/>
      </font>
      <fill>
        <patternFill>
          <bgColor rgb="FFFFEB9C"/>
        </patternFill>
      </fill>
    </dxf>
    <dxf>
      <font>
        <b/>
        <i val="0"/>
        <color rgb="FF375623"/>
      </font>
      <fill>
        <patternFill>
          <bgColor rgb="FFC6E0B4"/>
        </patternFill>
      </fill>
    </dxf>
    <dxf>
      <font>
        <b/>
        <i val="0"/>
        <color rgb="FF404040"/>
      </font>
      <fill>
        <patternFill>
          <bgColor rgb="FFD9D9D9"/>
        </patternFill>
      </fill>
    </dxf>
    <dxf>
      <font>
        <b/>
        <i val="0"/>
        <color rgb="FF7F0000"/>
      </font>
      <fill>
        <patternFill>
          <bgColor rgb="FFFF7C80"/>
        </patternFill>
      </fill>
    </dxf>
    <dxf>
      <font>
        <b/>
        <i val="0"/>
        <color rgb="FF7F6000"/>
      </font>
      <fill>
        <patternFill>
          <bgColor rgb="FFFFEB9C"/>
        </patternFill>
      </fill>
    </dxf>
    <dxf>
      <font>
        <b/>
        <i val="0"/>
        <color rgb="FF375623"/>
      </font>
      <fill>
        <patternFill>
          <bgColor rgb="FFC6E0B4"/>
        </patternFill>
      </fill>
    </dxf>
    <dxf>
      <font>
        <b/>
        <i val="0"/>
        <color rgb="FF833C0B"/>
      </font>
      <fill>
        <patternFill>
          <bgColor rgb="FFF4B084"/>
        </patternFill>
      </fill>
    </dxf>
    <dxf>
      <font>
        <b/>
        <i val="0"/>
        <color rgb="FF7F0000"/>
      </font>
      <fill>
        <patternFill>
          <bgColor rgb="FFFF7C80"/>
        </patternFill>
      </fill>
    </dxf>
    <dxf>
      <font>
        <b/>
        <i val="0"/>
        <color rgb="FF7F6000"/>
      </font>
      <fill>
        <patternFill>
          <bgColor rgb="FFFFEB9C"/>
        </patternFill>
      </fill>
    </dxf>
    <dxf>
      <font>
        <b/>
        <i val="0"/>
        <color rgb="FF375623"/>
      </font>
      <fill>
        <patternFill>
          <bgColor rgb="FFC6E0B4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7F6000"/>
      </font>
      <fill>
        <patternFill>
          <bgColor rgb="FFFFEB9C"/>
        </patternFill>
      </fill>
    </dxf>
    <dxf>
      <font>
        <b/>
        <i val="0"/>
        <color rgb="FF375623"/>
      </font>
      <fill>
        <patternFill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7F0000"/>
      </font>
      <fill>
        <patternFill>
          <bgColor rgb="FFFF7C80"/>
        </patternFill>
      </fill>
    </dxf>
    <dxf>
      <font>
        <b/>
        <i val="0"/>
        <color rgb="FF7F6000"/>
      </font>
      <fill>
        <patternFill>
          <bgColor rgb="FFFFEB9C"/>
        </patternFill>
      </fill>
    </dxf>
    <dxf>
      <font>
        <b/>
        <i val="0"/>
        <color rgb="FF375623"/>
      </font>
      <fill>
        <patternFill>
          <bgColor rgb="FFC6E0B4"/>
        </patternFill>
      </fill>
    </dxf>
    <dxf>
      <font>
        <color rgb="FF5B2C83"/>
      </font>
      <fill>
        <patternFill>
          <bgColor rgb="FFE6D7F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F0000"/>
      </font>
      <fill>
        <patternFill>
          <bgColor rgb="FFFF7C80"/>
        </patternFill>
      </fill>
    </dxf>
    <dxf>
      <font>
        <color rgb="FF833C0B"/>
      </font>
      <fill>
        <patternFill>
          <bgColor rgb="FFF4B084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375623"/>
      </font>
      <fill>
        <patternFill>
          <bgColor rgb="FFC6E0B4"/>
        </patternFill>
      </fill>
    </dxf>
    <dxf>
      <font>
        <b/>
        <color rgb="FF1F4E79"/>
        <name val="Arial"/>
        <charset val="1"/>
      </font>
      <fill>
        <patternFill>
          <bgColor rgb="FFDDEBF7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0000"/>
        <name val="Arial"/>
        <charset val="1"/>
      </font>
      <fill>
        <patternFill>
          <bgColor rgb="FFFFE699"/>
        </patternFill>
      </fill>
    </dxf>
    <dxf>
      <font>
        <b/>
        <color rgb="FF000000"/>
        <name val="Arial"/>
        <charset val="1"/>
      </font>
      <fill>
        <patternFill>
          <bgColor rgb="FFF4B183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ont>
        <b/>
        <color rgb="FFC00000"/>
        <name val="Arial"/>
        <charset val="1"/>
      </font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61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404040"/>
        <name val="Arial"/>
        <charset val="1"/>
      </font>
      <fill>
        <patternFill>
          <bgColor rgb="FFE7E6E6"/>
        </patternFill>
      </fill>
    </dxf>
    <dxf>
      <font>
        <b/>
        <color rgb="FF000000"/>
        <name val="Arial"/>
        <charset val="1"/>
      </font>
      <fill>
        <patternFill>
          <bgColor rgb="FF9DC3E6"/>
        </patternFill>
      </fill>
    </dxf>
    <dxf>
      <font>
        <b/>
        <color rgb="FFFFFFFF"/>
        <name val="Arial"/>
        <charset val="1"/>
      </font>
      <fill>
        <patternFill>
          <bgColor rgb="FF1B7F79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C000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C55A11"/>
        <name val="Arial"/>
        <charset val="1"/>
      </font>
      <fill>
        <patternFill>
          <bgColor rgb="FFFCE4D6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C23F42"/>
        </patternFill>
      </fill>
    </dxf>
    <dxf>
      <font>
        <b/>
        <color rgb="FF000000"/>
        <name val="Arial"/>
        <charset val="1"/>
      </font>
      <fill>
        <patternFill>
          <bgColor rgb="FFE89B3C"/>
        </patternFill>
      </fill>
    </dxf>
    <dxf>
      <font>
        <b/>
        <color rgb="FF000000"/>
        <name val="Arial"/>
        <charset val="1"/>
      </font>
      <fill>
        <patternFill>
          <bgColor rgb="FFEDCD67"/>
        </patternFill>
      </fill>
    </dxf>
    <dxf>
      <font>
        <b/>
        <color rgb="FFFFFFFF"/>
        <name val="Arial"/>
        <charset val="1"/>
      </font>
      <fill>
        <patternFill>
          <bgColor rgb="FF3D8B6D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7F7F7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B7F79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7F7F7F"/>
        <name val="Arial"/>
        <family val="2"/>
        <scheme val="none"/>
      </font>
      <numFmt numFmtId="2" formatCode="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7F7F7F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7F7F7F"/>
        <name val="Arial"/>
        <family val="2"/>
        <scheme val="none"/>
      </font>
      <numFmt numFmtId="2" formatCode="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1F7A7A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BF9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3" formatCode="0%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BF9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B7F79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7030A0"/>
          <bgColor rgb="FF5B2C8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E0666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6" formatCode="0.000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9C0006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B7F79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8" formatCode="0.0&quot;x&quot;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7" formatCode="&quot;R$&quot;\ #,##0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67" formatCode="&quot;R$&quot;\ #,##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67" formatCode="&quot;R$&quot;\ #,##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548235"/>
          <bgColor rgb="FF7F7F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7" formatCode="&quot;R$&quot;\ #,##0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67" formatCode="&quot;R$&quot;\ #,##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67" formatCode="&quot;R$&quot;\ #,##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rgb="FFEDEDED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548235"/>
          <bgColor rgb="FF7F7F7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7F7F7F"/>
        <name val="Arial"/>
        <family val="2"/>
        <scheme val="none"/>
      </font>
      <numFmt numFmtId="2" formatCode="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2" formatCode="0.00"/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BF9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CE4D6"/>
      <rgbColor rgb="FFFF00FF"/>
      <rgbColor rgb="FF00FFFF"/>
      <rgbColor rgb="FF9C0006"/>
      <rgbColor rgb="FF006100"/>
      <rgbColor rgb="FF000080"/>
      <rgbColor rgb="FF7F6000"/>
      <rgbColor rgb="FF800080"/>
      <rgbColor rgb="FF1B7F79"/>
      <rgbColor rgb="FFBFBFBF"/>
      <rgbColor rgb="FF7F7F7F"/>
      <rgbColor rgb="FFEDEDED"/>
      <rgbColor rgb="FFC23F42"/>
      <rgbColor rgb="FFFFF2CC"/>
      <rgbColor rgb="FFDDEBF7"/>
      <rgbColor rgb="FF5B2C83"/>
      <rgbColor rgb="FFE06666"/>
      <rgbColor rgb="FF1F4E79"/>
      <rgbColor rgb="FFE4DFE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DC3E6"/>
      <rgbColor rgb="FFF4B183"/>
      <rgbColor rgb="FFE7E6E6"/>
      <rgbColor rgb="FFFFC7CE"/>
      <rgbColor rgb="FF2E75B6"/>
      <rgbColor rgb="FF33CCCC"/>
      <rgbColor rgb="FFBF9000"/>
      <rgbColor rgb="FFEDCD67"/>
      <rgbColor rgb="FFE89B3C"/>
      <rgbColor rgb="FFC55A11"/>
      <rgbColor rgb="FF595959"/>
      <rgbColor rgb="FF548235"/>
      <rgbColor rgb="FF0E2841"/>
      <rgbColor rgb="FF3D8B6D"/>
      <rgbColor rgb="FF003300"/>
      <rgbColor rgb="FF404040"/>
      <rgbColor rgb="FF9C5700"/>
      <rgbColor rgb="FF7030A0"/>
      <rgbColor rgb="FF1F3864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Maturidade × conformidade em auditoria, por dimensão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Índice de maturidade</c:v>
          </c:tx>
          <c:spPr>
            <a:solidFill>
              <a:srgbClr val="1F7A7A"/>
            </a:solidFill>
          </c:spPr>
          <c:invertIfNegative val="0"/>
          <c:cat>
            <c:strRef>
              <c:f>Maturidade_Auditoria!$A$27:$A$32</c:f>
              <c:strCache>
                <c:ptCount val="6"/>
                <c:pt idx="0">
                  <c:v>Governança</c:v>
                </c:pt>
                <c:pt idx="1">
                  <c:v>Identificação</c:v>
                </c:pt>
                <c:pt idx="2">
                  <c:v>Análise e avaliação</c:v>
                </c:pt>
                <c:pt idx="3">
                  <c:v>Tratamento e controles</c:v>
                </c:pt>
                <c:pt idx="4">
                  <c:v>Monitoramento e comunicação</c:v>
                </c:pt>
                <c:pt idx="5">
                  <c:v>Aprendizagem e melhoria</c:v>
                </c:pt>
              </c:strCache>
            </c:strRef>
          </c:cat>
          <c:val>
            <c:numRef>
              <c:f>Maturidade_Auditoria!$B$27:$B$32</c:f>
              <c:numCache>
                <c:formatCode>0.0%</c:formatCode>
                <c:ptCount val="6"/>
                <c:pt idx="0">
                  <c:v>0.57045454545454544</c:v>
                </c:pt>
                <c:pt idx="1">
                  <c:v>0.70937499999999998</c:v>
                </c:pt>
                <c:pt idx="2">
                  <c:v>0.48888888888888893</c:v>
                </c:pt>
                <c:pt idx="3">
                  <c:v>0.44500000000000001</c:v>
                </c:pt>
                <c:pt idx="4">
                  <c:v>0.51249999999999996</c:v>
                </c:pt>
                <c:pt idx="5">
                  <c:v>0.17500000000000002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4-4B3F-A395-C93C86EF5F82}"/>
            </c:ext>
          </c:extLst>
        </c:ser>
        <c:ser>
          <c:idx val="1"/>
          <c:order val="1"/>
          <c:tx>
            <c:v>Conformidade em auditoria</c:v>
          </c:tx>
          <c:spPr>
            <a:solidFill>
              <a:srgbClr val="BF9000"/>
            </a:solidFill>
          </c:spPr>
          <c:invertIfNegative val="0"/>
          <c:cat>
            <c:strRef>
              <c:f>Maturidade_Auditoria!$A$27:$A$32</c:f>
              <c:strCache>
                <c:ptCount val="6"/>
                <c:pt idx="0">
                  <c:v>Governança</c:v>
                </c:pt>
                <c:pt idx="1">
                  <c:v>Identificação</c:v>
                </c:pt>
                <c:pt idx="2">
                  <c:v>Análise e avaliação</c:v>
                </c:pt>
                <c:pt idx="3">
                  <c:v>Tratamento e controles</c:v>
                </c:pt>
                <c:pt idx="4">
                  <c:v>Monitoramento e comunicação</c:v>
                </c:pt>
                <c:pt idx="5">
                  <c:v>Aprendizagem e melhoria</c:v>
                </c:pt>
              </c:strCache>
            </c:strRef>
          </c:cat>
          <c:val>
            <c:numRef>
              <c:f>Maturidade_Auditoria!$E$27:$E$32</c:f>
              <c:numCache>
                <c:formatCode>0%</c:formatCode>
                <c:ptCount val="6"/>
                <c:pt idx="0">
                  <c:v>0.94444444444444442</c:v>
                </c:pt>
                <c:pt idx="1">
                  <c:v>0.72222222222222221</c:v>
                </c:pt>
                <c:pt idx="2">
                  <c:v>0.89583333333333337</c:v>
                </c:pt>
                <c:pt idx="3">
                  <c:v>0.67708333333333337</c:v>
                </c:pt>
                <c:pt idx="4">
                  <c:v>0.63636363636363635</c:v>
                </c:pt>
                <c:pt idx="5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D4-4B3F-A395-C93C86EF5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8675119"/>
        <c:axId val="768740015"/>
      </c:barChart>
      <c:catAx>
        <c:axId val="1218675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8740015"/>
        <c:crosses val="autoZero"/>
        <c:auto val="1"/>
        <c:lblAlgn val="ctr"/>
        <c:lblOffset val="100"/>
        <c:noMultiLvlLbl val="0"/>
      </c:catAx>
      <c:valAx>
        <c:axId val="768740015"/>
        <c:scaling>
          <c:orientation val="minMax"/>
          <c:max val="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121867511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5</xdr:col>
      <xdr:colOff>784860</xdr:colOff>
      <xdr:row>64</xdr:row>
      <xdr:rowOff>134620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3A53FF-D06E-9FFC-3D49-1F15EE914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CB65A2-6084-4E2D-BA78-CF1310E7104D}" name="tbRiscos" displayName="tbRiscos" ref="A4:CI154" totalsRowShown="0" headerRowDxfId="485" headerRowBorderDxfId="484" tableBorderDxfId="483" totalsRowBorderDxfId="482">
  <autoFilter ref="A4:CI154" xr:uid="{86CB65A2-6084-4E2D-BA78-CF1310E7104D}"/>
  <tableColumns count="87">
    <tableColumn id="1" xr3:uid="{B199D100-25B9-4EC5-9E22-6229446F43B4}" name="ID" dataDxfId="481"/>
    <tableColumn id="2" xr3:uid="{1707EF53-B7E3-4475-8E86-A8AFFD051D5B}" name="Área / processo responsável" dataDxfId="480"/>
    <tableColumn id="3" xr3:uid="{E66AF2B6-AAC8-4099-B1CE-BE9EE19AA799}" name="Descrição do risco" dataDxfId="479"/>
    <tableColumn id="4" xr3:uid="{278DEEA3-BD5A-4454-97D9-9F2F92B2C564}" name="Origem" dataDxfId="478"/>
    <tableColumn id="5" xr3:uid="{1A038EA4-23A0-49CE-9075-B198979E495F}" name="Tipo de risco" dataDxfId="477"/>
    <tableColumn id="6" xr3:uid="{74BC2269-05D7-46DE-8C9A-B7EEDD191676}" name="Nível de análise" dataDxfId="476"/>
    <tableColumn id="7" xr3:uid="{4883E006-AB40-4E42-BDB4-156CA2EEC023}" name="Objetivo afetado" dataDxfId="475"/>
    <tableColumn id="8" xr3:uid="{4AD506EA-44F4-4EB4-8107-E4BE5FF6DCA2}" name="Situação vs. análise anterior" dataDxfId="474"/>
    <tableColumn id="9" xr3:uid="{CFB88A6F-E1CE-4604-9E9D-FA7451A6D40D}" name="Parte interessada afetada" dataDxfId="473"/>
    <tableColumn id="10" xr3:uid="{56F9AA66-C1FA-4BE5-895C-C1813BA87FB7}" name="Causa" dataDxfId="472"/>
    <tableColumn id="11" xr3:uid="{F294AE69-FAB6-404D-B8B8-C84320FEBEC0}" name="Causa (6M)" dataDxfId="471"/>
    <tableColumn id="12" xr3:uid="{39829629-A422-4966-9F95-7FB33114A96D}" name="Consequência (impacto)" dataDxfId="470"/>
    <tableColumn id="13" xr3:uid="{1E1A6712-B426-43AE-9851-52B4B9095493}" name="Categoria de impacto" dataDxfId="469"/>
    <tableColumn id="14" xr3:uid="{A4B15AF9-2C2F-423A-8B14-0EA626DED6FF}" name="Prob. inerente" dataDxfId="468"/>
    <tableColumn id="15" xr3:uid="{111A4CB1-3322-46E9-8379-682A03BF04AE}" name="Imp. inerente" dataDxfId="467"/>
    <tableColumn id="16" xr3:uid="{3CF23460-5EBE-4B21-AF1C-B90F2B03A9F6}" name="Score inerente" dataDxfId="466">
      <calculatedColumnFormula>IF(COUNT($N5:$O5)=2,$N5*$O5,"")</calculatedColumnFormula>
    </tableColumn>
    <tableColumn id="17" xr3:uid="{439189B4-F8CF-4647-AF88-067713BAF0E3}" name="Nível inerente" dataDxfId="465">
      <calculatedColumnFormula>IF($P5="","",INDEX(Niveis,MAX(IFERROR(MATCH($P5,Limites,1),1),IF($O5=5,MinIdx,1))))</calculatedColumnFormula>
    </tableColumn>
    <tableColumn id="18" xr3:uid="{0A6DAB70-FD0A-4A0B-8196-00624F050085}" name="Controles existentes" dataDxfId="464"/>
    <tableColumn id="19" xr3:uid="{66B1C2FD-902C-45E8-9F9C-B26725BDFE06}" name="Eficácia dos controles" dataDxfId="463"/>
    <tableColumn id="20" xr3:uid="{35499256-6C6E-4EF1-AA56-8988D6E70FD8}" name="Prob. atual" dataDxfId="462"/>
    <tableColumn id="21" xr3:uid="{729E2DBB-957B-4171-AF7A-3218C43526FC}" name="Imp. atual" dataDxfId="461"/>
    <tableColumn id="22" xr3:uid="{5C9E7F1D-CFA3-451B-940D-8265C1358A28}" name="Score atual" dataDxfId="460">
      <calculatedColumnFormula>IF(COUNT($T5:$U5)=2,$T5*$U5,"")</calculatedColumnFormula>
    </tableColumn>
    <tableColumn id="23" xr3:uid="{F34F84CD-2D26-4ADE-A26B-B38DEAC214F0}" name="Nível atual" dataDxfId="459">
      <calculatedColumnFormula>IF($V5="","",INDEX(Niveis,MAX(IFERROR(MATCH($V5,Limites,1),1),IF($U5=5,MinIdx,1))))</calculatedColumnFormula>
    </tableColumn>
    <tableColumn id="24" xr3:uid="{4833E595-3103-466D-B810-9285D7BDC5AF}" name="Confiança da estimativa" dataDxfId="458"/>
    <tableColumn id="25" xr3:uid="{A581264A-D946-41B9-AE13-97384FB99B8C}" name="Ação recomendada" dataDxfId="457">
      <calculatedColumnFormula>IF(IF($W5&lt;&gt;"",$W5,$Q5)="","",INDEX(AcaoRisco,MATCH(IF($W5&lt;&gt;"",$W5,$Q5),Niveis,0)))</calculatedColumnFormula>
    </tableColumn>
    <tableColumn id="26" xr3:uid="{456FC8F7-1FB7-4198-93D5-9EFC5070B343}" name="Ação adotada" dataDxfId="456"/>
    <tableColumn id="27" xr3:uid="{032185F5-C7BC-494D-9F77-0EAA940CB70C}" name="Hierarquia do controle principal" dataDxfId="455"/>
    <tableColumn id="28" xr3:uid="{3EE0049A-D625-46D9-BF13-04E372DD9BCE}" name="Aceite válido até" dataDxfId="454"/>
    <tableColumn id="29" xr3:uid="{7CD94F95-C9C4-4923-B1B5-165605453404}" name="Resumo da ação" dataDxfId="453"/>
    <tableColumn id="30" xr3:uid="{B4D409C7-B085-469C-9391-83505EA4BA32}" name="Dono do risco" dataDxfId="452"/>
    <tableColumn id="31" xr3:uid="{187FC640-B41C-402A-8734-5925561150A6}" name="Resp. da ação" dataDxfId="451"/>
    <tableColumn id="32" xr3:uid="{BE61F89B-EBF8-4041-8276-1511599EB068}" name="Prazo (ação simples)" dataDxfId="450"/>
    <tableColumn id="33" xr3:uid="{2B97B9B6-0E9E-4866-96D8-AD9334B2533A}" name="Status (ação simples)" dataDxfId="449"/>
    <tableColumn id="34" xr3:uid="{DC46686A-2DEF-4E09-B28C-56F2190BAD4E}" name="Critério de eficácia (meta)" dataDxfId="448"/>
    <tableColumn id="35" xr3:uid="{5DE2C949-1ADB-4853-A758-9FAF2AF7B274}" name="Cód. plano de ação / RNC" dataDxfId="447"/>
    <tableColumn id="36" xr3:uid="{77DF20E4-4D0A-4A18-8C8C-950ED7187F90}" name="Abrir plano (link)" dataDxfId="446">
      <calculatedColumnFormula>IF(OR($AI5="",PlanoUrl=""),"",HYPERLINK(SUBSTITUTE(PlanoUrl,"{COD}",SUBSTITUTE($AI5," ","%20")),"↗"))</calculatedColumnFormula>
    </tableColumn>
    <tableColumn id="37" xr3:uid="{0F687F5E-AE38-4ED6-A873-D786A44BD184}" name="Status atual" dataDxfId="445">
      <calculatedColumnFormula>IF($C5="","",IF($AI5="",$AG5&amp;"",IFERROR(IF(INDEX(PlanosStatus,MATCH($AI5,PlanosCod,0))="",$AG5&amp;"",INDEX(PlanosStatus,MATCH($AI5,PlanosCod,0))),$AG5&amp;"")))</calculatedColumnFormula>
    </tableColumn>
    <tableColumn id="38" xr3:uid="{08BA65AD-D471-4AE1-BAC0-8BCC9ACD8587}" name="Prazo atual" dataDxfId="444">
      <calculatedColumnFormula>IF($C5="","",IF($AI5="",IF($AF5="","",$AF5),IFERROR(IF(INDEX(PlanosPrazo,MATCH($AI5,PlanosCod,0))="",IF($AF5="","",$AF5),INDEX(PlanosPrazo,MATCH($AI5,PlanosCod,0))),IF($AF5="","",$AF5))))</calculatedColumnFormula>
    </tableColumn>
    <tableColumn id="39" xr3:uid="{111E5F0A-1963-4642-839C-FEC56267F202}" name="Verificar eficácia em" dataDxfId="443"/>
    <tableColumn id="40" xr3:uid="{E7931976-A164-4A99-AAF4-7E242640E8DE}" name="Eficácia do tratamento" dataDxfId="442"/>
    <tableColumn id="41" xr3:uid="{AD1C550B-6838-4B74-989E-CC333C3D4660}" name="Data aval. eficácia" dataDxfId="441"/>
    <tableColumn id="42" xr3:uid="{DAE1B432-294C-4D60-9712-549367691E20}" name="Prob. residual" dataDxfId="440"/>
    <tableColumn id="43" xr3:uid="{32811616-F0E1-4624-833B-13D09764EB34}" name="Imp. residual" dataDxfId="439"/>
    <tableColumn id="44" xr3:uid="{7E278BE1-93B3-47A3-86D5-215BC275938A}" name="Score residual" dataDxfId="438">
      <calculatedColumnFormula>IF(COUNT($AP5:$AQ5)=2,$AP5*$AQ5,"")</calculatedColumnFormula>
    </tableColumn>
    <tableColumn id="45" xr3:uid="{978870D1-2860-4421-8C56-2C3F0A3C0C46}" name="Nível residual" dataDxfId="437">
      <calculatedColumnFormula>IF($AR5="","",INDEX(Niveis,MAX(IFERROR(MATCH($AR5,Limites,1),1),IF($AQ5=5,MinIdx,1))))</calculatedColumnFormula>
    </tableColumn>
    <tableColumn id="46" xr3:uid="{9C531DB2-F7A7-4474-B55B-F2E89BAB57E8}" name="Residual aceitável?" dataDxfId="436"/>
    <tableColumn id="47" xr3:uid="{8B080219-9869-4CD0-B47E-6528DA670918}" name="Indicador (KRI) / gatilho de reavaliação" dataDxfId="435"/>
    <tableColumn id="48" xr3:uid="{AD34674D-4740-4C3D-9A96-54811CCA3E1C}" name="Ocorrências (últimos 12 meses)" dataDxfId="434"/>
    <tableColumn id="49" xr3:uid="{3E71B409-74E3-4B4B-8FBD-9606BDA9CEEE}" name="Avaliado em" dataDxfId="433"/>
    <tableColumn id="50" xr3:uid="{E387324C-BF77-4E9A-8811-B7C6082B7FFF}" name="Avaliado por (equipe)" dataDxfId="432"/>
    <tableColumn id="51" xr3:uid="{3D86EEBF-D3F9-4BD4-992A-BB11ECC74864}" name="Próx. revisão" dataDxfId="431">
      <calculatedColumnFormula>IF(OR($AW5="",IF(AND($AN5="Eficaz",$AS5&lt;&gt;""),$AS5,IF($W5&lt;&gt;"",$W5,$Q5))=""),"",EDATE($AW5,INDEX(MesesRev,MATCH(IF(AND($AN5="Eficaz",$AS5&lt;&gt;""),$AS5,IF($W5&lt;&gt;"",$W5,$Q5)),Niveis,0))))</calculatedColumnFormula>
    </tableColumn>
    <tableColumn id="52" xr3:uid="{AB90A8DF-CDCC-4E5D-A01E-4E4CE6AF001A}" name="Alerta" dataDxfId="430">
      <calculatedColumnFormula>IF($C5="","",IF($AD5="","Sem dono",IF($W5="","Falta avaliação",IF(AND($AI5&lt;&gt;"",COUNTIF(PlanosCod,$AI5)=0),"Código não encontrado",IF(AND($AI5&lt;&gt;"",IFERROR(INDEX(PlanosIdRef,MATCH($AI5,PlanosCod,0))&amp;"","")&lt;&gt;"",ISERROR(SEARCH(";"&amp;$A5&amp;";",";"&amp;SUBSTITUTE(SUBSTITUTE(IFERROR(INDEX(PlanosIdRef,MATCH($AI5,PlanosCod,0))&amp;"","")," ",""),",",";")&amp;";"))),"Vínculo divergente",IF(AND(ISNUMBER($P5),ISNUMBER($V5),$V5&lt;$P5,OR($S5="",$S5="Inexistente")),"Redução s/ controle",IF(AND(ISNUMBER($AR5),ISNUMBER($V5),$AR5&lt;$V5,NOT(OR($Z5="Prevenir",$Z5="Mitigar",$Z5="Transferir / compartilhar")),$AC5="",$AI5=""),"Residual s/ tratamento",IF(AND(LEFT($AI5,3)="RNC",N(IFERROR(INDEX(PlanosAbertura,MATCH($AI5,PlanosCod,0)),0))&gt;N($AW5)),"Reavaliar após RNC",IF(AND(N($AV5)&gt;=1,ISNUMBER($T5),$T5&lt;=2),"Recalibrar probabilidade",IF(AND($Z5="Aceitar",$BA5=""),"Aceite sem justificativa",IF(AND($Z5="Aceitar",ISNUMBER($AB5),$AB5&lt;TODAY()),"Aceite vencido",IF(AND(OR($Z5="Aceitar",$Z5="Monitorar"),$Y5&lt;&gt;"Monitorar",$Y5&lt;&gt;""),"Aprovar aceite",IF(AND($Z5&lt;&gt;"Aceitar",$Z5&lt;&gt;"Monitorar",$Z5&lt;&gt;"Aprofundar análise",$AC5="",$AI5="",IFERROR(MATCH(IF($W5&lt;&gt;"",$W5,$Q5),Niveis,0),0)&gt;IF(N(IFERROR(INDEX(ApetIdx,MATCH($M5,ListaCatRisco,0)),0))=0,IdxExige-1,INDEX(ApetIdx,MATCH($M5,ListaCatRisco,0)))),"Sem ação",IF($Z5="Aprofundar análise","Aprofundar análise",IF(AND(OR($Z5="Prevenir",$Z5="Mitigar",$Z5="Transferir / compartilhar"),$AH5=""),"Definir critério de eficácia",IF(AND(OR($Z5="Prevenir",$Z5="Mitigar",$Z5="Transferir / compartilhar"),OR($AA5="Controle administrativo",$AA5="EPI"),IFERROR(MATCH(IF($W5&lt;&gt;"",$W5,$Q5),Niveis,0),0)&gt;=3),"Rever hierarquia de controle",IF(COUNTIFS(KriId,$A5,KriSit,"Estourou")+COUNTIFS(KriId,$A5,KriSit,"Atenção")&gt;0,"KRI em alerta",IF(COUNTIFS(BtId,$A5,BtEf,"Baixa")+COUNTIFS(BtId,$A5,BtEf,"Inexistente")&gt;0,"Barreira fraca",IF($AN5="Não eficaz","Ação ineficaz",IF(AND($AL5&lt;&gt;"",$AL5&lt;TODAY(),$AK5&lt;&gt;"Concluído",$AK5&lt;&gt;"Cancelado"),"Ação vencida",IF(AND($AN5&lt;&gt;"Eficaz",OR($AK5="Concluído",AND(ISNUMBER($AM5),$AM5&lt;TODAY()))),"Avaliar eficácia",IF(AND($AN5="Eficaz",OR($AS5="",$AT5="")),"Concluir residual",IF($AT5="Não","Tratamento adicional",IF(AND($AT5="Sim",$AS5&lt;&gt;"",IFERROR(MATCH($AS5,Niveis,0),0)&gt;IF(N(IFERROR(INDEX(ApetIdx,MATCH($M5,ListaCatRisco,0)),0))=0,IdxExige-1,INDEX(ApetIdx,MATCH($M5,ListaCatRisco,0)))),"Aceite fora do apetite",IF(AND(COUNTIF(BtId,$A5)=0,OR(IFERROR(MATCH(IF($W5&lt;&gt;"",$W5,$Q5),Niveis,0),0)&gt;=3,AND(OR($S5="Baixa",$S5="Inexistente"),IFERROR(MATCH(IF($W5&lt;&gt;"",$W5,$Q5),Niveis,0),0)&gt;=2))),"Sem BowTie",IF(AND($AY5&lt;&gt;"",$AY5&lt;TODAY()),"Revisão vencida",IF(AND($AL5&lt;&gt;"",N($AL5)-TODAY()&lt;=DiasAlerta,$AK5&lt;&gt;"Concluído",$AK5&lt;&gt;"Cancelado"),"Vence em breve","OK")))))))))))))))))))))))))))</calculatedColumnFormula>
    </tableColumn>
    <tableColumn id="53" xr3:uid="{13C29902-CE51-4079-92B4-667753C282B4}" name="Justificativa / evidências / notas" dataDxfId="429"/>
    <tableColumn id="54" xr3:uid="{BA5B6F62-5F32-416E-BB71-62A1A0F2C967}" name="Riscos / oport. relacionados (IDs)" dataDxfId="428"/>
    <tableColumn id="55" xr3:uid="{EA270D2F-FF16-478E-A3AF-924A7E49F933}" name="Ordem (ranking)" dataDxfId="427">
      <calculatedColumnFormula>IF($V5="","",1+COUNTIF($V$5:$V$154,"&gt;"&amp;$V5)+COUNTIFS($V$5:$V$154,$V5,$U$5:$U$154,"&gt;"&amp;$U5)+COUNTIFS($V$4:$V4,$V5,$U$4:$U4,$U5))</calculatedColumnFormula>
    </tableColumn>
    <tableColumn id="56" xr3:uid="{F3052685-BB46-4001-AA5F-2644B2588449}" name="Velocidade de impacto" dataDxfId="426"/>
    <tableColumn id="57" xr3:uid="{2897A94D-BFB8-4079-A307-FD81EAD1512B}" name="Volatilidade da probabilidade" dataDxfId="425"/>
    <tableColumn id="58" xr3:uid="{5D0400CE-1FFD-462B-88BE-62CD782DCD37}" name="Tipo do controle principal" dataDxfId="424"/>
    <tableColumn id="59" xr3:uid="{3FDA6D94-DCB6-4859-AF9F-C8D7F1E47F64}" name="Custo estimado do tratamento (€)" dataDxfId="423"/>
    <tableColumn id="60" xr3:uid="{B47F51A1-459F-453F-8ECC-5CDA4B40C31F}" name="Perda potencial se ocorrer (€)" dataDxfId="422"/>
    <tableColumn id="61" xr3:uid="{B77EEE13-11D5-4D64-B1BF-DE6D453DCB2D}" name="Perda esperada (€)" dataDxfId="421">
      <calculatedColumnFormula>IF(OR($BH5="",$T5=""),"",IFERROR($BH5*INDEX(ProbMedia,$T5),""))</calculatedColumnFormula>
    </tableColumn>
    <tableColumn id="62" xr3:uid="{154E80BB-B870-4AEC-A936-59CBC8DFC4CF}" name="Leitura custo-benefício" dataDxfId="420">
      <calculatedColumnFormula>IF(OR($BG5="",$BI5=""),"",IF(OR(LEFT($M5,3)="SST",LEFT($M5,5)="Legal",LEFT($M5,8)="Ambienta"),"SST/Ambiental/Legal: custo não justifica aceitar (apetite e ALARP)",IF($BG5&gt;$BI5,"Custo maior que a perda esperada: reter/aceitar é defensável, com justificativa","Custo menor ou igual à perda esperada: tratar compensa")))</calculatedColumnFormula>
    </tableColumn>
    <tableColumn id="63" xr3:uid="{CD3F0739-CE6E-4814-AD52-7F27BAC19594}" name="MAO: parada máx. aceitável (horas)" dataDxfId="419"/>
    <tableColumn id="64" xr3:uid="{F7CDAF65-48F5-4B33-AD3D-092866C9CE70}" name="Plano de contingência / continuidade (cód. ou link)" dataDxfId="418"/>
    <tableColumn id="65" xr3:uid="{039098EF-7752-4B59-A718-01FBEBAAB0B4}" name="ID RO (SGA)" dataDxfId="417"/>
    <tableColumn id="66" xr3:uid="{2F4CA084-CA9B-42EE-92FA-4A5436E547F7}" name="Data de identificação (SGA)" dataDxfId="416"/>
    <tableColumn id="67" xr3:uid="{435CBE29-880E-4D40-9E5D-A97F01BA7B5A}" name="ID de origem (contexto SGA)" dataDxfId="415"/>
    <tableColumn id="68" xr3:uid="{FA5C6A16-5C96-46EF-9AA9-200F2B7BF50E}" name="Selecionado Atividade 3.1" dataDxfId="414"/>
    <tableColumn id="69" xr3:uid="{006E0107-A314-493C-83DC-6F1B88B758BF}" name="Área de gestão (SGA)" dataDxfId="413"/>
    <tableColumn id="70" xr3:uid="{ED21812B-9CDC-4F6F-BEF4-71038C721B1C}" name="Processo (código SGA)" dataDxfId="412"/>
    <tableColumn id="71" xr3:uid="{E09A9927-E14A-4CC2-B495-37A7DFC86661}" name="Tema (SGA)" dataDxfId="411"/>
    <tableColumn id="72" xr3:uid="{8CB83F98-3B64-4FAA-A53D-1641E65EBA98}" name="Partes interessadas (SGA)" dataDxfId="410"/>
    <tableColumn id="73" xr3:uid="{A9FFF368-49B1-4DA3-86BA-E8B28EAB9A96}" name="Probabilidade SGA" dataDxfId="409"/>
    <tableColumn id="74" xr3:uid="{7986C01A-9A83-4CAE-BCF3-B8C6E3DFC964}" name="Severidade SGA" dataDxfId="408"/>
    <tableColumn id="75" xr3:uid="{5F9FBB0D-DBCC-44A6-80C2-C62C56A8DAC8}" name="P (valor SGA)" dataDxfId="407">
      <calculatedColumnFormula>IF($BU5="","",IFERROR(INDEX(SgaProbValor,MATCH($BU5,SgaProbNivel,0)),""))</calculatedColumnFormula>
    </tableColumn>
    <tableColumn id="76" xr3:uid="{83E374A9-FDBA-40CD-A83F-F05FAE56BDA0}" name="S (valor SGA)" dataDxfId="406">
      <calculatedColumnFormula>IF($BV5="","",IFERROR(INDEX(SgaSevRiValor,MATCH($BV5,SgaSevRiNivel,0)),""))</calculatedColumnFormula>
    </tableColumn>
    <tableColumn id="77" xr3:uid="{6D15314D-F3A5-4ED4-A20A-B57A829887DB}" name="Nível SGA (P×S)" dataDxfId="405">
      <calculatedColumnFormula>IF(COUNT($BW5:$BX5)=2,$BW5*$BX5,"")</calculatedColumnFormula>
    </tableColumn>
    <tableColumn id="78" xr3:uid="{52EB86C1-5294-4FB8-89F6-471FEB2B8AFC}" name="Significância SGA" dataDxfId="404">
      <calculatedColumnFormula>IF($BY5="","",IF($BY5&lt;=SgaLimRiSig,"SIGNIFICATIVO",IF($BY5&lt;=SgaLimRiTol,"TOLERÁVEL","BAIXO")))</calculatedColumnFormula>
    </tableColumn>
    <tableColumn id="79" xr3:uid="{35E0004B-3F37-4707-B2FA-1829F89934EF}" name="Aceitabilidade SGA" dataDxfId="403">
      <calculatedColumnFormula>IF($BZ5="","",IF($BZ5="SIGNIFICATIVO","NÃO ACEITÁVEL","ACEITÁVEL"))</calculatedColumnFormula>
    </tableColumn>
    <tableColumn id="80" xr3:uid="{E232A8E1-3957-4371-8972-A9564D98F65C}" name="Decisão SGA" dataDxfId="402"/>
    <tableColumn id="81" xr3:uid="{F19994F2-109F-46D2-8A33-D33810D20592}" name="Tipo de ação SGA" dataDxfId="401"/>
    <tableColumn id="82" xr3:uid="{ECB31703-0AEB-4418-AF25-4E45B5316BC4}" name="Cód. PAM (RG-SGA-06)" dataDxfId="400"/>
    <tableColumn id="83" xr3:uid="{F167B4AD-E9F7-4A42-B60D-559B52269C4A}" name="Probabilidade SGA residual" dataDxfId="399"/>
    <tableColumn id="84" xr3:uid="{65E44C01-79DD-4825-9B59-BBA47335175B}" name="Severidade SGA residual" dataDxfId="398"/>
    <tableColumn id="85" xr3:uid="{C3B3D7DA-CC3B-4074-8F2E-7B0AB3E6D742}" name="Nível SGA residual" dataDxfId="397">
      <calculatedColumnFormula>IF(OR($CE5="",$CF5=""),"",IFERROR(INDEX(SgaProbValor,MATCH($CE5,SgaProbNivel,0))*INDEX(SgaSevRiValor,MATCH($CF5,SgaSevRiNivel,0)),""))</calculatedColumnFormula>
    </tableColumn>
    <tableColumn id="86" xr3:uid="{8BE2DF98-A37E-4488-9377-A24D57E954C8}" name="Significância SGA residual" dataDxfId="396">
      <calculatedColumnFormula>IF($CG5="","",IF($CG5&lt;=SgaLimRiSig,"SIGNIFICATIVO",IF($CG5&lt;=SgaLimRiTol,"TOLERÁVEL","BAIXO")))</calculatedColumnFormula>
    </tableColumn>
    <tableColumn id="87" xr3:uid="{37444839-AA6E-4996-BF80-50727A93CF92}" name="Simulação forçada (Atv 3.1)" dataDxfId="39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A7649C-8A22-4913-9278-FB4EC36B74AA}" name="tbOportunidades" displayName="tbOportunidades" ref="A4:BT154" totalsRowShown="0" headerRowDxfId="394" headerRowBorderDxfId="393" tableBorderDxfId="392" totalsRowBorderDxfId="391">
  <autoFilter ref="A4:BT154" xr:uid="{9DA7649C-8A22-4913-9278-FB4EC36B74AA}"/>
  <tableColumns count="72">
    <tableColumn id="1" xr3:uid="{D220142E-6A8D-4A0A-A1F9-45B9C9DBFC0E}" name="ID" dataDxfId="390"/>
    <tableColumn id="2" xr3:uid="{F8BEC0BF-A230-4354-AB54-40C972C5C1F2}" name="Área / processo responsável" dataDxfId="389"/>
    <tableColumn id="3" xr3:uid="{A44D539C-B5D8-4CB0-B8A8-584B2CFEAF2E}" name="Descrição da oportunidade" dataDxfId="388"/>
    <tableColumn id="4" xr3:uid="{DBFFB7D3-5967-4A92-829E-80719060B3D5}" name="Origem" dataDxfId="387"/>
    <tableColumn id="5" xr3:uid="{70491479-D2C2-4DBF-93EC-048821328794}" name="Interno / Externo" dataDxfId="386"/>
    <tableColumn id="6" xr3:uid="{C9DE5BDC-D69C-454D-B212-6F7DEB186DA1}" name="Nível de análise" dataDxfId="385"/>
    <tableColumn id="7" xr3:uid="{C4EE55D3-2969-4219-8475-9AB8691F953E}" name="Objetivo apoiado" dataDxfId="384"/>
    <tableColumn id="8" xr3:uid="{C78AEAAB-295C-43EA-B981-0416B2F1427C}" name="Situação vs. análise anterior" dataDxfId="383"/>
    <tableColumn id="9" xr3:uid="{3B2E6166-FA86-4298-BEB6-0D0A2208A9F2}" name="Parte interessada beneficiada" dataDxfId="382"/>
    <tableColumn id="10" xr3:uid="{B15F7F8E-B573-449E-8CE5-D1CF4E398A3E}" name="Fonte / condição favorável" dataDxfId="381"/>
    <tableColumn id="11" xr3:uid="{D4CAD311-7D17-4437-A484-E17AE803F31F}" name="Benefício esperado" dataDxfId="380"/>
    <tableColumn id="12" xr3:uid="{F2AC7CBC-81F4-4477-8EB7-1614F94B23C4}" name="Categoria de benefício" dataDxfId="379"/>
    <tableColumn id="13" xr3:uid="{1584E2CB-ECFD-4FFB-80C3-26BC25DB8BC0}" name="Probabilidade (1-5)" dataDxfId="378"/>
    <tableColumn id="14" xr3:uid="{3F23E679-251C-4A9E-B564-334EB15A5F23}" name="Benefício (1-5)" dataDxfId="377"/>
    <tableColumn id="15" xr3:uid="{28B1B4BA-E1B9-4E98-B8D2-A3CE35A96020}" name="Score" dataDxfId="376">
      <calculatedColumnFormula>IF(COUNT($M5:$N5)=2,$M5*$N5,"")</calculatedColumnFormula>
    </tableColumn>
    <tableColumn id="16" xr3:uid="{3D9BD005-F0F1-4C3E-B6FC-7FB32EE2AF67}" name="Nível (relevância)" dataDxfId="375">
      <calculatedColumnFormula>IF($O5="","",INDEX(Niveis,IFERROR(MATCH($O5,Limites,1),1)))</calculatedColumnFormula>
    </tableColumn>
    <tableColumn id="17" xr3:uid="{54C8B04E-1813-430A-930C-4F20F139C205}" name="Recursos / capacidade existentes" dataDxfId="374"/>
    <tableColumn id="18" xr3:uid="{E6C42464-2238-42CD-B183-3555C3D86DD2}" name="Facilidade de implantar" dataDxfId="373"/>
    <tableColumn id="19" xr3:uid="{879D8F27-54CB-45FE-A502-0FC7F3D81DEF}" name="Redução da exposição a riscos" dataDxfId="372"/>
    <tableColumn id="20" xr3:uid="{416631CD-6193-4928-A370-EF80C7DBD302}" name="Alinhamento estratégico" dataDxfId="371"/>
    <tableColumn id="21" xr3:uid="{F588CF54-C803-4256-9DD5-E2D95A986D50}" name="Índice de portfólio (3-9)" dataDxfId="370">
      <calculatedColumnFormula>IF(COUNTA($R5:$T5)&lt;3,"",IFERROR((4-MATCH($R5,ListaFacil,0))+(4-MATCH($S5,ListaReducao,0))+(4-MATCH($T5,ListaAlinh,0)),""))</calculatedColumnFormula>
    </tableColumn>
    <tableColumn id="22" xr3:uid="{474E7609-926F-478E-9B87-9B88544835E2}" name="Ação recomendada" dataDxfId="369">
      <calculatedColumnFormula>IF($P5="","",INDEX(AcaoOport,MATCH($P5,Niveis,0)))</calculatedColumnFormula>
    </tableColumn>
    <tableColumn id="23" xr3:uid="{A0DCDEFD-DC07-4B17-B519-A7BAF3000C47}" name="Decisão adotada" dataDxfId="368"/>
    <tableColumn id="24" xr3:uid="{D60A3CF7-340A-4C09-B61C-F9E07A6C998C}" name="Resumo da ação" dataDxfId="367"/>
    <tableColumn id="25" xr3:uid="{88EF6276-AA8D-41D0-8A46-F45763A3CCE7}" name="Dono da oportunidade" dataDxfId="366"/>
    <tableColumn id="26" xr3:uid="{0D9E2D29-AC6C-4E9C-9FBE-493DD310E02C}" name="Resp. da ação" dataDxfId="365"/>
    <tableColumn id="27" xr3:uid="{78B14545-4ED0-4ABC-BA2F-550635451CBD}" name="Prazo (ação simples)" dataDxfId="364"/>
    <tableColumn id="28" xr3:uid="{4F4102A5-2020-44AF-B1A2-B4FE4AD482DE}" name="Status (ação simples)" dataDxfId="363"/>
    <tableColumn id="29" xr3:uid="{12249C77-9729-4403-8D96-77294FE64AC6}" name="Cód. plano de ação" dataDxfId="362"/>
    <tableColumn id="30" xr3:uid="{EBAB8340-CA59-4010-8720-D7620CC609DA}" name="Abrir plano (link)" dataDxfId="361">
      <calculatedColumnFormula>IF(OR($AC5="",PlanoUrl=""),"",HYPERLINK(SUBSTITUTE(PlanoUrl,"{COD}",SUBSTITUTE($AC5," ","%20")),"↗"))</calculatedColumnFormula>
    </tableColumn>
    <tableColumn id="31" xr3:uid="{E1F23001-1CE6-4877-8257-E31FEF2D381B}" name="Status atual" dataDxfId="360">
      <calculatedColumnFormula>IF($C5="","",IF($AC5="",$AB5&amp;"",IFERROR(IF(INDEX(PlanosStatus,MATCH($AC5,PlanosCod,0))="",$AB5&amp;"",INDEX(PlanosStatus,MATCH($AC5,PlanosCod,0))),$AB5&amp;"")))</calculatedColumnFormula>
    </tableColumn>
    <tableColumn id="32" xr3:uid="{231DAE7E-5DDA-4F75-8210-8118FDAC7383}" name="Prazo atual" dataDxfId="359">
      <calculatedColumnFormula>IF($C5="","",IF($AC5="",IF($AA5="","",$AA5),IFERROR(IF(INDEX(PlanosPrazo,MATCH($AC5,PlanosCod,0))="",IF($AA5="","",$AA5),INDEX(PlanosPrazo,MATCH($AC5,PlanosCod,0))),IF($AA5="","",$AA5))))</calculatedColumnFormula>
    </tableColumn>
    <tableColumn id="33" xr3:uid="{D6D1990F-E5A6-4164-861A-AEBD5282CFF4}" name="Resultado / evidência do benefício" dataDxfId="358"/>
    <tableColumn id="34" xr3:uid="{4733B218-16AC-44D3-8448-033C42BD1777}" name="Verificar eficácia em" dataDxfId="357"/>
    <tableColumn id="35" xr3:uid="{D58CDD85-8D41-4AFC-8B38-1F2AC1D85155}" name="Eficácia da ação" dataDxfId="356"/>
    <tableColumn id="36" xr3:uid="{B5BDAFE9-0707-41C5-AAE0-732187BEAE2E}" name="Data aval. eficácia" dataDxfId="355"/>
    <tableColumn id="37" xr3:uid="{9E3DC19A-9E8C-4CDE-8555-D458610FADB7}" name="Indicador (KPI) / meta" dataDxfId="354"/>
    <tableColumn id="38" xr3:uid="{9D299C21-8CB0-4230-A70D-233C651E8F41}" name="Avaliado em" dataDxfId="353"/>
    <tableColumn id="39" xr3:uid="{4DA1F7E7-135D-40C0-8972-2583B2BA5078}" name="Avaliado por (equipe)" dataDxfId="352"/>
    <tableColumn id="40" xr3:uid="{D78EB77E-70B8-40D2-888B-1C6E13E16C96}" name="Próx. revisão" dataDxfId="351">
      <calculatedColumnFormula>IF(OR($AL5="",$P5=""),"",EDATE($AL5,INDEX(MesesRev,MATCH($P5,Niveis,0))))</calculatedColumnFormula>
    </tableColumn>
    <tableColumn id="41" xr3:uid="{34BBFEF9-DD10-40D0-82C5-C913143751BF}" name="Alerta" dataDxfId="350">
      <calculatedColumnFormula>IF($C5="","",IF($Y5="","Sem dono",IF($P5="","Falta avaliação",IF(AND($AC5&lt;&gt;"",COUNTIF(PlanosCod,$AC5)=0),"Código não encontrado",IF(AND($AC5&lt;&gt;"",IFERROR(INDEX(PlanosIdRef,MATCH($AC5,PlanosCod,0))&amp;"","")&lt;&gt;"",ISERROR(SEARCH(";"&amp;$A5&amp;";",";"&amp;SUBSTITUTE(SUBSTITUTE(IFERROR(INDEX(PlanosIdRef,MATCH($AC5,PlanosCod,0))&amp;"","")," ",""),",",";")&amp;";"))),"Vínculo divergente",IF(AND($W5="",$X5="",$AC5="",MATCH($P5,Niveis,0)&gt;=IdxExige),"Sem ação",IF(AND(OR($W5="Explorar",$W5="Melhorar",$W5="Analisar viabilidade e custo-benefício",$W5="Integrar ao planejamento estratégico",$W5="Compartilhar (parceria / contrato)"),$AK5=""),"Definir KPI",IF($AI5="Não eficaz","Ação ineficaz",IF(AND($AF5&lt;&gt;"",$AF5&lt;TODAY(),$AE5&lt;&gt;"Concluído",$AE5&lt;&gt;"Cancelado"),"Ação vencida",IF(AND($AI5&lt;&gt;"Eficaz",OR($AE5="Concluído",AND(ISNUMBER($AH5),$AH5&lt;TODAY()))),"Avaliar eficácia",IF(AND($AN5&lt;&gt;"",$AN5&lt;TODAY()),"Revisão vencida",IF(AND($AF5&lt;&gt;"",N($AF5)-TODAY()&lt;=DiasAlerta,$AE5&lt;&gt;"Concluído",$AE5&lt;&gt;"Cancelado"),"Vence em breve","OK"))))))))))))</calculatedColumnFormula>
    </tableColumn>
    <tableColumn id="42" xr3:uid="{8104DA66-0D6C-4FE9-8022-2EACD1D1F8BA}" name="Notas / premissas" dataDxfId="349"/>
    <tableColumn id="43" xr3:uid="{4883E5CC-595A-4E5C-9B51-2FAF418B905F}" name="Riscos / oport. relacionados (IDs)" dataDxfId="348"/>
    <tableColumn id="44" xr3:uid="{625C7FE0-0BAC-40DD-B3CF-A901BCE67A02}" name="Ordem (ranking)" dataDxfId="347">
      <calculatedColumnFormula>IF($O5="","",1+COUNTIF($O$5:$O$154,"&gt;"&amp;$O5)+COUNTIFS($O$5:$O$154,$O5,$N$5:$N$154,"&gt;"&amp;$N5)+COUNTIFS($O$4:$O4,$O5,$N$4:$N4,$N5))</calculatedColumnFormula>
    </tableColumn>
    <tableColumn id="45" xr3:uid="{A83DE0A1-05C5-43D3-A68C-19B8F4540114}" name="Investimento / custo estimado (€)" dataDxfId="346"/>
    <tableColumn id="46" xr3:uid="{20CD737F-9426-4FFD-A17A-789340C230D9}" name="Retorno esperado (€)" dataDxfId="345"/>
    <tableColumn id="47" xr3:uid="{A76B5D71-1B34-4DA9-8E8F-52834985B38F}" name="Retorno ponderado (€)" dataDxfId="344">
      <calculatedColumnFormula>IF(OR($AT5="",$M5=""),"",IFERROR($AT5*INDEX(ProbMedia,$M5),""))</calculatedColumnFormula>
    </tableColumn>
    <tableColumn id="48" xr3:uid="{14C8CDFC-7E52-4391-8F9E-E374F388B1F9}" name="Retorno ÷ custo" dataDxfId="343">
      <calculatedColumnFormula>IF(OR($AS5="",$AU5=""),"",IF($AS5=0,"",$AU5/$AS5))</calculatedColumnFormula>
    </tableColumn>
    <tableColumn id="49" xr3:uid="{B94F3253-B306-470F-9531-6F7CA78FC7CD}" name="Leitura retorno/custo" dataDxfId="342">
      <calculatedColumnFormula>IF($AV5="","",IF($AV5&gt;=1.5,"Retorno cobre o custo com folga: priorizar",IF($AV5&gt;=1,"Retorno cobre o custo: viável","Retorno menor que o custo: reavaliar ou reter para avaliação futura")))</calculatedColumnFormula>
    </tableColumn>
    <tableColumn id="50" xr3:uid="{5D28269C-8E3C-4820-81C7-8606F2584D13}" name="ID RO (SGA)" dataDxfId="341"/>
    <tableColumn id="51" xr3:uid="{85F681CE-7776-4C33-B49D-9B98E24DC6F6}" name="Data de identificação (SGA)" dataDxfId="340"/>
    <tableColumn id="52" xr3:uid="{DEC0FA1F-AE41-472C-A4B4-E8BBC333E1F2}" name="ID de origem (contexto SGA)" dataDxfId="339"/>
    <tableColumn id="53" xr3:uid="{544BDADE-4ACC-4C0A-9156-BA21A909F53A}" name="Selecionado Atividade 3.1" dataDxfId="338"/>
    <tableColumn id="54" xr3:uid="{68E31FC2-2432-4B63-82CA-5CECF7CDB6D4}" name="Área de gestão (SGA)" dataDxfId="337"/>
    <tableColumn id="55" xr3:uid="{8D5A164B-750B-45BC-A0E6-D548D9D5C5E8}" name="Processo (código SGA)" dataDxfId="336"/>
    <tableColumn id="56" xr3:uid="{50D86329-8278-4F4B-AF17-A88AE08BD324}" name="Tema (SGA)" dataDxfId="335"/>
    <tableColumn id="57" xr3:uid="{19C3F44A-E543-4ED2-B4EC-7F8E7419B774}" name="Partes interessadas (SGA)" dataDxfId="334"/>
    <tableColumn id="58" xr3:uid="{BAE984A8-3262-4828-9149-3C6610D545BB}" name="Probabilidade SGA" dataDxfId="333"/>
    <tableColumn id="59" xr3:uid="{8D331398-0F1D-45F2-9DE8-4FB15E657D82}" name="Severidade SGA" dataDxfId="332"/>
    <tableColumn id="60" xr3:uid="{B4A2AFE1-0176-44C0-8539-1E20CB12DCC4}" name="P (valor SGA)" dataDxfId="331">
      <calculatedColumnFormula>IF($BF5="","",IFERROR(INDEX(SgaProbValor,MATCH($BF5,SgaProbNivel,0)),""))</calculatedColumnFormula>
    </tableColumn>
    <tableColumn id="61" xr3:uid="{FCC59522-A4DA-4FCB-9735-59F848A929E6}" name="S (valor SGA)" dataDxfId="330">
      <calculatedColumnFormula>IF($BG5="","",IFERROR(INDEX(SgaSevOpValor,MATCH($BG5,SgaSevOpNivel,0)),""))</calculatedColumnFormula>
    </tableColumn>
    <tableColumn id="62" xr3:uid="{108171E6-C201-47A3-AF7F-7C75BF9BE814}" name="Nível SGA (P×S)" dataDxfId="329">
      <calculatedColumnFormula>IF(COUNT($BH5:$BI5)=2,$BH5*$BI5,"")</calculatedColumnFormula>
    </tableColumn>
    <tableColumn id="63" xr3:uid="{E392DE17-A358-4E53-9833-51BD87150F71}" name="Significância SGA" dataDxfId="328">
      <calculatedColumnFormula>IF($BJ5="","",IF($BJ5&gt;=SgaLimOpSig,"SIGNIFICATIVO",IF($BJ5&gt;=SgaLimOpTol,"TOLERÁVEL","BAIXO")))</calculatedColumnFormula>
    </tableColumn>
    <tableColumn id="64" xr3:uid="{A254BAEA-AF4C-4A35-93D5-0074B315BD24}" name="Aceitabilidade SGA" dataDxfId="327">
      <calculatedColumnFormula>IF($BK5="","",IF($BK5="SIGNIFICATIVO","AÇÃO REQUERIDA","ACEITÁVEL"))</calculatedColumnFormula>
    </tableColumn>
    <tableColumn id="65" xr3:uid="{E64FDD16-75FC-4EE6-896A-C9009315A892}" name="Decisão SGA" dataDxfId="326"/>
    <tableColumn id="66" xr3:uid="{576289DF-5FDA-4B2F-8184-8500C19B8A53}" name="Tipo de ação SGA" dataDxfId="325"/>
    <tableColumn id="67" xr3:uid="{38509567-066F-45A0-AAFF-B9110E55B7E9}" name="Cód. PAM (RG-SGA-06)" dataDxfId="324"/>
    <tableColumn id="68" xr3:uid="{4B305EBA-5F53-4D85-B318-99BDD45AD1A3}" name="Probabilidade SGA residual" dataDxfId="323"/>
    <tableColumn id="69" xr3:uid="{B3D27C74-B2BA-4250-8A1B-C133D92D900D}" name="Severidade SGA residual" dataDxfId="322"/>
    <tableColumn id="70" xr3:uid="{62E35C73-43A9-4015-AE08-0AE8D354F6C6}" name="Nível SGA residual" dataDxfId="321">
      <calculatedColumnFormula>IF(OR($BP5="",$BQ5=""),"",IFERROR(INDEX(SgaProbValor,MATCH($BP5,SgaProbNivel,0))*INDEX(SgaSevOpValor,MATCH($BQ5,SgaSevOpNivel,0)),""))</calculatedColumnFormula>
    </tableColumn>
    <tableColumn id="71" xr3:uid="{3B409935-EDFB-450D-B140-8F70E6359EB6}" name="Significância SGA residual" dataDxfId="320">
      <calculatedColumnFormula>IF($BR5="","",IF($BR5&gt;=SgaLimOpSig,"SIGNIFICATIVO",IF($BR5&gt;=SgaLimOpTol,"TOLERÁVEL","BAIXO")))</calculatedColumnFormula>
    </tableColumn>
    <tableColumn id="72" xr3:uid="{2D27DE51-1B32-4341-92E0-D3B7302F1F6B}" name="Simulação forçada (Atv 3.1)" dataDxfId="3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5A55DC-EE5F-4856-B553-28F1C67FBD75}" name="tbPlanos" displayName="tbPlanos" ref="A6:K296" totalsRowShown="0" headerRowDxfId="318" headerRowBorderDxfId="317" tableBorderDxfId="316" totalsRowBorderDxfId="315">
  <autoFilter ref="A6:K296" xr:uid="{3E5A55DC-EE5F-4856-B553-28F1C67FBD75}"/>
  <tableColumns count="11">
    <tableColumn id="1" xr3:uid="{33E37292-0330-454B-B5A8-1200B23068E5}" name="Código" dataDxfId="314"/>
    <tableColumn id="2" xr3:uid="{62C5E3F0-6229-46C6-B6EC-A4573D7612DE}" name="ID(s) risco/oport." dataDxfId="313"/>
    <tableColumn id="3" xr3:uid="{F0FB600B-F81A-45C8-9819-1EA247F137A4}" name="Assunto / descrição resumida" dataDxfId="312"/>
    <tableColumn id="4" xr3:uid="{81C5B55E-3EB1-483E-8E63-848DA97C37EE}" name="Tipo de ação" dataDxfId="311"/>
    <tableColumn id="5" xr3:uid="{16188BB2-C084-4D82-821C-D36E6D7369F6}" name="Responsável" dataDxfId="310"/>
    <tableColumn id="6" xr3:uid="{AF559A8D-CA14-42BE-B801-DC96047F469D}" name="Prazo" dataDxfId="309"/>
    <tableColumn id="7" xr3:uid="{E33A0754-185E-434B-8959-BCEAEA02F073}" name="Status" dataDxfId="308"/>
    <tableColumn id="8" xr3:uid="{D0A14BC6-4ED3-4421-A2FB-A845321833B8}" name="Data de fecho" dataDxfId="307"/>
    <tableColumn id="9" xr3:uid="{188D7459-105C-494D-9FF1-13EDFF463917}" name="Data de abertura" dataDxfId="306"/>
    <tableColumn id="10" xr3:uid="{36C2FC94-1045-43F8-A7EF-266D65CFFD49}" name="ID vinculado" dataDxfId="305">
      <calculatedColumnFormula>IF(A7="","",IFERROR(INDEX(Riscos!$A$5:$A$154,MATCH(A7,Riscos!$AI$5:$AI$154,0)),IFERROR(INDEX(Oportunidades!$A$5:$A$154,MATCH(A7,Oportunidades!$AC$5:$AC$154,0)),"—")))</calculatedColumnFormula>
    </tableColumn>
    <tableColumn id="11" xr3:uid="{1F1F3816-C7F2-4A50-AF14-945D18DDB175}" name="Aba vinculada" dataDxfId="304">
      <calculatedColumnFormula>IF(A7="","",IF(ISNUMBER(MATCH(A7,Riscos!$AI$5:$AI$154,0)),"Riscos",IF(ISNUMBER(MATCH(A7,Oportunidades!$AC$5:$AC$154,0)),"Oportunidades","—")))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918FE5-F86C-40E7-A526-7337CECC3EE7}" name="tbKRI" displayName="tbKRI" ref="A6:V66" totalsRowShown="0" headerRowDxfId="303" headerRowBorderDxfId="302" tableBorderDxfId="301" totalsRowBorderDxfId="300">
  <autoFilter ref="A6:V66" xr:uid="{74918FE5-F86C-40E7-A526-7337CECC3EE7}"/>
  <tableColumns count="22">
    <tableColumn id="1" xr3:uid="{9D57D768-F119-4C08-946B-D81116824D5A}" name="ID KRI" dataDxfId="299"/>
    <tableColumn id="2" xr3:uid="{0CDD6D76-B7A5-420F-B617-528589107BBC}" name="ID do risco" dataDxfId="298"/>
    <tableColumn id="3" xr3:uid="{41BB2D98-D90C-48BE-8394-C908C0FEE7A9}" name="Risco (automático)" dataDxfId="297">
      <calculatedColumnFormula>IF($B7="","",IFERROR(INDEX(Riscos!$C$5:$C$154,MATCH($B7,Riscos!$A$5:$A$154,0)),"ID não encontrado"))</calculatedColumnFormula>
    </tableColumn>
    <tableColumn id="4" xr3:uid="{8FE9C94E-D570-49B3-9BC1-9F4F1122BEA6}" name="Indicador (KRI)" dataDxfId="296"/>
    <tableColumn id="5" xr3:uid="{9E0C5EE0-AFD0-4955-B362-45A8A16430FA}" name="Unidade" dataDxfId="295"/>
    <tableColumn id="6" xr3:uid="{957BE8F5-27A3-45DB-A677-19380B9E6519}" name="Limite (tolerância)" dataDxfId="294"/>
    <tableColumn id="7" xr3:uid="{EBFDC871-3BAC-45F7-8CBF-6A832BD0B7E8}" name="Sentido" dataDxfId="293"/>
    <tableColumn id="8" xr3:uid="{60F11C65-F5FD-40D2-B4B5-0E8EEE3C0C09}" name="Frequência de coleta" dataDxfId="292"/>
    <tableColumn id="9" xr3:uid="{FFB9F5DF-B66A-4970-AC21-971B285DCB33}" name="Coleta 1 (mais antiga)" dataDxfId="291">
      <calculatedColumnFormula>IF($A7="","",IF(COUNTIFS(tbKRIColetas[ID KRI],$A7)-6+I$5&lt;1,"",SUMIFS(tbKRIColetas[Valor],tbKRIColetas[ID KRI],$A7,tbKRIColetas[Data da coleta],_xlfn.AGGREGATE(15,6,tbKRIColetas[Data da coleta]/(tbKRIColetas[ID KRI]=$A7),COUNTIFS(tbKRIColetas[ID KRI],$A7)-6+I$5))))</calculatedColumnFormula>
    </tableColumn>
    <tableColumn id="10" xr3:uid="{32E0805D-52C3-45CD-ADBA-C84DCF68CEE1}" name="Coleta 2" dataDxfId="290">
      <calculatedColumnFormula>IF($A7="","",IF(COUNTIFS(tbKRIColetas[ID KRI],$A7)-6+J$5&lt;1,"",SUMIFS(tbKRIColetas[Valor],tbKRIColetas[ID KRI],$A7,tbKRIColetas[Data da coleta],_xlfn.AGGREGATE(15,6,tbKRIColetas[Data da coleta]/(tbKRIColetas[ID KRI]=$A7),COUNTIFS(tbKRIColetas[ID KRI],$A7)-6+J$5))))</calculatedColumnFormula>
    </tableColumn>
    <tableColumn id="11" xr3:uid="{EAA9F126-6DDC-4352-9AC0-A7B858355B27}" name="Coleta 3" dataDxfId="289">
      <calculatedColumnFormula>IF($A7="","",IF(COUNTIFS(tbKRIColetas[ID KRI],$A7)-6+K$5&lt;1,"",SUMIFS(tbKRIColetas[Valor],tbKRIColetas[ID KRI],$A7,tbKRIColetas[Data da coleta],_xlfn.AGGREGATE(15,6,tbKRIColetas[Data da coleta]/(tbKRIColetas[ID KRI]=$A7),COUNTIFS(tbKRIColetas[ID KRI],$A7)-6+K$5))))</calculatedColumnFormula>
    </tableColumn>
    <tableColumn id="12" xr3:uid="{8FA0A41E-0D92-46B4-B5FD-F80019E56D8B}" name="Coleta 4" dataDxfId="288">
      <calculatedColumnFormula>IF($A7="","",IF(COUNTIFS(tbKRIColetas[ID KRI],$A7)-6+L$5&lt;1,"",SUMIFS(tbKRIColetas[Valor],tbKRIColetas[ID KRI],$A7,tbKRIColetas[Data da coleta],_xlfn.AGGREGATE(15,6,tbKRIColetas[Data da coleta]/(tbKRIColetas[ID KRI]=$A7),COUNTIFS(tbKRIColetas[ID KRI],$A7)-6+L$5))))</calculatedColumnFormula>
    </tableColumn>
    <tableColumn id="13" xr3:uid="{EAB7700A-12A5-499D-8EC8-5CDB44C26C8D}" name="Coleta 5" dataDxfId="287">
      <calculatedColumnFormula>IF($A7="","",IF(COUNTIFS(tbKRIColetas[ID KRI],$A7)-6+M$5&lt;1,"",SUMIFS(tbKRIColetas[Valor],tbKRIColetas[ID KRI],$A7,tbKRIColetas[Data da coleta],_xlfn.AGGREGATE(15,6,tbKRIColetas[Data da coleta]/(tbKRIColetas[ID KRI]=$A7),COUNTIFS(tbKRIColetas[ID KRI],$A7)-6+M$5))))</calculatedColumnFormula>
    </tableColumn>
    <tableColumn id="14" xr3:uid="{CC3C5716-1772-4D5B-88C4-5E55D5FAE26E}" name="Coleta 6 (mais recente)" dataDxfId="286">
      <calculatedColumnFormula>IF($A7="","",IF(COUNTIFS(tbKRIColetas[ID KRI],$A7)-6+N$5&lt;1,"",SUMIFS(tbKRIColetas[Valor],tbKRIColetas[ID KRI],$A7,tbKRIColetas[Data da coleta],_xlfn.AGGREGATE(15,6,tbKRIColetas[Data da coleta]/(tbKRIColetas[ID KRI]=$A7),COUNTIFS(tbKRIColetas[ID KRI],$A7)-6+N$5))))</calculatedColumnFormula>
    </tableColumn>
    <tableColumn id="15" xr3:uid="{76FA55E7-74F1-4BE4-8415-F1A288E47EEB}" name="Último valor" dataDxfId="285">
      <calculatedColumnFormula>IF(COUNT($I7:$N7)=0,"",INDEX($I7:$N7,SUMPRODUCT(MAX(($I7:$N7&lt;&gt;"")*(COLUMN($I7:$N7)-COLUMN($I7)+1)))))</calculatedColumnFormula>
    </tableColumn>
    <tableColumn id="16" xr3:uid="{86C6016A-BFC6-4873-9B9E-05F503D21876}" name="Inclinação (por coleta)" dataDxfId="284">
      <calculatedColumnFormula>IF(COUNT($I7:$N7)&lt;3,"",(COUNT($I7:$N7)*SUMPRODUCT($I$5:$N$5,$I7:$N7)-SUMPRODUCT(--ISNUMBER($I7:$N7),$I$5:$N$5)*SUM($I7:$N7))/(COUNT($I7:$N7)*SUMPRODUCT(--ISNUMBER($I7:$N7),$I$5:$N$5,$I$5:$N$5)-SUMPRODUCT(--ISNUMBER($I7:$N7),$I$5:$N$5)^2))</calculatedColumnFormula>
    </tableColumn>
    <tableColumn id="17" xr3:uid="{A60BC13E-00F6-4245-97C5-D92DDBCCE37E}" name="Tendência" dataDxfId="283">
      <calculatedColumnFormula>IF(OR($B7="",$P7=""),IF($B7="","","—"),IF(ABS($P7)&lt;0.000000001,"► estável",IF(($G7&lt;&gt;"Menor é pior")=($P7&gt;0),"▲ piora","▼ melhora")))</calculatedColumnFormula>
    </tableColumn>
    <tableColumn id="18" xr3:uid="{88FAEB2A-939C-413E-AF91-7C39B3AA259B}" name="Situação" dataDxfId="282">
      <calculatedColumnFormula>IF(AND($B7="",$D7=""),"",IF(OR($B7="",$O7="",$F7=""),"Sem dados",IF($G7&lt;&gt;"Menor é pior",IF($O7&gt;$F7,"Estourou",IF(AND(N($P7)&gt;0,$O7+N($P7)*KriHoriz&gt;=$F7),"Atenção","OK")),IF($O7&lt;$F7,"Estourou",IF(AND(N($P7)&lt;0,$O7+N($P7)*KriHoriz&lt;=$F7),"Atenção","OK")))))</calculatedColumnFormula>
    </tableColumn>
    <tableColumn id="19" xr3:uid="{78E69C68-2607-4C46-954B-3224AD85C1CD}" name="Última coleta" dataDxfId="281">
      <calculatedColumnFormula>IF($A7="","",IFERROR(_xlfn.AGGREGATE(14,6,tbKRIColetas[Data da coleta]/(tbKRIColetas[ID KRI]=$A7),1),""))</calculatedColumnFormula>
    </tableColumn>
    <tableColumn id="20" xr3:uid="{278743D6-5628-4562-87F4-E7CF458D1B1C}" name="Próxima coleta" dataDxfId="280">
      <calculatedColumnFormula>IF(OR($S7="",$H7=""),"",IFERROR(IF(N(INDEX(FreqDias,MATCH($H7,ListaFreq,0)))=0,"",$S7+INDEX(FreqDias,MATCH($H7,ListaFreq,0))),""))</calculatedColumnFormula>
    </tableColumn>
    <tableColumn id="21" xr3:uid="{64E12C50-F0A0-4B7D-BFD7-703BA2F5E5C0}" name="Fonte / responsável" dataDxfId="279"/>
    <tableColumn id="22" xr3:uid="{A4060DC8-7F2D-449D-A637-9853BD01814B}" name="Tipo do indicador" dataDxfId="27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F2D7A-D792-4E60-B544-CCF451E08A95}" name="tbKRIColetas" displayName="tbKRIColetas" ref="A4:D166" totalsRowShown="0" headerRowDxfId="277" dataDxfId="276">
  <autoFilter ref="A4:D166" xr:uid="{763F2D7A-D792-4E60-B544-CCF451E08A95}"/>
  <tableColumns count="4">
    <tableColumn id="1" xr3:uid="{31DD8F39-F53C-40B5-B0D9-CE29D8DD60BC}" name="ID KRI" dataDxfId="275"/>
    <tableColumn id="2" xr3:uid="{B4302B5D-1046-436E-A956-D1B4E534F573}" name="Data da coleta" dataDxfId="274"/>
    <tableColumn id="3" xr3:uid="{3CD096F1-5FC1-4255-8CB5-F14BC126D9AA}" name="Valor" dataDxfId="273"/>
    <tableColumn id="4" xr3:uid="{BDEC0E61-5AA2-4127-B56E-E0F27D6D78D2}" name="Observação" dataDxfId="27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CA6545-2841-4F23-9993-8D5153B6087E}" name="tbBowTie" displayName="tbBowTie" ref="A6:N86" totalsRowShown="0" headerRowDxfId="271" dataDxfId="269" headerRowBorderDxfId="270" tableBorderDxfId="268" totalsRowBorderDxfId="267">
  <autoFilter ref="A6:N86" xr:uid="{4CCA6545-2841-4F23-9993-8D5153B6087E}"/>
  <tableColumns count="14">
    <tableColumn id="1" xr3:uid="{B33BBD1E-4C2E-4C9C-81CC-00ED8CF42A75}" name="ID do risco / oport." dataDxfId="266"/>
    <tableColumn id="2" xr3:uid="{32390F25-19C2-4C9D-BC0F-259B8EEF7862}" name="Evento-topo (automático)" dataDxfId="265">
      <calculatedColumnFormula>IF($A7="","",IFERROR(INDEX(Riscos!$C$5:$C$154,MATCH($A7,Riscos!$A$5:$A$154,0)),IFERROR(INDEX(Oportunidades!$C$5:$C$154,MATCH($A7,Oportunidades!$A$5:$A$154,0)),"ID não encontrado")))</calculatedColumnFormula>
    </tableColumn>
    <tableColumn id="3" xr3:uid="{D64B170B-95B0-4931-95AC-8FAB4C5224F2}" name="Lado" dataDxfId="264"/>
    <tableColumn id="4" xr3:uid="{CE57A556-AF07-4295-81EE-D94B7A9D6FC1}" name="Causa (preventiva) ou consequência (reativa)" dataDxfId="263"/>
    <tableColumn id="5" xr3:uid="{4AABBD0F-53EB-4ECF-93F8-B568627DCE31}" name="Barreira / controle" dataDxfId="262"/>
    <tableColumn id="6" xr3:uid="{63583303-9FCC-4C51-90C0-9084B6798742}" name="Tipo do controle" dataDxfId="261"/>
    <tableColumn id="7" xr3:uid="{6EFF5429-AF12-47B9-94CE-5AAAF3FD2BF7}" name="Eficácia" dataDxfId="260"/>
    <tableColumn id="8" xr3:uid="{0FE23828-6883-40B4-9C1F-BF0902B91A01}" name="Fator de intensificação (o que pode fazer a barreira falhar)" dataDxfId="259"/>
    <tableColumn id="9" xr3:uid="{8903444E-8AF3-4ABC-A492-BA29AEC9F9B9}" name="Barreira ao fator de intensificação" dataDxfId="258"/>
    <tableColumn id="10" xr3:uid="{67FCAE49-E274-4C4C-865C-1612374CF388}" name="Dono da barreira" dataDxfId="257"/>
    <tableColumn id="11" xr3:uid="{AEE49684-1EB5-4A33-9009-CE6D42E08571}" name="Indicador / como é verificada" dataDxfId="256"/>
    <tableColumn id="12" xr3:uid="{8FCD9C84-3420-426C-B141-884309B79C39}" name="Vínculo no sistema de gestão (procedimento, IT, plano)" dataDxfId="255"/>
    <tableColumn id="13" xr3:uid="{8B504E00-B5AB-4F0B-A8D6-B00839FD59FD}" name="Última verificação" dataDxfId="254"/>
    <tableColumn id="14" xr3:uid="{E451C1A7-A657-4D2D-9A55-3431F24FD895}" name="Situação (auto)" dataDxfId="253">
      <calculatedColumnFormula>IF($E7="","",IF($M7="","Sem verificação",IF(TODAY()-$M7&gt;365,"Verificação vencida","OK")))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3584EA-F1E5-47B9-952E-1F3EA8AEEA2B}" name="tbMonitoramento" displayName="tbMonitoramento" ref="A4:M64" totalsRowShown="0" headerRowDxfId="252" headerRowBorderDxfId="251" tableBorderDxfId="250" totalsRowBorderDxfId="249">
  <autoFilter ref="A4:M64" xr:uid="{2F3584EA-F1E5-47B9-952E-1F3EA8AEEA2B}"/>
  <tableColumns count="13">
    <tableColumn id="1" xr3:uid="{5E0CD009-D50D-4B40-89F4-60CD206EB546}" name="Nível" dataDxfId="248"/>
    <tableColumn id="2" xr3:uid="{0CD65F51-252F-4460-AC6B-7FE0E93D0048}" name="Tipo" dataDxfId="247"/>
    <tableColumn id="3" xr3:uid="{79A580CD-7671-4105-89C9-4A80FC80588D}" name="Atividade / assunto" dataDxfId="246"/>
    <tableColumn id="4" xr3:uid="{8407A7F0-F139-4EAF-907F-D52DF4A287CF}" name="Método / tipo de monitoramento" dataDxfId="245"/>
    <tableColumn id="5" xr3:uid="{9FE3607F-DF51-451D-8E89-C074A2C14482}" name="Meio de relato / canal" dataDxfId="244"/>
    <tableColumn id="6" xr3:uid="{93FD3BB0-EFF2-42ED-AB9A-46CF1C42CEFA}" name="Frequência" dataDxfId="243"/>
    <tableColumn id="7" xr3:uid="{9C262504-F4B0-4E22-9735-D257F5229E5C}" name="Dono" dataDxfId="242"/>
    <tableColumn id="8" xr3:uid="{52DC4A3B-3CFB-4D1C-9202-8999F0AAD68C}" name="Audiência / cliente" dataDxfId="241"/>
    <tableColumn id="9" xr3:uid="{4B360368-A733-4FD1-B120-8B07629A9A42}" name="Entrega (saída)" dataDxfId="240"/>
    <tableColumn id="10" xr3:uid="{03817CCB-4AB3-460B-818E-078F5EB233AF}" name="Último realizado" dataDxfId="239"/>
    <tableColumn id="11" xr3:uid="{2C08F70F-F141-48A5-B93A-7F04DDA688D1}" name="Próximo (auto)" dataDxfId="238">
      <calculatedColumnFormula>IF(OR($J5="",$F5=""),"",IFERROR(IF(N(INDEX(FreqDias,MATCH($F5,ListaFreq,0)))=0,"",$J5+INDEX(FreqDias,MATCH($F5,ListaFreq,0))),""))</calculatedColumnFormula>
    </tableColumn>
    <tableColumn id="12" xr3:uid="{A8E62F4B-DC7F-4B96-BC4C-B97B138916C3}" name="Situação (auto)" dataDxfId="237">
      <calculatedColumnFormula>IF($C5="","",IF($F5="","Sem frequência",IF(N(IFERROR(INDEX(FreqDias,MATCH($F5,ListaFreq,0)),0))=0,"Conforme programa",IF($J5="","Sem data",IF($K5&lt;TODAY(),"Atrasado",IF($K5-TODAY()&lt;=DiasAlerta,"Vence em breve","Em dia"))))))</calculatedColumnFormula>
    </tableColumn>
    <tableColumn id="13" xr3:uid="{3FB19687-AB68-4B50-BA5D-CFFD643EFB9A}" name="Registro (ata / relatório / código)" dataDxfId="23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25527F-7716-4956-B3E9-0BD46268839F}" name="tbAuditorias" displayName="tbAuditorias" ref="A72:O80" totalsRowShown="0" headerRowDxfId="235" dataDxfId="234">
  <autoFilter ref="A72:O80" xr:uid="{EE25527F-7716-4956-B3E9-0BD46268839F}"/>
  <tableColumns count="15">
    <tableColumn id="1" xr3:uid="{97605853-8144-456B-B420-E8274E5CF79B}" name="Auditoria" dataDxfId="233"/>
    <tableColumn id="2" xr3:uid="{BF1BCD6E-C209-48CA-A7C1-6B3ACC8F9E1E}" name="Data" dataDxfId="232"/>
    <tableColumn id="3" xr3:uid="{F50F37DD-D669-48FD-B358-51302D32B96E}" name="Área" dataDxfId="231"/>
    <tableColumn id="4" xr3:uid="{9C58C9A6-170A-44F4-BD06-779B84E51D95}" name="Auditores" dataDxfId="230"/>
    <tableColumn id="5" xr3:uid="{D7E17534-6957-42CC-8308-07AD4DF63416}" name="Tipo" dataDxfId="229"/>
    <tableColumn id="6" xr3:uid="{FF3CD079-0D6D-4A19-99A1-6D1C8D7D2D16}" name="Itens" dataDxfId="228">
      <calculatedColumnFormula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calculatedColumnFormula>
    </tableColumn>
    <tableColumn id="7" xr3:uid="{6ABF2880-3E87-4504-9E5C-96613115ABD0}" name="Conformes" dataDxfId="227">
      <calculatedColumnFormula>IF(tbAuditorias[[#This Row],[Auditoria]]="","",COUNTIFS(tbAud[Auditoria],tbAuditorias[[#This Row],[Auditoria]],tbAud[Classificação],"Conforme"))</calculatedColumnFormula>
    </tableColumn>
    <tableColumn id="8" xr3:uid="{1B2D96BE-2D9F-423D-84D2-AE6D7624E11E}" name="Parciais" dataDxfId="226">
      <calculatedColumnFormula>IF(tbAuditorias[[#This Row],[Auditoria]]="","",COUNTIFS(tbAud[Auditoria],tbAuditorias[[#This Row],[Auditoria]],tbAud[Classificação],"Observação"))</calculatedColumnFormula>
    </tableColumn>
    <tableColumn id="9" xr3:uid="{372E0F1A-DD62-477A-ACC0-49D059F763AD}" name="Não conformes" dataDxfId="225">
      <calculatedColumnFormula>IF(tbAuditorias[[#This Row],[Auditoria]]="","",COUNTIFS(tbAud[Auditoria],tbAuditorias[[#This Row],[Auditoria]],tbAud[Resultado],"Não conforme"))</calculatedColumnFormula>
    </tableColumn>
    <tableColumn id="10" xr3:uid="{FD46FE9A-8F9C-4E24-A881-F6897F6FCD86}" name="N/A" dataDxfId="224">
      <calculatedColumnFormula>IF(tbAuditorias[[#This Row],[Auditoria]]="","",COUNTIFS(tbAud[Auditoria],tbAuditorias[[#This Row],[Auditoria]],tbAud[Resultado],"N/A"))</calculatedColumnFormula>
    </tableColumn>
    <tableColumn id="11" xr3:uid="{346866E2-C5EA-41DA-8665-4EEAA43AA505}" name="Não verificados" dataDxfId="223">
      <calculatedColumnFormula>IF(tbAuditorias[[#This Row],[Auditoria]]="","",COUNTIFS(tbAud[Auditoria],tbAuditorias[[#This Row],[Auditoria]],tbAud[Classificação],"Não verificado"))</calculatedColumnFormula>
    </tableColumn>
    <tableColumn id="12" xr3:uid="{299E7257-395C-4CC5-842D-100A83F18F25}" name="NC maiores" dataDxfId="222">
      <calculatedColumnFormula>IF(tbAuditorias[[#This Row],[Auditoria]]="","",COUNTIFS(tbAud[Auditoria],tbAuditorias[[#This Row],[Auditoria]],tbAud[Classificação],"NC maior"))</calculatedColumnFormula>
    </tableColumn>
    <tableColumn id="13" xr3:uid="{60BEE012-9B74-4CAF-ADAD-CB8CA9E322BE}" name="Índice" dataDxfId="221">
      <calculatedColumnFormula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calculatedColumnFormula>
    </tableColumn>
    <tableColumn id="14" xr3:uid="{B6D8C41B-0E40-4733-B1A0-D790924F3057}" name="Situação" dataDxfId="220">
      <calculatedColumnFormula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calculatedColumnFormula>
    </tableColumn>
    <tableColumn id="15" xr3:uid="{0D8ED616-CCB9-48D0-8ABE-3CA0C6A798B0}" name="Conclusão" dataDxfId="219">
      <calculatedColumnFormula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8260B2-BAE3-43C1-A22B-B03139372B2A}" name="tbPlanoABR" displayName="tbPlanoABR" ref="A116:R136" totalsRowShown="0" headerRowDxfId="218" tableBorderDxfId="217">
  <autoFilter ref="A116:R136" xr:uid="{EB8260B2-BAE3-43C1-A22B-B03139372B2A}"/>
  <tableColumns count="18">
    <tableColumn id="1" xr3:uid="{26CA96FE-6572-4E24-AB6D-5EBBB941D7D9}" name="Nº" dataDxfId="216">
      <calculatedColumnFormula>IF($B117="","",ROW()-13)</calculatedColumnFormula>
    </tableColumn>
    <tableColumn id="2" xr3:uid="{AC9263D3-C380-4EE7-92D4-F7A9D29AF8AC}" name="Área / processo" dataDxfId="215">
      <calculatedColumnFormula>IF(Critérios!B71="","",Critérios!B71)</calculatedColumnFormula>
    </tableColumn>
    <tableColumn id="3" xr3:uid="{1BBE9F3A-0F82-4156-89F3-8A24AD6023A2}" name="Riscos" dataDxfId="214">
      <calculatedColumnFormula>IF($B117="","",COUNTIF(Riscos!$B$5:$B$154,$B117))</calculatedColumnFormula>
    </tableColumn>
    <tableColumn id="4" xr3:uid="{C6318C9C-6413-4231-ACE3-CA4D606A75B1}" name="Crítico" dataDxfId="213">
      <calculatedColumnFormula>IF($B117="","",COUNTIFS(Riscos!$B$5:$B$154,$B117,Riscos!$W$5:$W$154,"Crítico"))</calculatedColumnFormula>
    </tableColumn>
    <tableColumn id="5" xr3:uid="{DF72E1F4-51C9-4719-8551-BAE176B53EF4}" name="Alto" dataDxfId="212">
      <calculatedColumnFormula>IF($B117="","",COUNTIFS(Riscos!$B$5:$B$154,$B117,Riscos!$W$5:$W$154,"Alto"))</calculatedColumnFormula>
    </tableColumn>
    <tableColumn id="6" xr3:uid="{1E1F6FFD-9E46-45A2-B394-74399E8206A1}" name="Médio" dataDxfId="211">
      <calculatedColumnFormula>IF($B117="","",COUNTIFS(Riscos!$B$5:$B$154,$B117,Riscos!$W$5:$W$154,"Médio"))</calculatedColumnFormula>
    </tableColumn>
    <tableColumn id="7" xr3:uid="{B8E18C4B-FD94-49B4-A475-6F0430DB4853}" name="Baixo" dataDxfId="210">
      <calculatedColumnFormula>IF($B117="","",COUNTIFS(Riscos!$B$5:$B$154,$B117,Riscos!$W$5:$W$154,"Baixo"))</calculatedColumnFormula>
    </tableColumn>
    <tableColumn id="8" xr3:uid="{54E37A74-990B-4F96-B0A3-A0A35E033354}" name="Alertas abertos" dataDxfId="209">
      <calculatedColumnFormula>IF($B117="","",SUMPRODUCT((Riscos!$B$5:$B$154=$B117)*(Riscos!$AZ$5:$AZ$154&lt;&gt;"OK")*(Riscos!$AZ$5:$AZ$154&lt;&gt;"")))</calculatedColumnFormula>
    </tableColumn>
    <tableColumn id="9" xr3:uid="{2DE77353-A9F3-4373-A280-D49A774281B7}" name="Oportunid." dataDxfId="208">
      <calculatedColumnFormula>IF($B117="","",COUNTIF(Oportunidades!$B$5:$B$154,$B117))</calculatedColumnFormula>
    </tableColumn>
    <tableColumn id="10" xr3:uid="{40482F3C-0BBC-4389-89ED-D81F9E89F2F2}" name="Índice de exposição" dataDxfId="207">
      <calculatedColumnFormula>IF($B117="","",$D117*$C$108+$E117*$C$109+$F117*$C$110+$G117*$C$111+$H117*$C$112)</calculatedColumnFormula>
    </tableColumn>
    <tableColumn id="11" xr3:uid="{6DFF337D-7527-49AD-A6F5-6B27A0C1E8AC}" name="Prioridade" dataDxfId="206">
      <calculatedColumnFormula>IF($B117="","",IF($C117=0,"Sem riscos",IF($J117&gt;=$I$108,"Alta",IF($J117&gt;=$I$109,"Média","Baixa"))))</calculatedColumnFormula>
    </tableColumn>
    <tableColumn id="12" xr3:uid="{2AC6E2B4-52CD-4A75-9707-F2B9F4AAFFEB}" name="Intervalo (meses)" dataDxfId="205">
      <calculatedColumnFormula>IF($B117="","",IF($K117="Alta",$I$110,IF($K117="Média",$I$111,IF($K117="Baixa",$I$112,$I$113))))</calculatedColumnFormula>
    </tableColumn>
    <tableColumn id="13" xr3:uid="{D305C64F-D8FD-49EB-9D02-9EB78CF00169}" name="Última auditoria" dataDxfId="204">
      <calculatedColumnFormula>IF($B117="","",IFERROR(1/(1/SUMPRODUCT(MAX((AudArea=$B117)*AudData))),""))</calculatedColumnFormula>
    </tableColumn>
    <tableColumn id="14" xr3:uid="{F84B0C30-EC4D-4306-A97E-1567FAFAA498}" name="Conformidade da última" dataDxfId="203">
      <calculatedColumnFormula>IF($M117="","",IFERROR(INDEX(AudPct,MATCH(1,INDEX((AudArea=$B117)*(AudData=$M117),0),0)),""))</calculatedColumnFormula>
    </tableColumn>
    <tableColumn id="15" xr3:uid="{78FB8E71-D9E3-4460-9B98-285AACC32925}" name="Próxima auditoria" dataDxfId="202">
      <calculatedColumnFormula>IF(OR($B117="",$M117=""),"",EDATE($M117,$L117))</calculatedColumnFormula>
    </tableColumn>
    <tableColumn id="16" xr3:uid="{5F117A66-AAB2-42C2-A750-7D183ED8106D}" name="Situação" dataDxfId="201">
      <calculatedColumnFormula>IF($B117="","",IF($M117="","Nunca auditada",IF($O117&lt;TODAY(),"Atrasada",IF($O117-TODAY()&lt;=DiasAlerta,"Vence em breve","Em dia"))))</calculatedColumnFormula>
    </tableColumn>
    <tableColumn id="17" xr3:uid="{65E3F6AA-350A-44BC-999C-909816ECCE2F}" name="Foco sugerido da auditoria" dataDxfId="200">
      <calculatedColumnFormula>IF($B117="","",IF($C117=0,"Confirmar se a identificação de riscos da área está completa",IF($D117+$E117&gt;0,"Testar controles-chave e a eficácia dos riscos Altos e Críticos",IF($H117&gt;0,"Verificar o tratamento dos alertas abertos","Amostragem de rotina"))))</calculatedColumnFormula>
    </tableColumn>
    <tableColumn id="18" xr3:uid="{33022CEB-9207-418B-8F4F-DD6B3158F95F}" name="Observações / escopo (preencher)" dataDxfId="19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72CB3-E2BD-478E-AC67-0F43E35275A5}" name="tbMat" displayName="tbMat" ref="A4:AC29" totalsRowShown="0" headerRowDxfId="198" dataDxfId="197">
  <autoFilter ref="A4:AC29" xr:uid="{6B072CB3-E2BD-478E-AC67-0F43E35275A5}"/>
  <tableColumns count="29">
    <tableColumn id="1" xr3:uid="{4804B29F-8D5B-43C4-957C-488942FDA8F0}" name="Ciclo" dataDxfId="196"/>
    <tableColumn id="2" xr3:uid="{711523B1-7AF9-4004-B332-AA7BC6000BC4}" name="ID" dataDxfId="195"/>
    <tableColumn id="3" xr3:uid="{A899366D-B3EF-40A0-97E6-0424143F08FF}" name="Dimensão" dataDxfId="194"/>
    <tableColumn id="4" xr3:uid="{7B18F3D5-30C7-452F-8DB9-0A5C99D8D946}" name="Critério" dataDxfId="193"/>
    <tableColumn id="5" xr3:uid="{88D32589-646A-4193-A79D-B25E99092A45}" name="Pergunta de avaliação" dataDxfId="192"/>
    <tableColumn id="6" xr3:uid="{0735C5C1-1046-43C3-9484-53F9ED1A5605}" name="Evidência esperada" dataDxfId="191"/>
    <tableColumn id="7" xr3:uid="{4454FF99-E6C5-4DC2-97D1-989CD2D20E6B}" name="Criticidade" dataDxfId="190"/>
    <tableColumn id="8" xr3:uid="{96F28359-98A2-4CE2-A02E-4D8692808AE7}" name="Peso" dataDxfId="189">
      <calculatedColumnFormula>IF(tbMat[[#This Row],[Criticidade]]="Crítica",3,IF(tbMat[[#This Row],[Criticidade]]="Alta",2,IF(tbMat[[#This Row],[Criticidade]]="Média",1,"")))</calculatedColumnFormula>
    </tableColumn>
    <tableColumn id="9" xr3:uid="{43B90956-4FB7-4AD4-9839-2389948DFBD5}" name="Meta" dataDxfId="188"/>
    <tableColumn id="10" xr3:uid="{F0EC04D6-C8A2-4A8B-917B-78D5DC5BB2FA}" name="Evidência automática" dataDxfId="187"/>
    <tableColumn id="11" xr3:uid="{344236AB-8B2C-4B10-B7EC-B55DC3DAD585}" name="Definido" dataDxfId="186"/>
    <tableColumn id="12" xr3:uid="{102ED9E2-80BD-47C9-AB25-4AF858B40465}" name="Aplicado" dataDxfId="185"/>
    <tableColumn id="13" xr3:uid="{0B72F092-32BA-456E-980B-90DAE1866CF0}" name="Eficaz" dataDxfId="184"/>
    <tableColumn id="14" xr3:uid="{F6C5057F-9D64-43F6-8A71-98593BCF0DF1}" name="Melhorado" dataDxfId="183"/>
    <tableColumn id="15" xr3:uid="{2C043708-E9DF-4285-9805-40E0581B4327}" name="Evidência observada" dataDxfId="182"/>
    <tableColumn id="16" xr3:uid="{CE748ACB-DCE5-4CE6-B22A-CD41D4E21343}" name="Índice" dataDxfId="181">
      <calculatedColumnFormula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calculatedColumnFormula>
    </tableColumn>
    <tableColumn id="17" xr3:uid="{C35D76F4-3178-4B24-B6F4-EB72E6C26709}" name="Nível" dataDxfId="180">
      <calculatedColumnFormula>IF(tbMat[[#This Row],[Índice]]="","",1+(tbMat[[#This Row],[Índice]]&gt;=0.125)+(tbMat[[#This Row],[Índice]]&gt;=0.375)+(tbMat[[#This Row],[Índice]]&gt;=0.625)+(tbMat[[#This Row],[Índice]]&gt;=0.95))</calculatedColumnFormula>
    </tableColumn>
    <tableColumn id="18" xr3:uid="{CBCE23E1-58EB-4982-8329-8FFD0B26DEE2}" name="Grau" dataDxfId="179">
      <calculatedColumnFormula>IF(tbMat[[#This Row],[Nível]]="","",tbMat[[#This Row],[Nível]]&amp;" – "&amp;INDEX(GrauNome,tbMat[[#This Row],[Nível]]))</calculatedColumnFormula>
    </tableColumn>
    <tableColumn id="19" xr3:uid="{61317D70-3C83-4597-A1B9-00806DBDDE85}" name="Lacuna" dataDxfId="178">
      <calculatedColumnFormula>IF(tbMat[[#This Row],[Nível]]="","",MAX(0,tbMat[[#This Row],[Meta]]-tbMat[[#This Row],[Nível]]))</calculatedColumnFormula>
    </tableColumn>
    <tableColumn id="20" xr3:uid="{48C6AFFA-0EA4-4533-A58B-C5B4AD027C5D}" name="Situação" dataDxfId="177">
      <calculatedColumnFormula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calculatedColumnFormula>
    </tableColumn>
    <tableColumn id="21" xr3:uid="{A4F51AF7-47E9-4D7D-92D9-C81E383EE363}" name="Prioridade" dataDxfId="176">
      <calculatedColumnFormula>IF(tbMat[[#This Row],[Lacuna]]="","",tbMat[[#This Row],[Peso]]*tbMat[[#This Row],[Lacuna]])</calculatedColumnFormula>
    </tableColumn>
    <tableColumn id="22" xr3:uid="{9C692271-6CB9-4607-B89A-2742FA4AFAD3}" name="Constatação" dataDxfId="175"/>
    <tableColumn id="23" xr3:uid="{8A4DB4D0-0AAA-4B42-99B5-8EC9E70E4563}" name="Próximo passo" dataDxfId="174"/>
    <tableColumn id="24" xr3:uid="{58040E69-79CD-424A-8919-F778EF0817AD}" name="Ação vinculada" dataDxfId="173"/>
    <tableColumn id="25" xr3:uid="{9AFB67BC-EF38-4FDF-8E3E-28C4A1822883}" name="Responsável" dataDxfId="172"/>
    <tableColumn id="26" xr3:uid="{AB2D210E-3813-4E9E-8384-0E205DBB3479}" name="Prazo" dataDxfId="171"/>
    <tableColumn id="27" xr3:uid="{EC53618E-5E73-4A69-9FD9-5C8D115B94D2}" name="Pontos ponderados" dataDxfId="170">
      <calculatedColumnFormula>IF(tbMat[[#This Row],[Índice]]="","",tbMat[[#This Row],[Peso]]*tbMat[[#This Row],[Índice]])</calculatedColumnFormula>
    </tableColumn>
    <tableColumn id="28" xr3:uid="{674EB225-6120-49EE-AD9E-AF3D37FC9907}" name="Peso avaliado" dataDxfId="169">
      <calculatedColumnFormula>IF(tbMat[[#This Row],[Índice]]="","",tbMat[[#This Row],[Peso]])</calculatedColumnFormula>
    </tableColumn>
    <tableColumn id="29" xr3:uid="{A70786A1-FBB9-4C1D-8BD3-875EA05C10DC}" name="Ordem" dataDxfId="168">
      <calculatedColumnFormula>IF(AND(tbMat[[#This Row],[Ciclo]]=Ciclo_Atual,N(tbMat[[#This Row],[Prioridade]])&gt;0),tbMat[[#This Row],[Prioridade]]+1/ROW(),"")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8ABA8A-DBE1-496B-8EDE-413AD6C748A1}" name="tbAud" displayName="tbAud" ref="A4:V70" totalsRowShown="0" headerRowDxfId="509" dataDxfId="508">
  <autoFilter ref="A4:V70" xr:uid="{E58ABA8A-DBE1-496B-8EDE-413AD6C748A1}"/>
  <tableColumns count="22">
    <tableColumn id="1" xr3:uid="{E9B5CAB6-2217-4CB3-AB59-9257B3D143EB}" name="Auditoria" dataDxfId="507"/>
    <tableColumn id="2" xr3:uid="{4237F4BD-561D-46EB-84EA-EDC6000F73F5}" name="ID" dataDxfId="506"/>
    <tableColumn id="3" xr3:uid="{6F5E3511-17C6-4BFA-B7B3-EF88BEC48997}" name="Dimensão" dataDxfId="505"/>
    <tableColumn id="4" xr3:uid="{65692069-D63B-4AD9-9820-62D56C126361}" name="Pergunta" dataDxfId="504"/>
    <tableColumn id="5" xr3:uid="{9B9E9027-78EF-40C4-B2D9-AB76FD421474}" name="Referência" dataDxfId="503"/>
    <tableColumn id="6" xr3:uid="{C51E2D51-14E4-4DEA-8DB6-0ED7BDCCC83A}" name="Criticidade" dataDxfId="502"/>
    <tableColumn id="7" xr3:uid="{9A6FC969-5CE3-4BF8-9842-1ED75596AC1D}" name="Resultado" dataDxfId="501"/>
    <tableColumn id="8" xr3:uid="{F453B566-5BF2-4578-BE99-FB2AA959C81C}" name="Método" dataDxfId="500"/>
    <tableColumn id="9" xr3:uid="{56C0A00D-DDAA-495D-9C6F-9E37DB7451D0}" name="Evidência objetiva" dataDxfId="499"/>
    <tableColumn id="10" xr3:uid="{EF0937CB-5A3A-460D-BCE1-585F79BDD785}" name="Pontos" dataDxfId="498">
      <calculatedColumnFormula>IF(tbAud[[#This Row],[Resultado]]="Conforme",IF(tbAud[[#This Row],[Evidência objetiva]]="",0,1),IF(tbAud[[#This Row],[Resultado]]="Parcial",IF(tbAud[[#This Row],[Evidência objetiva]]="",0,0.5),IF(tbAud[[#This Row],[Resultado]]="Não conforme",0,"")))</calculatedColumnFormula>
    </tableColumn>
    <tableColumn id="11" xr3:uid="{C9D8C69F-7914-411A-B9E4-C490E9464AFD}" name="Peso" dataDxfId="497">
      <calculatedColumnFormula>IF(OR(tbAud[[#This Row],[Resultado]]="",tbAud[[#This Row],[Resultado]]="N/A"),"",IF(tbAud[[#This Row],[Criticidade]]="Crítica",3,IF(tbAud[[#This Row],[Criticidade]]="Alta",2,1)))</calculatedColumnFormula>
    </tableColumn>
    <tableColumn id="12" xr3:uid="{B0460739-10C3-4391-A605-8BE0DEF4EC92}" name="Classificação" dataDxfId="496">
      <calculatedColumnFormula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calculatedColumnFormula>
    </tableColumn>
    <tableColumn id="13" xr3:uid="{3D765E3D-E022-4D59-9EBA-2FDF1E528CC8}" name="Área" dataDxfId="495">
      <calculatedColumnFormula>IFERROR(INDEX(tbAuditorias[Área],MATCH(tbAud[[#This Row],[Auditoria]],tbAuditorias[Auditoria],0)),"")</calculatedColumnFormula>
    </tableColumn>
    <tableColumn id="14" xr3:uid="{86808CE3-8365-4A7B-B6AF-EE74977DEC50}" name="Data" dataDxfId="494">
      <calculatedColumnFormula>IFERROR(INDEX(tbAuditorias[Data],MATCH(tbAud[[#This Row],[Auditoria]],tbAuditorias[Auditoria],0)),"")</calculatedColumnFormula>
    </tableColumn>
    <tableColumn id="15" xr3:uid="{93B46064-A9D1-4D08-9901-0060908ADFE7}" name="Critério de maturidade" dataDxfId="493"/>
    <tableColumn id="16" xr3:uid="{5F2DDDDD-1006-4693-B918-773982A01CA6}" name="Risco associado" dataDxfId="492"/>
    <tableColumn id="17" xr3:uid="{7054C09D-98E4-4786-BBEA-2D0D5584140B}" name="Ação" dataDxfId="491"/>
    <tableColumn id="18" xr3:uid="{4B4BD994-C746-451D-81C5-8381D3CF40F9}" name="Responsável" dataDxfId="490"/>
    <tableColumn id="19" xr3:uid="{EE08BB38-B866-44AC-9153-43CD1CCC6F7E}" name="Prazo" dataDxfId="489"/>
    <tableColumn id="20" xr3:uid="{6FB55A72-8E03-4267-A54F-28A541FF5087}" name="Eficácia" dataDxfId="488"/>
    <tableColumn id="21" xr3:uid="{292B5339-03ED-4F01-A0EB-92032C7D1E8F}" name="Alerta" dataDxfId="487">
      <calculatedColumnFormula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calculatedColumnFormula>
    </tableColumn>
    <tableColumn id="22" xr3:uid="{8056AC29-4506-4DED-8577-1C6C3C5E0D84}" name="Pontos ponderados" dataDxfId="486">
      <calculatedColumnFormula>IF(tbAud[[#This Row],[Peso]]="","",tbAud[[#This Row],[Peso]]*tbAud[[#This Row],[Pontos]])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E6AD1F-7AA6-4B43-BC39-C9940D903E5A}" name="tbHistorico" displayName="tbHistorico" ref="A4:I64" totalsRowShown="0" headerRowDxfId="167" dataDxfId="165" headerRowBorderDxfId="166" tableBorderDxfId="164" totalsRowBorderDxfId="163">
  <autoFilter ref="A4:I64" xr:uid="{7EE6AD1F-7AA6-4B43-BC39-C9940D903E5A}"/>
  <tableColumns count="9">
    <tableColumn id="1" xr3:uid="{E5323B50-428C-4556-AD5C-AD1CB6296806}" name="Data" dataDxfId="162"/>
    <tableColumn id="2" xr3:uid="{CFAEA836-8BA2-43EE-BEC9-7A5CE05B108A}" name="Versão" dataDxfId="161"/>
    <tableColumn id="3" xr3:uid="{EB95A364-4D0F-42B5-8FC5-2ACABBEA2F59}" name="Aba / ID" dataDxfId="160"/>
    <tableColumn id="4" xr3:uid="{0DAE04D1-F128-413A-90CD-AB3F9A1736C6}" name="O que mudou" dataDxfId="159"/>
    <tableColumn id="5" xr3:uid="{A0F6E589-0C3D-4C82-B165-402F5AB96E71}" name="Motivo / evidência" dataDxfId="158"/>
    <tableColumn id="6" xr3:uid="{90D1BEE7-13F6-4B5B-AC24-FFE3D2E49E25}" name="Autor" dataDxfId="157"/>
    <tableColumn id="7" xr3:uid="{9BFEDBCA-4C31-4B16-A61E-4FF142D8A736}" name="Aprovado por" dataDxfId="156"/>
    <tableColumn id="8" xr3:uid="{E1558E48-31F0-45BE-828A-E7BEF6471E12}" name="Data da aprovação" dataDxfId="155"/>
    <tableColumn id="9" xr3:uid="{C6991724-910D-4AB7-9F69-CACDB2A4149F}" name="Lição aprendida / conhecimento gerado" dataDxfId="15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88D2ADA-8439-4B14-8BB3-683A06C00C4B}" name="tbDicionario" displayName="tbDicionario" ref="A4:H320" totalsRowShown="0" headerRowDxfId="153" dataDxfId="152">
  <autoFilter ref="A4:H320" xr:uid="{288D2ADA-8439-4B14-8BB3-683A06C00C4B}"/>
  <tableColumns count="8">
    <tableColumn id="1" xr3:uid="{D7A13B76-F9B8-4F0C-AC9A-BC04DB37314F}" name="Aba" dataDxfId="151"/>
    <tableColumn id="2" xr3:uid="{18858FD2-EFB1-40CA-99FA-59AEE87C8CA2}" name="Tabela" dataDxfId="150"/>
    <tableColumn id="3" xr3:uid="{9252D0A7-ADAD-42DE-B6E5-59F9AAF28BE7}" name="Nº" dataDxfId="149"/>
    <tableColumn id="4" xr3:uid="{AE7645EC-8F6D-422E-8004-BA3B383162DF}" name="Campo" dataDxfId="148"/>
    <tableColumn id="5" xr3:uid="{17E8B3DF-4E78-49BE-B011-B9191F350C1A}" name="Tipo" dataDxfId="147"/>
    <tableColumn id="6" xr3:uid="{03185EC1-81AD-4963-97ED-3E8518A8851A}" name="Formato" dataDxfId="146"/>
    <tableColumn id="7" xr3:uid="{3979E7C2-4B4C-4E0B-BF4D-1DCE798E280D}" name="Valores permitidos" dataDxfId="145"/>
    <tableColumn id="8" xr3:uid="{03B9CAEE-EE88-4BAD-95F9-CADD74FB7569}" name="Descrição / instrução" dataDxfId="14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CE2F-E5DE-4795-9479-F271A8F10FD5}">
  <sheetPr>
    <tabColor rgb="FF1F4E5F"/>
  </sheetPr>
  <dimension ref="A1:B200"/>
  <sheetViews>
    <sheetView showGridLines="0" topLeftCell="A51" workbookViewId="0">
      <selection activeCell="B45" sqref="B45"/>
    </sheetView>
  </sheetViews>
  <sheetFormatPr defaultRowHeight="14.4"/>
  <cols>
    <col min="1" max="1" width="30.77734375" style="170" customWidth="1"/>
    <col min="2" max="2" width="110.77734375" style="170" customWidth="1"/>
    <col min="3" max="16384" width="8.88671875" style="170"/>
  </cols>
  <sheetData>
    <row r="1" spans="1:2" ht="17.399999999999999">
      <c r="A1" s="174" t="s">
        <v>2659</v>
      </c>
      <c r="B1" s="173"/>
    </row>
    <row r="2" spans="1:2">
      <c r="A2" s="175" t="s">
        <v>2660</v>
      </c>
      <c r="B2" s="173"/>
    </row>
    <row r="3" spans="1:2">
      <c r="A3"/>
      <c r="B3"/>
    </row>
    <row r="4" spans="1:2">
      <c r="A4" s="177" t="s">
        <v>2387</v>
      </c>
      <c r="B4" s="176"/>
    </row>
    <row r="5" spans="1:2">
      <c r="A5" s="178" t="s">
        <v>2388</v>
      </c>
      <c r="B5" s="173" t="s">
        <v>2661</v>
      </c>
    </row>
    <row r="6" spans="1:2">
      <c r="A6" s="178" t="s">
        <v>2389</v>
      </c>
      <c r="B6" s="173" t="s">
        <v>2662</v>
      </c>
    </row>
    <row r="7" spans="1:2">
      <c r="A7" s="178" t="s">
        <v>2390</v>
      </c>
      <c r="B7" s="173" t="s">
        <v>2663</v>
      </c>
    </row>
    <row r="8" spans="1:2">
      <c r="A8" s="178" t="s">
        <v>2391</v>
      </c>
      <c r="B8" s="179">
        <v>46289</v>
      </c>
    </row>
    <row r="9" spans="1:2">
      <c r="A9" s="178" t="s">
        <v>2392</v>
      </c>
      <c r="B9" s="173" t="s">
        <v>2393</v>
      </c>
    </row>
    <row r="10" spans="1:2">
      <c r="A10" s="178" t="s">
        <v>580</v>
      </c>
      <c r="B10" s="173" t="s">
        <v>2394</v>
      </c>
    </row>
    <row r="11" spans="1:2">
      <c r="A11" s="178" t="s">
        <v>2395</v>
      </c>
      <c r="B11" s="173" t="s">
        <v>2396</v>
      </c>
    </row>
    <row r="12" spans="1:2">
      <c r="A12" s="178" t="s">
        <v>2397</v>
      </c>
      <c r="B12" s="173" t="s">
        <v>2398</v>
      </c>
    </row>
    <row r="13" spans="1:2" ht="26.4">
      <c r="A13" s="178" t="s">
        <v>2399</v>
      </c>
      <c r="B13" s="173" t="s">
        <v>2664</v>
      </c>
    </row>
    <row r="14" spans="1:2">
      <c r="A14"/>
      <c r="B14"/>
    </row>
    <row r="15" spans="1:2">
      <c r="A15" s="177" t="s">
        <v>2400</v>
      </c>
      <c r="B15" s="176"/>
    </row>
    <row r="16" spans="1:2" ht="52.8">
      <c r="A16" s="178" t="s">
        <v>2401</v>
      </c>
      <c r="B16" s="173" t="s">
        <v>2665</v>
      </c>
    </row>
    <row r="17" spans="1:2" ht="26.4">
      <c r="A17" s="178" t="s">
        <v>2402</v>
      </c>
      <c r="B17" s="173" t="s">
        <v>2666</v>
      </c>
    </row>
    <row r="18" spans="1:2">
      <c r="A18" s="178" t="s">
        <v>2403</v>
      </c>
      <c r="B18" s="173" t="s">
        <v>2404</v>
      </c>
    </row>
    <row r="19" spans="1:2" ht="39.6">
      <c r="A19" s="178" t="s">
        <v>2667</v>
      </c>
      <c r="B19" s="173" t="s">
        <v>2714</v>
      </c>
    </row>
    <row r="20" spans="1:2">
      <c r="A20"/>
      <c r="B20"/>
    </row>
    <row r="21" spans="1:2">
      <c r="A21" s="177" t="s">
        <v>2668</v>
      </c>
      <c r="B21" s="176"/>
    </row>
    <row r="22" spans="1:2" ht="26.4">
      <c r="A22" s="178" t="s">
        <v>188</v>
      </c>
      <c r="B22" s="173" t="s">
        <v>2669</v>
      </c>
    </row>
    <row r="23" spans="1:2" ht="26.4">
      <c r="A23" s="178" t="s">
        <v>174</v>
      </c>
      <c r="B23" s="173" t="s">
        <v>2670</v>
      </c>
    </row>
    <row r="24" spans="1:2">
      <c r="A24" s="178" t="s">
        <v>2671</v>
      </c>
      <c r="B24" s="173" t="s">
        <v>2672</v>
      </c>
    </row>
    <row r="25" spans="1:2">
      <c r="A25" s="178" t="s">
        <v>2304</v>
      </c>
      <c r="B25" s="173" t="s">
        <v>2673</v>
      </c>
    </row>
    <row r="26" spans="1:2">
      <c r="A26" s="178" t="s">
        <v>1605</v>
      </c>
      <c r="B26" s="173" t="s">
        <v>2674</v>
      </c>
    </row>
    <row r="27" spans="1:2">
      <c r="A27" s="178" t="s">
        <v>2338</v>
      </c>
      <c r="B27" s="173" t="s">
        <v>2675</v>
      </c>
    </row>
    <row r="28" spans="1:2">
      <c r="A28" s="178" t="s">
        <v>2331</v>
      </c>
      <c r="B28" s="173" t="s">
        <v>2676</v>
      </c>
    </row>
    <row r="29" spans="1:2">
      <c r="A29" s="178" t="s">
        <v>364</v>
      </c>
      <c r="B29" s="173" t="s">
        <v>2677</v>
      </c>
    </row>
    <row r="30" spans="1:2" ht="26.4">
      <c r="A30" s="178" t="s">
        <v>2834</v>
      </c>
      <c r="B30" s="173" t="s">
        <v>2835</v>
      </c>
    </row>
    <row r="31" spans="1:2" ht="39.6">
      <c r="A31" s="178" t="s">
        <v>2653</v>
      </c>
      <c r="B31" s="173" t="s">
        <v>2678</v>
      </c>
    </row>
    <row r="32" spans="1:2">
      <c r="A32" s="178" t="s">
        <v>2344</v>
      </c>
      <c r="B32" s="173" t="s">
        <v>2679</v>
      </c>
    </row>
    <row r="33" spans="1:2">
      <c r="A33" s="178" t="s">
        <v>2365</v>
      </c>
      <c r="B33" s="173" t="s">
        <v>2680</v>
      </c>
    </row>
    <row r="34" spans="1:2" ht="26.4">
      <c r="A34" s="178" t="s">
        <v>583</v>
      </c>
      <c r="B34" s="173" t="s">
        <v>2681</v>
      </c>
    </row>
    <row r="35" spans="1:2">
      <c r="A35" s="178" t="s">
        <v>2380</v>
      </c>
      <c r="B35" s="173" t="s">
        <v>2682</v>
      </c>
    </row>
    <row r="36" spans="1:2">
      <c r="A36" s="178" t="s">
        <v>2683</v>
      </c>
      <c r="B36" s="173" t="s">
        <v>2684</v>
      </c>
    </row>
    <row r="37" spans="1:2">
      <c r="A37"/>
      <c r="B37"/>
    </row>
    <row r="38" spans="1:2">
      <c r="A38" s="177" t="s">
        <v>2405</v>
      </c>
      <c r="B38" s="176"/>
    </row>
    <row r="39" spans="1:2" ht="39.6">
      <c r="A39" s="178" t="s">
        <v>2406</v>
      </c>
      <c r="B39" s="173" t="s">
        <v>2685</v>
      </c>
    </row>
    <row r="40" spans="1:2">
      <c r="A40" s="178" t="s">
        <v>2686</v>
      </c>
      <c r="B40" s="173" t="s">
        <v>2687</v>
      </c>
    </row>
    <row r="41" spans="1:2">
      <c r="A41" s="178" t="s">
        <v>2407</v>
      </c>
      <c r="B41" s="173" t="s">
        <v>2688</v>
      </c>
    </row>
    <row r="42" spans="1:2" ht="26.4">
      <c r="A42" s="178" t="s">
        <v>2408</v>
      </c>
      <c r="B42" s="173" t="s">
        <v>2689</v>
      </c>
    </row>
    <row r="43" spans="1:2" ht="26.4">
      <c r="A43" s="178" t="s">
        <v>2690</v>
      </c>
      <c r="B43" s="173" t="s">
        <v>2691</v>
      </c>
    </row>
    <row r="44" spans="1:2">
      <c r="A44" s="178" t="s">
        <v>2409</v>
      </c>
      <c r="B44" s="173" t="s">
        <v>2692</v>
      </c>
    </row>
    <row r="45" spans="1:2" ht="26.4">
      <c r="A45" s="178" t="s">
        <v>2410</v>
      </c>
      <c r="B45" s="173" t="s">
        <v>2411</v>
      </c>
    </row>
    <row r="46" spans="1:2">
      <c r="A46"/>
      <c r="B46"/>
    </row>
    <row r="47" spans="1:2">
      <c r="A47" s="177" t="s">
        <v>2412</v>
      </c>
      <c r="B47" s="176"/>
    </row>
    <row r="48" spans="1:2">
      <c r="A48" s="178" t="s">
        <v>2413</v>
      </c>
      <c r="B48" s="173" t="s">
        <v>2693</v>
      </c>
    </row>
    <row r="49" spans="1:2">
      <c r="A49" s="178" t="s">
        <v>2694</v>
      </c>
      <c r="B49" s="173" t="s">
        <v>2695</v>
      </c>
    </row>
    <row r="50" spans="1:2">
      <c r="A50" s="178" t="s">
        <v>2414</v>
      </c>
      <c r="B50" s="173" t="s">
        <v>2696</v>
      </c>
    </row>
    <row r="51" spans="1:2" ht="52.8">
      <c r="A51" s="178" t="s">
        <v>2697</v>
      </c>
      <c r="B51" s="173" t="s">
        <v>2782</v>
      </c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CI154"/>
  <sheetViews>
    <sheetView zoomScale="90" zoomScaleNormal="90" workbookViewId="0">
      <pane xSplit="3" ySplit="4" topLeftCell="D9" activePane="bottomRight" state="frozen"/>
      <selection activeCell="E8" sqref="E8:H8"/>
      <selection pane="topRight" activeCell="E8" sqref="E8:H8"/>
      <selection pane="bottomLeft" activeCell="E8" sqref="E8:H8"/>
      <selection pane="bottomRight" activeCell="CL11" sqref="CL11"/>
    </sheetView>
  </sheetViews>
  <sheetFormatPr defaultColWidth="8.6640625" defaultRowHeight="14.4" outlineLevelCol="1"/>
  <cols>
    <col min="1" max="1" width="6" customWidth="1"/>
    <col min="2" max="2" width="28" customWidth="1"/>
    <col min="3" max="3" width="32" customWidth="1"/>
    <col min="4" max="5" width="15" customWidth="1"/>
    <col min="6" max="6" width="16.77734375" customWidth="1"/>
    <col min="7" max="7" width="22" customWidth="1"/>
    <col min="8" max="8" width="27.5546875" customWidth="1"/>
    <col min="9" max="9" width="25.21875" customWidth="1"/>
    <col min="10" max="10" width="22" customWidth="1"/>
    <col min="11" max="11" width="12.5546875" customWidth="1"/>
    <col min="12" max="12" width="24" customWidth="1"/>
    <col min="13" max="13" width="21.33203125" customWidth="1"/>
    <col min="14" max="14" width="15.44140625" customWidth="1" outlineLevel="1"/>
    <col min="15" max="15" width="14.44140625" customWidth="1" outlineLevel="1"/>
    <col min="16" max="16" width="15.88671875" customWidth="1" outlineLevel="1"/>
    <col min="17" max="17" width="15.33203125" customWidth="1" outlineLevel="1"/>
    <col min="18" max="18" width="26" customWidth="1" outlineLevel="1"/>
    <col min="19" max="19" width="22.109375" customWidth="1" outlineLevel="1"/>
    <col min="20" max="20" width="12.21875" customWidth="1"/>
    <col min="21" max="21" width="11.21875" customWidth="1"/>
    <col min="22" max="22" width="12.6640625" customWidth="1"/>
    <col min="23" max="23" width="12.109375" customWidth="1"/>
    <col min="24" max="24" width="23.5546875" customWidth="1"/>
    <col min="25" max="25" width="19.5546875" customWidth="1"/>
    <col min="26" max="26" width="16" customWidth="1"/>
    <col min="27" max="27" width="30.44140625" customWidth="1"/>
    <col min="28" max="28" width="17.33203125" customWidth="1"/>
    <col min="29" max="29" width="28" customWidth="1"/>
    <col min="30" max="31" width="16" customWidth="1"/>
    <col min="32" max="32" width="20.77734375" customWidth="1"/>
    <col min="33" max="33" width="21.33203125" customWidth="1"/>
    <col min="34" max="34" width="26" customWidth="1"/>
    <col min="35" max="35" width="24.6640625" customWidth="1" outlineLevel="1"/>
    <col min="36" max="36" width="17.33203125" customWidth="1" outlineLevel="1"/>
    <col min="37" max="37" width="13.109375" customWidth="1" outlineLevel="1"/>
    <col min="38" max="38" width="12.44140625" customWidth="1" outlineLevel="1"/>
    <col min="39" max="39" width="20.44140625" customWidth="1" outlineLevel="1"/>
    <col min="40" max="40" width="22.21875" customWidth="1" outlineLevel="1"/>
    <col min="41" max="41" width="18.5546875" customWidth="1" outlineLevel="1"/>
    <col min="42" max="42" width="15.109375" customWidth="1" outlineLevel="1"/>
    <col min="43" max="43" width="14.109375" customWidth="1" outlineLevel="1"/>
    <col min="44" max="44" width="15.5546875" customWidth="1" outlineLevel="1"/>
    <col min="45" max="45" width="14.88671875" customWidth="1" outlineLevel="1"/>
    <col min="46" max="46" width="20" customWidth="1" outlineLevel="1"/>
    <col min="47" max="47" width="36.44140625" customWidth="1"/>
    <col min="48" max="48" width="30.109375" customWidth="1"/>
    <col min="49" max="49" width="13.44140625" customWidth="1"/>
    <col min="50" max="50" width="21.5546875" customWidth="1"/>
    <col min="51" max="51" width="14.44140625" customWidth="1"/>
    <col min="52" max="52" width="20" customWidth="1"/>
    <col min="53" max="53" width="30.6640625" customWidth="1"/>
    <col min="54" max="54" width="31.5546875" customWidth="1"/>
    <col min="55" max="55" width="17" customWidth="1"/>
    <col min="56" max="56" width="22.5546875" customWidth="1"/>
    <col min="57" max="57" width="28.109375" customWidth="1"/>
    <col min="58" max="58" width="25.21875" customWidth="1"/>
    <col min="59" max="59" width="31.77734375" customWidth="1"/>
    <col min="60" max="60" width="28.88671875" customWidth="1"/>
    <col min="61" max="61" width="19.33203125" customWidth="1"/>
    <col min="62" max="62" width="36.77734375" customWidth="1"/>
    <col min="63" max="63" width="33.44140625" customWidth="1"/>
    <col min="64" max="64" width="46.6640625" customWidth="1"/>
    <col min="65" max="65" width="22.77734375" customWidth="1"/>
    <col min="66" max="66" width="13.77734375" customWidth="1" outlineLevel="1"/>
    <col min="67" max="67" width="26.77734375" customWidth="1" outlineLevel="1"/>
    <col min="68" max="68" width="13.77734375" customWidth="1" outlineLevel="1"/>
    <col min="69" max="71" width="22.77734375" customWidth="1" outlineLevel="1"/>
    <col min="72" max="72" width="26.77734375" customWidth="1" outlineLevel="1"/>
    <col min="73" max="74" width="22.77734375" customWidth="1" outlineLevel="1"/>
    <col min="75" max="79" width="16.77734375" customWidth="1" outlineLevel="1"/>
    <col min="80" max="80" width="34.77734375" customWidth="1" outlineLevel="1"/>
    <col min="81" max="81" width="22.77734375" customWidth="1" outlineLevel="1"/>
    <col min="82" max="82" width="16.77734375" customWidth="1" outlineLevel="1"/>
    <col min="83" max="84" width="22.77734375" customWidth="1" outlineLevel="1"/>
    <col min="85" max="86" width="16.77734375" customWidth="1" outlineLevel="1"/>
    <col min="87" max="87" width="13.77734375" customWidth="1" outlineLevel="1"/>
  </cols>
  <sheetData>
    <row r="1" spans="1:87" ht="25.5" customHeight="1">
      <c r="A1" s="187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8" t="s">
        <v>677</v>
      </c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</row>
    <row r="2" spans="1:87" ht="22.35" customHeight="1">
      <c r="A2" s="189" t="s">
        <v>1</v>
      </c>
      <c r="B2" s="189"/>
      <c r="C2" s="189"/>
      <c r="D2" s="9" t="s">
        <v>674</v>
      </c>
      <c r="E2" s="189" t="s">
        <v>2</v>
      </c>
      <c r="F2" s="189"/>
      <c r="G2" s="190" t="s">
        <v>675</v>
      </c>
      <c r="H2" s="190"/>
      <c r="I2" s="10" t="s">
        <v>3</v>
      </c>
      <c r="J2" s="190" t="s">
        <v>390</v>
      </c>
      <c r="K2" s="190"/>
      <c r="L2" s="189" t="s">
        <v>4</v>
      </c>
      <c r="M2" s="189"/>
      <c r="N2" s="191" t="s">
        <v>5</v>
      </c>
      <c r="O2" s="192"/>
      <c r="P2" s="189" t="s">
        <v>6</v>
      </c>
      <c r="Q2" s="189"/>
      <c r="R2" s="193">
        <v>46387</v>
      </c>
      <c r="S2" s="193"/>
      <c r="T2" s="193"/>
      <c r="U2" s="189" t="s">
        <v>7</v>
      </c>
      <c r="V2" s="189"/>
      <c r="W2" s="192" t="s">
        <v>8</v>
      </c>
      <c r="X2" s="192"/>
      <c r="Y2" s="189" t="s">
        <v>9</v>
      </c>
      <c r="Z2" s="189"/>
      <c r="AA2" s="192" t="s">
        <v>676</v>
      </c>
      <c r="AB2" s="192"/>
      <c r="AC2" s="192"/>
    </row>
    <row r="3" spans="1:87" ht="22.35" customHeight="1">
      <c r="A3" s="194" t="s">
        <v>10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5" t="s">
        <v>11</v>
      </c>
      <c r="O3" s="195"/>
      <c r="P3" s="195"/>
      <c r="Q3" s="195"/>
      <c r="R3" s="196" t="s">
        <v>12</v>
      </c>
      <c r="S3" s="196"/>
      <c r="T3" s="197" t="s">
        <v>13</v>
      </c>
      <c r="U3" s="197"/>
      <c r="V3" s="197"/>
      <c r="W3" s="197"/>
      <c r="X3" s="197"/>
      <c r="Y3" s="194" t="s">
        <v>14</v>
      </c>
      <c r="Z3" s="194"/>
      <c r="AA3" s="194"/>
      <c r="AB3" s="194"/>
      <c r="AC3" s="194"/>
      <c r="AD3" s="194"/>
      <c r="AE3" s="194"/>
      <c r="AF3" s="194"/>
      <c r="AG3" s="194"/>
      <c r="AH3" s="194"/>
      <c r="AI3" s="199" t="s">
        <v>15</v>
      </c>
      <c r="AJ3" s="199"/>
      <c r="AK3" s="199"/>
      <c r="AL3" s="199"/>
      <c r="AM3" s="200" t="s">
        <v>16</v>
      </c>
      <c r="AN3" s="200"/>
      <c r="AO3" s="200"/>
      <c r="AP3" s="201" t="s">
        <v>17</v>
      </c>
      <c r="AQ3" s="201"/>
      <c r="AR3" s="201"/>
      <c r="AS3" s="201"/>
      <c r="AT3" s="201"/>
      <c r="AU3" s="202" t="s">
        <v>18</v>
      </c>
      <c r="AV3" s="202"/>
      <c r="AW3" s="202"/>
      <c r="AX3" s="202"/>
      <c r="AY3" s="202"/>
      <c r="AZ3" s="202"/>
      <c r="BA3" s="196" t="s">
        <v>19</v>
      </c>
      <c r="BB3" s="196"/>
      <c r="BC3" s="203"/>
      <c r="BD3" s="198" t="s">
        <v>601</v>
      </c>
      <c r="BE3" s="198"/>
      <c r="BF3" s="198"/>
      <c r="BG3" s="198"/>
      <c r="BH3" s="198"/>
      <c r="BI3" s="198"/>
      <c r="BJ3" s="198"/>
      <c r="BK3" s="198"/>
      <c r="BL3" s="198"/>
      <c r="BM3" s="184" t="s">
        <v>2603</v>
      </c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  <c r="CE3" s="185"/>
      <c r="CF3" s="185"/>
      <c r="CG3" s="185"/>
      <c r="CH3" s="185"/>
      <c r="CI3" s="186"/>
    </row>
    <row r="4" spans="1:87" ht="42" customHeight="1">
      <c r="A4" s="114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2146</v>
      </c>
      <c r="L4" s="8" t="s">
        <v>30</v>
      </c>
      <c r="M4" s="8" t="s">
        <v>31</v>
      </c>
      <c r="N4" s="7" t="s">
        <v>2147</v>
      </c>
      <c r="O4" s="7" t="s">
        <v>2148</v>
      </c>
      <c r="P4" s="7" t="s">
        <v>2149</v>
      </c>
      <c r="Q4" s="7" t="s">
        <v>2150</v>
      </c>
      <c r="R4" s="6" t="s">
        <v>34</v>
      </c>
      <c r="S4" s="6" t="s">
        <v>35</v>
      </c>
      <c r="T4" s="5" t="s">
        <v>2151</v>
      </c>
      <c r="U4" s="5" t="s">
        <v>2152</v>
      </c>
      <c r="V4" s="5" t="s">
        <v>2153</v>
      </c>
      <c r="W4" s="5" t="s">
        <v>2154</v>
      </c>
      <c r="X4" s="5" t="s">
        <v>36</v>
      </c>
      <c r="Y4" s="8" t="s">
        <v>37</v>
      </c>
      <c r="Z4" s="8" t="s">
        <v>38</v>
      </c>
      <c r="AA4" s="8" t="s">
        <v>39</v>
      </c>
      <c r="AB4" s="8" t="s">
        <v>40</v>
      </c>
      <c r="AC4" s="8" t="s">
        <v>41</v>
      </c>
      <c r="AD4" s="8" t="s">
        <v>42</v>
      </c>
      <c r="AE4" s="8" t="s">
        <v>43</v>
      </c>
      <c r="AF4" s="8" t="s">
        <v>2155</v>
      </c>
      <c r="AG4" s="8" t="s">
        <v>2156</v>
      </c>
      <c r="AH4" s="8" t="s">
        <v>44</v>
      </c>
      <c r="AI4" s="4" t="s">
        <v>45</v>
      </c>
      <c r="AJ4" s="4" t="s">
        <v>2157</v>
      </c>
      <c r="AK4" s="4" t="s">
        <v>46</v>
      </c>
      <c r="AL4" s="4" t="s">
        <v>47</v>
      </c>
      <c r="AM4" s="3" t="s">
        <v>48</v>
      </c>
      <c r="AN4" s="3" t="s">
        <v>49</v>
      </c>
      <c r="AO4" s="3" t="s">
        <v>50</v>
      </c>
      <c r="AP4" s="2" t="s">
        <v>2158</v>
      </c>
      <c r="AQ4" s="2" t="s">
        <v>2159</v>
      </c>
      <c r="AR4" s="2" t="s">
        <v>2160</v>
      </c>
      <c r="AS4" s="2" t="s">
        <v>2161</v>
      </c>
      <c r="AT4" s="2" t="s">
        <v>51</v>
      </c>
      <c r="AU4" s="1" t="s">
        <v>52</v>
      </c>
      <c r="AV4" s="1" t="s">
        <v>53</v>
      </c>
      <c r="AW4" s="1" t="s">
        <v>54</v>
      </c>
      <c r="AX4" s="1" t="s">
        <v>55</v>
      </c>
      <c r="AY4" s="1" t="s">
        <v>56</v>
      </c>
      <c r="AZ4" s="1" t="s">
        <v>57</v>
      </c>
      <c r="BA4" s="6" t="s">
        <v>58</v>
      </c>
      <c r="BB4" s="6" t="s">
        <v>59</v>
      </c>
      <c r="BC4" s="6" t="s">
        <v>2162</v>
      </c>
      <c r="BD4" s="66" t="s">
        <v>584</v>
      </c>
      <c r="BE4" s="66" t="s">
        <v>585</v>
      </c>
      <c r="BF4" s="66" t="s">
        <v>602</v>
      </c>
      <c r="BG4" s="66" t="s">
        <v>678</v>
      </c>
      <c r="BH4" s="66" t="s">
        <v>679</v>
      </c>
      <c r="BI4" s="66" t="s">
        <v>2163</v>
      </c>
      <c r="BJ4" s="66" t="s">
        <v>2164</v>
      </c>
      <c r="BK4" s="66" t="s">
        <v>603</v>
      </c>
      <c r="BL4" s="116" t="s">
        <v>604</v>
      </c>
      <c r="BM4" s="116" t="s">
        <v>2580</v>
      </c>
      <c r="BN4" s="1" t="s">
        <v>2581</v>
      </c>
      <c r="BO4" s="116" t="s">
        <v>2582</v>
      </c>
      <c r="BP4" s="116" t="s">
        <v>2583</v>
      </c>
      <c r="BQ4" s="116" t="s">
        <v>2584</v>
      </c>
      <c r="BR4" s="116" t="s">
        <v>2585</v>
      </c>
      <c r="BS4" s="116" t="s">
        <v>2586</v>
      </c>
      <c r="BT4" s="116" t="s">
        <v>2587</v>
      </c>
      <c r="BU4" s="116" t="s">
        <v>2588</v>
      </c>
      <c r="BV4" s="116" t="s">
        <v>2589</v>
      </c>
      <c r="BW4" s="5" t="s">
        <v>2590</v>
      </c>
      <c r="BX4" s="5" t="s">
        <v>2591</v>
      </c>
      <c r="BY4" s="5" t="s">
        <v>2592</v>
      </c>
      <c r="BZ4" s="5" t="s">
        <v>2593</v>
      </c>
      <c r="CA4" s="5" t="s">
        <v>2594</v>
      </c>
      <c r="CB4" s="116" t="s">
        <v>2595</v>
      </c>
      <c r="CC4" s="116" t="s">
        <v>2596</v>
      </c>
      <c r="CD4" s="116" t="s">
        <v>2597</v>
      </c>
      <c r="CE4" s="116" t="s">
        <v>2598</v>
      </c>
      <c r="CF4" s="116" t="s">
        <v>2599</v>
      </c>
      <c r="CG4" s="5" t="s">
        <v>2600</v>
      </c>
      <c r="CH4" s="5" t="s">
        <v>2601</v>
      </c>
      <c r="CI4" s="116" t="s">
        <v>2602</v>
      </c>
    </row>
    <row r="5" spans="1:87" ht="57">
      <c r="A5" s="115" t="s">
        <v>61</v>
      </c>
      <c r="B5" s="12" t="s">
        <v>680</v>
      </c>
      <c r="C5" s="13" t="s">
        <v>681</v>
      </c>
      <c r="D5" s="13" t="s">
        <v>682</v>
      </c>
      <c r="E5" s="12" t="s">
        <v>64</v>
      </c>
      <c r="F5" s="12" t="s">
        <v>65</v>
      </c>
      <c r="G5" s="13" t="s">
        <v>683</v>
      </c>
      <c r="H5" s="12" t="s">
        <v>67</v>
      </c>
      <c r="I5" s="13" t="s">
        <v>2785</v>
      </c>
      <c r="J5" s="13" t="s">
        <v>684</v>
      </c>
      <c r="K5" s="12" t="s">
        <v>93</v>
      </c>
      <c r="L5" s="13" t="s">
        <v>685</v>
      </c>
      <c r="M5" s="12" t="s">
        <v>101</v>
      </c>
      <c r="N5" s="12">
        <v>4</v>
      </c>
      <c r="O5" s="12">
        <v>4</v>
      </c>
      <c r="P5" s="14">
        <f t="shared" ref="P5:P36" si="0">IF(COUNT($N5:$O5)=2,$N5*$O5,"")</f>
        <v>16</v>
      </c>
      <c r="Q5" s="15" t="str">
        <f t="shared" ref="Q5:Q36" si="1">IF($P5="","",INDEX(Niveis,MAX(IFERROR(MATCH($P5,Limites,1),1),IF($O5=5,MinIdx,1))))</f>
        <v>Crítico</v>
      </c>
      <c r="R5" s="13" t="s">
        <v>686</v>
      </c>
      <c r="S5" s="12" t="s">
        <v>71</v>
      </c>
      <c r="T5" s="12">
        <v>4</v>
      </c>
      <c r="U5" s="12">
        <v>3</v>
      </c>
      <c r="V5" s="14">
        <f t="shared" ref="V5:V36" si="2">IF(COUNT($T5:$U5)=2,$T5*$U5,"")</f>
        <v>12</v>
      </c>
      <c r="W5" s="15" t="str">
        <f t="shared" ref="W5:W36" si="3">IF($V5="","",INDEX(Niveis,MAX(IFERROR(MATCH($V5,Limites,1),1),IF($U5=5,MinIdx,1))))</f>
        <v>Alto</v>
      </c>
      <c r="X5" s="12" t="s">
        <v>82</v>
      </c>
      <c r="Y5" s="14" t="str">
        <f t="shared" ref="Y5:Y36" si="4">IF(IF($W5&lt;&gt;"",$W5,$Q5)="","",INDEX(AcaoRisco,MATCH(IF($W5&lt;&gt;"",$W5,$Q5),Niveis,0)))</f>
        <v>Mitigar</v>
      </c>
      <c r="Z5" s="12" t="s">
        <v>72</v>
      </c>
      <c r="AA5" s="12" t="s">
        <v>73</v>
      </c>
      <c r="AB5" s="16"/>
      <c r="AC5" s="13" t="s">
        <v>687</v>
      </c>
      <c r="AD5" s="13" t="s">
        <v>74</v>
      </c>
      <c r="AE5" s="13" t="s">
        <v>688</v>
      </c>
      <c r="AF5" s="16"/>
      <c r="AG5" s="12"/>
      <c r="AH5" s="13" t="s">
        <v>689</v>
      </c>
      <c r="AI5" s="12" t="s">
        <v>76</v>
      </c>
      <c r="AJ5" s="14" t="str">
        <f t="shared" ref="AJ5:AJ36" si="5">IF(OR($AI5="",PlanoUrl=""),"",HYPERLINK(SUBSTITUTE(PlanoUrl,"{COD}",SUBSTITUTE($AI5," ","%20")),"↗"))</f>
        <v/>
      </c>
      <c r="AK5" s="14" t="str">
        <f t="shared" ref="AK5:AK36" si="6">IF($C5="","",IF($AI5="",$AG5&amp;"",IFERROR(IF(INDEX(PlanosStatus,MATCH($AI5,PlanosCod,0))="",$AG5&amp;"",INDEX(PlanosStatus,MATCH($AI5,PlanosCod,0))),$AG5&amp;"")))</f>
        <v>Em andamento</v>
      </c>
      <c r="AL5" s="17">
        <f t="shared" ref="AL5:AL36" si="7">IF($C5="","",IF($AI5="",IF($AF5="","",$AF5),IFERROR(IF(INDEX(PlanosPrazo,MATCH($AI5,PlanosCod,0))="",IF($AF5="","",$AF5),INDEX(PlanosPrazo,MATCH($AI5,PlanosCod,0))),IF($AF5="","",$AF5))))</f>
        <v>46444</v>
      </c>
      <c r="AM5" s="16">
        <v>46538</v>
      </c>
      <c r="AN5" s="12"/>
      <c r="AO5" s="16"/>
      <c r="AP5" s="12">
        <v>2</v>
      </c>
      <c r="AQ5" s="12">
        <v>3</v>
      </c>
      <c r="AR5" s="14">
        <f t="shared" ref="AR5:AR36" si="8">IF(COUNT($AP5:$AQ5)=2,$AP5*$AQ5,"")</f>
        <v>6</v>
      </c>
      <c r="AS5" s="15" t="str">
        <f t="shared" ref="AS5:AS36" si="9">IF($AR5="","",INDEX(Niveis,MAX(IFERROR(MATCH($AR5,Limites,1),1),IF($AQ5=5,MinIdx,1))))</f>
        <v>Baixo</v>
      </c>
      <c r="AT5" s="12" t="s">
        <v>418</v>
      </c>
      <c r="AU5" s="13" t="s">
        <v>690</v>
      </c>
      <c r="AV5" s="12">
        <v>52</v>
      </c>
      <c r="AW5" s="16">
        <v>46371</v>
      </c>
      <c r="AX5" s="13" t="s">
        <v>691</v>
      </c>
      <c r="AY5" s="17">
        <f t="shared" ref="AY5:AY36" si="10">IF(OR($AW5="",IF(AND($AN5="Eficaz",$AS5&lt;&gt;""),$AS5,IF($W5&lt;&gt;"",$W5,$Q5))=""),"",EDATE($AW5,INDEX(MesesRev,MATCH(IF(AND($AN5="Eficaz",$AS5&lt;&gt;""),$AS5,IF($W5&lt;&gt;"",$W5,$Q5)),Niveis,0))))</f>
        <v>46461</v>
      </c>
      <c r="AZ5" s="14" t="str">
        <f t="shared" ref="AZ5:AZ36" ca="1" si="11">IF($C5="","",IF($AD5="","Sem dono",IF($W5="","Falta avaliação",IF(AND($AI5&lt;&gt;"",COUNTIF(PlanosCod,$AI5)=0),"Código não encontrado",IF(AND($AI5&lt;&gt;"",IFERROR(INDEX(PlanosIdRef,MATCH($AI5,PlanosCod,0))&amp;"","")&lt;&gt;"",ISERROR(SEARCH(";"&amp;$A5&amp;";",";"&amp;SUBSTITUTE(SUBSTITUTE(IFERROR(INDEX(PlanosIdRef,MATCH($AI5,PlanosCod,0))&amp;"","")," ",""),",",";")&amp;";"))),"Vínculo divergente",IF(AND(ISNUMBER($P5),ISNUMBER($V5),$V5&lt;$P5,OR($S5="",$S5="Inexistente")),"Redução s/ controle",IF(AND(ISNUMBER($AR5),ISNUMBER($V5),$AR5&lt;$V5,NOT(OR($Z5="Prevenir",$Z5="Mitigar",$Z5="Transferir / compartilhar")),$AC5="",$AI5=""),"Residual s/ tratamento",IF(AND(LEFT($AI5,3)="RNC",N(IFERROR(INDEX(PlanosAbertura,MATCH($AI5,PlanosCod,0)),0))&gt;N($AW5)),"Reavaliar após RNC",IF(AND(N($AV5)&gt;=1,ISNUMBER($T5),$T5&lt;=2),"Recalibrar probabilidade",IF(AND($Z5="Aceitar",$BA5=""),"Aceite sem justificativa",IF(AND($Z5="Aceitar",ISNUMBER($AB5),$AB5&lt;TODAY()),"Aceite vencido",IF(AND(OR($Z5="Aceitar",$Z5="Monitorar"),$Y5&lt;&gt;"Monitorar",$Y5&lt;&gt;""),"Aprovar aceite",IF(AND($Z5&lt;&gt;"Aceitar",$Z5&lt;&gt;"Monitorar",$Z5&lt;&gt;"Aprofundar análise",$AC5="",$AI5="",IFERROR(MATCH(IF($W5&lt;&gt;"",$W5,$Q5),Niveis,0),0)&gt;IF(N(IFERROR(INDEX(ApetIdx,MATCH($M5,ListaCatRisco,0)),0))=0,IdxExige-1,INDEX(ApetIdx,MATCH($M5,ListaCatRisco,0)))),"Sem ação",IF($Z5="Aprofundar análise","Aprofundar análise",IF(AND(OR($Z5="Prevenir",$Z5="Mitigar",$Z5="Transferir / compartilhar"),$AH5=""),"Definir critério de eficácia",IF(AND(OR($Z5="Prevenir",$Z5="Mitigar",$Z5="Transferir / compartilhar"),OR($AA5="Controle administrativo",$AA5="EPI"),IFERROR(MATCH(IF($W5&lt;&gt;"",$W5,$Q5),Niveis,0),0)&gt;=3),"Rever hierarquia de controle",IF(COUNTIFS(KriId,$A5,KriSit,"Estourou")+COUNTIFS(KriId,$A5,KriSit,"Atenção")&gt;0,"KRI em alerta",IF(COUNTIFS(BtId,$A5,BtEf,"Baixa")+COUNTIFS(BtId,$A5,BtEf,"Inexistente")&gt;0,"Barreira fraca",IF($AN5="Não eficaz","Ação ineficaz",IF(AND($AL5&lt;&gt;"",$AL5&lt;TODAY(),$AK5&lt;&gt;"Concluído",$AK5&lt;&gt;"Cancelado"),"Ação vencida",IF(AND($AN5&lt;&gt;"Eficaz",OR($AK5="Concluído",AND(ISNUMBER($AM5),$AM5&lt;TODAY()))),"Avaliar eficácia",IF(AND($AN5="Eficaz",OR($AS5="",$AT5="")),"Concluir residual",IF($AT5="Não","Tratamento adicional",IF(AND($AT5="Sim",$AS5&lt;&gt;"",IFERROR(MATCH($AS5,Niveis,0),0)&gt;IF(N(IFERROR(INDEX(ApetIdx,MATCH($M5,ListaCatRisco,0)),0))=0,IdxExige-1,INDEX(ApetIdx,MATCH($M5,ListaCatRisco,0)))),"Aceite fora do apetite",IF(AND(COUNTIF(BtId,$A5)=0,OR(IFERROR(MATCH(IF($W5&lt;&gt;"",$W5,$Q5),Niveis,0),0)&gt;=3,AND(OR($S5="Baixa",$S5="Inexistente"),IFERROR(MATCH(IF($W5&lt;&gt;"",$W5,$Q5),Niveis,0),0)&gt;=2))),"Sem BowTie",IF(AND($AY5&lt;&gt;"",$AY5&lt;TODAY()),"Revisão vencida",IF(AND($AL5&lt;&gt;"",N($AL5)-TODAY()&lt;=DiasAlerta,$AK5&lt;&gt;"Concluído",$AK5&lt;&gt;"Cancelado"),"Vence em breve","OK")))))))))))))))))))))))))))</f>
        <v>KRI em alerta</v>
      </c>
      <c r="BA5" s="13" t="s">
        <v>692</v>
      </c>
      <c r="BB5" s="12" t="s">
        <v>693</v>
      </c>
      <c r="BC5" s="14">
        <f>IF($V5="","",1+COUNTIF($V$5:$V$154,"&gt;"&amp;$V5)+COUNTIFS($V$5:$V$154,$V5,$U$5:$U$154,"&gt;"&amp;$U5)+COUNTIFS($V$4:$V4,$V5,$U$4:$U4,$U5))</f>
        <v>7</v>
      </c>
      <c r="BD5" s="12" t="s">
        <v>589</v>
      </c>
      <c r="BE5" s="12" t="s">
        <v>593</v>
      </c>
      <c r="BF5" s="12" t="s">
        <v>596</v>
      </c>
      <c r="BG5" s="62">
        <v>18000</v>
      </c>
      <c r="BH5" s="62">
        <v>45000</v>
      </c>
      <c r="BI5" s="63">
        <f t="shared" ref="BI5:BI36" si="12">IF(OR($BH5="",$T5=""),"",IFERROR($BH5*INDEX(ProbMedia,$T5),""))</f>
        <v>31499.999999999996</v>
      </c>
      <c r="BJ5" s="18" t="str">
        <f t="shared" ref="BJ5:BJ36" si="13">IF(OR($BG5="",$BI5=""),"",IF(OR(LEFT($M5,3)="SST",LEFT($M5,5)="Legal",LEFT($M5,8)="Ambienta"),"SST/Ambiental/Legal: custo não justifica aceitar (apetite e ALARP)",IF($BG5&gt;$BI5,"Custo maior que a perda esperada: reter/aceitar é defensável, com justificativa","Custo menor ou igual à perda esperada: tratar compensa")))</f>
        <v>Custo menor ou igual à perda esperada: tratar compensa</v>
      </c>
      <c r="BK5" s="12"/>
      <c r="BL5" s="117"/>
      <c r="BM5" s="117"/>
      <c r="BN5" s="16"/>
      <c r="BO5" s="117"/>
      <c r="BP5" s="117"/>
      <c r="BQ5" s="117"/>
      <c r="BR5" s="117"/>
      <c r="BS5" s="117"/>
      <c r="BT5" s="117"/>
      <c r="BU5" s="117"/>
      <c r="BV5" s="117"/>
      <c r="BW5" s="14" t="str">
        <f t="shared" ref="BW5:BW36" si="14">IF($BU5="","",IFERROR(INDEX(SgaProbValor,MATCH($BU5,SgaProbNivel,0)),""))</f>
        <v/>
      </c>
      <c r="BX5" s="14" t="str">
        <f t="shared" ref="BX5:BX36" si="15">IF($BV5="","",IFERROR(INDEX(SgaSevRiValor,MATCH($BV5,SgaSevRiNivel,0)),""))</f>
        <v/>
      </c>
      <c r="BY5" s="14" t="str">
        <f t="shared" ref="BY5:BY36" si="16">IF(COUNT($BW5:$BX5)=2,$BW5*$BX5,"")</f>
        <v/>
      </c>
      <c r="BZ5" s="15" t="str">
        <f t="shared" ref="BZ5:BZ36" si="17">IF($BY5="","",IF($BY5&lt;=SgaLimRiSig,"SIGNIFICATIVO",IF($BY5&lt;=SgaLimRiTol,"TOLERÁVEL","BAIXO")))</f>
        <v/>
      </c>
      <c r="CA5" s="15" t="str">
        <f t="shared" ref="CA5:CA36" si="18">IF($BZ5="","",IF($BZ5="SIGNIFICATIVO","NÃO ACEITÁVEL","ACEITÁVEL"))</f>
        <v/>
      </c>
      <c r="CB5" s="117"/>
      <c r="CC5" s="117"/>
      <c r="CD5" s="117"/>
      <c r="CE5" s="117"/>
      <c r="CF5" s="117"/>
      <c r="CG5" s="14" t="str">
        <f t="shared" ref="CG5:CG36" si="19">IF(OR($CE5="",$CF5=""),"",IFERROR(INDEX(SgaProbValor,MATCH($CE5,SgaProbNivel,0))*INDEX(SgaSevRiValor,MATCH($CF5,SgaSevRiNivel,0)),""))</f>
        <v/>
      </c>
      <c r="CH5" s="15" t="str">
        <f t="shared" ref="CH5:CH36" si="20">IF($CG5="","",IF($CG5&lt;=SgaLimRiSig,"SIGNIFICATIVO",IF($CG5&lt;=SgaLimRiTol,"TOLERÁVEL","BAIXO")))</f>
        <v/>
      </c>
      <c r="CI5" s="117"/>
    </row>
    <row r="6" spans="1:87" ht="68.400000000000006">
      <c r="A6" s="115" t="s">
        <v>77</v>
      </c>
      <c r="B6" s="12" t="s">
        <v>680</v>
      </c>
      <c r="C6" s="13" t="s">
        <v>694</v>
      </c>
      <c r="D6" s="13" t="s">
        <v>682</v>
      </c>
      <c r="E6" s="12" t="s">
        <v>64</v>
      </c>
      <c r="F6" s="12" t="s">
        <v>65</v>
      </c>
      <c r="G6" s="13" t="s">
        <v>695</v>
      </c>
      <c r="H6" s="12" t="s">
        <v>80</v>
      </c>
      <c r="I6" s="13" t="s">
        <v>2785</v>
      </c>
      <c r="J6" s="13" t="s">
        <v>696</v>
      </c>
      <c r="K6" s="12" t="s">
        <v>93</v>
      </c>
      <c r="L6" s="13" t="s">
        <v>697</v>
      </c>
      <c r="M6" s="12" t="s">
        <v>101</v>
      </c>
      <c r="N6" s="12">
        <v>4</v>
      </c>
      <c r="O6" s="12">
        <v>4</v>
      </c>
      <c r="P6" s="14">
        <f t="shared" si="0"/>
        <v>16</v>
      </c>
      <c r="Q6" s="15" t="str">
        <f t="shared" si="1"/>
        <v>Crítico</v>
      </c>
      <c r="R6" s="13" t="s">
        <v>698</v>
      </c>
      <c r="S6" s="12" t="s">
        <v>71</v>
      </c>
      <c r="T6" s="12">
        <v>3</v>
      </c>
      <c r="U6" s="12">
        <v>3</v>
      </c>
      <c r="V6" s="14">
        <f t="shared" si="2"/>
        <v>9</v>
      </c>
      <c r="W6" s="15" t="str">
        <f t="shared" si="3"/>
        <v>Médio</v>
      </c>
      <c r="X6" s="12" t="s">
        <v>82</v>
      </c>
      <c r="Y6" s="14" t="str">
        <f t="shared" si="4"/>
        <v>Mitigar</v>
      </c>
      <c r="Z6" s="12" t="s">
        <v>72</v>
      </c>
      <c r="AA6" s="12" t="s">
        <v>73</v>
      </c>
      <c r="AB6" s="16"/>
      <c r="AC6" s="13" t="s">
        <v>699</v>
      </c>
      <c r="AD6" s="13" t="s">
        <v>84</v>
      </c>
      <c r="AE6" s="13" t="s">
        <v>86</v>
      </c>
      <c r="AF6" s="16"/>
      <c r="AG6" s="12"/>
      <c r="AH6" s="13" t="s">
        <v>700</v>
      </c>
      <c r="AI6" s="12" t="s">
        <v>701</v>
      </c>
      <c r="AJ6" s="14" t="str">
        <f t="shared" si="5"/>
        <v/>
      </c>
      <c r="AK6" s="14" t="str">
        <f t="shared" si="6"/>
        <v>Aberto</v>
      </c>
      <c r="AL6" s="17">
        <f t="shared" si="7"/>
        <v>46477</v>
      </c>
      <c r="AM6" s="16">
        <v>46568</v>
      </c>
      <c r="AN6" s="12"/>
      <c r="AO6" s="16"/>
      <c r="AP6" s="12">
        <v>2</v>
      </c>
      <c r="AQ6" s="12">
        <v>3</v>
      </c>
      <c r="AR6" s="14">
        <f t="shared" si="8"/>
        <v>6</v>
      </c>
      <c r="AS6" s="15" t="str">
        <f t="shared" si="9"/>
        <v>Baixo</v>
      </c>
      <c r="AT6" s="12" t="s">
        <v>418</v>
      </c>
      <c r="AU6" s="13" t="s">
        <v>702</v>
      </c>
      <c r="AV6" s="12">
        <v>21</v>
      </c>
      <c r="AW6" s="16">
        <v>46371</v>
      </c>
      <c r="AX6" s="13" t="s">
        <v>703</v>
      </c>
      <c r="AY6" s="17">
        <f t="shared" si="10"/>
        <v>46553</v>
      </c>
      <c r="AZ6" s="14" t="str">
        <f t="shared" ca="1" si="11"/>
        <v>KRI em alerta</v>
      </c>
      <c r="BA6" s="13" t="s">
        <v>704</v>
      </c>
      <c r="BB6" s="12" t="s">
        <v>705</v>
      </c>
      <c r="BC6" s="14">
        <f>IF($V6="","",1+COUNTIF($V$5:$V$154,"&gt;"&amp;$V6)+COUNTIFS($V$5:$V$154,$V6,$U$5:$U$154,"&gt;"&amp;$U6)+COUNTIFS($V$4:$V5,$V6,$U$4:$U5,$U6))</f>
        <v>21</v>
      </c>
      <c r="BD6" s="12" t="s">
        <v>589</v>
      </c>
      <c r="BE6" s="12" t="s">
        <v>593</v>
      </c>
      <c r="BF6" s="12" t="s">
        <v>595</v>
      </c>
      <c r="BG6" s="62">
        <v>25000</v>
      </c>
      <c r="BH6" s="62">
        <v>75000</v>
      </c>
      <c r="BI6" s="63">
        <f t="shared" si="12"/>
        <v>37500</v>
      </c>
      <c r="BJ6" s="18" t="str">
        <f t="shared" si="13"/>
        <v>Custo menor ou igual à perda esperada: tratar compensa</v>
      </c>
      <c r="BK6" s="12"/>
      <c r="BL6" s="117"/>
      <c r="BM6" s="117"/>
      <c r="BN6" s="16"/>
      <c r="BO6" s="117"/>
      <c r="BP6" s="117"/>
      <c r="BQ6" s="117"/>
      <c r="BR6" s="117"/>
      <c r="BS6" s="117"/>
      <c r="BT6" s="117"/>
      <c r="BU6" s="117"/>
      <c r="BV6" s="117"/>
      <c r="BW6" s="14" t="str">
        <f t="shared" si="14"/>
        <v/>
      </c>
      <c r="BX6" s="14" t="str">
        <f t="shared" si="15"/>
        <v/>
      </c>
      <c r="BY6" s="14" t="str">
        <f t="shared" si="16"/>
        <v/>
      </c>
      <c r="BZ6" s="15" t="str">
        <f t="shared" si="17"/>
        <v/>
      </c>
      <c r="CA6" s="15" t="str">
        <f t="shared" si="18"/>
        <v/>
      </c>
      <c r="CB6" s="117"/>
      <c r="CC6" s="117"/>
      <c r="CD6" s="117"/>
      <c r="CE6" s="117"/>
      <c r="CF6" s="117"/>
      <c r="CG6" s="14" t="str">
        <f t="shared" si="19"/>
        <v/>
      </c>
      <c r="CH6" s="15" t="str">
        <f t="shared" si="20"/>
        <v/>
      </c>
      <c r="CI6" s="117"/>
    </row>
    <row r="7" spans="1:87" ht="57">
      <c r="A7" s="115" t="s">
        <v>88</v>
      </c>
      <c r="B7" s="12" t="s">
        <v>680</v>
      </c>
      <c r="C7" s="13" t="s">
        <v>706</v>
      </c>
      <c r="D7" s="13" t="s">
        <v>682</v>
      </c>
      <c r="E7" s="12" t="s">
        <v>64</v>
      </c>
      <c r="F7" s="12" t="s">
        <v>65</v>
      </c>
      <c r="G7" s="13" t="s">
        <v>707</v>
      </c>
      <c r="H7" s="12" t="s">
        <v>67</v>
      </c>
      <c r="I7" s="13" t="s">
        <v>145</v>
      </c>
      <c r="J7" s="13" t="s">
        <v>708</v>
      </c>
      <c r="K7" s="12" t="s">
        <v>93</v>
      </c>
      <c r="L7" s="13" t="s">
        <v>709</v>
      </c>
      <c r="M7" s="12" t="s">
        <v>81</v>
      </c>
      <c r="N7" s="12">
        <v>5</v>
      </c>
      <c r="O7" s="12">
        <v>3</v>
      </c>
      <c r="P7" s="14">
        <f t="shared" si="0"/>
        <v>15</v>
      </c>
      <c r="Q7" s="15" t="str">
        <f t="shared" si="1"/>
        <v>Alto</v>
      </c>
      <c r="R7" s="13" t="s">
        <v>710</v>
      </c>
      <c r="S7" s="12" t="s">
        <v>102</v>
      </c>
      <c r="T7" s="12">
        <v>4</v>
      </c>
      <c r="U7" s="12">
        <v>3</v>
      </c>
      <c r="V7" s="14">
        <f t="shared" si="2"/>
        <v>12</v>
      </c>
      <c r="W7" s="15" t="str">
        <f t="shared" si="3"/>
        <v>Alto</v>
      </c>
      <c r="X7" s="12" t="s">
        <v>82</v>
      </c>
      <c r="Y7" s="14" t="str">
        <f t="shared" si="4"/>
        <v>Mitigar</v>
      </c>
      <c r="Z7" s="12" t="s">
        <v>72</v>
      </c>
      <c r="AA7" s="12" t="s">
        <v>73</v>
      </c>
      <c r="AB7" s="16"/>
      <c r="AC7" s="13" t="s">
        <v>711</v>
      </c>
      <c r="AD7" s="13" t="s">
        <v>84</v>
      </c>
      <c r="AE7" s="13" t="s">
        <v>86</v>
      </c>
      <c r="AF7" s="16"/>
      <c r="AG7" s="12"/>
      <c r="AH7" s="13" t="s">
        <v>712</v>
      </c>
      <c r="AI7" s="12" t="s">
        <v>713</v>
      </c>
      <c r="AJ7" s="14" t="str">
        <f t="shared" si="5"/>
        <v/>
      </c>
      <c r="AK7" s="14" t="str">
        <f t="shared" si="6"/>
        <v>Em andamento</v>
      </c>
      <c r="AL7" s="17">
        <f t="shared" si="7"/>
        <v>46461</v>
      </c>
      <c r="AM7" s="16">
        <v>46568</v>
      </c>
      <c r="AN7" s="12"/>
      <c r="AO7" s="16"/>
      <c r="AP7" s="12">
        <v>3</v>
      </c>
      <c r="AQ7" s="12">
        <v>3</v>
      </c>
      <c r="AR7" s="14">
        <f t="shared" si="8"/>
        <v>9</v>
      </c>
      <c r="AS7" s="15" t="str">
        <f t="shared" si="9"/>
        <v>Médio</v>
      </c>
      <c r="AT7" s="12" t="s">
        <v>418</v>
      </c>
      <c r="AU7" s="13" t="s">
        <v>714</v>
      </c>
      <c r="AV7" s="12">
        <v>3946</v>
      </c>
      <c r="AW7" s="16">
        <v>46371</v>
      </c>
      <c r="AX7" s="13" t="s">
        <v>715</v>
      </c>
      <c r="AY7" s="17">
        <f t="shared" si="10"/>
        <v>46461</v>
      </c>
      <c r="AZ7" s="14" t="str">
        <f t="shared" ca="1" si="11"/>
        <v>KRI em alerta</v>
      </c>
      <c r="BA7" s="13" t="s">
        <v>716</v>
      </c>
      <c r="BB7" s="12" t="s">
        <v>717</v>
      </c>
      <c r="BC7" s="14">
        <f>IF($V7="","",1+COUNTIF($V$5:$V$154,"&gt;"&amp;$V7)+COUNTIFS($V$5:$V$154,$V7,$U$5:$U$154,"&gt;"&amp;$U7)+COUNTIFS($V$4:$V6,$V7,$U$4:$U6,$U7))</f>
        <v>8</v>
      </c>
      <c r="BD7" s="12" t="s">
        <v>590</v>
      </c>
      <c r="BE7" s="12" t="s">
        <v>593</v>
      </c>
      <c r="BF7" s="12" t="s">
        <v>595</v>
      </c>
      <c r="BG7" s="62">
        <v>60000</v>
      </c>
      <c r="BH7" s="62">
        <v>120000</v>
      </c>
      <c r="BI7" s="63">
        <f t="shared" si="12"/>
        <v>84000</v>
      </c>
      <c r="BJ7" s="18" t="str">
        <f t="shared" si="13"/>
        <v>Custo menor ou igual à perda esperada: tratar compensa</v>
      </c>
      <c r="BK7" s="12">
        <v>24</v>
      </c>
      <c r="BL7" s="117" t="s">
        <v>718</v>
      </c>
      <c r="BM7" s="117"/>
      <c r="BN7" s="16"/>
      <c r="BO7" s="117"/>
      <c r="BP7" s="117"/>
      <c r="BQ7" s="117"/>
      <c r="BR7" s="117"/>
      <c r="BS7" s="117"/>
      <c r="BT7" s="117"/>
      <c r="BU7" s="117"/>
      <c r="BV7" s="117"/>
      <c r="BW7" s="14" t="str">
        <f t="shared" si="14"/>
        <v/>
      </c>
      <c r="BX7" s="14" t="str">
        <f t="shared" si="15"/>
        <v/>
      </c>
      <c r="BY7" s="14" t="str">
        <f t="shared" si="16"/>
        <v/>
      </c>
      <c r="BZ7" s="15" t="str">
        <f t="shared" si="17"/>
        <v/>
      </c>
      <c r="CA7" s="15" t="str">
        <f t="shared" si="18"/>
        <v/>
      </c>
      <c r="CB7" s="117"/>
      <c r="CC7" s="117"/>
      <c r="CD7" s="117"/>
      <c r="CE7" s="117"/>
      <c r="CF7" s="117"/>
      <c r="CG7" s="14" t="str">
        <f t="shared" si="19"/>
        <v/>
      </c>
      <c r="CH7" s="15" t="str">
        <f t="shared" si="20"/>
        <v/>
      </c>
      <c r="CI7" s="117"/>
    </row>
    <row r="8" spans="1:87" ht="57">
      <c r="A8" s="115" t="s">
        <v>96</v>
      </c>
      <c r="B8" s="12" t="s">
        <v>719</v>
      </c>
      <c r="C8" s="13" t="s">
        <v>720</v>
      </c>
      <c r="D8" s="13" t="s">
        <v>682</v>
      </c>
      <c r="E8" s="12" t="s">
        <v>64</v>
      </c>
      <c r="F8" s="12" t="s">
        <v>65</v>
      </c>
      <c r="G8" s="13" t="s">
        <v>695</v>
      </c>
      <c r="H8" s="12" t="s">
        <v>67</v>
      </c>
      <c r="I8" s="13" t="s">
        <v>2785</v>
      </c>
      <c r="J8" s="13" t="s">
        <v>721</v>
      </c>
      <c r="K8" s="12" t="s">
        <v>93</v>
      </c>
      <c r="L8" s="13" t="s">
        <v>722</v>
      </c>
      <c r="M8" s="12" t="s">
        <v>101</v>
      </c>
      <c r="N8" s="12">
        <v>4</v>
      </c>
      <c r="O8" s="12">
        <v>4</v>
      </c>
      <c r="P8" s="14">
        <f t="shared" si="0"/>
        <v>16</v>
      </c>
      <c r="Q8" s="15" t="str">
        <f t="shared" si="1"/>
        <v>Crítico</v>
      </c>
      <c r="R8" s="13" t="s">
        <v>723</v>
      </c>
      <c r="S8" s="12" t="s">
        <v>71</v>
      </c>
      <c r="T8" s="12">
        <v>4</v>
      </c>
      <c r="U8" s="12">
        <v>3</v>
      </c>
      <c r="V8" s="14">
        <f t="shared" si="2"/>
        <v>12</v>
      </c>
      <c r="W8" s="15" t="str">
        <f t="shared" si="3"/>
        <v>Alto</v>
      </c>
      <c r="X8" s="12" t="s">
        <v>82</v>
      </c>
      <c r="Y8" s="14" t="str">
        <f t="shared" si="4"/>
        <v>Mitigar</v>
      </c>
      <c r="Z8" s="12" t="s">
        <v>72</v>
      </c>
      <c r="AA8" s="12" t="s">
        <v>73</v>
      </c>
      <c r="AB8" s="16"/>
      <c r="AC8" s="13" t="s">
        <v>724</v>
      </c>
      <c r="AD8" s="13" t="s">
        <v>103</v>
      </c>
      <c r="AE8" s="13" t="s">
        <v>104</v>
      </c>
      <c r="AF8" s="16"/>
      <c r="AG8" s="12"/>
      <c r="AH8" s="13" t="s">
        <v>725</v>
      </c>
      <c r="AI8" s="12" t="s">
        <v>95</v>
      </c>
      <c r="AJ8" s="14" t="str">
        <f t="shared" si="5"/>
        <v/>
      </c>
      <c r="AK8" s="14" t="str">
        <f t="shared" si="6"/>
        <v>Em andamento</v>
      </c>
      <c r="AL8" s="17">
        <f t="shared" si="7"/>
        <v>46430</v>
      </c>
      <c r="AM8" s="16">
        <v>46538</v>
      </c>
      <c r="AN8" s="12"/>
      <c r="AO8" s="16"/>
      <c r="AP8" s="12">
        <v>2</v>
      </c>
      <c r="AQ8" s="12">
        <v>3</v>
      </c>
      <c r="AR8" s="14">
        <f t="shared" si="8"/>
        <v>6</v>
      </c>
      <c r="AS8" s="15" t="str">
        <f t="shared" si="9"/>
        <v>Baixo</v>
      </c>
      <c r="AT8" s="12" t="s">
        <v>418</v>
      </c>
      <c r="AU8" s="13" t="s">
        <v>726</v>
      </c>
      <c r="AV8" s="12">
        <v>65</v>
      </c>
      <c r="AW8" s="16">
        <v>46371</v>
      </c>
      <c r="AX8" s="13" t="s">
        <v>691</v>
      </c>
      <c r="AY8" s="17">
        <f t="shared" si="10"/>
        <v>46461</v>
      </c>
      <c r="AZ8" s="14" t="str">
        <f t="shared" ca="1" si="11"/>
        <v>KRI em alerta</v>
      </c>
      <c r="BA8" s="13" t="s">
        <v>727</v>
      </c>
      <c r="BB8" s="12" t="s">
        <v>728</v>
      </c>
      <c r="BC8" s="14">
        <f>IF($V8="","",1+COUNTIF($V$5:$V$154,"&gt;"&amp;$V8)+COUNTIFS($V$5:$V$154,$V8,$U$5:$U$154,"&gt;"&amp;$U8)+COUNTIFS($V$4:$V7,$V8,$U$4:$U7,$U8))</f>
        <v>9</v>
      </c>
      <c r="BD8" s="12" t="s">
        <v>589</v>
      </c>
      <c r="BE8" s="12" t="s">
        <v>593</v>
      </c>
      <c r="BF8" s="12" t="s">
        <v>595</v>
      </c>
      <c r="BG8" s="62">
        <v>15000</v>
      </c>
      <c r="BH8" s="62">
        <v>48000</v>
      </c>
      <c r="BI8" s="63">
        <f t="shared" si="12"/>
        <v>33600</v>
      </c>
      <c r="BJ8" s="18" t="str">
        <f t="shared" si="13"/>
        <v>Custo menor ou igual à perda esperada: tratar compensa</v>
      </c>
      <c r="BK8" s="12"/>
      <c r="BL8" s="117"/>
      <c r="BM8" s="117"/>
      <c r="BN8" s="16"/>
      <c r="BO8" s="117"/>
      <c r="BP8" s="117"/>
      <c r="BQ8" s="117"/>
      <c r="BR8" s="117"/>
      <c r="BS8" s="117"/>
      <c r="BT8" s="117"/>
      <c r="BU8" s="117"/>
      <c r="BV8" s="117"/>
      <c r="BW8" s="14" t="str">
        <f t="shared" si="14"/>
        <v/>
      </c>
      <c r="BX8" s="14" t="str">
        <f t="shared" si="15"/>
        <v/>
      </c>
      <c r="BY8" s="14" t="str">
        <f t="shared" si="16"/>
        <v/>
      </c>
      <c r="BZ8" s="15" t="str">
        <f t="shared" si="17"/>
        <v/>
      </c>
      <c r="CA8" s="15" t="str">
        <f t="shared" si="18"/>
        <v/>
      </c>
      <c r="CB8" s="117"/>
      <c r="CC8" s="117"/>
      <c r="CD8" s="117"/>
      <c r="CE8" s="117"/>
      <c r="CF8" s="117"/>
      <c r="CG8" s="14" t="str">
        <f t="shared" si="19"/>
        <v/>
      </c>
      <c r="CH8" s="15" t="str">
        <f t="shared" si="20"/>
        <v/>
      </c>
      <c r="CI8" s="117"/>
    </row>
    <row r="9" spans="1:87" ht="68.400000000000006">
      <c r="A9" s="115" t="s">
        <v>729</v>
      </c>
      <c r="B9" s="12" t="s">
        <v>719</v>
      </c>
      <c r="C9" s="13" t="s">
        <v>730</v>
      </c>
      <c r="D9" s="13" t="s">
        <v>682</v>
      </c>
      <c r="E9" s="12" t="s">
        <v>64</v>
      </c>
      <c r="F9" s="12" t="s">
        <v>65</v>
      </c>
      <c r="G9" s="13" t="s">
        <v>695</v>
      </c>
      <c r="H9" s="12" t="s">
        <v>67</v>
      </c>
      <c r="I9" s="13" t="s">
        <v>2785</v>
      </c>
      <c r="J9" s="13" t="s">
        <v>731</v>
      </c>
      <c r="K9" s="12" t="s">
        <v>93</v>
      </c>
      <c r="L9" s="13" t="s">
        <v>732</v>
      </c>
      <c r="M9" s="12" t="s">
        <v>101</v>
      </c>
      <c r="N9" s="12">
        <v>4</v>
      </c>
      <c r="O9" s="12">
        <v>4</v>
      </c>
      <c r="P9" s="14">
        <f t="shared" si="0"/>
        <v>16</v>
      </c>
      <c r="Q9" s="15" t="str">
        <f>IF($P9="","",INDEX(Niveis,MAX(IFERROR(MATCH($P9,Limites,1),1),IF($O9=5,MinIdx,1))))</f>
        <v>Crítico</v>
      </c>
      <c r="R9" s="13" t="s">
        <v>733</v>
      </c>
      <c r="S9" s="12" t="s">
        <v>102</v>
      </c>
      <c r="T9" s="12">
        <v>4</v>
      </c>
      <c r="U9" s="12">
        <v>3</v>
      </c>
      <c r="V9" s="14">
        <f t="shared" si="2"/>
        <v>12</v>
      </c>
      <c r="W9" s="15" t="str">
        <f t="shared" si="3"/>
        <v>Alto</v>
      </c>
      <c r="X9" s="12" t="s">
        <v>71</v>
      </c>
      <c r="Y9" s="14" t="str">
        <f t="shared" si="4"/>
        <v>Mitigar</v>
      </c>
      <c r="Z9" s="12" t="s">
        <v>72</v>
      </c>
      <c r="AA9" s="12" t="s">
        <v>73</v>
      </c>
      <c r="AB9" s="16"/>
      <c r="AC9" s="13" t="s">
        <v>734</v>
      </c>
      <c r="AD9" s="13" t="s">
        <v>74</v>
      </c>
      <c r="AE9" s="13" t="s">
        <v>86</v>
      </c>
      <c r="AF9" s="16"/>
      <c r="AG9" s="12"/>
      <c r="AH9" s="13" t="s">
        <v>735</v>
      </c>
      <c r="AI9" s="12" t="s">
        <v>141</v>
      </c>
      <c r="AJ9" s="14" t="str">
        <f t="shared" si="5"/>
        <v/>
      </c>
      <c r="AK9" s="14" t="str">
        <f t="shared" si="6"/>
        <v>Aberto</v>
      </c>
      <c r="AL9" s="17">
        <f t="shared" si="7"/>
        <v>46477</v>
      </c>
      <c r="AM9" s="16">
        <v>46568</v>
      </c>
      <c r="AN9" s="12"/>
      <c r="AO9" s="16"/>
      <c r="AP9" s="12">
        <v>2</v>
      </c>
      <c r="AQ9" s="12">
        <v>3</v>
      </c>
      <c r="AR9" s="14">
        <f t="shared" si="8"/>
        <v>6</v>
      </c>
      <c r="AS9" s="15" t="str">
        <f t="shared" si="9"/>
        <v>Baixo</v>
      </c>
      <c r="AT9" s="12" t="s">
        <v>418</v>
      </c>
      <c r="AU9" s="13" t="s">
        <v>736</v>
      </c>
      <c r="AV9" s="12">
        <v>40</v>
      </c>
      <c r="AW9" s="16">
        <v>46371</v>
      </c>
      <c r="AX9" s="13" t="s">
        <v>691</v>
      </c>
      <c r="AY9" s="17">
        <f t="shared" si="10"/>
        <v>46461</v>
      </c>
      <c r="AZ9" s="14" t="str">
        <f t="shared" ca="1" si="11"/>
        <v>KRI em alerta</v>
      </c>
      <c r="BA9" s="13" t="s">
        <v>737</v>
      </c>
      <c r="BB9" s="12" t="s">
        <v>738</v>
      </c>
      <c r="BC9" s="14">
        <f>IF($V9="","",1+COUNTIF($V$5:$V$154,"&gt;"&amp;$V9)+COUNTIFS($V$5:$V$154,$V9,$U$5:$U$154,"&gt;"&amp;$U9)+COUNTIFS($V$4:$V8,$V9,$U$4:$U8,$U9))</f>
        <v>10</v>
      </c>
      <c r="BD9" s="12" t="s">
        <v>589</v>
      </c>
      <c r="BE9" s="12" t="s">
        <v>593</v>
      </c>
      <c r="BF9" s="12" t="s">
        <v>596</v>
      </c>
      <c r="BG9" s="62">
        <v>12000</v>
      </c>
      <c r="BH9" s="62">
        <v>38000</v>
      </c>
      <c r="BI9" s="63">
        <f t="shared" si="12"/>
        <v>26600</v>
      </c>
      <c r="BJ9" s="18" t="str">
        <f t="shared" si="13"/>
        <v>Custo menor ou igual à perda esperada: tratar compensa</v>
      </c>
      <c r="BK9" s="12"/>
      <c r="BL9" s="117"/>
      <c r="BM9" s="117"/>
      <c r="BN9" s="16"/>
      <c r="BO9" s="117"/>
      <c r="BP9" s="117"/>
      <c r="BQ9" s="117"/>
      <c r="BR9" s="117"/>
      <c r="BS9" s="117"/>
      <c r="BT9" s="117"/>
      <c r="BU9" s="117"/>
      <c r="BV9" s="117"/>
      <c r="BW9" s="14" t="str">
        <f t="shared" si="14"/>
        <v/>
      </c>
      <c r="BX9" s="14" t="str">
        <f t="shared" si="15"/>
        <v/>
      </c>
      <c r="BY9" s="14" t="str">
        <f t="shared" si="16"/>
        <v/>
      </c>
      <c r="BZ9" s="15" t="str">
        <f t="shared" si="17"/>
        <v/>
      </c>
      <c r="CA9" s="15" t="str">
        <f t="shared" si="18"/>
        <v/>
      </c>
      <c r="CB9" s="117"/>
      <c r="CC9" s="117"/>
      <c r="CD9" s="117"/>
      <c r="CE9" s="117"/>
      <c r="CF9" s="117"/>
      <c r="CG9" s="14" t="str">
        <f t="shared" si="19"/>
        <v/>
      </c>
      <c r="CH9" s="15" t="str">
        <f t="shared" si="20"/>
        <v/>
      </c>
      <c r="CI9" s="117"/>
    </row>
    <row r="10" spans="1:87" ht="68.400000000000006">
      <c r="A10" s="115" t="s">
        <v>739</v>
      </c>
      <c r="B10" s="12" t="s">
        <v>740</v>
      </c>
      <c r="C10" s="13" t="s">
        <v>741</v>
      </c>
      <c r="D10" s="13" t="s">
        <v>98</v>
      </c>
      <c r="E10" s="12" t="s">
        <v>133</v>
      </c>
      <c r="F10" s="12" t="s">
        <v>65</v>
      </c>
      <c r="G10" s="13" t="s">
        <v>695</v>
      </c>
      <c r="H10" s="12" t="s">
        <v>80</v>
      </c>
      <c r="I10" s="13" t="s">
        <v>2785</v>
      </c>
      <c r="J10" s="13" t="s">
        <v>742</v>
      </c>
      <c r="K10" s="12" t="s">
        <v>261</v>
      </c>
      <c r="L10" s="13" t="s">
        <v>743</v>
      </c>
      <c r="M10" s="12" t="s">
        <v>101</v>
      </c>
      <c r="N10" s="12">
        <v>3</v>
      </c>
      <c r="O10" s="12">
        <v>4</v>
      </c>
      <c r="P10" s="14">
        <f t="shared" si="0"/>
        <v>12</v>
      </c>
      <c r="Q10" s="15" t="str">
        <f t="shared" si="1"/>
        <v>Alto</v>
      </c>
      <c r="R10" s="13" t="s">
        <v>744</v>
      </c>
      <c r="S10" s="12" t="s">
        <v>71</v>
      </c>
      <c r="T10" s="12">
        <v>3</v>
      </c>
      <c r="U10" s="12">
        <v>4</v>
      </c>
      <c r="V10" s="14">
        <f t="shared" si="2"/>
        <v>12</v>
      </c>
      <c r="W10" s="15" t="str">
        <f t="shared" si="3"/>
        <v>Alto</v>
      </c>
      <c r="X10" s="12" t="s">
        <v>71</v>
      </c>
      <c r="Y10" s="14" t="str">
        <f t="shared" si="4"/>
        <v>Mitigar</v>
      </c>
      <c r="Z10" s="12" t="s">
        <v>72</v>
      </c>
      <c r="AA10" s="12" t="s">
        <v>73</v>
      </c>
      <c r="AB10" s="16"/>
      <c r="AC10" s="13" t="s">
        <v>745</v>
      </c>
      <c r="AD10" s="13" t="s">
        <v>103</v>
      </c>
      <c r="AE10" s="13" t="s">
        <v>104</v>
      </c>
      <c r="AF10" s="16"/>
      <c r="AG10" s="12"/>
      <c r="AH10" s="13" t="s">
        <v>746</v>
      </c>
      <c r="AI10" s="12" t="s">
        <v>747</v>
      </c>
      <c r="AJ10" s="14" t="str">
        <f t="shared" si="5"/>
        <v/>
      </c>
      <c r="AK10" s="14" t="str">
        <f t="shared" si="6"/>
        <v>Aberto</v>
      </c>
      <c r="AL10" s="17">
        <f t="shared" si="7"/>
        <v>46461</v>
      </c>
      <c r="AM10" s="16">
        <v>46538</v>
      </c>
      <c r="AN10" s="12"/>
      <c r="AO10" s="16"/>
      <c r="AP10" s="12">
        <v>2</v>
      </c>
      <c r="AQ10" s="12">
        <v>3</v>
      </c>
      <c r="AR10" s="14">
        <f t="shared" si="8"/>
        <v>6</v>
      </c>
      <c r="AS10" s="15" t="str">
        <f t="shared" si="9"/>
        <v>Baixo</v>
      </c>
      <c r="AT10" s="12" t="s">
        <v>418</v>
      </c>
      <c r="AU10" s="13" t="s">
        <v>748</v>
      </c>
      <c r="AV10" s="12">
        <v>52</v>
      </c>
      <c r="AW10" s="16">
        <v>46371</v>
      </c>
      <c r="AX10" s="13" t="s">
        <v>691</v>
      </c>
      <c r="AY10" s="17">
        <f t="shared" si="10"/>
        <v>46461</v>
      </c>
      <c r="AZ10" s="14" t="str">
        <f t="shared" ca="1" si="11"/>
        <v>KRI em alerta</v>
      </c>
      <c r="BA10" s="13" t="s">
        <v>749</v>
      </c>
      <c r="BB10" s="12" t="s">
        <v>750</v>
      </c>
      <c r="BC10" s="14">
        <f>IF($V10="","",1+COUNTIF($V$5:$V$154,"&gt;"&amp;$V10)+COUNTIFS($V$5:$V$154,$V10,$U$5:$U$154,"&gt;"&amp;$U10)+COUNTIFS($V$4:$V9,$V10,$U$4:$U9,$U10))</f>
        <v>3</v>
      </c>
      <c r="BD10" s="12" t="s">
        <v>589</v>
      </c>
      <c r="BE10" s="12" t="s">
        <v>594</v>
      </c>
      <c r="BF10" s="12" t="s">
        <v>596</v>
      </c>
      <c r="BG10" s="62">
        <v>14000</v>
      </c>
      <c r="BH10" s="62">
        <v>36000</v>
      </c>
      <c r="BI10" s="63">
        <f t="shared" si="12"/>
        <v>18000</v>
      </c>
      <c r="BJ10" s="18" t="str">
        <f t="shared" si="13"/>
        <v>Custo menor ou igual à perda esperada: tratar compensa</v>
      </c>
      <c r="BK10" s="12"/>
      <c r="BL10" s="117"/>
      <c r="BM10" s="117"/>
      <c r="BN10" s="16"/>
      <c r="BO10" s="117"/>
      <c r="BP10" s="117"/>
      <c r="BQ10" s="117"/>
      <c r="BR10" s="117"/>
      <c r="BS10" s="117"/>
      <c r="BT10" s="117"/>
      <c r="BU10" s="117"/>
      <c r="BV10" s="117"/>
      <c r="BW10" s="14" t="str">
        <f t="shared" si="14"/>
        <v/>
      </c>
      <c r="BX10" s="14" t="str">
        <f t="shared" si="15"/>
        <v/>
      </c>
      <c r="BY10" s="14" t="str">
        <f t="shared" si="16"/>
        <v/>
      </c>
      <c r="BZ10" s="15" t="str">
        <f t="shared" si="17"/>
        <v/>
      </c>
      <c r="CA10" s="15" t="str">
        <f t="shared" si="18"/>
        <v/>
      </c>
      <c r="CB10" s="117"/>
      <c r="CC10" s="117"/>
      <c r="CD10" s="117"/>
      <c r="CE10" s="117"/>
      <c r="CF10" s="117"/>
      <c r="CG10" s="14" t="str">
        <f t="shared" si="19"/>
        <v/>
      </c>
      <c r="CH10" s="15" t="str">
        <f t="shared" si="20"/>
        <v/>
      </c>
      <c r="CI10" s="117"/>
    </row>
    <row r="11" spans="1:87" ht="79.8">
      <c r="A11" s="115" t="s">
        <v>751</v>
      </c>
      <c r="B11" s="12" t="s">
        <v>740</v>
      </c>
      <c r="C11" s="13" t="s">
        <v>752</v>
      </c>
      <c r="D11" s="13" t="s">
        <v>682</v>
      </c>
      <c r="E11" s="12" t="s">
        <v>64</v>
      </c>
      <c r="F11" s="12" t="s">
        <v>65</v>
      </c>
      <c r="G11" s="13" t="s">
        <v>707</v>
      </c>
      <c r="H11" s="12" t="s">
        <v>92</v>
      </c>
      <c r="I11" s="13" t="s">
        <v>145</v>
      </c>
      <c r="J11" s="13" t="s">
        <v>753</v>
      </c>
      <c r="K11" s="12" t="s">
        <v>93</v>
      </c>
      <c r="L11" s="13" t="s">
        <v>754</v>
      </c>
      <c r="M11" s="12" t="s">
        <v>81</v>
      </c>
      <c r="N11" s="12">
        <v>4</v>
      </c>
      <c r="O11" s="12">
        <v>4</v>
      </c>
      <c r="P11" s="14">
        <f t="shared" si="0"/>
        <v>16</v>
      </c>
      <c r="Q11" s="15" t="str">
        <f t="shared" si="1"/>
        <v>Crítico</v>
      </c>
      <c r="R11" s="13" t="s">
        <v>755</v>
      </c>
      <c r="S11" s="12" t="s">
        <v>71</v>
      </c>
      <c r="T11" s="12">
        <v>3</v>
      </c>
      <c r="U11" s="12">
        <v>3</v>
      </c>
      <c r="V11" s="14">
        <f t="shared" si="2"/>
        <v>9</v>
      </c>
      <c r="W11" s="15" t="str">
        <f t="shared" si="3"/>
        <v>Médio</v>
      </c>
      <c r="X11" s="12" t="s">
        <v>82</v>
      </c>
      <c r="Y11" s="14" t="str">
        <f t="shared" si="4"/>
        <v>Mitigar</v>
      </c>
      <c r="Z11" s="12" t="s">
        <v>72</v>
      </c>
      <c r="AA11" s="12" t="s">
        <v>73</v>
      </c>
      <c r="AB11" s="16"/>
      <c r="AC11" s="13" t="s">
        <v>756</v>
      </c>
      <c r="AD11" s="13" t="s">
        <v>84</v>
      </c>
      <c r="AE11" s="13" t="s">
        <v>86</v>
      </c>
      <c r="AF11" s="16"/>
      <c r="AG11" s="12"/>
      <c r="AH11" s="13" t="s">
        <v>757</v>
      </c>
      <c r="AI11" s="12" t="s">
        <v>758</v>
      </c>
      <c r="AJ11" s="14" t="str">
        <f t="shared" si="5"/>
        <v/>
      </c>
      <c r="AK11" s="14" t="str">
        <f t="shared" si="6"/>
        <v>Concluído</v>
      </c>
      <c r="AL11" s="17">
        <f t="shared" si="7"/>
        <v>46223</v>
      </c>
      <c r="AM11" s="16">
        <v>46371</v>
      </c>
      <c r="AN11" s="12" t="s">
        <v>759</v>
      </c>
      <c r="AO11" s="16">
        <v>46371</v>
      </c>
      <c r="AP11" s="12">
        <v>2</v>
      </c>
      <c r="AQ11" s="12">
        <v>3</v>
      </c>
      <c r="AR11" s="14">
        <f t="shared" si="8"/>
        <v>6</v>
      </c>
      <c r="AS11" s="15" t="str">
        <f t="shared" si="9"/>
        <v>Baixo</v>
      </c>
      <c r="AT11" s="12" t="s">
        <v>418</v>
      </c>
      <c r="AU11" s="13" t="s">
        <v>760</v>
      </c>
      <c r="AV11" s="12">
        <v>224</v>
      </c>
      <c r="AW11" s="16">
        <v>46371</v>
      </c>
      <c r="AX11" s="13" t="s">
        <v>715</v>
      </c>
      <c r="AY11" s="17">
        <f t="shared" si="10"/>
        <v>46736</v>
      </c>
      <c r="AZ11" s="14" t="str">
        <f t="shared" ca="1" si="11"/>
        <v>OK</v>
      </c>
      <c r="BA11" s="13" t="s">
        <v>761</v>
      </c>
      <c r="BB11" s="12" t="s">
        <v>88</v>
      </c>
      <c r="BC11" s="14">
        <f>IF($V11="","",1+COUNTIF($V$5:$V$154,"&gt;"&amp;$V11)+COUNTIFS($V$5:$V$154,$V11,$U$5:$U$154,"&gt;"&amp;$U11)+COUNTIFS($V$4:$V10,$V11,$U$4:$U10,$U11))</f>
        <v>22</v>
      </c>
      <c r="BD11" s="12" t="s">
        <v>590</v>
      </c>
      <c r="BE11" s="12" t="s">
        <v>593</v>
      </c>
      <c r="BF11" s="12" t="s">
        <v>597</v>
      </c>
      <c r="BG11" s="62">
        <v>35000</v>
      </c>
      <c r="BH11" s="62">
        <v>100000</v>
      </c>
      <c r="BI11" s="63">
        <f t="shared" si="12"/>
        <v>50000</v>
      </c>
      <c r="BJ11" s="18" t="str">
        <f t="shared" si="13"/>
        <v>Custo menor ou igual à perda esperada: tratar compensa</v>
      </c>
      <c r="BK11" s="12">
        <v>16</v>
      </c>
      <c r="BL11" s="117" t="s">
        <v>762</v>
      </c>
      <c r="BM11" s="117"/>
      <c r="BN11" s="16"/>
      <c r="BO11" s="117"/>
      <c r="BP11" s="117"/>
      <c r="BQ11" s="117"/>
      <c r="BR11" s="117"/>
      <c r="BS11" s="117"/>
      <c r="BT11" s="117"/>
      <c r="BU11" s="117"/>
      <c r="BV11" s="117"/>
      <c r="BW11" s="14" t="str">
        <f t="shared" si="14"/>
        <v/>
      </c>
      <c r="BX11" s="14" t="str">
        <f t="shared" si="15"/>
        <v/>
      </c>
      <c r="BY11" s="14" t="str">
        <f t="shared" si="16"/>
        <v/>
      </c>
      <c r="BZ11" s="15" t="str">
        <f t="shared" si="17"/>
        <v/>
      </c>
      <c r="CA11" s="15" t="str">
        <f t="shared" si="18"/>
        <v/>
      </c>
      <c r="CB11" s="117"/>
      <c r="CC11" s="117"/>
      <c r="CD11" s="117"/>
      <c r="CE11" s="117"/>
      <c r="CF11" s="117"/>
      <c r="CG11" s="14" t="str">
        <f t="shared" si="19"/>
        <v/>
      </c>
      <c r="CH11" s="15" t="str">
        <f t="shared" si="20"/>
        <v/>
      </c>
      <c r="CI11" s="117"/>
    </row>
    <row r="12" spans="1:87" ht="57">
      <c r="A12" s="115" t="s">
        <v>763</v>
      </c>
      <c r="B12" s="12" t="s">
        <v>764</v>
      </c>
      <c r="C12" s="13" t="s">
        <v>765</v>
      </c>
      <c r="D12" s="13" t="s">
        <v>682</v>
      </c>
      <c r="E12" s="12" t="s">
        <v>64</v>
      </c>
      <c r="F12" s="12" t="s">
        <v>65</v>
      </c>
      <c r="G12" s="13" t="s">
        <v>695</v>
      </c>
      <c r="H12" s="12" t="s">
        <v>67</v>
      </c>
      <c r="I12" s="13" t="s">
        <v>2785</v>
      </c>
      <c r="J12" s="13" t="s">
        <v>766</v>
      </c>
      <c r="K12" s="12" t="s">
        <v>69</v>
      </c>
      <c r="L12" s="13" t="s">
        <v>767</v>
      </c>
      <c r="M12" s="12" t="s">
        <v>101</v>
      </c>
      <c r="N12" s="12">
        <v>4</v>
      </c>
      <c r="O12" s="12">
        <v>3</v>
      </c>
      <c r="P12" s="14">
        <f t="shared" si="0"/>
        <v>12</v>
      </c>
      <c r="Q12" s="15" t="str">
        <f t="shared" si="1"/>
        <v>Alto</v>
      </c>
      <c r="R12" s="13" t="s">
        <v>768</v>
      </c>
      <c r="S12" s="12" t="s">
        <v>102</v>
      </c>
      <c r="T12" s="12">
        <v>4</v>
      </c>
      <c r="U12" s="12">
        <v>3</v>
      </c>
      <c r="V12" s="14">
        <f t="shared" si="2"/>
        <v>12</v>
      </c>
      <c r="W12" s="15" t="str">
        <f t="shared" si="3"/>
        <v>Alto</v>
      </c>
      <c r="X12" s="12" t="s">
        <v>71</v>
      </c>
      <c r="Y12" s="14" t="str">
        <f t="shared" si="4"/>
        <v>Mitigar</v>
      </c>
      <c r="Z12" s="12" t="s">
        <v>72</v>
      </c>
      <c r="AA12" s="12" t="s">
        <v>73</v>
      </c>
      <c r="AB12" s="16"/>
      <c r="AC12" s="13" t="s">
        <v>769</v>
      </c>
      <c r="AD12" s="13" t="s">
        <v>74</v>
      </c>
      <c r="AE12" s="13" t="s">
        <v>688</v>
      </c>
      <c r="AF12" s="16"/>
      <c r="AG12" s="12"/>
      <c r="AH12" s="13" t="s">
        <v>770</v>
      </c>
      <c r="AI12" s="12" t="s">
        <v>771</v>
      </c>
      <c r="AJ12" s="14" t="str">
        <f t="shared" si="5"/>
        <v/>
      </c>
      <c r="AK12" s="14" t="str">
        <f t="shared" si="6"/>
        <v>Aberto</v>
      </c>
      <c r="AL12" s="17">
        <f t="shared" si="7"/>
        <v>46477</v>
      </c>
      <c r="AM12" s="16">
        <v>46568</v>
      </c>
      <c r="AN12" s="12"/>
      <c r="AO12" s="16"/>
      <c r="AP12" s="12">
        <v>2</v>
      </c>
      <c r="AQ12" s="12">
        <v>3</v>
      </c>
      <c r="AR12" s="14">
        <f t="shared" si="8"/>
        <v>6</v>
      </c>
      <c r="AS12" s="15" t="str">
        <f t="shared" si="9"/>
        <v>Baixo</v>
      </c>
      <c r="AT12" s="12" t="s">
        <v>418</v>
      </c>
      <c r="AU12" s="13" t="s">
        <v>772</v>
      </c>
      <c r="AV12" s="12">
        <v>37</v>
      </c>
      <c r="AW12" s="16">
        <v>46371</v>
      </c>
      <c r="AX12" s="13" t="s">
        <v>773</v>
      </c>
      <c r="AY12" s="17">
        <f t="shared" si="10"/>
        <v>46461</v>
      </c>
      <c r="AZ12" s="14" t="str">
        <f t="shared" ca="1" si="11"/>
        <v>KRI em alerta</v>
      </c>
      <c r="BA12" s="13" t="s">
        <v>774</v>
      </c>
      <c r="BB12" s="12" t="s">
        <v>775</v>
      </c>
      <c r="BC12" s="14">
        <f>IF($V12="","",1+COUNTIF($V$5:$V$154,"&gt;"&amp;$V12)+COUNTIFS($V$5:$V$154,$V12,$U$5:$U$154,"&gt;"&amp;$U12)+COUNTIFS($V$4:$V11,$V12,$U$4:$U11,$U12))</f>
        <v>11</v>
      </c>
      <c r="BD12" s="12" t="s">
        <v>589</v>
      </c>
      <c r="BE12" s="12" t="s">
        <v>593</v>
      </c>
      <c r="BF12" s="12" t="s">
        <v>596</v>
      </c>
      <c r="BG12" s="62">
        <v>16000</v>
      </c>
      <c r="BH12" s="62">
        <v>30000</v>
      </c>
      <c r="BI12" s="63">
        <f t="shared" si="12"/>
        <v>21000</v>
      </c>
      <c r="BJ12" s="18" t="str">
        <f t="shared" si="13"/>
        <v>Custo menor ou igual à perda esperada: tratar compensa</v>
      </c>
      <c r="BK12" s="12"/>
      <c r="BL12" s="117"/>
      <c r="BM12" s="117"/>
      <c r="BN12" s="16"/>
      <c r="BO12" s="117"/>
      <c r="BP12" s="117"/>
      <c r="BQ12" s="117"/>
      <c r="BR12" s="117"/>
      <c r="BS12" s="117"/>
      <c r="BT12" s="117"/>
      <c r="BU12" s="117"/>
      <c r="BV12" s="117"/>
      <c r="BW12" s="14" t="str">
        <f t="shared" si="14"/>
        <v/>
      </c>
      <c r="BX12" s="14" t="str">
        <f t="shared" si="15"/>
        <v/>
      </c>
      <c r="BY12" s="14" t="str">
        <f t="shared" si="16"/>
        <v/>
      </c>
      <c r="BZ12" s="15" t="str">
        <f t="shared" si="17"/>
        <v/>
      </c>
      <c r="CA12" s="15" t="str">
        <f t="shared" si="18"/>
        <v/>
      </c>
      <c r="CB12" s="117"/>
      <c r="CC12" s="117"/>
      <c r="CD12" s="117"/>
      <c r="CE12" s="117"/>
      <c r="CF12" s="117"/>
      <c r="CG12" s="14" t="str">
        <f t="shared" si="19"/>
        <v/>
      </c>
      <c r="CH12" s="15" t="str">
        <f t="shared" si="20"/>
        <v/>
      </c>
      <c r="CI12" s="117"/>
    </row>
    <row r="13" spans="1:87" ht="45.6">
      <c r="A13" s="115" t="s">
        <v>776</v>
      </c>
      <c r="B13" s="12" t="s">
        <v>777</v>
      </c>
      <c r="C13" s="13" t="s">
        <v>778</v>
      </c>
      <c r="D13" s="13" t="s">
        <v>682</v>
      </c>
      <c r="E13" s="12" t="s">
        <v>544</v>
      </c>
      <c r="F13" s="12" t="s">
        <v>91</v>
      </c>
      <c r="G13" s="13" t="s">
        <v>695</v>
      </c>
      <c r="H13" s="12" t="s">
        <v>67</v>
      </c>
      <c r="I13" s="13" t="s">
        <v>68</v>
      </c>
      <c r="J13" s="13" t="s">
        <v>779</v>
      </c>
      <c r="K13" s="12" t="s">
        <v>258</v>
      </c>
      <c r="L13" s="13" t="s">
        <v>780</v>
      </c>
      <c r="M13" s="12" t="s">
        <v>101</v>
      </c>
      <c r="N13" s="12">
        <v>4</v>
      </c>
      <c r="O13" s="12">
        <v>3</v>
      </c>
      <c r="P13" s="14">
        <f t="shared" si="0"/>
        <v>12</v>
      </c>
      <c r="Q13" s="15" t="str">
        <f t="shared" si="1"/>
        <v>Alto</v>
      </c>
      <c r="R13" s="13" t="s">
        <v>781</v>
      </c>
      <c r="S13" s="12" t="s">
        <v>102</v>
      </c>
      <c r="T13" s="12">
        <v>4</v>
      </c>
      <c r="U13" s="12">
        <v>2</v>
      </c>
      <c r="V13" s="14">
        <f t="shared" si="2"/>
        <v>8</v>
      </c>
      <c r="W13" s="15" t="str">
        <f t="shared" si="3"/>
        <v>Médio</v>
      </c>
      <c r="X13" s="12" t="s">
        <v>71</v>
      </c>
      <c r="Y13" s="14" t="str">
        <f t="shared" si="4"/>
        <v>Mitigar</v>
      </c>
      <c r="Z13" s="12" t="s">
        <v>72</v>
      </c>
      <c r="AA13" s="12" t="s">
        <v>83</v>
      </c>
      <c r="AB13" s="16"/>
      <c r="AC13" s="13" t="s">
        <v>782</v>
      </c>
      <c r="AD13" s="13" t="s">
        <v>74</v>
      </c>
      <c r="AE13" s="13" t="s">
        <v>783</v>
      </c>
      <c r="AF13" s="16"/>
      <c r="AG13" s="12"/>
      <c r="AH13" s="13" t="s">
        <v>784</v>
      </c>
      <c r="AI13" s="12" t="s">
        <v>785</v>
      </c>
      <c r="AJ13" s="14" t="str">
        <f t="shared" si="5"/>
        <v/>
      </c>
      <c r="AK13" s="14" t="str">
        <f t="shared" si="6"/>
        <v>Aberto</v>
      </c>
      <c r="AL13" s="17">
        <f t="shared" si="7"/>
        <v>46507</v>
      </c>
      <c r="AM13" s="16">
        <v>46568</v>
      </c>
      <c r="AN13" s="12"/>
      <c r="AO13" s="16"/>
      <c r="AP13" s="12">
        <v>3</v>
      </c>
      <c r="AQ13" s="12">
        <v>2</v>
      </c>
      <c r="AR13" s="14">
        <f t="shared" si="8"/>
        <v>6</v>
      </c>
      <c r="AS13" s="15" t="str">
        <f t="shared" si="9"/>
        <v>Baixo</v>
      </c>
      <c r="AT13" s="12" t="s">
        <v>418</v>
      </c>
      <c r="AU13" s="13" t="s">
        <v>786</v>
      </c>
      <c r="AV13" s="12">
        <v>12</v>
      </c>
      <c r="AW13" s="16">
        <v>46371</v>
      </c>
      <c r="AX13" s="13" t="s">
        <v>62</v>
      </c>
      <c r="AY13" s="17">
        <f t="shared" si="10"/>
        <v>46553</v>
      </c>
      <c r="AZ13" s="14" t="str">
        <f t="shared" ca="1" si="11"/>
        <v>KRI em alerta</v>
      </c>
      <c r="BA13" s="13" t="s">
        <v>787</v>
      </c>
      <c r="BB13" s="12" t="s">
        <v>788</v>
      </c>
      <c r="BC13" s="14">
        <f>IF($V13="","",1+COUNTIF($V$5:$V$154,"&gt;"&amp;$V13)+COUNTIFS($V$5:$V$154,$V13,$U$5:$U$154,"&gt;"&amp;$U13)+COUNTIFS($V$4:$V12,$V13,$U$4:$U12,$U13))</f>
        <v>35</v>
      </c>
      <c r="BD13" s="12" t="s">
        <v>588</v>
      </c>
      <c r="BE13" s="12" t="s">
        <v>592</v>
      </c>
      <c r="BF13" s="12" t="s">
        <v>595</v>
      </c>
      <c r="BG13" s="62">
        <v>8000</v>
      </c>
      <c r="BH13" s="62">
        <v>28000</v>
      </c>
      <c r="BI13" s="63">
        <f t="shared" si="12"/>
        <v>19600</v>
      </c>
      <c r="BJ13" s="18" t="str">
        <f t="shared" si="13"/>
        <v>Custo menor ou igual à perda esperada: tratar compensa</v>
      </c>
      <c r="BK13" s="12"/>
      <c r="BL13" s="117"/>
      <c r="BM13" s="117"/>
      <c r="BN13" s="16"/>
      <c r="BO13" s="117"/>
      <c r="BP13" s="117"/>
      <c r="BQ13" s="117"/>
      <c r="BR13" s="117"/>
      <c r="BS13" s="117"/>
      <c r="BT13" s="117"/>
      <c r="BU13" s="117"/>
      <c r="BV13" s="117"/>
      <c r="BW13" s="14" t="str">
        <f t="shared" si="14"/>
        <v/>
      </c>
      <c r="BX13" s="14" t="str">
        <f t="shared" si="15"/>
        <v/>
      </c>
      <c r="BY13" s="14" t="str">
        <f t="shared" si="16"/>
        <v/>
      </c>
      <c r="BZ13" s="15" t="str">
        <f t="shared" si="17"/>
        <v/>
      </c>
      <c r="CA13" s="15" t="str">
        <f t="shared" si="18"/>
        <v/>
      </c>
      <c r="CB13" s="117"/>
      <c r="CC13" s="117"/>
      <c r="CD13" s="117"/>
      <c r="CE13" s="117"/>
      <c r="CF13" s="117"/>
      <c r="CG13" s="14" t="str">
        <f t="shared" si="19"/>
        <v/>
      </c>
      <c r="CH13" s="15" t="str">
        <f t="shared" si="20"/>
        <v/>
      </c>
      <c r="CI13" s="117"/>
    </row>
    <row r="14" spans="1:87" ht="68.400000000000006">
      <c r="A14" s="115" t="s">
        <v>789</v>
      </c>
      <c r="B14" s="12" t="s">
        <v>719</v>
      </c>
      <c r="C14" s="13" t="s">
        <v>790</v>
      </c>
      <c r="D14" s="13" t="s">
        <v>682</v>
      </c>
      <c r="E14" s="12" t="s">
        <v>544</v>
      </c>
      <c r="F14" s="12" t="s">
        <v>65</v>
      </c>
      <c r="G14" s="13" t="s">
        <v>683</v>
      </c>
      <c r="H14" s="12" t="s">
        <v>67</v>
      </c>
      <c r="I14" s="13" t="s">
        <v>68</v>
      </c>
      <c r="J14" s="13" t="s">
        <v>791</v>
      </c>
      <c r="K14" s="12" t="s">
        <v>69</v>
      </c>
      <c r="L14" s="13" t="s">
        <v>792</v>
      </c>
      <c r="M14" s="12" t="s">
        <v>101</v>
      </c>
      <c r="N14" s="12">
        <v>3</v>
      </c>
      <c r="O14" s="12">
        <v>3</v>
      </c>
      <c r="P14" s="14">
        <f t="shared" si="0"/>
        <v>9</v>
      </c>
      <c r="Q14" s="15" t="str">
        <f t="shared" si="1"/>
        <v>Médio</v>
      </c>
      <c r="R14" s="13" t="s">
        <v>793</v>
      </c>
      <c r="S14" s="12" t="s">
        <v>71</v>
      </c>
      <c r="T14" s="12">
        <v>3</v>
      </c>
      <c r="U14" s="12">
        <v>2</v>
      </c>
      <c r="V14" s="14">
        <f t="shared" si="2"/>
        <v>6</v>
      </c>
      <c r="W14" s="15" t="str">
        <f t="shared" si="3"/>
        <v>Baixo</v>
      </c>
      <c r="X14" s="12" t="s">
        <v>71</v>
      </c>
      <c r="Y14" s="14" t="str">
        <f t="shared" si="4"/>
        <v>Monitorar</v>
      </c>
      <c r="Z14" s="12" t="s">
        <v>72</v>
      </c>
      <c r="AA14" s="12" t="s">
        <v>83</v>
      </c>
      <c r="AB14" s="16"/>
      <c r="AC14" s="13" t="s">
        <v>794</v>
      </c>
      <c r="AD14" s="13" t="s">
        <v>74</v>
      </c>
      <c r="AE14" s="13" t="s">
        <v>783</v>
      </c>
      <c r="AF14" s="16"/>
      <c r="AG14" s="12"/>
      <c r="AH14" s="13" t="s">
        <v>795</v>
      </c>
      <c r="AI14" s="12" t="s">
        <v>796</v>
      </c>
      <c r="AJ14" s="14" t="str">
        <f t="shared" si="5"/>
        <v/>
      </c>
      <c r="AK14" s="14" t="str">
        <f t="shared" si="6"/>
        <v>Aberto</v>
      </c>
      <c r="AL14" s="17">
        <f t="shared" si="7"/>
        <v>46477</v>
      </c>
      <c r="AM14" s="16">
        <v>46538</v>
      </c>
      <c r="AN14" s="12"/>
      <c r="AO14" s="16"/>
      <c r="AP14" s="12">
        <v>2</v>
      </c>
      <c r="AQ14" s="12">
        <v>2</v>
      </c>
      <c r="AR14" s="14">
        <f t="shared" si="8"/>
        <v>4</v>
      </c>
      <c r="AS14" s="15" t="str">
        <f t="shared" si="9"/>
        <v>Baixo</v>
      </c>
      <c r="AT14" s="12" t="s">
        <v>418</v>
      </c>
      <c r="AU14" s="13"/>
      <c r="AV14" s="12"/>
      <c r="AW14" s="16">
        <v>46371</v>
      </c>
      <c r="AX14" s="13" t="s">
        <v>773</v>
      </c>
      <c r="AY14" s="17">
        <f t="shared" si="10"/>
        <v>46736</v>
      </c>
      <c r="AZ14" s="14" t="str">
        <f t="shared" ca="1" si="11"/>
        <v>OK</v>
      </c>
      <c r="BA14" s="13" t="s">
        <v>797</v>
      </c>
      <c r="BB14" s="12" t="s">
        <v>798</v>
      </c>
      <c r="BC14" s="14">
        <f>IF($V14="","",1+COUNTIF($V$5:$V$154,"&gt;"&amp;$V14)+COUNTIFS($V$5:$V$154,$V14,$U$5:$U$154,"&gt;"&amp;$U14)+COUNTIFS($V$4:$V13,$V14,$U$4:$U13,$U14))</f>
        <v>38</v>
      </c>
      <c r="BD14" s="12" t="s">
        <v>588</v>
      </c>
      <c r="BE14" s="12" t="s">
        <v>592</v>
      </c>
      <c r="BF14" s="12" t="s">
        <v>595</v>
      </c>
      <c r="BG14" s="62">
        <v>4000</v>
      </c>
      <c r="BH14" s="62">
        <v>12000</v>
      </c>
      <c r="BI14" s="63">
        <f t="shared" si="12"/>
        <v>6000</v>
      </c>
      <c r="BJ14" s="18" t="str">
        <f t="shared" si="13"/>
        <v>Custo menor ou igual à perda esperada: tratar compensa</v>
      </c>
      <c r="BK14" s="12"/>
      <c r="BL14" s="117"/>
      <c r="BM14" s="117"/>
      <c r="BN14" s="16"/>
      <c r="BO14" s="117"/>
      <c r="BP14" s="117"/>
      <c r="BQ14" s="117"/>
      <c r="BR14" s="117"/>
      <c r="BS14" s="117"/>
      <c r="BT14" s="117"/>
      <c r="BU14" s="117"/>
      <c r="BV14" s="117"/>
      <c r="BW14" s="14" t="str">
        <f t="shared" si="14"/>
        <v/>
      </c>
      <c r="BX14" s="14" t="str">
        <f t="shared" si="15"/>
        <v/>
      </c>
      <c r="BY14" s="14" t="str">
        <f t="shared" si="16"/>
        <v/>
      </c>
      <c r="BZ14" s="15" t="str">
        <f t="shared" si="17"/>
        <v/>
      </c>
      <c r="CA14" s="15" t="str">
        <f t="shared" si="18"/>
        <v/>
      </c>
      <c r="CB14" s="117"/>
      <c r="CC14" s="117"/>
      <c r="CD14" s="117"/>
      <c r="CE14" s="117"/>
      <c r="CF14" s="117"/>
      <c r="CG14" s="14" t="str">
        <f t="shared" si="19"/>
        <v/>
      </c>
      <c r="CH14" s="15" t="str">
        <f t="shared" si="20"/>
        <v/>
      </c>
      <c r="CI14" s="117"/>
    </row>
    <row r="15" spans="1:87" ht="57">
      <c r="A15" s="115" t="s">
        <v>799</v>
      </c>
      <c r="B15" s="12" t="s">
        <v>680</v>
      </c>
      <c r="C15" s="13" t="s">
        <v>800</v>
      </c>
      <c r="D15" s="13" t="s">
        <v>98</v>
      </c>
      <c r="E15" s="12" t="s">
        <v>133</v>
      </c>
      <c r="F15" s="12" t="s">
        <v>65</v>
      </c>
      <c r="G15" s="13" t="s">
        <v>801</v>
      </c>
      <c r="H15" s="12" t="s">
        <v>80</v>
      </c>
      <c r="I15" s="13" t="s">
        <v>2785</v>
      </c>
      <c r="J15" s="13" t="s">
        <v>802</v>
      </c>
      <c r="K15" s="12" t="s">
        <v>261</v>
      </c>
      <c r="L15" s="13" t="s">
        <v>803</v>
      </c>
      <c r="M15" s="12" t="s">
        <v>101</v>
      </c>
      <c r="N15" s="12">
        <v>3</v>
      </c>
      <c r="O15" s="12">
        <v>4</v>
      </c>
      <c r="P15" s="14">
        <f t="shared" si="0"/>
        <v>12</v>
      </c>
      <c r="Q15" s="15" t="str">
        <f t="shared" si="1"/>
        <v>Alto</v>
      </c>
      <c r="R15" s="13" t="s">
        <v>804</v>
      </c>
      <c r="S15" s="12" t="s">
        <v>71</v>
      </c>
      <c r="T15" s="12">
        <v>3</v>
      </c>
      <c r="U15" s="12">
        <v>3</v>
      </c>
      <c r="V15" s="14">
        <f t="shared" si="2"/>
        <v>9</v>
      </c>
      <c r="W15" s="15" t="str">
        <f t="shared" si="3"/>
        <v>Médio</v>
      </c>
      <c r="X15" s="12" t="s">
        <v>71</v>
      </c>
      <c r="Y15" s="14" t="str">
        <f t="shared" si="4"/>
        <v>Mitigar</v>
      </c>
      <c r="Z15" s="12" t="s">
        <v>72</v>
      </c>
      <c r="AA15" s="12" t="s">
        <v>73</v>
      </c>
      <c r="AB15" s="16"/>
      <c r="AC15" s="13" t="s">
        <v>805</v>
      </c>
      <c r="AD15" s="13" t="s">
        <v>103</v>
      </c>
      <c r="AE15" s="13" t="s">
        <v>104</v>
      </c>
      <c r="AF15" s="16"/>
      <c r="AG15" s="12"/>
      <c r="AH15" s="13" t="s">
        <v>806</v>
      </c>
      <c r="AI15" s="12" t="s">
        <v>807</v>
      </c>
      <c r="AJ15" s="14" t="str">
        <f t="shared" si="5"/>
        <v/>
      </c>
      <c r="AK15" s="14" t="str">
        <f t="shared" si="6"/>
        <v>Aberto</v>
      </c>
      <c r="AL15" s="17">
        <f t="shared" si="7"/>
        <v>46461</v>
      </c>
      <c r="AM15" s="16">
        <v>46568</v>
      </c>
      <c r="AN15" s="12"/>
      <c r="AO15" s="16"/>
      <c r="AP15" s="12">
        <v>2</v>
      </c>
      <c r="AQ15" s="12">
        <v>3</v>
      </c>
      <c r="AR15" s="14">
        <f t="shared" si="8"/>
        <v>6</v>
      </c>
      <c r="AS15" s="15" t="str">
        <f t="shared" si="9"/>
        <v>Baixo</v>
      </c>
      <c r="AT15" s="12" t="s">
        <v>418</v>
      </c>
      <c r="AU15" s="13"/>
      <c r="AV15" s="12">
        <v>1</v>
      </c>
      <c r="AW15" s="16">
        <v>46371</v>
      </c>
      <c r="AX15" s="13" t="s">
        <v>691</v>
      </c>
      <c r="AY15" s="17">
        <f t="shared" si="10"/>
        <v>46553</v>
      </c>
      <c r="AZ15" s="14" t="str">
        <f t="shared" ca="1" si="11"/>
        <v>OK</v>
      </c>
      <c r="BA15" s="13" t="s">
        <v>808</v>
      </c>
      <c r="BB15" s="12" t="s">
        <v>809</v>
      </c>
      <c r="BC15" s="14">
        <f>IF($V15="","",1+COUNTIF($V$5:$V$154,"&gt;"&amp;$V15)+COUNTIFS($V$5:$V$154,$V15,$U$5:$U$154,"&gt;"&amp;$U15)+COUNTIFS($V$4:$V14,$V15,$U$4:$U14,$U15))</f>
        <v>23</v>
      </c>
      <c r="BD15" s="12" t="s">
        <v>589</v>
      </c>
      <c r="BE15" s="12" t="s">
        <v>593</v>
      </c>
      <c r="BF15" s="12" t="s">
        <v>595</v>
      </c>
      <c r="BG15" s="62">
        <v>9000</v>
      </c>
      <c r="BH15" s="62">
        <v>26000</v>
      </c>
      <c r="BI15" s="63">
        <f t="shared" si="12"/>
        <v>13000</v>
      </c>
      <c r="BJ15" s="18" t="str">
        <f t="shared" si="13"/>
        <v>Custo menor ou igual à perda esperada: tratar compensa</v>
      </c>
      <c r="BK15" s="12"/>
      <c r="BL15" s="117"/>
      <c r="BM15" s="117"/>
      <c r="BN15" s="16"/>
      <c r="BO15" s="117"/>
      <c r="BP15" s="117"/>
      <c r="BQ15" s="117"/>
      <c r="BR15" s="117"/>
      <c r="BS15" s="117"/>
      <c r="BT15" s="117"/>
      <c r="BU15" s="117"/>
      <c r="BV15" s="117"/>
      <c r="BW15" s="14" t="str">
        <f t="shared" si="14"/>
        <v/>
      </c>
      <c r="BX15" s="14" t="str">
        <f t="shared" si="15"/>
        <v/>
      </c>
      <c r="BY15" s="14" t="str">
        <f t="shared" si="16"/>
        <v/>
      </c>
      <c r="BZ15" s="15" t="str">
        <f t="shared" si="17"/>
        <v/>
      </c>
      <c r="CA15" s="15" t="str">
        <f t="shared" si="18"/>
        <v/>
      </c>
      <c r="CB15" s="117"/>
      <c r="CC15" s="117"/>
      <c r="CD15" s="117"/>
      <c r="CE15" s="117"/>
      <c r="CF15" s="117"/>
      <c r="CG15" s="14" t="str">
        <f t="shared" si="19"/>
        <v/>
      </c>
      <c r="CH15" s="15" t="str">
        <f t="shared" si="20"/>
        <v/>
      </c>
      <c r="CI15" s="117"/>
    </row>
    <row r="16" spans="1:87" ht="57">
      <c r="A16" s="115" t="s">
        <v>810</v>
      </c>
      <c r="B16" s="12" t="s">
        <v>811</v>
      </c>
      <c r="C16" s="13" t="s">
        <v>812</v>
      </c>
      <c r="D16" s="13" t="s">
        <v>561</v>
      </c>
      <c r="E16" s="12" t="s">
        <v>99</v>
      </c>
      <c r="F16" s="12" t="s">
        <v>272</v>
      </c>
      <c r="G16" s="13" t="s">
        <v>695</v>
      </c>
      <c r="H16" s="12" t="s">
        <v>80</v>
      </c>
      <c r="I16" s="13" t="s">
        <v>2785</v>
      </c>
      <c r="J16" s="13" t="s">
        <v>813</v>
      </c>
      <c r="K16" s="12" t="s">
        <v>69</v>
      </c>
      <c r="L16" s="13" t="s">
        <v>814</v>
      </c>
      <c r="M16" s="12" t="s">
        <v>101</v>
      </c>
      <c r="N16" s="12">
        <v>3</v>
      </c>
      <c r="O16" s="12">
        <v>2</v>
      </c>
      <c r="P16" s="14">
        <f t="shared" si="0"/>
        <v>6</v>
      </c>
      <c r="Q16" s="15" t="str">
        <f t="shared" si="1"/>
        <v>Baixo</v>
      </c>
      <c r="R16" s="13" t="s">
        <v>815</v>
      </c>
      <c r="S16" s="12" t="s">
        <v>71</v>
      </c>
      <c r="T16" s="12">
        <v>2</v>
      </c>
      <c r="U16" s="12">
        <v>2</v>
      </c>
      <c r="V16" s="14">
        <f t="shared" si="2"/>
        <v>4</v>
      </c>
      <c r="W16" s="15" t="str">
        <f t="shared" si="3"/>
        <v>Baixo</v>
      </c>
      <c r="X16" s="12" t="s">
        <v>71</v>
      </c>
      <c r="Y16" s="14" t="str">
        <f t="shared" si="4"/>
        <v>Monitorar</v>
      </c>
      <c r="Z16" s="12" t="s">
        <v>172</v>
      </c>
      <c r="AA16" s="12" t="s">
        <v>83</v>
      </c>
      <c r="AB16" s="16"/>
      <c r="AC16" s="13" t="s">
        <v>816</v>
      </c>
      <c r="AD16" s="13" t="s">
        <v>103</v>
      </c>
      <c r="AE16" s="13" t="s">
        <v>104</v>
      </c>
      <c r="AF16" s="16"/>
      <c r="AG16" s="12"/>
      <c r="AH16" s="13"/>
      <c r="AI16" s="12"/>
      <c r="AJ16" s="14" t="str">
        <f t="shared" si="5"/>
        <v/>
      </c>
      <c r="AK16" s="14" t="str">
        <f t="shared" si="6"/>
        <v/>
      </c>
      <c r="AL16" s="17" t="str">
        <f t="shared" si="7"/>
        <v/>
      </c>
      <c r="AM16" s="16"/>
      <c r="AN16" s="12"/>
      <c r="AO16" s="16"/>
      <c r="AP16" s="12"/>
      <c r="AQ16" s="12"/>
      <c r="AR16" s="14" t="str">
        <f t="shared" si="8"/>
        <v/>
      </c>
      <c r="AS16" s="15" t="str">
        <f t="shared" si="9"/>
        <v/>
      </c>
      <c r="AT16" s="12"/>
      <c r="AU16" s="13"/>
      <c r="AV16" s="12">
        <v>0</v>
      </c>
      <c r="AW16" s="16">
        <v>46371</v>
      </c>
      <c r="AX16" s="13" t="s">
        <v>691</v>
      </c>
      <c r="AY16" s="17">
        <f t="shared" si="10"/>
        <v>46736</v>
      </c>
      <c r="AZ16" s="14" t="str">
        <f t="shared" ca="1" si="11"/>
        <v>OK</v>
      </c>
      <c r="BA16" s="13" t="s">
        <v>817</v>
      </c>
      <c r="BB16" s="12"/>
      <c r="BC16" s="14">
        <f>IF($V16="","",1+COUNTIF($V$5:$V$154,"&gt;"&amp;$V16)+COUNTIFS($V$5:$V$154,$V16,$U$5:$U$154,"&gt;"&amp;$U16)+COUNTIFS($V$4:$V15,$V16,$U$4:$U15,$U16))</f>
        <v>39</v>
      </c>
      <c r="BD16" s="12" t="s">
        <v>588</v>
      </c>
      <c r="BE16" s="12" t="s">
        <v>592</v>
      </c>
      <c r="BF16" s="12" t="s">
        <v>595</v>
      </c>
      <c r="BG16" s="62"/>
      <c r="BH16" s="62"/>
      <c r="BI16" s="63" t="str">
        <f t="shared" si="12"/>
        <v/>
      </c>
      <c r="BJ16" s="18" t="str">
        <f t="shared" si="13"/>
        <v/>
      </c>
      <c r="BK16" s="12"/>
      <c r="BL16" s="117"/>
      <c r="BM16" s="117"/>
      <c r="BN16" s="16"/>
      <c r="BO16" s="117"/>
      <c r="BP16" s="117"/>
      <c r="BQ16" s="117"/>
      <c r="BR16" s="117"/>
      <c r="BS16" s="117"/>
      <c r="BT16" s="117"/>
      <c r="BU16" s="117"/>
      <c r="BV16" s="117"/>
      <c r="BW16" s="14" t="str">
        <f t="shared" si="14"/>
        <v/>
      </c>
      <c r="BX16" s="14" t="str">
        <f t="shared" si="15"/>
        <v/>
      </c>
      <c r="BY16" s="14" t="str">
        <f t="shared" si="16"/>
        <v/>
      </c>
      <c r="BZ16" s="15" t="str">
        <f t="shared" si="17"/>
        <v/>
      </c>
      <c r="CA16" s="15" t="str">
        <f t="shared" si="18"/>
        <v/>
      </c>
      <c r="CB16" s="117"/>
      <c r="CC16" s="117"/>
      <c r="CD16" s="117"/>
      <c r="CE16" s="117"/>
      <c r="CF16" s="117"/>
      <c r="CG16" s="14" t="str">
        <f t="shared" si="19"/>
        <v/>
      </c>
      <c r="CH16" s="15" t="str">
        <f t="shared" si="20"/>
        <v/>
      </c>
      <c r="CI16" s="117"/>
    </row>
    <row r="17" spans="1:87" ht="57">
      <c r="A17" s="115" t="s">
        <v>818</v>
      </c>
      <c r="B17" s="12" t="s">
        <v>557</v>
      </c>
      <c r="C17" s="13" t="s">
        <v>819</v>
      </c>
      <c r="D17" s="13" t="s">
        <v>98</v>
      </c>
      <c r="E17" s="12" t="s">
        <v>133</v>
      </c>
      <c r="F17" s="12" t="s">
        <v>91</v>
      </c>
      <c r="G17" s="13" t="s">
        <v>820</v>
      </c>
      <c r="H17" s="12" t="s">
        <v>92</v>
      </c>
      <c r="I17" s="13" t="s">
        <v>2787</v>
      </c>
      <c r="J17" s="13" t="s">
        <v>821</v>
      </c>
      <c r="K17" s="12" t="s">
        <v>261</v>
      </c>
      <c r="L17" s="13" t="s">
        <v>822</v>
      </c>
      <c r="M17" s="12" t="s">
        <v>101</v>
      </c>
      <c r="N17" s="12">
        <v>5</v>
      </c>
      <c r="O17" s="12">
        <v>4</v>
      </c>
      <c r="P17" s="14">
        <f t="shared" si="0"/>
        <v>20</v>
      </c>
      <c r="Q17" s="15" t="str">
        <f t="shared" si="1"/>
        <v>Crítico</v>
      </c>
      <c r="R17" s="13" t="s">
        <v>823</v>
      </c>
      <c r="S17" s="12" t="s">
        <v>71</v>
      </c>
      <c r="T17" s="12">
        <v>4</v>
      </c>
      <c r="U17" s="12">
        <v>4</v>
      </c>
      <c r="V17" s="14">
        <f t="shared" si="2"/>
        <v>16</v>
      </c>
      <c r="W17" s="15" t="str">
        <f t="shared" si="3"/>
        <v>Crítico</v>
      </c>
      <c r="X17" s="12" t="s">
        <v>82</v>
      </c>
      <c r="Y17" s="14" t="str">
        <f t="shared" si="4"/>
        <v>Prevenir</v>
      </c>
      <c r="Z17" s="12" t="s">
        <v>169</v>
      </c>
      <c r="AA17" s="12" t="s">
        <v>824</v>
      </c>
      <c r="AB17" s="16"/>
      <c r="AC17" s="13" t="s">
        <v>825</v>
      </c>
      <c r="AD17" s="13" t="s">
        <v>826</v>
      </c>
      <c r="AE17" s="13" t="s">
        <v>827</v>
      </c>
      <c r="AF17" s="16"/>
      <c r="AG17" s="12"/>
      <c r="AH17" s="13" t="s">
        <v>828</v>
      </c>
      <c r="AI17" s="12" t="s">
        <v>829</v>
      </c>
      <c r="AJ17" s="14" t="str">
        <f t="shared" si="5"/>
        <v/>
      </c>
      <c r="AK17" s="14" t="str">
        <f t="shared" si="6"/>
        <v>Em andamento</v>
      </c>
      <c r="AL17" s="17">
        <f t="shared" si="7"/>
        <v>46444</v>
      </c>
      <c r="AM17" s="16">
        <v>46507</v>
      </c>
      <c r="AN17" s="12"/>
      <c r="AO17" s="16"/>
      <c r="AP17" s="12">
        <v>2</v>
      </c>
      <c r="AQ17" s="12">
        <v>3</v>
      </c>
      <c r="AR17" s="14">
        <f t="shared" si="8"/>
        <v>6</v>
      </c>
      <c r="AS17" s="15" t="str">
        <f t="shared" si="9"/>
        <v>Baixo</v>
      </c>
      <c r="AT17" s="12" t="s">
        <v>418</v>
      </c>
      <c r="AU17" s="13" t="s">
        <v>830</v>
      </c>
      <c r="AV17" s="12">
        <v>46</v>
      </c>
      <c r="AW17" s="16">
        <v>46371</v>
      </c>
      <c r="AX17" s="13" t="s">
        <v>831</v>
      </c>
      <c r="AY17" s="17">
        <f t="shared" si="10"/>
        <v>46402</v>
      </c>
      <c r="AZ17" s="14" t="str">
        <f t="shared" ca="1" si="11"/>
        <v>KRI em alerta</v>
      </c>
      <c r="BA17" s="13" t="s">
        <v>832</v>
      </c>
      <c r="BB17" s="12" t="s">
        <v>833</v>
      </c>
      <c r="BC17" s="14">
        <f>IF($V17="","",1+COUNTIF($V$5:$V$154,"&gt;"&amp;$V17)+COUNTIFS($V$5:$V$154,$V17,$U$5:$U$154,"&gt;"&amp;$U17)+COUNTIFS($V$4:$V16,$V17,$U$4:$U16,$U17))</f>
        <v>1</v>
      </c>
      <c r="BD17" s="12" t="s">
        <v>590</v>
      </c>
      <c r="BE17" s="12" t="s">
        <v>594</v>
      </c>
      <c r="BF17" s="12" t="s">
        <v>595</v>
      </c>
      <c r="BG17" s="62">
        <v>20000</v>
      </c>
      <c r="BH17" s="62">
        <v>95000</v>
      </c>
      <c r="BI17" s="63">
        <f t="shared" si="12"/>
        <v>66500</v>
      </c>
      <c r="BJ17" s="18" t="str">
        <f t="shared" si="13"/>
        <v>Custo menor ou igual à perda esperada: tratar compensa</v>
      </c>
      <c r="BK17" s="12"/>
      <c r="BL17" s="117" t="s">
        <v>834</v>
      </c>
      <c r="BM17" s="117"/>
      <c r="BN17" s="16"/>
      <c r="BO17" s="117"/>
      <c r="BP17" s="117"/>
      <c r="BQ17" s="117"/>
      <c r="BR17" s="117"/>
      <c r="BS17" s="117"/>
      <c r="BT17" s="117"/>
      <c r="BU17" s="117"/>
      <c r="BV17" s="117"/>
      <c r="BW17" s="14" t="str">
        <f t="shared" si="14"/>
        <v/>
      </c>
      <c r="BX17" s="14" t="str">
        <f t="shared" si="15"/>
        <v/>
      </c>
      <c r="BY17" s="14" t="str">
        <f t="shared" si="16"/>
        <v/>
      </c>
      <c r="BZ17" s="15" t="str">
        <f t="shared" si="17"/>
        <v/>
      </c>
      <c r="CA17" s="15" t="str">
        <f t="shared" si="18"/>
        <v/>
      </c>
      <c r="CB17" s="117"/>
      <c r="CC17" s="117"/>
      <c r="CD17" s="117"/>
      <c r="CE17" s="117"/>
      <c r="CF17" s="117"/>
      <c r="CG17" s="14" t="str">
        <f t="shared" si="19"/>
        <v/>
      </c>
      <c r="CH17" s="15" t="str">
        <f t="shared" si="20"/>
        <v/>
      </c>
      <c r="CI17" s="117"/>
    </row>
    <row r="18" spans="1:87" ht="57">
      <c r="A18" s="115" t="s">
        <v>809</v>
      </c>
      <c r="B18" s="12" t="s">
        <v>557</v>
      </c>
      <c r="C18" s="13" t="s">
        <v>835</v>
      </c>
      <c r="D18" s="13" t="s">
        <v>540</v>
      </c>
      <c r="E18" s="12" t="s">
        <v>133</v>
      </c>
      <c r="F18" s="12" t="s">
        <v>134</v>
      </c>
      <c r="G18" s="13" t="s">
        <v>820</v>
      </c>
      <c r="H18" s="12" t="s">
        <v>92</v>
      </c>
      <c r="I18" s="13" t="s">
        <v>2787</v>
      </c>
      <c r="J18" s="13" t="s">
        <v>836</v>
      </c>
      <c r="K18" s="12" t="s">
        <v>261</v>
      </c>
      <c r="L18" s="13" t="s">
        <v>837</v>
      </c>
      <c r="M18" s="12" t="s">
        <v>81</v>
      </c>
      <c r="N18" s="12">
        <v>4</v>
      </c>
      <c r="O18" s="12">
        <v>3</v>
      </c>
      <c r="P18" s="14">
        <f t="shared" si="0"/>
        <v>12</v>
      </c>
      <c r="Q18" s="15" t="str">
        <f t="shared" si="1"/>
        <v>Alto</v>
      </c>
      <c r="R18" s="13" t="s">
        <v>838</v>
      </c>
      <c r="S18" s="12" t="s">
        <v>71</v>
      </c>
      <c r="T18" s="12">
        <v>3</v>
      </c>
      <c r="U18" s="12">
        <v>3</v>
      </c>
      <c r="V18" s="14">
        <f t="shared" si="2"/>
        <v>9</v>
      </c>
      <c r="W18" s="15" t="str">
        <f t="shared" si="3"/>
        <v>Médio</v>
      </c>
      <c r="X18" s="12" t="s">
        <v>71</v>
      </c>
      <c r="Y18" s="14" t="str">
        <f t="shared" si="4"/>
        <v>Mitigar</v>
      </c>
      <c r="Z18" s="12" t="s">
        <v>72</v>
      </c>
      <c r="AA18" s="12" t="s">
        <v>824</v>
      </c>
      <c r="AB18" s="16"/>
      <c r="AC18" s="13" t="s">
        <v>839</v>
      </c>
      <c r="AD18" s="13" t="s">
        <v>826</v>
      </c>
      <c r="AE18" s="13" t="s">
        <v>827</v>
      </c>
      <c r="AF18" s="16"/>
      <c r="AG18" s="12"/>
      <c r="AH18" s="13" t="s">
        <v>840</v>
      </c>
      <c r="AI18" s="12" t="s">
        <v>841</v>
      </c>
      <c r="AJ18" s="14" t="str">
        <f t="shared" si="5"/>
        <v/>
      </c>
      <c r="AK18" s="14" t="str">
        <f t="shared" si="6"/>
        <v>Aberto</v>
      </c>
      <c r="AL18" s="17">
        <f t="shared" si="7"/>
        <v>46538</v>
      </c>
      <c r="AM18" s="16">
        <v>46568</v>
      </c>
      <c r="AN18" s="12"/>
      <c r="AO18" s="16"/>
      <c r="AP18" s="12">
        <v>2</v>
      </c>
      <c r="AQ18" s="12">
        <v>3</v>
      </c>
      <c r="AR18" s="14">
        <f t="shared" si="8"/>
        <v>6</v>
      </c>
      <c r="AS18" s="15" t="str">
        <f t="shared" si="9"/>
        <v>Baixo</v>
      </c>
      <c r="AT18" s="12" t="s">
        <v>418</v>
      </c>
      <c r="AU18" s="13" t="s">
        <v>842</v>
      </c>
      <c r="AV18" s="12">
        <v>8</v>
      </c>
      <c r="AW18" s="16">
        <v>46371</v>
      </c>
      <c r="AX18" s="13" t="s">
        <v>831</v>
      </c>
      <c r="AY18" s="17">
        <f t="shared" si="10"/>
        <v>46553</v>
      </c>
      <c r="AZ18" s="14" t="str">
        <f t="shared" ca="1" si="11"/>
        <v>KRI em alerta</v>
      </c>
      <c r="BA18" s="13" t="s">
        <v>843</v>
      </c>
      <c r="BB18" s="12" t="s">
        <v>844</v>
      </c>
      <c r="BC18" s="14">
        <f>IF($V18="","",1+COUNTIF($V$5:$V$154,"&gt;"&amp;$V18)+COUNTIFS($V$5:$V$154,$V18,$U$5:$U$154,"&gt;"&amp;$U18)+COUNTIFS($V$4:$V17,$V18,$U$4:$U17,$U18))</f>
        <v>24</v>
      </c>
      <c r="BD18" s="12" t="s">
        <v>589</v>
      </c>
      <c r="BE18" s="12" t="s">
        <v>594</v>
      </c>
      <c r="BF18" s="12" t="s">
        <v>595</v>
      </c>
      <c r="BG18" s="62">
        <v>15000</v>
      </c>
      <c r="BH18" s="62">
        <v>40000</v>
      </c>
      <c r="BI18" s="63">
        <f t="shared" si="12"/>
        <v>20000</v>
      </c>
      <c r="BJ18" s="18" t="str">
        <f t="shared" si="13"/>
        <v>Custo menor ou igual à perda esperada: tratar compensa</v>
      </c>
      <c r="BK18" s="12"/>
      <c r="BL18" s="117"/>
      <c r="BM18" s="117"/>
      <c r="BN18" s="16"/>
      <c r="BO18" s="117"/>
      <c r="BP18" s="117"/>
      <c r="BQ18" s="117"/>
      <c r="BR18" s="117"/>
      <c r="BS18" s="117"/>
      <c r="BT18" s="117"/>
      <c r="BU18" s="117"/>
      <c r="BV18" s="117"/>
      <c r="BW18" s="14" t="str">
        <f t="shared" si="14"/>
        <v/>
      </c>
      <c r="BX18" s="14" t="str">
        <f t="shared" si="15"/>
        <v/>
      </c>
      <c r="BY18" s="14" t="str">
        <f t="shared" si="16"/>
        <v/>
      </c>
      <c r="BZ18" s="15" t="str">
        <f t="shared" si="17"/>
        <v/>
      </c>
      <c r="CA18" s="15" t="str">
        <f t="shared" si="18"/>
        <v/>
      </c>
      <c r="CB18" s="117"/>
      <c r="CC18" s="117"/>
      <c r="CD18" s="117"/>
      <c r="CE18" s="117"/>
      <c r="CF18" s="117"/>
      <c r="CG18" s="14" t="str">
        <f t="shared" si="19"/>
        <v/>
      </c>
      <c r="CH18" s="15" t="str">
        <f t="shared" si="20"/>
        <v/>
      </c>
      <c r="CI18" s="117"/>
    </row>
    <row r="19" spans="1:87" ht="57">
      <c r="A19" s="115" t="s">
        <v>845</v>
      </c>
      <c r="B19" s="12" t="s">
        <v>846</v>
      </c>
      <c r="C19" s="13" t="s">
        <v>847</v>
      </c>
      <c r="D19" s="13" t="s">
        <v>569</v>
      </c>
      <c r="E19" s="12" t="s">
        <v>99</v>
      </c>
      <c r="F19" s="12" t="s">
        <v>91</v>
      </c>
      <c r="G19" s="13" t="s">
        <v>848</v>
      </c>
      <c r="H19" s="12" t="s">
        <v>67</v>
      </c>
      <c r="I19" s="13" t="s">
        <v>2785</v>
      </c>
      <c r="J19" s="13" t="s">
        <v>849</v>
      </c>
      <c r="K19" s="12" t="s">
        <v>69</v>
      </c>
      <c r="L19" s="13" t="s">
        <v>850</v>
      </c>
      <c r="M19" s="12" t="s">
        <v>81</v>
      </c>
      <c r="N19" s="12">
        <v>4</v>
      </c>
      <c r="O19" s="12">
        <v>3</v>
      </c>
      <c r="P19" s="14">
        <f t="shared" si="0"/>
        <v>12</v>
      </c>
      <c r="Q19" s="15" t="str">
        <f t="shared" si="1"/>
        <v>Alto</v>
      </c>
      <c r="R19" s="13" t="s">
        <v>851</v>
      </c>
      <c r="S19" s="12" t="s">
        <v>71</v>
      </c>
      <c r="T19" s="12">
        <v>3</v>
      </c>
      <c r="U19" s="12">
        <v>3</v>
      </c>
      <c r="V19" s="14">
        <f t="shared" si="2"/>
        <v>9</v>
      </c>
      <c r="W19" s="15" t="str">
        <f t="shared" si="3"/>
        <v>Médio</v>
      </c>
      <c r="X19" s="12" t="s">
        <v>82</v>
      </c>
      <c r="Y19" s="14" t="str">
        <f t="shared" si="4"/>
        <v>Mitigar</v>
      </c>
      <c r="Z19" s="12" t="s">
        <v>72</v>
      </c>
      <c r="AA19" s="12" t="s">
        <v>83</v>
      </c>
      <c r="AB19" s="16"/>
      <c r="AC19" s="13" t="s">
        <v>852</v>
      </c>
      <c r="AD19" s="13" t="s">
        <v>74</v>
      </c>
      <c r="AE19" s="13" t="s">
        <v>853</v>
      </c>
      <c r="AF19" s="16">
        <v>46477</v>
      </c>
      <c r="AG19" s="12" t="s">
        <v>85</v>
      </c>
      <c r="AH19" s="13" t="s">
        <v>854</v>
      </c>
      <c r="AI19" s="12"/>
      <c r="AJ19" s="14" t="str">
        <f t="shared" si="5"/>
        <v/>
      </c>
      <c r="AK19" s="14" t="str">
        <f t="shared" si="6"/>
        <v>Aberto</v>
      </c>
      <c r="AL19" s="17">
        <f t="shared" si="7"/>
        <v>46477</v>
      </c>
      <c r="AM19" s="16"/>
      <c r="AN19" s="12"/>
      <c r="AO19" s="16"/>
      <c r="AP19" s="12">
        <v>2</v>
      </c>
      <c r="AQ19" s="12">
        <v>3</v>
      </c>
      <c r="AR19" s="14">
        <f t="shared" si="8"/>
        <v>6</v>
      </c>
      <c r="AS19" s="15" t="str">
        <f t="shared" si="9"/>
        <v>Baixo</v>
      </c>
      <c r="AT19" s="12" t="s">
        <v>418</v>
      </c>
      <c r="AU19" s="13" t="s">
        <v>855</v>
      </c>
      <c r="AV19" s="12">
        <v>1114</v>
      </c>
      <c r="AW19" s="16">
        <v>46371</v>
      </c>
      <c r="AX19" s="13" t="s">
        <v>856</v>
      </c>
      <c r="AY19" s="17">
        <f t="shared" si="10"/>
        <v>46553</v>
      </c>
      <c r="AZ19" s="14" t="str">
        <f t="shared" ca="1" si="11"/>
        <v>KRI em alerta</v>
      </c>
      <c r="BA19" s="13" t="s">
        <v>857</v>
      </c>
      <c r="BB19" s="12" t="s">
        <v>818</v>
      </c>
      <c r="BC19" s="14">
        <f>IF($V19="","",1+COUNTIF($V$5:$V$154,"&gt;"&amp;$V19)+COUNTIFS($V$5:$V$154,$V19,$U$5:$U$154,"&gt;"&amp;$U19)+COUNTIFS($V$4:$V18,$V19,$U$4:$U18,$U19))</f>
        <v>25</v>
      </c>
      <c r="BD19" s="12" t="s">
        <v>590</v>
      </c>
      <c r="BE19" s="12" t="s">
        <v>593</v>
      </c>
      <c r="BF19" s="12" t="s">
        <v>595</v>
      </c>
      <c r="BG19" s="62">
        <v>10000</v>
      </c>
      <c r="BH19" s="62">
        <v>52000</v>
      </c>
      <c r="BI19" s="63">
        <f t="shared" si="12"/>
        <v>26000</v>
      </c>
      <c r="BJ19" s="18" t="str">
        <f t="shared" si="13"/>
        <v>Custo menor ou igual à perda esperada: tratar compensa</v>
      </c>
      <c r="BK19" s="12">
        <v>8</v>
      </c>
      <c r="BL19" s="117"/>
      <c r="BM19" s="117"/>
      <c r="BN19" s="16"/>
      <c r="BO19" s="117"/>
      <c r="BP19" s="117"/>
      <c r="BQ19" s="117"/>
      <c r="BR19" s="117"/>
      <c r="BS19" s="117"/>
      <c r="BT19" s="117"/>
      <c r="BU19" s="117"/>
      <c r="BV19" s="117"/>
      <c r="BW19" s="14" t="str">
        <f t="shared" si="14"/>
        <v/>
      </c>
      <c r="BX19" s="14" t="str">
        <f t="shared" si="15"/>
        <v/>
      </c>
      <c r="BY19" s="14" t="str">
        <f t="shared" si="16"/>
        <v/>
      </c>
      <c r="BZ19" s="15" t="str">
        <f t="shared" si="17"/>
        <v/>
      </c>
      <c r="CA19" s="15" t="str">
        <f t="shared" si="18"/>
        <v/>
      </c>
      <c r="CB19" s="117"/>
      <c r="CC19" s="117"/>
      <c r="CD19" s="117"/>
      <c r="CE19" s="117"/>
      <c r="CF19" s="117"/>
      <c r="CG19" s="14" t="str">
        <f t="shared" si="19"/>
        <v/>
      </c>
      <c r="CH19" s="15" t="str">
        <f t="shared" si="20"/>
        <v/>
      </c>
      <c r="CI19" s="117"/>
    </row>
    <row r="20" spans="1:87" ht="57">
      <c r="A20" s="115" t="s">
        <v>858</v>
      </c>
      <c r="B20" s="12" t="s">
        <v>97</v>
      </c>
      <c r="C20" s="13" t="s">
        <v>859</v>
      </c>
      <c r="D20" s="13" t="s">
        <v>98</v>
      </c>
      <c r="E20" s="12" t="s">
        <v>99</v>
      </c>
      <c r="F20" s="12" t="s">
        <v>91</v>
      </c>
      <c r="G20" s="13" t="s">
        <v>801</v>
      </c>
      <c r="H20" s="12" t="s">
        <v>80</v>
      </c>
      <c r="I20" s="13" t="s">
        <v>2785</v>
      </c>
      <c r="J20" s="13" t="s">
        <v>860</v>
      </c>
      <c r="K20" s="12" t="s">
        <v>100</v>
      </c>
      <c r="L20" s="13" t="s">
        <v>861</v>
      </c>
      <c r="M20" s="12" t="s">
        <v>101</v>
      </c>
      <c r="N20" s="12">
        <v>4</v>
      </c>
      <c r="O20" s="12">
        <v>4</v>
      </c>
      <c r="P20" s="14">
        <f t="shared" si="0"/>
        <v>16</v>
      </c>
      <c r="Q20" s="15" t="str">
        <f t="shared" si="1"/>
        <v>Crítico</v>
      </c>
      <c r="R20" s="13" t="s">
        <v>862</v>
      </c>
      <c r="S20" s="12" t="s">
        <v>71</v>
      </c>
      <c r="T20" s="12">
        <v>4</v>
      </c>
      <c r="U20" s="12">
        <v>3</v>
      </c>
      <c r="V20" s="14">
        <f t="shared" si="2"/>
        <v>12</v>
      </c>
      <c r="W20" s="15" t="str">
        <f t="shared" si="3"/>
        <v>Alto</v>
      </c>
      <c r="X20" s="12" t="s">
        <v>82</v>
      </c>
      <c r="Y20" s="14" t="str">
        <f t="shared" si="4"/>
        <v>Mitigar</v>
      </c>
      <c r="Z20" s="12" t="s">
        <v>72</v>
      </c>
      <c r="AA20" s="12" t="s">
        <v>73</v>
      </c>
      <c r="AB20" s="16"/>
      <c r="AC20" s="13" t="s">
        <v>863</v>
      </c>
      <c r="AD20" s="13" t="s">
        <v>103</v>
      </c>
      <c r="AE20" s="13" t="s">
        <v>104</v>
      </c>
      <c r="AF20" s="16"/>
      <c r="AG20" s="12"/>
      <c r="AH20" s="13" t="s">
        <v>864</v>
      </c>
      <c r="AI20" s="12" t="s">
        <v>865</v>
      </c>
      <c r="AJ20" s="14" t="str">
        <f t="shared" si="5"/>
        <v/>
      </c>
      <c r="AK20" s="14" t="str">
        <f t="shared" si="6"/>
        <v>Aberto</v>
      </c>
      <c r="AL20" s="17">
        <f t="shared" si="7"/>
        <v>46477</v>
      </c>
      <c r="AM20" s="16">
        <v>46568</v>
      </c>
      <c r="AN20" s="12"/>
      <c r="AO20" s="16"/>
      <c r="AP20" s="12">
        <v>3</v>
      </c>
      <c r="AQ20" s="12">
        <v>3</v>
      </c>
      <c r="AR20" s="14">
        <f t="shared" si="8"/>
        <v>9</v>
      </c>
      <c r="AS20" s="15" t="str">
        <f t="shared" si="9"/>
        <v>Médio</v>
      </c>
      <c r="AT20" s="12" t="s">
        <v>418</v>
      </c>
      <c r="AU20" s="13" t="s">
        <v>866</v>
      </c>
      <c r="AV20" s="12">
        <v>137</v>
      </c>
      <c r="AW20" s="16">
        <v>46371</v>
      </c>
      <c r="AX20" s="13" t="s">
        <v>691</v>
      </c>
      <c r="AY20" s="17">
        <f t="shared" si="10"/>
        <v>46461</v>
      </c>
      <c r="AZ20" s="14" t="str">
        <f t="shared" ca="1" si="11"/>
        <v>KRI em alerta</v>
      </c>
      <c r="BA20" s="13" t="s">
        <v>867</v>
      </c>
      <c r="BB20" s="12" t="s">
        <v>868</v>
      </c>
      <c r="BC20" s="14">
        <f>IF($V20="","",1+COUNTIF($V$5:$V$154,"&gt;"&amp;$V20)+COUNTIFS($V$5:$V$154,$V20,$U$5:$U$154,"&gt;"&amp;$U20)+COUNTIFS($V$4:$V19,$V20,$U$4:$U19,$U20))</f>
        <v>12</v>
      </c>
      <c r="BD20" s="12" t="s">
        <v>590</v>
      </c>
      <c r="BE20" s="12" t="s">
        <v>593</v>
      </c>
      <c r="BF20" s="12" t="s">
        <v>596</v>
      </c>
      <c r="BG20" s="62">
        <v>22000</v>
      </c>
      <c r="BH20" s="62">
        <v>45000</v>
      </c>
      <c r="BI20" s="63">
        <f t="shared" si="12"/>
        <v>31499.999999999996</v>
      </c>
      <c r="BJ20" s="18" t="str">
        <f t="shared" si="13"/>
        <v>Custo menor ou igual à perda esperada: tratar compensa</v>
      </c>
      <c r="BK20" s="12"/>
      <c r="BL20" s="117"/>
      <c r="BM20" s="117"/>
      <c r="BN20" s="16"/>
      <c r="BO20" s="117"/>
      <c r="BP20" s="117"/>
      <c r="BQ20" s="117"/>
      <c r="BR20" s="117"/>
      <c r="BS20" s="117"/>
      <c r="BT20" s="117"/>
      <c r="BU20" s="117"/>
      <c r="BV20" s="117"/>
      <c r="BW20" s="14" t="str">
        <f t="shared" si="14"/>
        <v/>
      </c>
      <c r="BX20" s="14" t="str">
        <f t="shared" si="15"/>
        <v/>
      </c>
      <c r="BY20" s="14" t="str">
        <f t="shared" si="16"/>
        <v/>
      </c>
      <c r="BZ20" s="15" t="str">
        <f t="shared" si="17"/>
        <v/>
      </c>
      <c r="CA20" s="15" t="str">
        <f t="shared" si="18"/>
        <v/>
      </c>
      <c r="CB20" s="117"/>
      <c r="CC20" s="117"/>
      <c r="CD20" s="117"/>
      <c r="CE20" s="117"/>
      <c r="CF20" s="117"/>
      <c r="CG20" s="14" t="str">
        <f t="shared" si="19"/>
        <v/>
      </c>
      <c r="CH20" s="15" t="str">
        <f t="shared" si="20"/>
        <v/>
      </c>
      <c r="CI20" s="117"/>
    </row>
    <row r="21" spans="1:87" ht="68.400000000000006">
      <c r="A21" s="115" t="s">
        <v>869</v>
      </c>
      <c r="B21" s="12" t="s">
        <v>97</v>
      </c>
      <c r="C21" s="13" t="s">
        <v>870</v>
      </c>
      <c r="D21" s="13" t="s">
        <v>682</v>
      </c>
      <c r="E21" s="12" t="s">
        <v>64</v>
      </c>
      <c r="F21" s="12" t="s">
        <v>134</v>
      </c>
      <c r="G21" s="13" t="s">
        <v>683</v>
      </c>
      <c r="H21" s="12" t="s">
        <v>67</v>
      </c>
      <c r="I21" s="13" t="s">
        <v>2785</v>
      </c>
      <c r="J21" s="13" t="s">
        <v>871</v>
      </c>
      <c r="K21" s="12" t="s">
        <v>93</v>
      </c>
      <c r="L21" s="13" t="s">
        <v>872</v>
      </c>
      <c r="M21" s="12" t="s">
        <v>101</v>
      </c>
      <c r="N21" s="12">
        <v>5</v>
      </c>
      <c r="O21" s="12">
        <v>3</v>
      </c>
      <c r="P21" s="14">
        <f t="shared" si="0"/>
        <v>15</v>
      </c>
      <c r="Q21" s="15" t="str">
        <f t="shared" si="1"/>
        <v>Alto</v>
      </c>
      <c r="R21" s="13" t="s">
        <v>873</v>
      </c>
      <c r="S21" s="12" t="s">
        <v>71</v>
      </c>
      <c r="T21" s="12">
        <v>4</v>
      </c>
      <c r="U21" s="12">
        <v>3</v>
      </c>
      <c r="V21" s="14">
        <f t="shared" si="2"/>
        <v>12</v>
      </c>
      <c r="W21" s="15" t="str">
        <f t="shared" si="3"/>
        <v>Alto</v>
      </c>
      <c r="X21" s="12" t="s">
        <v>82</v>
      </c>
      <c r="Y21" s="14" t="str">
        <f t="shared" si="4"/>
        <v>Mitigar</v>
      </c>
      <c r="Z21" s="12" t="s">
        <v>72</v>
      </c>
      <c r="AA21" s="12" t="s">
        <v>73</v>
      </c>
      <c r="AB21" s="16"/>
      <c r="AC21" s="13" t="s">
        <v>874</v>
      </c>
      <c r="AD21" s="13" t="s">
        <v>103</v>
      </c>
      <c r="AE21" s="13" t="s">
        <v>875</v>
      </c>
      <c r="AF21" s="16"/>
      <c r="AG21" s="12"/>
      <c r="AH21" s="13" t="s">
        <v>876</v>
      </c>
      <c r="AI21" s="12" t="s">
        <v>877</v>
      </c>
      <c r="AJ21" s="14" t="str">
        <f t="shared" si="5"/>
        <v/>
      </c>
      <c r="AK21" s="14" t="str">
        <f t="shared" si="6"/>
        <v>Aberto</v>
      </c>
      <c r="AL21" s="17">
        <f t="shared" si="7"/>
        <v>46741</v>
      </c>
      <c r="AM21" s="16">
        <v>46741</v>
      </c>
      <c r="AN21" s="12"/>
      <c r="AO21" s="16"/>
      <c r="AP21" s="12">
        <v>3</v>
      </c>
      <c r="AQ21" s="12">
        <v>3</v>
      </c>
      <c r="AR21" s="14">
        <f t="shared" si="8"/>
        <v>9</v>
      </c>
      <c r="AS21" s="15" t="str">
        <f t="shared" si="9"/>
        <v>Médio</v>
      </c>
      <c r="AT21" s="12" t="s">
        <v>418</v>
      </c>
      <c r="AU21" s="13"/>
      <c r="AV21" s="12"/>
      <c r="AW21" s="16">
        <v>46371</v>
      </c>
      <c r="AX21" s="13" t="s">
        <v>691</v>
      </c>
      <c r="AY21" s="17">
        <f t="shared" si="10"/>
        <v>46461</v>
      </c>
      <c r="AZ21" s="14" t="str">
        <f t="shared" ca="1" si="11"/>
        <v>Barreira fraca</v>
      </c>
      <c r="BA21" s="13" t="s">
        <v>878</v>
      </c>
      <c r="BB21" s="12" t="s">
        <v>879</v>
      </c>
      <c r="BC21" s="14">
        <f>IF($V21="","",1+COUNTIF($V$5:$V$154,"&gt;"&amp;$V21)+COUNTIFS($V$5:$V$154,$V21,$U$5:$U$154,"&gt;"&amp;$U21)+COUNTIFS($V$4:$V20,$V21,$U$4:$U20,$U21))</f>
        <v>13</v>
      </c>
      <c r="BD21" s="12" t="s">
        <v>588</v>
      </c>
      <c r="BE21" s="12" t="s">
        <v>592</v>
      </c>
      <c r="BF21" s="12" t="s">
        <v>595</v>
      </c>
      <c r="BG21" s="62">
        <v>30000</v>
      </c>
      <c r="BH21" s="62">
        <v>60000</v>
      </c>
      <c r="BI21" s="63">
        <f t="shared" si="12"/>
        <v>42000</v>
      </c>
      <c r="BJ21" s="18" t="str">
        <f t="shared" si="13"/>
        <v>Custo menor ou igual à perda esperada: tratar compensa</v>
      </c>
      <c r="BK21" s="12"/>
      <c r="BL21" s="117"/>
      <c r="BM21" s="117"/>
      <c r="BN21" s="16"/>
      <c r="BO21" s="117"/>
      <c r="BP21" s="117"/>
      <c r="BQ21" s="117"/>
      <c r="BR21" s="117"/>
      <c r="BS21" s="117"/>
      <c r="BT21" s="117"/>
      <c r="BU21" s="117"/>
      <c r="BV21" s="117"/>
      <c r="BW21" s="14" t="str">
        <f t="shared" si="14"/>
        <v/>
      </c>
      <c r="BX21" s="14" t="str">
        <f t="shared" si="15"/>
        <v/>
      </c>
      <c r="BY21" s="14" t="str">
        <f t="shared" si="16"/>
        <v/>
      </c>
      <c r="BZ21" s="15" t="str">
        <f t="shared" si="17"/>
        <v/>
      </c>
      <c r="CA21" s="15" t="str">
        <f t="shared" si="18"/>
        <v/>
      </c>
      <c r="CB21" s="117"/>
      <c r="CC21" s="117"/>
      <c r="CD21" s="117"/>
      <c r="CE21" s="117"/>
      <c r="CF21" s="117"/>
      <c r="CG21" s="14" t="str">
        <f t="shared" si="19"/>
        <v/>
      </c>
      <c r="CH21" s="15" t="str">
        <f t="shared" si="20"/>
        <v/>
      </c>
      <c r="CI21" s="117"/>
    </row>
    <row r="22" spans="1:87" ht="57">
      <c r="A22" s="115" t="s">
        <v>880</v>
      </c>
      <c r="B22" s="12" t="s">
        <v>97</v>
      </c>
      <c r="C22" s="13" t="s">
        <v>881</v>
      </c>
      <c r="D22" s="13" t="s">
        <v>682</v>
      </c>
      <c r="E22" s="12" t="s">
        <v>99</v>
      </c>
      <c r="F22" s="12" t="s">
        <v>91</v>
      </c>
      <c r="G22" s="13" t="s">
        <v>801</v>
      </c>
      <c r="H22" s="12" t="s">
        <v>67</v>
      </c>
      <c r="I22" s="13" t="s">
        <v>2785</v>
      </c>
      <c r="J22" s="13" t="s">
        <v>882</v>
      </c>
      <c r="K22" s="12" t="s">
        <v>69</v>
      </c>
      <c r="L22" s="13" t="s">
        <v>883</v>
      </c>
      <c r="M22" s="12" t="s">
        <v>101</v>
      </c>
      <c r="N22" s="12">
        <v>4</v>
      </c>
      <c r="O22" s="12">
        <v>4</v>
      </c>
      <c r="P22" s="14">
        <f t="shared" si="0"/>
        <v>16</v>
      </c>
      <c r="Q22" s="15" t="str">
        <f t="shared" si="1"/>
        <v>Crítico</v>
      </c>
      <c r="R22" s="13" t="s">
        <v>884</v>
      </c>
      <c r="S22" s="12" t="s">
        <v>102</v>
      </c>
      <c r="T22" s="12">
        <v>3</v>
      </c>
      <c r="U22" s="12">
        <v>4</v>
      </c>
      <c r="V22" s="14">
        <f t="shared" si="2"/>
        <v>12</v>
      </c>
      <c r="W22" s="15" t="str">
        <f t="shared" si="3"/>
        <v>Alto</v>
      </c>
      <c r="X22" s="12" t="s">
        <v>71</v>
      </c>
      <c r="Y22" s="14" t="str">
        <f t="shared" si="4"/>
        <v>Mitigar</v>
      </c>
      <c r="Z22" s="12" t="s">
        <v>72</v>
      </c>
      <c r="AA22" s="12" t="s">
        <v>73</v>
      </c>
      <c r="AB22" s="16"/>
      <c r="AC22" s="13" t="s">
        <v>885</v>
      </c>
      <c r="AD22" s="13" t="s">
        <v>103</v>
      </c>
      <c r="AE22" s="13" t="s">
        <v>886</v>
      </c>
      <c r="AF22" s="16"/>
      <c r="AG22" s="12"/>
      <c r="AH22" s="13" t="s">
        <v>887</v>
      </c>
      <c r="AI22" s="12" t="s">
        <v>888</v>
      </c>
      <c r="AJ22" s="14" t="str">
        <f t="shared" si="5"/>
        <v/>
      </c>
      <c r="AK22" s="14" t="str">
        <f t="shared" si="6"/>
        <v>Aberto</v>
      </c>
      <c r="AL22" s="17">
        <f t="shared" si="7"/>
        <v>46538</v>
      </c>
      <c r="AM22" s="16">
        <v>46568</v>
      </c>
      <c r="AN22" s="12"/>
      <c r="AO22" s="16"/>
      <c r="AP22" s="12">
        <v>2</v>
      </c>
      <c r="AQ22" s="12">
        <v>3</v>
      </c>
      <c r="AR22" s="14">
        <f t="shared" si="8"/>
        <v>6</v>
      </c>
      <c r="AS22" s="15" t="str">
        <f t="shared" si="9"/>
        <v>Baixo</v>
      </c>
      <c r="AT22" s="12" t="s">
        <v>418</v>
      </c>
      <c r="AU22" s="13"/>
      <c r="AV22" s="12"/>
      <c r="AW22" s="16">
        <v>46371</v>
      </c>
      <c r="AX22" s="13" t="s">
        <v>889</v>
      </c>
      <c r="AY22" s="17">
        <f t="shared" si="10"/>
        <v>46461</v>
      </c>
      <c r="AZ22" s="14" t="str">
        <f t="shared" ca="1" si="11"/>
        <v>Barreira fraca</v>
      </c>
      <c r="BA22" s="13" t="s">
        <v>890</v>
      </c>
      <c r="BB22" s="12" t="s">
        <v>891</v>
      </c>
      <c r="BC22" s="14">
        <f>IF($V22="","",1+COUNTIF($V$5:$V$154,"&gt;"&amp;$V22)+COUNTIFS($V$5:$V$154,$V22,$U$5:$U$154,"&gt;"&amp;$U22)+COUNTIFS($V$4:$V21,$V22,$U$4:$U21,$U22))</f>
        <v>4</v>
      </c>
      <c r="BD22" s="12" t="s">
        <v>590</v>
      </c>
      <c r="BE22" s="12" t="s">
        <v>592</v>
      </c>
      <c r="BF22" s="12" t="s">
        <v>596</v>
      </c>
      <c r="BG22" s="62">
        <v>28000</v>
      </c>
      <c r="BH22" s="62">
        <v>60000</v>
      </c>
      <c r="BI22" s="63">
        <f t="shared" si="12"/>
        <v>30000</v>
      </c>
      <c r="BJ22" s="18" t="str">
        <f t="shared" si="13"/>
        <v>Custo menor ou igual à perda esperada: tratar compensa</v>
      </c>
      <c r="BK22" s="12"/>
      <c r="BL22" s="117"/>
      <c r="BM22" s="117"/>
      <c r="BN22" s="16"/>
      <c r="BO22" s="117"/>
      <c r="BP22" s="117"/>
      <c r="BQ22" s="117"/>
      <c r="BR22" s="117"/>
      <c r="BS22" s="117"/>
      <c r="BT22" s="117"/>
      <c r="BU22" s="117"/>
      <c r="BV22" s="117"/>
      <c r="BW22" s="14" t="str">
        <f t="shared" si="14"/>
        <v/>
      </c>
      <c r="BX22" s="14" t="str">
        <f t="shared" si="15"/>
        <v/>
      </c>
      <c r="BY22" s="14" t="str">
        <f t="shared" si="16"/>
        <v/>
      </c>
      <c r="BZ22" s="15" t="str">
        <f t="shared" si="17"/>
        <v/>
      </c>
      <c r="CA22" s="15" t="str">
        <f t="shared" si="18"/>
        <v/>
      </c>
      <c r="CB22" s="117"/>
      <c r="CC22" s="117"/>
      <c r="CD22" s="117"/>
      <c r="CE22" s="117"/>
      <c r="CF22" s="117"/>
      <c r="CG22" s="14" t="str">
        <f t="shared" si="19"/>
        <v/>
      </c>
      <c r="CH22" s="15" t="str">
        <f t="shared" si="20"/>
        <v/>
      </c>
      <c r="CI22" s="117"/>
    </row>
    <row r="23" spans="1:87" ht="57">
      <c r="A23" s="115" t="s">
        <v>775</v>
      </c>
      <c r="B23" s="12" t="s">
        <v>892</v>
      </c>
      <c r="C23" s="13" t="s">
        <v>893</v>
      </c>
      <c r="D23" s="13" t="s">
        <v>682</v>
      </c>
      <c r="E23" s="12" t="s">
        <v>64</v>
      </c>
      <c r="F23" s="12" t="s">
        <v>91</v>
      </c>
      <c r="G23" s="13" t="s">
        <v>683</v>
      </c>
      <c r="H23" s="12" t="s">
        <v>67</v>
      </c>
      <c r="I23" s="13" t="s">
        <v>145</v>
      </c>
      <c r="J23" s="13" t="s">
        <v>894</v>
      </c>
      <c r="K23" s="12" t="s">
        <v>100</v>
      </c>
      <c r="L23" s="13" t="s">
        <v>895</v>
      </c>
      <c r="M23" s="12" t="s">
        <v>101</v>
      </c>
      <c r="N23" s="12">
        <v>5</v>
      </c>
      <c r="O23" s="12">
        <v>3</v>
      </c>
      <c r="P23" s="14">
        <f t="shared" si="0"/>
        <v>15</v>
      </c>
      <c r="Q23" s="15" t="str">
        <f t="shared" si="1"/>
        <v>Alto</v>
      </c>
      <c r="R23" s="13" t="s">
        <v>896</v>
      </c>
      <c r="S23" s="12" t="s">
        <v>102</v>
      </c>
      <c r="T23" s="12">
        <v>4</v>
      </c>
      <c r="U23" s="12">
        <v>3</v>
      </c>
      <c r="V23" s="14">
        <f t="shared" si="2"/>
        <v>12</v>
      </c>
      <c r="W23" s="15" t="str">
        <f t="shared" si="3"/>
        <v>Alto</v>
      </c>
      <c r="X23" s="12" t="s">
        <v>82</v>
      </c>
      <c r="Y23" s="14" t="str">
        <f t="shared" si="4"/>
        <v>Mitigar</v>
      </c>
      <c r="Z23" s="12" t="s">
        <v>72</v>
      </c>
      <c r="AA23" s="12" t="s">
        <v>73</v>
      </c>
      <c r="AB23" s="16"/>
      <c r="AC23" s="13" t="s">
        <v>897</v>
      </c>
      <c r="AD23" s="13" t="s">
        <v>898</v>
      </c>
      <c r="AE23" s="13" t="s">
        <v>886</v>
      </c>
      <c r="AF23" s="16"/>
      <c r="AG23" s="12"/>
      <c r="AH23" s="13" t="s">
        <v>899</v>
      </c>
      <c r="AI23" s="12" t="s">
        <v>900</v>
      </c>
      <c r="AJ23" s="14" t="str">
        <f t="shared" si="5"/>
        <v/>
      </c>
      <c r="AK23" s="14" t="str">
        <f t="shared" si="6"/>
        <v>Em andamento</v>
      </c>
      <c r="AL23" s="17">
        <f t="shared" si="7"/>
        <v>46538</v>
      </c>
      <c r="AM23" s="16">
        <v>46568</v>
      </c>
      <c r="AN23" s="12"/>
      <c r="AO23" s="16"/>
      <c r="AP23" s="12">
        <v>2</v>
      </c>
      <c r="AQ23" s="12">
        <v>3</v>
      </c>
      <c r="AR23" s="14">
        <f t="shared" si="8"/>
        <v>6</v>
      </c>
      <c r="AS23" s="15" t="str">
        <f t="shared" si="9"/>
        <v>Baixo</v>
      </c>
      <c r="AT23" s="12" t="s">
        <v>418</v>
      </c>
      <c r="AU23" s="13" t="s">
        <v>901</v>
      </c>
      <c r="AV23" s="12"/>
      <c r="AW23" s="16">
        <v>46371</v>
      </c>
      <c r="AX23" s="13" t="s">
        <v>902</v>
      </c>
      <c r="AY23" s="17">
        <f t="shared" si="10"/>
        <v>46461</v>
      </c>
      <c r="AZ23" s="14" t="str">
        <f t="shared" ca="1" si="11"/>
        <v>KRI em alerta</v>
      </c>
      <c r="BA23" s="13" t="s">
        <v>903</v>
      </c>
      <c r="BB23" s="12" t="s">
        <v>904</v>
      </c>
      <c r="BC23" s="14">
        <f>IF($V23="","",1+COUNTIF($V$5:$V$154,"&gt;"&amp;$V23)+COUNTIFS($V$5:$V$154,$V23,$U$5:$U$154,"&gt;"&amp;$U23)+COUNTIFS($V$4:$V22,$V23,$U$4:$U22,$U23))</f>
        <v>14</v>
      </c>
      <c r="BD23" s="12" t="s">
        <v>588</v>
      </c>
      <c r="BE23" s="12" t="s">
        <v>592</v>
      </c>
      <c r="BF23" s="12" t="s">
        <v>595</v>
      </c>
      <c r="BG23" s="62">
        <v>45000</v>
      </c>
      <c r="BH23" s="62">
        <v>80000</v>
      </c>
      <c r="BI23" s="63">
        <f t="shared" si="12"/>
        <v>56000</v>
      </c>
      <c r="BJ23" s="18" t="str">
        <f t="shared" si="13"/>
        <v>Custo menor ou igual à perda esperada: tratar compensa</v>
      </c>
      <c r="BK23" s="12"/>
      <c r="BL23" s="117"/>
      <c r="BM23" s="117"/>
      <c r="BN23" s="16"/>
      <c r="BO23" s="117"/>
      <c r="BP23" s="117"/>
      <c r="BQ23" s="117"/>
      <c r="BR23" s="117"/>
      <c r="BS23" s="117"/>
      <c r="BT23" s="117"/>
      <c r="BU23" s="117"/>
      <c r="BV23" s="117"/>
      <c r="BW23" s="14" t="str">
        <f t="shared" si="14"/>
        <v/>
      </c>
      <c r="BX23" s="14" t="str">
        <f t="shared" si="15"/>
        <v/>
      </c>
      <c r="BY23" s="14" t="str">
        <f t="shared" si="16"/>
        <v/>
      </c>
      <c r="BZ23" s="15" t="str">
        <f t="shared" si="17"/>
        <v/>
      </c>
      <c r="CA23" s="15" t="str">
        <f t="shared" si="18"/>
        <v/>
      </c>
      <c r="CB23" s="117"/>
      <c r="CC23" s="117"/>
      <c r="CD23" s="117"/>
      <c r="CE23" s="117"/>
      <c r="CF23" s="117"/>
      <c r="CG23" s="14" t="str">
        <f t="shared" si="19"/>
        <v/>
      </c>
      <c r="CH23" s="15" t="str">
        <f t="shared" si="20"/>
        <v/>
      </c>
      <c r="CI23" s="117"/>
    </row>
    <row r="24" spans="1:87" ht="57">
      <c r="A24" s="115" t="s">
        <v>905</v>
      </c>
      <c r="B24" s="12" t="s">
        <v>97</v>
      </c>
      <c r="C24" s="13" t="s">
        <v>906</v>
      </c>
      <c r="D24" s="13" t="s">
        <v>564</v>
      </c>
      <c r="E24" s="12" t="s">
        <v>99</v>
      </c>
      <c r="F24" s="12" t="s">
        <v>91</v>
      </c>
      <c r="G24" s="13" t="s">
        <v>907</v>
      </c>
      <c r="H24" s="12" t="s">
        <v>67</v>
      </c>
      <c r="I24" s="13" t="s">
        <v>2785</v>
      </c>
      <c r="J24" s="13" t="s">
        <v>908</v>
      </c>
      <c r="K24" s="12" t="s">
        <v>69</v>
      </c>
      <c r="L24" s="13" t="s">
        <v>909</v>
      </c>
      <c r="M24" s="12" t="s">
        <v>101</v>
      </c>
      <c r="N24" s="12">
        <v>5</v>
      </c>
      <c r="O24" s="12">
        <v>3</v>
      </c>
      <c r="P24" s="14">
        <f t="shared" si="0"/>
        <v>15</v>
      </c>
      <c r="Q24" s="15" t="str">
        <f t="shared" si="1"/>
        <v>Alto</v>
      </c>
      <c r="R24" s="13" t="s">
        <v>910</v>
      </c>
      <c r="S24" s="12" t="s">
        <v>102</v>
      </c>
      <c r="T24" s="12">
        <v>5</v>
      </c>
      <c r="U24" s="12">
        <v>3</v>
      </c>
      <c r="V24" s="14">
        <f t="shared" si="2"/>
        <v>15</v>
      </c>
      <c r="W24" s="15" t="str">
        <f t="shared" si="3"/>
        <v>Alto</v>
      </c>
      <c r="X24" s="12" t="s">
        <v>82</v>
      </c>
      <c r="Y24" s="14" t="str">
        <f t="shared" si="4"/>
        <v>Mitigar</v>
      </c>
      <c r="Z24" s="12" t="s">
        <v>72</v>
      </c>
      <c r="AA24" s="12" t="s">
        <v>83</v>
      </c>
      <c r="AB24" s="16"/>
      <c r="AC24" s="13" t="s">
        <v>911</v>
      </c>
      <c r="AD24" s="13" t="s">
        <v>103</v>
      </c>
      <c r="AE24" s="13" t="s">
        <v>390</v>
      </c>
      <c r="AF24" s="16"/>
      <c r="AG24" s="12"/>
      <c r="AH24" s="13" t="s">
        <v>912</v>
      </c>
      <c r="AI24" s="12" t="s">
        <v>913</v>
      </c>
      <c r="AJ24" s="14" t="str">
        <f t="shared" si="5"/>
        <v/>
      </c>
      <c r="AK24" s="14" t="str">
        <f t="shared" si="6"/>
        <v>Em andamento</v>
      </c>
      <c r="AL24" s="17">
        <f t="shared" si="7"/>
        <v>46477</v>
      </c>
      <c r="AM24" s="16">
        <v>46568</v>
      </c>
      <c r="AN24" s="12"/>
      <c r="AO24" s="16"/>
      <c r="AP24" s="12">
        <v>3</v>
      </c>
      <c r="AQ24" s="12">
        <v>3</v>
      </c>
      <c r="AR24" s="14">
        <f t="shared" si="8"/>
        <v>9</v>
      </c>
      <c r="AS24" s="15" t="str">
        <f t="shared" si="9"/>
        <v>Médio</v>
      </c>
      <c r="AT24" s="12" t="s">
        <v>418</v>
      </c>
      <c r="AU24" s="13" t="s">
        <v>914</v>
      </c>
      <c r="AV24" s="12">
        <v>126</v>
      </c>
      <c r="AW24" s="16">
        <v>46371</v>
      </c>
      <c r="AX24" s="13" t="s">
        <v>691</v>
      </c>
      <c r="AY24" s="17">
        <f t="shared" si="10"/>
        <v>46461</v>
      </c>
      <c r="AZ24" s="14" t="str">
        <f t="shared" ca="1" si="11"/>
        <v>Rever hierarquia de controle</v>
      </c>
      <c r="BA24" s="13" t="s">
        <v>915</v>
      </c>
      <c r="BB24" s="12" t="s">
        <v>858</v>
      </c>
      <c r="BC24" s="14">
        <f>IF($V24="","",1+COUNTIF($V$5:$V$154,"&gt;"&amp;$V24)+COUNTIFS($V$5:$V$154,$V24,$U$5:$U$154,"&gt;"&amp;$U24)+COUNTIFS($V$4:$V23,$V24,$U$4:$U23,$U24))</f>
        <v>2</v>
      </c>
      <c r="BD24" s="12" t="s">
        <v>588</v>
      </c>
      <c r="BE24" s="12" t="s">
        <v>593</v>
      </c>
      <c r="BF24" s="12" t="s">
        <v>597</v>
      </c>
      <c r="BG24" s="62">
        <v>12000</v>
      </c>
      <c r="BH24" s="62">
        <v>40000</v>
      </c>
      <c r="BI24" s="63">
        <f t="shared" si="12"/>
        <v>36000</v>
      </c>
      <c r="BJ24" s="18" t="str">
        <f t="shared" si="13"/>
        <v>Custo menor ou igual à perda esperada: tratar compensa</v>
      </c>
      <c r="BK24" s="12"/>
      <c r="BL24" s="117"/>
      <c r="BM24" s="117"/>
      <c r="BN24" s="16"/>
      <c r="BO24" s="117"/>
      <c r="BP24" s="117"/>
      <c r="BQ24" s="117"/>
      <c r="BR24" s="117"/>
      <c r="BS24" s="117"/>
      <c r="BT24" s="117"/>
      <c r="BU24" s="117"/>
      <c r="BV24" s="117"/>
      <c r="BW24" s="14" t="str">
        <f t="shared" si="14"/>
        <v/>
      </c>
      <c r="BX24" s="14" t="str">
        <f t="shared" si="15"/>
        <v/>
      </c>
      <c r="BY24" s="14" t="str">
        <f t="shared" si="16"/>
        <v/>
      </c>
      <c r="BZ24" s="15" t="str">
        <f t="shared" si="17"/>
        <v/>
      </c>
      <c r="CA24" s="15" t="str">
        <f t="shared" si="18"/>
        <v/>
      </c>
      <c r="CB24" s="117"/>
      <c r="CC24" s="117"/>
      <c r="CD24" s="117"/>
      <c r="CE24" s="117"/>
      <c r="CF24" s="117"/>
      <c r="CG24" s="14" t="str">
        <f t="shared" si="19"/>
        <v/>
      </c>
      <c r="CH24" s="15" t="str">
        <f t="shared" si="20"/>
        <v/>
      </c>
      <c r="CI24" s="117"/>
    </row>
    <row r="25" spans="1:87" ht="57">
      <c r="A25" s="115" t="s">
        <v>916</v>
      </c>
      <c r="B25" s="12" t="s">
        <v>917</v>
      </c>
      <c r="C25" s="13" t="s">
        <v>918</v>
      </c>
      <c r="D25" s="13" t="s">
        <v>98</v>
      </c>
      <c r="E25" s="12" t="s">
        <v>99</v>
      </c>
      <c r="F25" s="12" t="s">
        <v>65</v>
      </c>
      <c r="G25" s="13" t="s">
        <v>801</v>
      </c>
      <c r="H25" s="12" t="s">
        <v>67</v>
      </c>
      <c r="I25" s="13" t="s">
        <v>2785</v>
      </c>
      <c r="J25" s="13" t="s">
        <v>919</v>
      </c>
      <c r="K25" s="12" t="s">
        <v>69</v>
      </c>
      <c r="L25" s="13" t="s">
        <v>920</v>
      </c>
      <c r="M25" s="12" t="s">
        <v>101</v>
      </c>
      <c r="N25" s="12">
        <v>4</v>
      </c>
      <c r="O25" s="12">
        <v>2</v>
      </c>
      <c r="P25" s="14">
        <f t="shared" si="0"/>
        <v>8</v>
      </c>
      <c r="Q25" s="15" t="str">
        <f t="shared" si="1"/>
        <v>Médio</v>
      </c>
      <c r="R25" s="13" t="s">
        <v>921</v>
      </c>
      <c r="S25" s="12" t="s">
        <v>71</v>
      </c>
      <c r="T25" s="12">
        <v>4</v>
      </c>
      <c r="U25" s="12">
        <v>2</v>
      </c>
      <c r="V25" s="14">
        <f t="shared" si="2"/>
        <v>8</v>
      </c>
      <c r="W25" s="15" t="str">
        <f t="shared" si="3"/>
        <v>Médio</v>
      </c>
      <c r="X25" s="12" t="s">
        <v>82</v>
      </c>
      <c r="Y25" s="14" t="str">
        <f t="shared" si="4"/>
        <v>Mitigar</v>
      </c>
      <c r="Z25" s="12" t="s">
        <v>72</v>
      </c>
      <c r="AA25" s="12" t="s">
        <v>83</v>
      </c>
      <c r="AB25" s="16"/>
      <c r="AC25" s="13" t="s">
        <v>922</v>
      </c>
      <c r="AD25" s="13" t="s">
        <v>923</v>
      </c>
      <c r="AE25" s="13" t="s">
        <v>924</v>
      </c>
      <c r="AF25" s="16">
        <v>46477</v>
      </c>
      <c r="AG25" s="12" t="s">
        <v>85</v>
      </c>
      <c r="AH25" s="13" t="s">
        <v>925</v>
      </c>
      <c r="AI25" s="12"/>
      <c r="AJ25" s="14" t="str">
        <f t="shared" si="5"/>
        <v/>
      </c>
      <c r="AK25" s="14" t="str">
        <f t="shared" si="6"/>
        <v>Aberto</v>
      </c>
      <c r="AL25" s="17">
        <f t="shared" si="7"/>
        <v>46477</v>
      </c>
      <c r="AM25" s="16"/>
      <c r="AN25" s="12"/>
      <c r="AO25" s="16"/>
      <c r="AP25" s="12">
        <v>3</v>
      </c>
      <c r="AQ25" s="12">
        <v>2</v>
      </c>
      <c r="AR25" s="14">
        <f t="shared" si="8"/>
        <v>6</v>
      </c>
      <c r="AS25" s="15" t="str">
        <f t="shared" si="9"/>
        <v>Baixo</v>
      </c>
      <c r="AT25" s="12" t="s">
        <v>418</v>
      </c>
      <c r="AU25" s="13" t="s">
        <v>926</v>
      </c>
      <c r="AV25" s="12">
        <v>50</v>
      </c>
      <c r="AW25" s="16">
        <v>46371</v>
      </c>
      <c r="AX25" s="13" t="s">
        <v>927</v>
      </c>
      <c r="AY25" s="17">
        <f t="shared" si="10"/>
        <v>46553</v>
      </c>
      <c r="AZ25" s="14" t="str">
        <f t="shared" ca="1" si="11"/>
        <v>KRI em alerta</v>
      </c>
      <c r="BA25" s="13" t="s">
        <v>928</v>
      </c>
      <c r="BB25" s="12" t="s">
        <v>858</v>
      </c>
      <c r="BC25" s="14">
        <f>IF($V25="","",1+COUNTIF($V$5:$V$154,"&gt;"&amp;$V25)+COUNTIFS($V$5:$V$154,$V25,$U$5:$U$154,"&gt;"&amp;$U25)+COUNTIFS($V$4:$V24,$V25,$U$4:$U24,$U25))</f>
        <v>36</v>
      </c>
      <c r="BD25" s="12" t="s">
        <v>590</v>
      </c>
      <c r="BE25" s="12" t="s">
        <v>593</v>
      </c>
      <c r="BF25" s="12" t="s">
        <v>595</v>
      </c>
      <c r="BG25" s="62">
        <v>7000</v>
      </c>
      <c r="BH25" s="62">
        <v>15000</v>
      </c>
      <c r="BI25" s="63">
        <f t="shared" si="12"/>
        <v>10500</v>
      </c>
      <c r="BJ25" s="18" t="str">
        <f t="shared" si="13"/>
        <v>Custo menor ou igual à perda esperada: tratar compensa</v>
      </c>
      <c r="BK25" s="12"/>
      <c r="BL25" s="117"/>
      <c r="BM25" s="117"/>
      <c r="BN25" s="16"/>
      <c r="BO25" s="117"/>
      <c r="BP25" s="117"/>
      <c r="BQ25" s="117"/>
      <c r="BR25" s="117"/>
      <c r="BS25" s="117"/>
      <c r="BT25" s="117"/>
      <c r="BU25" s="117"/>
      <c r="BV25" s="117"/>
      <c r="BW25" s="14" t="str">
        <f t="shared" si="14"/>
        <v/>
      </c>
      <c r="BX25" s="14" t="str">
        <f t="shared" si="15"/>
        <v/>
      </c>
      <c r="BY25" s="14" t="str">
        <f t="shared" si="16"/>
        <v/>
      </c>
      <c r="BZ25" s="15" t="str">
        <f t="shared" si="17"/>
        <v/>
      </c>
      <c r="CA25" s="15" t="str">
        <f t="shared" si="18"/>
        <v/>
      </c>
      <c r="CB25" s="117"/>
      <c r="CC25" s="117"/>
      <c r="CD25" s="117"/>
      <c r="CE25" s="117"/>
      <c r="CF25" s="117"/>
      <c r="CG25" s="14" t="str">
        <f t="shared" si="19"/>
        <v/>
      </c>
      <c r="CH25" s="15" t="str">
        <f t="shared" si="20"/>
        <v/>
      </c>
      <c r="CI25" s="117"/>
    </row>
    <row r="26" spans="1:87" ht="57">
      <c r="A26" s="115" t="s">
        <v>929</v>
      </c>
      <c r="B26" s="12" t="s">
        <v>560</v>
      </c>
      <c r="C26" s="13" t="s">
        <v>930</v>
      </c>
      <c r="D26" s="13" t="s">
        <v>569</v>
      </c>
      <c r="E26" s="12" t="s">
        <v>64</v>
      </c>
      <c r="F26" s="12" t="s">
        <v>65</v>
      </c>
      <c r="G26" s="13" t="s">
        <v>707</v>
      </c>
      <c r="H26" s="12" t="s">
        <v>67</v>
      </c>
      <c r="I26" s="13" t="s">
        <v>145</v>
      </c>
      <c r="J26" s="13" t="s">
        <v>931</v>
      </c>
      <c r="K26" s="12" t="s">
        <v>93</v>
      </c>
      <c r="L26" s="13" t="s">
        <v>932</v>
      </c>
      <c r="M26" s="12" t="s">
        <v>81</v>
      </c>
      <c r="N26" s="12">
        <v>4</v>
      </c>
      <c r="O26" s="12">
        <v>3</v>
      </c>
      <c r="P26" s="14">
        <f t="shared" si="0"/>
        <v>12</v>
      </c>
      <c r="Q26" s="15" t="str">
        <f t="shared" si="1"/>
        <v>Alto</v>
      </c>
      <c r="R26" s="13" t="s">
        <v>933</v>
      </c>
      <c r="S26" s="12" t="s">
        <v>102</v>
      </c>
      <c r="T26" s="12">
        <v>4</v>
      </c>
      <c r="U26" s="12">
        <v>3</v>
      </c>
      <c r="V26" s="14">
        <f t="shared" si="2"/>
        <v>12</v>
      </c>
      <c r="W26" s="15" t="str">
        <f t="shared" si="3"/>
        <v>Alto</v>
      </c>
      <c r="X26" s="12" t="s">
        <v>82</v>
      </c>
      <c r="Y26" s="14" t="str">
        <f t="shared" si="4"/>
        <v>Mitigar</v>
      </c>
      <c r="Z26" s="12" t="s">
        <v>72</v>
      </c>
      <c r="AA26" s="12" t="s">
        <v>73</v>
      </c>
      <c r="AB26" s="16"/>
      <c r="AC26" s="13" t="s">
        <v>2804</v>
      </c>
      <c r="AD26" s="13" t="s">
        <v>84</v>
      </c>
      <c r="AE26" s="13" t="s">
        <v>86</v>
      </c>
      <c r="AF26" s="181">
        <v>46387</v>
      </c>
      <c r="AG26" s="12" t="s">
        <v>296</v>
      </c>
      <c r="AH26" s="13" t="s">
        <v>934</v>
      </c>
      <c r="AI26" s="12"/>
      <c r="AJ26" s="14" t="str">
        <f t="shared" si="5"/>
        <v/>
      </c>
      <c r="AK26" s="14" t="str">
        <f t="shared" si="6"/>
        <v>Em andamento</v>
      </c>
      <c r="AL26" s="17">
        <f t="shared" si="7"/>
        <v>46387</v>
      </c>
      <c r="AM26" s="16">
        <v>46568</v>
      </c>
      <c r="AN26" s="12"/>
      <c r="AO26" s="16"/>
      <c r="AP26" s="12">
        <v>3</v>
      </c>
      <c r="AQ26" s="12">
        <v>2</v>
      </c>
      <c r="AR26" s="14">
        <f t="shared" si="8"/>
        <v>6</v>
      </c>
      <c r="AS26" s="15" t="str">
        <f t="shared" si="9"/>
        <v>Baixo</v>
      </c>
      <c r="AT26" s="12" t="s">
        <v>418</v>
      </c>
      <c r="AU26" s="13" t="s">
        <v>935</v>
      </c>
      <c r="AV26" s="12">
        <v>1053</v>
      </c>
      <c r="AW26" s="16">
        <v>46371</v>
      </c>
      <c r="AX26" s="13" t="s">
        <v>78</v>
      </c>
      <c r="AY26" s="17">
        <f t="shared" si="10"/>
        <v>46461</v>
      </c>
      <c r="AZ26" s="14" t="str">
        <f t="shared" ca="1" si="11"/>
        <v>KRI em alerta</v>
      </c>
      <c r="BA26" s="13" t="s">
        <v>936</v>
      </c>
      <c r="BB26" s="12" t="s">
        <v>937</v>
      </c>
      <c r="BC26" s="14">
        <f>IF($V26="","",1+COUNTIF($V$5:$V$154,"&gt;"&amp;$V26)+COUNTIFS($V$5:$V$154,$V26,$U$5:$U$154,"&gt;"&amp;$U26)+COUNTIFS($V$4:$V25,$V26,$U$4:$U25,$U26))</f>
        <v>15</v>
      </c>
      <c r="BD26" s="12" t="s">
        <v>591</v>
      </c>
      <c r="BE26" s="12" t="s">
        <v>593</v>
      </c>
      <c r="BF26" s="12" t="s">
        <v>595</v>
      </c>
      <c r="BG26" s="62">
        <v>38000</v>
      </c>
      <c r="BH26" s="62">
        <v>70000</v>
      </c>
      <c r="BI26" s="63">
        <f t="shared" si="12"/>
        <v>49000</v>
      </c>
      <c r="BJ26" s="18" t="str">
        <f t="shared" si="13"/>
        <v>Custo menor ou igual à perda esperada: tratar compensa</v>
      </c>
      <c r="BK26" s="12">
        <v>4</v>
      </c>
      <c r="BL26" s="117" t="s">
        <v>938</v>
      </c>
      <c r="BM26" s="117"/>
      <c r="BN26" s="16"/>
      <c r="BO26" s="117"/>
      <c r="BP26" s="117"/>
      <c r="BQ26" s="117"/>
      <c r="BR26" s="117"/>
      <c r="BS26" s="117"/>
      <c r="BT26" s="117"/>
      <c r="BU26" s="117"/>
      <c r="BV26" s="117"/>
      <c r="BW26" s="14" t="str">
        <f t="shared" si="14"/>
        <v/>
      </c>
      <c r="BX26" s="14" t="str">
        <f t="shared" si="15"/>
        <v/>
      </c>
      <c r="BY26" s="14" t="str">
        <f t="shared" si="16"/>
        <v/>
      </c>
      <c r="BZ26" s="15" t="str">
        <f t="shared" si="17"/>
        <v/>
      </c>
      <c r="CA26" s="15" t="str">
        <f t="shared" si="18"/>
        <v/>
      </c>
      <c r="CB26" s="117"/>
      <c r="CC26" s="117"/>
      <c r="CD26" s="117" t="s">
        <v>2803</v>
      </c>
      <c r="CE26" s="117"/>
      <c r="CF26" s="117"/>
      <c r="CG26" s="14" t="str">
        <f t="shared" si="19"/>
        <v/>
      </c>
      <c r="CH26" s="15" t="str">
        <f t="shared" si="20"/>
        <v/>
      </c>
      <c r="CI26" s="117"/>
    </row>
    <row r="27" spans="1:87" ht="45.6">
      <c r="A27" s="115" t="s">
        <v>939</v>
      </c>
      <c r="B27" s="12" t="s">
        <v>562</v>
      </c>
      <c r="C27" s="13" t="s">
        <v>940</v>
      </c>
      <c r="D27" s="13" t="s">
        <v>569</v>
      </c>
      <c r="E27" s="12" t="s">
        <v>544</v>
      </c>
      <c r="F27" s="12" t="s">
        <v>91</v>
      </c>
      <c r="G27" s="13" t="s">
        <v>707</v>
      </c>
      <c r="H27" s="12" t="s">
        <v>67</v>
      </c>
      <c r="I27" s="13" t="s">
        <v>68</v>
      </c>
      <c r="J27" s="13" t="s">
        <v>941</v>
      </c>
      <c r="K27" s="12" t="s">
        <v>258</v>
      </c>
      <c r="L27" s="13" t="s">
        <v>942</v>
      </c>
      <c r="M27" s="12" t="s">
        <v>81</v>
      </c>
      <c r="N27" s="12">
        <v>5</v>
      </c>
      <c r="O27" s="12">
        <v>3</v>
      </c>
      <c r="P27" s="14">
        <f t="shared" si="0"/>
        <v>15</v>
      </c>
      <c r="Q27" s="15" t="str">
        <f t="shared" si="1"/>
        <v>Alto</v>
      </c>
      <c r="R27" s="13" t="s">
        <v>943</v>
      </c>
      <c r="S27" s="12" t="s">
        <v>102</v>
      </c>
      <c r="T27" s="12">
        <v>4</v>
      </c>
      <c r="U27" s="12">
        <v>3</v>
      </c>
      <c r="V27" s="14">
        <f t="shared" si="2"/>
        <v>12</v>
      </c>
      <c r="W27" s="15" t="str">
        <f t="shared" si="3"/>
        <v>Alto</v>
      </c>
      <c r="X27" s="12" t="s">
        <v>82</v>
      </c>
      <c r="Y27" s="14" t="str">
        <f t="shared" si="4"/>
        <v>Mitigar</v>
      </c>
      <c r="Z27" s="12" t="s">
        <v>72</v>
      </c>
      <c r="AA27" s="12" t="s">
        <v>83</v>
      </c>
      <c r="AB27" s="16"/>
      <c r="AC27" s="13" t="s">
        <v>944</v>
      </c>
      <c r="AD27" s="13" t="s">
        <v>945</v>
      </c>
      <c r="AE27" s="13" t="s">
        <v>783</v>
      </c>
      <c r="AF27" s="16">
        <v>46507</v>
      </c>
      <c r="AG27" s="12" t="s">
        <v>85</v>
      </c>
      <c r="AH27" s="13" t="s">
        <v>946</v>
      </c>
      <c r="AI27" s="12"/>
      <c r="AJ27" s="14" t="str">
        <f t="shared" si="5"/>
        <v/>
      </c>
      <c r="AK27" s="14" t="str">
        <f t="shared" si="6"/>
        <v>Aberto</v>
      </c>
      <c r="AL27" s="17">
        <f t="shared" si="7"/>
        <v>46507</v>
      </c>
      <c r="AM27" s="16"/>
      <c r="AN27" s="12"/>
      <c r="AO27" s="16"/>
      <c r="AP27" s="12">
        <v>3</v>
      </c>
      <c r="AQ27" s="12">
        <v>3</v>
      </c>
      <c r="AR27" s="14">
        <f t="shared" si="8"/>
        <v>9</v>
      </c>
      <c r="AS27" s="15" t="str">
        <f t="shared" si="9"/>
        <v>Médio</v>
      </c>
      <c r="AT27" s="12" t="s">
        <v>418</v>
      </c>
      <c r="AU27" s="13" t="s">
        <v>947</v>
      </c>
      <c r="AV27" s="12">
        <v>1435</v>
      </c>
      <c r="AW27" s="16">
        <v>46371</v>
      </c>
      <c r="AX27" s="13" t="s">
        <v>948</v>
      </c>
      <c r="AY27" s="17">
        <f t="shared" si="10"/>
        <v>46461</v>
      </c>
      <c r="AZ27" s="14" t="str">
        <f t="shared" ca="1" si="11"/>
        <v>Rever hierarquia de controle</v>
      </c>
      <c r="BA27" s="13" t="s">
        <v>949</v>
      </c>
      <c r="BB27" s="12" t="s">
        <v>776</v>
      </c>
      <c r="BC27" s="14">
        <f>IF($V27="","",1+COUNTIF($V$5:$V$154,"&gt;"&amp;$V27)+COUNTIFS($V$5:$V$154,$V27,$U$5:$U$154,"&gt;"&amp;$U27)+COUNTIFS($V$4:$V26,$V27,$U$4:$U26,$U27))</f>
        <v>16</v>
      </c>
      <c r="BD27" s="12" t="s">
        <v>591</v>
      </c>
      <c r="BE27" s="12" t="s">
        <v>593</v>
      </c>
      <c r="BF27" s="12" t="s">
        <v>595</v>
      </c>
      <c r="BG27" s="62">
        <v>15000</v>
      </c>
      <c r="BH27" s="62">
        <v>70000</v>
      </c>
      <c r="BI27" s="63">
        <f t="shared" si="12"/>
        <v>49000</v>
      </c>
      <c r="BJ27" s="18" t="str">
        <f t="shared" si="13"/>
        <v>Custo menor ou igual à perda esperada: tratar compensa</v>
      </c>
      <c r="BK27" s="12"/>
      <c r="BL27" s="117"/>
      <c r="BM27" s="117"/>
      <c r="BN27" s="16"/>
      <c r="BO27" s="117"/>
      <c r="BP27" s="117"/>
      <c r="BQ27" s="117"/>
      <c r="BR27" s="117"/>
      <c r="BS27" s="117"/>
      <c r="BT27" s="117"/>
      <c r="BU27" s="117"/>
      <c r="BV27" s="117"/>
      <c r="BW27" s="14" t="str">
        <f t="shared" si="14"/>
        <v/>
      </c>
      <c r="BX27" s="14" t="str">
        <f t="shared" si="15"/>
        <v/>
      </c>
      <c r="BY27" s="14" t="str">
        <f t="shared" si="16"/>
        <v/>
      </c>
      <c r="BZ27" s="15" t="str">
        <f t="shared" si="17"/>
        <v/>
      </c>
      <c r="CA27" s="15" t="str">
        <f t="shared" si="18"/>
        <v/>
      </c>
      <c r="CB27" s="117"/>
      <c r="CC27" s="117"/>
      <c r="CD27" s="117"/>
      <c r="CE27" s="117"/>
      <c r="CF27" s="117"/>
      <c r="CG27" s="14" t="str">
        <f t="shared" si="19"/>
        <v/>
      </c>
      <c r="CH27" s="15" t="str">
        <f t="shared" si="20"/>
        <v/>
      </c>
      <c r="CI27" s="117"/>
    </row>
    <row r="28" spans="1:87" ht="57">
      <c r="A28" s="115" t="s">
        <v>950</v>
      </c>
      <c r="B28" s="12" t="s">
        <v>563</v>
      </c>
      <c r="C28" s="13" t="s">
        <v>951</v>
      </c>
      <c r="D28" s="13" t="s">
        <v>143</v>
      </c>
      <c r="E28" s="12" t="s">
        <v>99</v>
      </c>
      <c r="F28" s="12" t="s">
        <v>134</v>
      </c>
      <c r="G28" s="13" t="s">
        <v>952</v>
      </c>
      <c r="H28" s="12" t="s">
        <v>67</v>
      </c>
      <c r="I28" s="13" t="s">
        <v>145</v>
      </c>
      <c r="J28" s="13" t="s">
        <v>953</v>
      </c>
      <c r="K28" s="12" t="s">
        <v>69</v>
      </c>
      <c r="L28" s="13" t="s">
        <v>954</v>
      </c>
      <c r="M28" s="12" t="s">
        <v>367</v>
      </c>
      <c r="N28" s="12">
        <v>4</v>
      </c>
      <c r="O28" s="12">
        <v>3</v>
      </c>
      <c r="P28" s="14">
        <f t="shared" si="0"/>
        <v>12</v>
      </c>
      <c r="Q28" s="15" t="str">
        <f t="shared" si="1"/>
        <v>Alto</v>
      </c>
      <c r="R28" s="13" t="s">
        <v>955</v>
      </c>
      <c r="S28" s="12" t="s">
        <v>71</v>
      </c>
      <c r="T28" s="12">
        <v>3</v>
      </c>
      <c r="U28" s="12">
        <v>3</v>
      </c>
      <c r="V28" s="14">
        <f t="shared" si="2"/>
        <v>9</v>
      </c>
      <c r="W28" s="15" t="str">
        <f t="shared" si="3"/>
        <v>Médio</v>
      </c>
      <c r="X28" s="12" t="s">
        <v>71</v>
      </c>
      <c r="Y28" s="14" t="str">
        <f t="shared" si="4"/>
        <v>Mitigar</v>
      </c>
      <c r="Z28" s="12" t="s">
        <v>72</v>
      </c>
      <c r="AA28" s="12" t="s">
        <v>83</v>
      </c>
      <c r="AB28" s="16"/>
      <c r="AC28" s="13" t="s">
        <v>956</v>
      </c>
      <c r="AD28" s="13" t="s">
        <v>957</v>
      </c>
      <c r="AE28" s="13" t="s">
        <v>958</v>
      </c>
      <c r="AF28" s="16">
        <v>46477</v>
      </c>
      <c r="AG28" s="12" t="s">
        <v>85</v>
      </c>
      <c r="AH28" s="13" t="s">
        <v>959</v>
      </c>
      <c r="AI28" s="12"/>
      <c r="AJ28" s="14" t="str">
        <f t="shared" si="5"/>
        <v/>
      </c>
      <c r="AK28" s="14" t="str">
        <f t="shared" si="6"/>
        <v>Aberto</v>
      </c>
      <c r="AL28" s="17">
        <f t="shared" si="7"/>
        <v>46477</v>
      </c>
      <c r="AM28" s="16"/>
      <c r="AN28" s="12"/>
      <c r="AO28" s="16"/>
      <c r="AP28" s="12">
        <v>3</v>
      </c>
      <c r="AQ28" s="12">
        <v>2</v>
      </c>
      <c r="AR28" s="14">
        <f t="shared" si="8"/>
        <v>6</v>
      </c>
      <c r="AS28" s="15" t="str">
        <f t="shared" si="9"/>
        <v>Baixo</v>
      </c>
      <c r="AT28" s="12" t="s">
        <v>418</v>
      </c>
      <c r="AU28" s="13" t="s">
        <v>960</v>
      </c>
      <c r="AV28" s="12"/>
      <c r="AW28" s="16">
        <v>46371</v>
      </c>
      <c r="AX28" s="13" t="s">
        <v>961</v>
      </c>
      <c r="AY28" s="17">
        <f t="shared" si="10"/>
        <v>46553</v>
      </c>
      <c r="AZ28" s="14" t="str">
        <f t="shared" ca="1" si="11"/>
        <v>OK</v>
      </c>
      <c r="BA28" s="13" t="s">
        <v>962</v>
      </c>
      <c r="BB28" s="12" t="s">
        <v>963</v>
      </c>
      <c r="BC28" s="14">
        <f>IF($V28="","",1+COUNTIF($V$5:$V$154,"&gt;"&amp;$V28)+COUNTIFS($V$5:$V$154,$V28,$U$5:$U$154,"&gt;"&amp;$U28)+COUNTIFS($V$4:$V27,$V28,$U$4:$U27,$U28))</f>
        <v>26</v>
      </c>
      <c r="BD28" s="12" t="s">
        <v>588</v>
      </c>
      <c r="BE28" s="12" t="s">
        <v>593</v>
      </c>
      <c r="BF28" s="12" t="s">
        <v>595</v>
      </c>
      <c r="BG28" s="62">
        <v>8000</v>
      </c>
      <c r="BH28" s="62">
        <v>120000</v>
      </c>
      <c r="BI28" s="63">
        <f t="shared" si="12"/>
        <v>60000</v>
      </c>
      <c r="BJ28" s="18" t="str">
        <f t="shared" si="13"/>
        <v>Custo menor ou igual à perda esperada: tratar compensa</v>
      </c>
      <c r="BK28" s="12"/>
      <c r="BL28" s="117"/>
      <c r="BM28" s="117"/>
      <c r="BN28" s="16"/>
      <c r="BO28" s="117"/>
      <c r="BP28" s="117"/>
      <c r="BQ28" s="117"/>
      <c r="BR28" s="117"/>
      <c r="BS28" s="117"/>
      <c r="BT28" s="117"/>
      <c r="BU28" s="117"/>
      <c r="BV28" s="117"/>
      <c r="BW28" s="14" t="str">
        <f t="shared" si="14"/>
        <v/>
      </c>
      <c r="BX28" s="14" t="str">
        <f t="shared" si="15"/>
        <v/>
      </c>
      <c r="BY28" s="14" t="str">
        <f t="shared" si="16"/>
        <v/>
      </c>
      <c r="BZ28" s="15" t="str">
        <f t="shared" si="17"/>
        <v/>
      </c>
      <c r="CA28" s="15" t="str">
        <f t="shared" si="18"/>
        <v/>
      </c>
      <c r="CB28" s="117"/>
      <c r="CC28" s="117"/>
      <c r="CD28" s="117"/>
      <c r="CE28" s="117"/>
      <c r="CF28" s="117"/>
      <c r="CG28" s="14" t="str">
        <f t="shared" si="19"/>
        <v/>
      </c>
      <c r="CH28" s="15" t="str">
        <f t="shared" si="20"/>
        <v/>
      </c>
      <c r="CI28" s="117"/>
    </row>
    <row r="29" spans="1:87" ht="45.6">
      <c r="A29" s="115" t="s">
        <v>964</v>
      </c>
      <c r="B29" s="12" t="s">
        <v>563</v>
      </c>
      <c r="C29" s="13" t="s">
        <v>965</v>
      </c>
      <c r="D29" s="13" t="s">
        <v>132</v>
      </c>
      <c r="E29" s="12" t="s">
        <v>133</v>
      </c>
      <c r="F29" s="12" t="s">
        <v>134</v>
      </c>
      <c r="G29" s="13" t="s">
        <v>952</v>
      </c>
      <c r="H29" s="12" t="s">
        <v>80</v>
      </c>
      <c r="I29" s="13" t="s">
        <v>145</v>
      </c>
      <c r="J29" s="13" t="s">
        <v>966</v>
      </c>
      <c r="K29" s="12" t="s">
        <v>264</v>
      </c>
      <c r="L29" s="13" t="s">
        <v>967</v>
      </c>
      <c r="M29" s="12" t="s">
        <v>367</v>
      </c>
      <c r="N29" s="12">
        <v>4</v>
      </c>
      <c r="O29" s="12">
        <v>3</v>
      </c>
      <c r="P29" s="14">
        <f t="shared" si="0"/>
        <v>12</v>
      </c>
      <c r="Q29" s="15" t="str">
        <f t="shared" si="1"/>
        <v>Alto</v>
      </c>
      <c r="R29" s="13" t="s">
        <v>968</v>
      </c>
      <c r="S29" s="12" t="s">
        <v>71</v>
      </c>
      <c r="T29" s="12">
        <v>4</v>
      </c>
      <c r="U29" s="12">
        <v>3</v>
      </c>
      <c r="V29" s="14">
        <f t="shared" si="2"/>
        <v>12</v>
      </c>
      <c r="W29" s="15" t="str">
        <f t="shared" si="3"/>
        <v>Alto</v>
      </c>
      <c r="X29" s="12" t="s">
        <v>102</v>
      </c>
      <c r="Y29" s="14" t="str">
        <f t="shared" si="4"/>
        <v>Mitigar</v>
      </c>
      <c r="Z29" s="12" t="s">
        <v>548</v>
      </c>
      <c r="AA29" s="12" t="s">
        <v>969</v>
      </c>
      <c r="AB29" s="16"/>
      <c r="AC29" s="13" t="s">
        <v>970</v>
      </c>
      <c r="AD29" s="13" t="s">
        <v>957</v>
      </c>
      <c r="AE29" s="13" t="s">
        <v>826</v>
      </c>
      <c r="AF29" s="16">
        <v>46477</v>
      </c>
      <c r="AG29" s="12" t="s">
        <v>85</v>
      </c>
      <c r="AH29" s="13" t="s">
        <v>971</v>
      </c>
      <c r="AI29" s="12"/>
      <c r="AJ29" s="14" t="str">
        <f t="shared" si="5"/>
        <v/>
      </c>
      <c r="AK29" s="14" t="str">
        <f t="shared" si="6"/>
        <v>Aberto</v>
      </c>
      <c r="AL29" s="17">
        <f t="shared" si="7"/>
        <v>46477</v>
      </c>
      <c r="AM29" s="16"/>
      <c r="AN29" s="12"/>
      <c r="AO29" s="16"/>
      <c r="AP29" s="12">
        <v>3</v>
      </c>
      <c r="AQ29" s="12">
        <v>3</v>
      </c>
      <c r="AR29" s="14">
        <f t="shared" si="8"/>
        <v>9</v>
      </c>
      <c r="AS29" s="15" t="str">
        <f t="shared" si="9"/>
        <v>Médio</v>
      </c>
      <c r="AT29" s="12" t="s">
        <v>418</v>
      </c>
      <c r="AU29" s="13"/>
      <c r="AV29" s="12"/>
      <c r="AW29" s="16">
        <v>46371</v>
      </c>
      <c r="AX29" s="13" t="s">
        <v>961</v>
      </c>
      <c r="AY29" s="17">
        <f t="shared" si="10"/>
        <v>46461</v>
      </c>
      <c r="AZ29" s="14" t="str">
        <f t="shared" ca="1" si="11"/>
        <v>Barreira fraca</v>
      </c>
      <c r="BA29" s="13" t="s">
        <v>972</v>
      </c>
      <c r="BB29" s="12" t="s">
        <v>973</v>
      </c>
      <c r="BC29" s="14">
        <f>IF($V29="","",1+COUNTIF($V$5:$V$154,"&gt;"&amp;$V29)+COUNTIFS($V$5:$V$154,$V29,$U$5:$U$154,"&gt;"&amp;$U29)+COUNTIFS($V$4:$V28,$V29,$U$4:$U28,$U29))</f>
        <v>17</v>
      </c>
      <c r="BD29" s="12" t="s">
        <v>588</v>
      </c>
      <c r="BE29" s="12" t="s">
        <v>594</v>
      </c>
      <c r="BF29" s="12" t="s">
        <v>599</v>
      </c>
      <c r="BG29" s="62">
        <v>6000</v>
      </c>
      <c r="BH29" s="62">
        <v>90000</v>
      </c>
      <c r="BI29" s="63">
        <f t="shared" si="12"/>
        <v>62999.999999999993</v>
      </c>
      <c r="BJ29" s="18" t="str">
        <f t="shared" si="13"/>
        <v>Custo menor ou igual à perda esperada: tratar compensa</v>
      </c>
      <c r="BK29" s="12"/>
      <c r="BL29" s="117"/>
      <c r="BM29" s="117"/>
      <c r="BN29" s="16"/>
      <c r="BO29" s="117"/>
      <c r="BP29" s="117"/>
      <c r="BQ29" s="117"/>
      <c r="BR29" s="117"/>
      <c r="BS29" s="117"/>
      <c r="BT29" s="117"/>
      <c r="BU29" s="117"/>
      <c r="BV29" s="117"/>
      <c r="BW29" s="14" t="str">
        <f t="shared" si="14"/>
        <v/>
      </c>
      <c r="BX29" s="14" t="str">
        <f t="shared" si="15"/>
        <v/>
      </c>
      <c r="BY29" s="14" t="str">
        <f t="shared" si="16"/>
        <v/>
      </c>
      <c r="BZ29" s="15" t="str">
        <f t="shared" si="17"/>
        <v/>
      </c>
      <c r="CA29" s="15" t="str">
        <f t="shared" si="18"/>
        <v/>
      </c>
      <c r="CB29" s="117"/>
      <c r="CC29" s="117"/>
      <c r="CD29" s="117"/>
      <c r="CE29" s="117"/>
      <c r="CF29" s="117"/>
      <c r="CG29" s="14" t="str">
        <f t="shared" si="19"/>
        <v/>
      </c>
      <c r="CH29" s="15" t="str">
        <f t="shared" si="20"/>
        <v/>
      </c>
      <c r="CI29" s="117"/>
    </row>
    <row r="30" spans="1:87" ht="57">
      <c r="A30" s="115" t="s">
        <v>974</v>
      </c>
      <c r="B30" s="12" t="s">
        <v>892</v>
      </c>
      <c r="C30" s="13" t="s">
        <v>975</v>
      </c>
      <c r="D30" s="13" t="s">
        <v>553</v>
      </c>
      <c r="E30" s="12" t="s">
        <v>64</v>
      </c>
      <c r="F30" s="12" t="s">
        <v>91</v>
      </c>
      <c r="G30" s="13" t="s">
        <v>848</v>
      </c>
      <c r="H30" s="12" t="s">
        <v>67</v>
      </c>
      <c r="I30" s="13" t="s">
        <v>145</v>
      </c>
      <c r="J30" s="13" t="s">
        <v>976</v>
      </c>
      <c r="K30" s="12" t="s">
        <v>69</v>
      </c>
      <c r="L30" s="13" t="s">
        <v>977</v>
      </c>
      <c r="M30" s="12" t="s">
        <v>81</v>
      </c>
      <c r="N30" s="12">
        <v>3</v>
      </c>
      <c r="O30" s="12">
        <v>3</v>
      </c>
      <c r="P30" s="14">
        <f t="shared" si="0"/>
        <v>9</v>
      </c>
      <c r="Q30" s="15" t="str">
        <f t="shared" si="1"/>
        <v>Médio</v>
      </c>
      <c r="R30" s="13" t="s">
        <v>978</v>
      </c>
      <c r="S30" s="12" t="s">
        <v>71</v>
      </c>
      <c r="T30" s="12">
        <v>3</v>
      </c>
      <c r="U30" s="12">
        <v>3</v>
      </c>
      <c r="V30" s="14">
        <f t="shared" si="2"/>
        <v>9</v>
      </c>
      <c r="W30" s="15" t="str">
        <f t="shared" si="3"/>
        <v>Médio</v>
      </c>
      <c r="X30" s="12" t="s">
        <v>71</v>
      </c>
      <c r="Y30" s="14" t="str">
        <f t="shared" si="4"/>
        <v>Mitigar</v>
      </c>
      <c r="Z30" s="12" t="s">
        <v>72</v>
      </c>
      <c r="AA30" s="12" t="s">
        <v>73</v>
      </c>
      <c r="AB30" s="16"/>
      <c r="AC30" s="13" t="s">
        <v>979</v>
      </c>
      <c r="AD30" s="13" t="s">
        <v>898</v>
      </c>
      <c r="AE30" s="13" t="s">
        <v>980</v>
      </c>
      <c r="AF30" s="16"/>
      <c r="AG30" s="12"/>
      <c r="AH30" s="13" t="s">
        <v>981</v>
      </c>
      <c r="AI30" s="12" t="s">
        <v>982</v>
      </c>
      <c r="AJ30" s="14" t="str">
        <f t="shared" si="5"/>
        <v/>
      </c>
      <c r="AK30" s="14" t="str">
        <f t="shared" si="6"/>
        <v>Aberto</v>
      </c>
      <c r="AL30" s="17">
        <f t="shared" si="7"/>
        <v>46477</v>
      </c>
      <c r="AM30" s="16">
        <v>46568</v>
      </c>
      <c r="AN30" s="12"/>
      <c r="AO30" s="16"/>
      <c r="AP30" s="12">
        <v>1</v>
      </c>
      <c r="AQ30" s="12">
        <v>3</v>
      </c>
      <c r="AR30" s="14">
        <f t="shared" si="8"/>
        <v>3</v>
      </c>
      <c r="AS30" s="15" t="str">
        <f t="shared" si="9"/>
        <v>Baixo</v>
      </c>
      <c r="AT30" s="12" t="s">
        <v>418</v>
      </c>
      <c r="AU30" s="13"/>
      <c r="AV30" s="12">
        <v>1</v>
      </c>
      <c r="AW30" s="16">
        <v>46371</v>
      </c>
      <c r="AX30" s="13" t="s">
        <v>983</v>
      </c>
      <c r="AY30" s="17">
        <f t="shared" si="10"/>
        <v>46553</v>
      </c>
      <c r="AZ30" s="14" t="str">
        <f t="shared" ca="1" si="11"/>
        <v>OK</v>
      </c>
      <c r="BA30" s="13" t="s">
        <v>984</v>
      </c>
      <c r="BB30" s="12" t="s">
        <v>775</v>
      </c>
      <c r="BC30" s="14">
        <f>IF($V30="","",1+COUNTIF($V$5:$V$154,"&gt;"&amp;$V30)+COUNTIFS($V$5:$V$154,$V30,$U$5:$U$154,"&gt;"&amp;$U30)+COUNTIFS($V$4:$V29,$V30,$U$4:$U29,$U30))</f>
        <v>27</v>
      </c>
      <c r="BD30" s="12" t="s">
        <v>590</v>
      </c>
      <c r="BE30" s="12" t="s">
        <v>592</v>
      </c>
      <c r="BF30" s="12" t="s">
        <v>595</v>
      </c>
      <c r="BG30" s="62">
        <v>9000</v>
      </c>
      <c r="BH30" s="62">
        <v>25000</v>
      </c>
      <c r="BI30" s="63">
        <f t="shared" si="12"/>
        <v>12500</v>
      </c>
      <c r="BJ30" s="18" t="str">
        <f t="shared" si="13"/>
        <v>Custo menor ou igual à perda esperada: tratar compensa</v>
      </c>
      <c r="BK30" s="12">
        <v>8</v>
      </c>
      <c r="BL30" s="117" t="s">
        <v>985</v>
      </c>
      <c r="BM30" s="117"/>
      <c r="BN30" s="16"/>
      <c r="BO30" s="117"/>
      <c r="BP30" s="117"/>
      <c r="BQ30" s="117"/>
      <c r="BR30" s="117"/>
      <c r="BS30" s="117"/>
      <c r="BT30" s="117"/>
      <c r="BU30" s="117"/>
      <c r="BV30" s="117"/>
      <c r="BW30" s="14" t="str">
        <f t="shared" si="14"/>
        <v/>
      </c>
      <c r="BX30" s="14" t="str">
        <f t="shared" si="15"/>
        <v/>
      </c>
      <c r="BY30" s="14" t="str">
        <f t="shared" si="16"/>
        <v/>
      </c>
      <c r="BZ30" s="15" t="str">
        <f t="shared" si="17"/>
        <v/>
      </c>
      <c r="CA30" s="15" t="str">
        <f t="shared" si="18"/>
        <v/>
      </c>
      <c r="CB30" s="117"/>
      <c r="CC30" s="117"/>
      <c r="CD30" s="117"/>
      <c r="CE30" s="117"/>
      <c r="CF30" s="117"/>
      <c r="CG30" s="14" t="str">
        <f t="shared" si="19"/>
        <v/>
      </c>
      <c r="CH30" s="15" t="str">
        <f t="shared" si="20"/>
        <v/>
      </c>
      <c r="CI30" s="117"/>
    </row>
    <row r="31" spans="1:87" ht="68.400000000000006">
      <c r="A31" s="115" t="s">
        <v>986</v>
      </c>
      <c r="B31" s="12" t="s">
        <v>892</v>
      </c>
      <c r="C31" s="13" t="s">
        <v>987</v>
      </c>
      <c r="D31" s="13" t="s">
        <v>682</v>
      </c>
      <c r="E31" s="12" t="s">
        <v>99</v>
      </c>
      <c r="F31" s="12" t="s">
        <v>272</v>
      </c>
      <c r="G31" s="13" t="s">
        <v>801</v>
      </c>
      <c r="H31" s="12" t="s">
        <v>67</v>
      </c>
      <c r="I31" s="13" t="s">
        <v>145</v>
      </c>
      <c r="J31" s="13" t="s">
        <v>988</v>
      </c>
      <c r="K31" s="12" t="s">
        <v>69</v>
      </c>
      <c r="L31" s="13" t="s">
        <v>989</v>
      </c>
      <c r="M31" s="12" t="s">
        <v>101</v>
      </c>
      <c r="N31" s="12">
        <v>3</v>
      </c>
      <c r="O31" s="12">
        <v>3</v>
      </c>
      <c r="P31" s="14">
        <f t="shared" si="0"/>
        <v>9</v>
      </c>
      <c r="Q31" s="15" t="str">
        <f t="shared" si="1"/>
        <v>Médio</v>
      </c>
      <c r="R31" s="13" t="s">
        <v>990</v>
      </c>
      <c r="S31" s="12" t="s">
        <v>71</v>
      </c>
      <c r="T31" s="12">
        <v>2</v>
      </c>
      <c r="U31" s="12">
        <v>3</v>
      </c>
      <c r="V31" s="14">
        <f t="shared" si="2"/>
        <v>6</v>
      </c>
      <c r="W31" s="15" t="str">
        <f t="shared" si="3"/>
        <v>Baixo</v>
      </c>
      <c r="X31" s="12" t="s">
        <v>71</v>
      </c>
      <c r="Y31" s="14" t="str">
        <f t="shared" si="4"/>
        <v>Monitorar</v>
      </c>
      <c r="Z31" s="12" t="s">
        <v>172</v>
      </c>
      <c r="AA31" s="12" t="s">
        <v>83</v>
      </c>
      <c r="AB31" s="16"/>
      <c r="AC31" s="13" t="s">
        <v>991</v>
      </c>
      <c r="AD31" s="13" t="s">
        <v>898</v>
      </c>
      <c r="AE31" s="13" t="s">
        <v>992</v>
      </c>
      <c r="AF31" s="16"/>
      <c r="AG31" s="12"/>
      <c r="AH31" s="13"/>
      <c r="AI31" s="12" t="s">
        <v>993</v>
      </c>
      <c r="AJ31" s="14" t="str">
        <f t="shared" si="5"/>
        <v/>
      </c>
      <c r="AK31" s="14" t="str">
        <f t="shared" si="6"/>
        <v>Aberto</v>
      </c>
      <c r="AL31" s="17">
        <f t="shared" si="7"/>
        <v>46477</v>
      </c>
      <c r="AM31" s="16">
        <v>46568</v>
      </c>
      <c r="AN31" s="12"/>
      <c r="AO31" s="16"/>
      <c r="AP31" s="12"/>
      <c r="AQ31" s="12"/>
      <c r="AR31" s="14" t="str">
        <f t="shared" si="8"/>
        <v/>
      </c>
      <c r="AS31" s="15" t="str">
        <f t="shared" si="9"/>
        <v/>
      </c>
      <c r="AT31" s="12"/>
      <c r="AU31" s="13"/>
      <c r="AV31" s="12">
        <v>0</v>
      </c>
      <c r="AW31" s="16">
        <v>46371</v>
      </c>
      <c r="AX31" s="13" t="s">
        <v>983</v>
      </c>
      <c r="AY31" s="17">
        <f t="shared" si="10"/>
        <v>46736</v>
      </c>
      <c r="AZ31" s="14" t="str">
        <f t="shared" ca="1" si="11"/>
        <v>OK</v>
      </c>
      <c r="BA31" s="13" t="s">
        <v>994</v>
      </c>
      <c r="BB31" s="12" t="s">
        <v>775</v>
      </c>
      <c r="BC31" s="14">
        <f>IF($V31="","",1+COUNTIF($V$5:$V$154,"&gt;"&amp;$V31)+COUNTIFS($V$5:$V$154,$V31,$U$5:$U$154,"&gt;"&amp;$U31)+COUNTIFS($V$4:$V30,$V31,$U$4:$U30,$U31))</f>
        <v>37</v>
      </c>
      <c r="BD31" s="12" t="s">
        <v>588</v>
      </c>
      <c r="BE31" s="12" t="s">
        <v>592</v>
      </c>
      <c r="BF31" s="12" t="s">
        <v>598</v>
      </c>
      <c r="BG31" s="62"/>
      <c r="BH31" s="62"/>
      <c r="BI31" s="63" t="str">
        <f t="shared" si="12"/>
        <v/>
      </c>
      <c r="BJ31" s="18" t="str">
        <f t="shared" si="13"/>
        <v/>
      </c>
      <c r="BK31" s="12"/>
      <c r="BL31" s="117"/>
      <c r="BM31" s="117"/>
      <c r="BN31" s="16"/>
      <c r="BO31" s="117"/>
      <c r="BP31" s="117"/>
      <c r="BQ31" s="117"/>
      <c r="BR31" s="117"/>
      <c r="BS31" s="117"/>
      <c r="BT31" s="117"/>
      <c r="BU31" s="117"/>
      <c r="BV31" s="117"/>
      <c r="BW31" s="14" t="str">
        <f t="shared" si="14"/>
        <v/>
      </c>
      <c r="BX31" s="14" t="str">
        <f t="shared" si="15"/>
        <v/>
      </c>
      <c r="BY31" s="14" t="str">
        <f t="shared" si="16"/>
        <v/>
      </c>
      <c r="BZ31" s="15" t="str">
        <f t="shared" si="17"/>
        <v/>
      </c>
      <c r="CA31" s="15" t="str">
        <f t="shared" si="18"/>
        <v/>
      </c>
      <c r="CB31" s="117"/>
      <c r="CC31" s="117"/>
      <c r="CD31" s="117"/>
      <c r="CE31" s="117"/>
      <c r="CF31" s="117"/>
      <c r="CG31" s="14" t="str">
        <f t="shared" si="19"/>
        <v/>
      </c>
      <c r="CH31" s="15" t="str">
        <f t="shared" si="20"/>
        <v/>
      </c>
      <c r="CI31" s="117"/>
    </row>
    <row r="32" spans="1:87" ht="68.400000000000006">
      <c r="A32" s="115" t="s">
        <v>995</v>
      </c>
      <c r="B32" s="12" t="s">
        <v>300</v>
      </c>
      <c r="C32" s="13" t="s">
        <v>996</v>
      </c>
      <c r="D32" s="13" t="s">
        <v>63</v>
      </c>
      <c r="E32" s="12" t="s">
        <v>64</v>
      </c>
      <c r="F32" s="12" t="s">
        <v>65</v>
      </c>
      <c r="G32" s="13" t="s">
        <v>66</v>
      </c>
      <c r="H32" s="12" t="s">
        <v>67</v>
      </c>
      <c r="I32" s="13" t="s">
        <v>68</v>
      </c>
      <c r="J32" s="13" t="s">
        <v>997</v>
      </c>
      <c r="K32" s="12" t="s">
        <v>69</v>
      </c>
      <c r="L32" s="13" t="s">
        <v>998</v>
      </c>
      <c r="M32" s="12" t="s">
        <v>70</v>
      </c>
      <c r="N32" s="12">
        <v>3</v>
      </c>
      <c r="O32" s="12">
        <v>4</v>
      </c>
      <c r="P32" s="14">
        <f t="shared" si="0"/>
        <v>12</v>
      </c>
      <c r="Q32" s="15" t="str">
        <f t="shared" si="1"/>
        <v>Alto</v>
      </c>
      <c r="R32" s="13" t="s">
        <v>999</v>
      </c>
      <c r="S32" s="12" t="s">
        <v>71</v>
      </c>
      <c r="T32" s="12">
        <v>2</v>
      </c>
      <c r="U32" s="12">
        <v>4</v>
      </c>
      <c r="V32" s="14">
        <f t="shared" si="2"/>
        <v>8</v>
      </c>
      <c r="W32" s="15" t="str">
        <f t="shared" si="3"/>
        <v>Médio</v>
      </c>
      <c r="X32" s="12" t="s">
        <v>102</v>
      </c>
      <c r="Y32" s="14" t="str">
        <f t="shared" si="4"/>
        <v>Mitigar</v>
      </c>
      <c r="Z32" s="12" t="s">
        <v>169</v>
      </c>
      <c r="AA32" s="12" t="s">
        <v>73</v>
      </c>
      <c r="AB32" s="16"/>
      <c r="AC32" s="13" t="s">
        <v>1000</v>
      </c>
      <c r="AD32" s="13" t="s">
        <v>1001</v>
      </c>
      <c r="AE32" s="13" t="s">
        <v>75</v>
      </c>
      <c r="AF32" s="16"/>
      <c r="AG32" s="12"/>
      <c r="AH32" s="13" t="s">
        <v>1002</v>
      </c>
      <c r="AI32" s="12" t="s">
        <v>1003</v>
      </c>
      <c r="AJ32" s="14" t="str">
        <f t="shared" si="5"/>
        <v/>
      </c>
      <c r="AK32" s="14" t="str">
        <f t="shared" si="6"/>
        <v>Aberto</v>
      </c>
      <c r="AL32" s="17">
        <f t="shared" si="7"/>
        <v>46507</v>
      </c>
      <c r="AM32" s="16">
        <v>46568</v>
      </c>
      <c r="AN32" s="12"/>
      <c r="AO32" s="16"/>
      <c r="AP32" s="12">
        <v>1</v>
      </c>
      <c r="AQ32" s="12">
        <v>4</v>
      </c>
      <c r="AR32" s="14">
        <f t="shared" si="8"/>
        <v>4</v>
      </c>
      <c r="AS32" s="15" t="str">
        <f t="shared" si="9"/>
        <v>Baixo</v>
      </c>
      <c r="AT32" s="12" t="s">
        <v>418</v>
      </c>
      <c r="AU32" s="13" t="s">
        <v>1004</v>
      </c>
      <c r="AV32" s="12">
        <v>0</v>
      </c>
      <c r="AW32" s="16">
        <v>46371</v>
      </c>
      <c r="AX32" s="13" t="s">
        <v>1005</v>
      </c>
      <c r="AY32" s="17">
        <f t="shared" si="10"/>
        <v>46553</v>
      </c>
      <c r="AZ32" s="14" t="str">
        <f t="shared" ca="1" si="11"/>
        <v>OK</v>
      </c>
      <c r="BA32" s="13" t="s">
        <v>1006</v>
      </c>
      <c r="BB32" s="12" t="s">
        <v>77</v>
      </c>
      <c r="BC32" s="14">
        <f>IF($V32="","",1+COUNTIF($V$5:$V$154,"&gt;"&amp;$V32)+COUNTIFS($V$5:$V$154,$V32,$U$5:$U$154,"&gt;"&amp;$U32)+COUNTIFS($V$4:$V31,$V32,$U$4:$U31,$U32))</f>
        <v>32</v>
      </c>
      <c r="BD32" s="12" t="s">
        <v>591</v>
      </c>
      <c r="BE32" s="12" t="s">
        <v>592</v>
      </c>
      <c r="BF32" s="12" t="s">
        <v>595</v>
      </c>
      <c r="BG32" s="62">
        <v>45000</v>
      </c>
      <c r="BH32" s="62">
        <v>250000</v>
      </c>
      <c r="BI32" s="63">
        <f t="shared" si="12"/>
        <v>75000</v>
      </c>
      <c r="BJ32" s="18" t="str">
        <f t="shared" si="13"/>
        <v>SST/Ambiental/Legal: custo não justifica aceitar (apetite e ALARP)</v>
      </c>
      <c r="BK32" s="12"/>
      <c r="BL32" s="117"/>
      <c r="BM32" s="117"/>
      <c r="BN32" s="16"/>
      <c r="BO32" s="117"/>
      <c r="BP32" s="117"/>
      <c r="BQ32" s="117"/>
      <c r="BR32" s="117"/>
      <c r="BS32" s="117"/>
      <c r="BT32" s="117"/>
      <c r="BU32" s="117"/>
      <c r="BV32" s="117"/>
      <c r="BW32" s="14" t="str">
        <f t="shared" si="14"/>
        <v/>
      </c>
      <c r="BX32" s="14" t="str">
        <f t="shared" si="15"/>
        <v/>
      </c>
      <c r="BY32" s="14" t="str">
        <f t="shared" si="16"/>
        <v/>
      </c>
      <c r="BZ32" s="15" t="str">
        <f t="shared" si="17"/>
        <v/>
      </c>
      <c r="CA32" s="15" t="str">
        <f t="shared" si="18"/>
        <v/>
      </c>
      <c r="CB32" s="117"/>
      <c r="CC32" s="117"/>
      <c r="CD32" s="117"/>
      <c r="CE32" s="117"/>
      <c r="CF32" s="117"/>
      <c r="CG32" s="14" t="str">
        <f t="shared" si="19"/>
        <v/>
      </c>
      <c r="CH32" s="15" t="str">
        <f t="shared" si="20"/>
        <v/>
      </c>
      <c r="CI32" s="117"/>
    </row>
    <row r="33" spans="1:87" ht="57">
      <c r="A33" s="115" t="s">
        <v>1007</v>
      </c>
      <c r="B33" s="12" t="s">
        <v>740</v>
      </c>
      <c r="C33" s="13" t="s">
        <v>1008</v>
      </c>
      <c r="D33" s="13" t="s">
        <v>63</v>
      </c>
      <c r="E33" s="12" t="s">
        <v>64</v>
      </c>
      <c r="F33" s="12" t="s">
        <v>65</v>
      </c>
      <c r="G33" s="13" t="s">
        <v>66</v>
      </c>
      <c r="H33" s="12" t="s">
        <v>67</v>
      </c>
      <c r="I33" s="13" t="s">
        <v>68</v>
      </c>
      <c r="J33" s="13" t="s">
        <v>1009</v>
      </c>
      <c r="K33" s="12" t="s">
        <v>264</v>
      </c>
      <c r="L33" s="13" t="s">
        <v>1010</v>
      </c>
      <c r="M33" s="12" t="s">
        <v>70</v>
      </c>
      <c r="N33" s="12">
        <v>4</v>
      </c>
      <c r="O33" s="12">
        <v>3</v>
      </c>
      <c r="P33" s="14">
        <f t="shared" si="0"/>
        <v>12</v>
      </c>
      <c r="Q33" s="15" t="str">
        <f t="shared" si="1"/>
        <v>Alto</v>
      </c>
      <c r="R33" s="13" t="s">
        <v>1011</v>
      </c>
      <c r="S33" s="12" t="s">
        <v>71</v>
      </c>
      <c r="T33" s="12">
        <v>3</v>
      </c>
      <c r="U33" s="12">
        <v>3</v>
      </c>
      <c r="V33" s="14">
        <f t="shared" si="2"/>
        <v>9</v>
      </c>
      <c r="W33" s="15" t="str">
        <f t="shared" si="3"/>
        <v>Médio</v>
      </c>
      <c r="X33" s="12" t="s">
        <v>102</v>
      </c>
      <c r="Y33" s="14" t="str">
        <f t="shared" si="4"/>
        <v>Mitigar</v>
      </c>
      <c r="Z33" s="12" t="s">
        <v>72</v>
      </c>
      <c r="AA33" s="12" t="s">
        <v>824</v>
      </c>
      <c r="AB33" s="16"/>
      <c r="AC33" s="13" t="s">
        <v>2806</v>
      </c>
      <c r="AD33" s="13" t="s">
        <v>1001</v>
      </c>
      <c r="AE33" s="13" t="s">
        <v>1012</v>
      </c>
      <c r="AF33" s="181">
        <v>46387</v>
      </c>
      <c r="AG33" s="12" t="s">
        <v>85</v>
      </c>
      <c r="AH33" s="13" t="s">
        <v>1013</v>
      </c>
      <c r="AI33" s="12"/>
      <c r="AJ33" s="14" t="str">
        <f t="shared" si="5"/>
        <v/>
      </c>
      <c r="AK33" s="14" t="str">
        <f t="shared" si="6"/>
        <v>Aberto</v>
      </c>
      <c r="AL33" s="17">
        <f t="shared" si="7"/>
        <v>46387</v>
      </c>
      <c r="AM33" s="16">
        <v>46568</v>
      </c>
      <c r="AN33" s="12"/>
      <c r="AO33" s="16"/>
      <c r="AP33" s="12">
        <v>2</v>
      </c>
      <c r="AQ33" s="12">
        <v>3</v>
      </c>
      <c r="AR33" s="14">
        <f t="shared" si="8"/>
        <v>6</v>
      </c>
      <c r="AS33" s="15" t="str">
        <f t="shared" si="9"/>
        <v>Baixo</v>
      </c>
      <c r="AT33" s="12" t="s">
        <v>418</v>
      </c>
      <c r="AU33" s="13"/>
      <c r="AV33" s="12">
        <v>0</v>
      </c>
      <c r="AW33" s="16">
        <v>46371</v>
      </c>
      <c r="AX33" s="13" t="s">
        <v>1005</v>
      </c>
      <c r="AY33" s="17">
        <f t="shared" si="10"/>
        <v>46553</v>
      </c>
      <c r="AZ33" s="14" t="str">
        <f t="shared" ca="1" si="11"/>
        <v>OK</v>
      </c>
      <c r="BA33" s="13" t="s">
        <v>1014</v>
      </c>
      <c r="BB33" s="12" t="s">
        <v>1015</v>
      </c>
      <c r="BC33" s="14">
        <f>IF($V33="","",1+COUNTIF($V$5:$V$154,"&gt;"&amp;$V33)+COUNTIFS($V$5:$V$154,$V33,$U$5:$U$154,"&gt;"&amp;$U33)+COUNTIFS($V$4:$V32,$V33,$U$4:$U32,$U33))</f>
        <v>28</v>
      </c>
      <c r="BD33" s="12" t="s">
        <v>588</v>
      </c>
      <c r="BE33" s="12" t="s">
        <v>592</v>
      </c>
      <c r="BF33" s="12" t="s">
        <v>595</v>
      </c>
      <c r="BG33" s="62">
        <v>32000</v>
      </c>
      <c r="BH33" s="62">
        <v>90000</v>
      </c>
      <c r="BI33" s="63">
        <f t="shared" si="12"/>
        <v>45000</v>
      </c>
      <c r="BJ33" s="18" t="str">
        <f t="shared" si="13"/>
        <v>SST/Ambiental/Legal: custo não justifica aceitar (apetite e ALARP)</v>
      </c>
      <c r="BK33" s="12"/>
      <c r="BL33" s="117"/>
      <c r="BM33" s="117"/>
      <c r="BN33" s="16"/>
      <c r="BO33" s="117"/>
      <c r="BP33" s="117"/>
      <c r="BQ33" s="117"/>
      <c r="BR33" s="117"/>
      <c r="BS33" s="117"/>
      <c r="BT33" s="117"/>
      <c r="BU33" s="117"/>
      <c r="BV33" s="117"/>
      <c r="BW33" s="14" t="str">
        <f t="shared" si="14"/>
        <v/>
      </c>
      <c r="BX33" s="14" t="str">
        <f t="shared" si="15"/>
        <v/>
      </c>
      <c r="BY33" s="14" t="str">
        <f t="shared" si="16"/>
        <v/>
      </c>
      <c r="BZ33" s="15" t="str">
        <f t="shared" si="17"/>
        <v/>
      </c>
      <c r="CA33" s="15" t="str">
        <f t="shared" si="18"/>
        <v/>
      </c>
      <c r="CB33" s="117"/>
      <c r="CC33" s="117"/>
      <c r="CD33" s="117" t="s">
        <v>2805</v>
      </c>
      <c r="CE33" s="117"/>
      <c r="CF33" s="117"/>
      <c r="CG33" s="14" t="str">
        <f t="shared" si="19"/>
        <v/>
      </c>
      <c r="CH33" s="15" t="str">
        <f t="shared" si="20"/>
        <v/>
      </c>
      <c r="CI33" s="117"/>
    </row>
    <row r="34" spans="1:87" ht="102.6">
      <c r="A34" s="115" t="s">
        <v>1015</v>
      </c>
      <c r="B34" s="12" t="s">
        <v>89</v>
      </c>
      <c r="C34" s="13" t="s">
        <v>1016</v>
      </c>
      <c r="D34" s="13" t="s">
        <v>90</v>
      </c>
      <c r="E34" s="12" t="s">
        <v>64</v>
      </c>
      <c r="F34" s="12" t="s">
        <v>65</v>
      </c>
      <c r="G34" s="13" t="s">
        <v>1017</v>
      </c>
      <c r="H34" s="12" t="s">
        <v>67</v>
      </c>
      <c r="I34" s="13" t="s">
        <v>2788</v>
      </c>
      <c r="J34" s="13" t="s">
        <v>1018</v>
      </c>
      <c r="K34" s="12" t="s">
        <v>69</v>
      </c>
      <c r="L34" s="13" t="s">
        <v>1019</v>
      </c>
      <c r="M34" s="12" t="s">
        <v>94</v>
      </c>
      <c r="N34" s="12">
        <v>3</v>
      </c>
      <c r="O34" s="12">
        <v>4</v>
      </c>
      <c r="P34" s="14">
        <f t="shared" si="0"/>
        <v>12</v>
      </c>
      <c r="Q34" s="15" t="str">
        <f t="shared" si="1"/>
        <v>Alto</v>
      </c>
      <c r="R34" s="13" t="s">
        <v>1020</v>
      </c>
      <c r="S34" s="12" t="s">
        <v>71</v>
      </c>
      <c r="T34" s="12">
        <v>2</v>
      </c>
      <c r="U34" s="12">
        <v>4</v>
      </c>
      <c r="V34" s="14">
        <f t="shared" si="2"/>
        <v>8</v>
      </c>
      <c r="W34" s="15" t="str">
        <f t="shared" si="3"/>
        <v>Médio</v>
      </c>
      <c r="X34" s="12" t="s">
        <v>71</v>
      </c>
      <c r="Y34" s="14" t="str">
        <f t="shared" si="4"/>
        <v>Mitigar</v>
      </c>
      <c r="Z34" s="12" t="s">
        <v>169</v>
      </c>
      <c r="AA34" s="12" t="s">
        <v>73</v>
      </c>
      <c r="AB34" s="16"/>
      <c r="AC34" s="13" t="s">
        <v>2808</v>
      </c>
      <c r="AD34" s="13" t="s">
        <v>1001</v>
      </c>
      <c r="AE34" s="13" t="s">
        <v>1021</v>
      </c>
      <c r="AF34" s="181">
        <v>46371</v>
      </c>
      <c r="AG34" s="12" t="s">
        <v>296</v>
      </c>
      <c r="AH34" s="13" t="s">
        <v>1022</v>
      </c>
      <c r="AI34" s="12"/>
      <c r="AJ34" s="14" t="str">
        <f t="shared" si="5"/>
        <v/>
      </c>
      <c r="AK34" s="14" t="str">
        <f t="shared" si="6"/>
        <v>Em andamento</v>
      </c>
      <c r="AL34" s="17">
        <f t="shared" si="7"/>
        <v>46371</v>
      </c>
      <c r="AM34" s="16">
        <v>46568</v>
      </c>
      <c r="AN34" s="12"/>
      <c r="AO34" s="16"/>
      <c r="AP34" s="12">
        <v>1</v>
      </c>
      <c r="AQ34" s="12">
        <v>4</v>
      </c>
      <c r="AR34" s="14">
        <f t="shared" si="8"/>
        <v>4</v>
      </c>
      <c r="AS34" s="15" t="str">
        <f t="shared" si="9"/>
        <v>Baixo</v>
      </c>
      <c r="AT34" s="12" t="s">
        <v>418</v>
      </c>
      <c r="AU34" s="13" t="s">
        <v>1023</v>
      </c>
      <c r="AV34" s="12">
        <v>0</v>
      </c>
      <c r="AW34" s="16">
        <v>46371</v>
      </c>
      <c r="AX34" s="13" t="s">
        <v>1024</v>
      </c>
      <c r="AY34" s="17">
        <f t="shared" si="10"/>
        <v>46553</v>
      </c>
      <c r="AZ34" s="14" t="str">
        <f t="shared" ca="1" si="11"/>
        <v>OK</v>
      </c>
      <c r="BA34" s="13" t="s">
        <v>2701</v>
      </c>
      <c r="BB34" s="12" t="s">
        <v>2700</v>
      </c>
      <c r="BC34" s="14">
        <f>IF($V34="","",1+COUNTIF($V$5:$V$154,"&gt;"&amp;$V34)+COUNTIFS($V$5:$V$154,$V34,$U$5:$U$154,"&gt;"&amp;$U34)+COUNTIFS($V$4:$V33,$V34,$U$4:$U33,$U34))</f>
        <v>33</v>
      </c>
      <c r="BD34" s="12" t="s">
        <v>591</v>
      </c>
      <c r="BE34" s="12" t="s">
        <v>592</v>
      </c>
      <c r="BF34" s="12" t="s">
        <v>595</v>
      </c>
      <c r="BG34" s="62">
        <v>30000</v>
      </c>
      <c r="BH34" s="62">
        <v>180000</v>
      </c>
      <c r="BI34" s="63">
        <f t="shared" si="12"/>
        <v>54000</v>
      </c>
      <c r="BJ34" s="18" t="str">
        <f t="shared" si="13"/>
        <v>SST/Ambiental/Legal: custo não justifica aceitar (apetite e ALARP)</v>
      </c>
      <c r="BK34" s="12"/>
      <c r="BL34" s="117" t="s">
        <v>1025</v>
      </c>
      <c r="BM34" s="117" t="s">
        <v>2508</v>
      </c>
      <c r="BN34" s="16">
        <v>46126</v>
      </c>
      <c r="BO34" s="117" t="s">
        <v>2509</v>
      </c>
      <c r="BP34" s="117" t="s">
        <v>419</v>
      </c>
      <c r="BQ34" s="117" t="s">
        <v>89</v>
      </c>
      <c r="BR34" s="117" t="s">
        <v>2510</v>
      </c>
      <c r="BS34" s="117" t="s">
        <v>2511</v>
      </c>
      <c r="BT34" s="117" t="s">
        <v>2512</v>
      </c>
      <c r="BU34" s="117" t="s">
        <v>2448</v>
      </c>
      <c r="BV34" s="117" t="s">
        <v>453</v>
      </c>
      <c r="BW34" s="14">
        <f t="shared" si="14"/>
        <v>2</v>
      </c>
      <c r="BX34" s="14">
        <f t="shared" si="15"/>
        <v>-3</v>
      </c>
      <c r="BY34" s="14">
        <f t="shared" si="16"/>
        <v>-6</v>
      </c>
      <c r="BZ34" s="15" t="str">
        <f t="shared" si="17"/>
        <v>SIGNIFICATIVO</v>
      </c>
      <c r="CA34" s="15" t="str">
        <f t="shared" si="18"/>
        <v>NÃO ACEITÁVEL</v>
      </c>
      <c r="CB34" s="117" t="s">
        <v>2438</v>
      </c>
      <c r="CC34" s="117" t="s">
        <v>2475</v>
      </c>
      <c r="CD34" s="117" t="s">
        <v>2807</v>
      </c>
      <c r="CE34" s="117" t="s">
        <v>2441</v>
      </c>
      <c r="CF34" s="117" t="s">
        <v>2437</v>
      </c>
      <c r="CG34" s="14">
        <f t="shared" si="19"/>
        <v>-2</v>
      </c>
      <c r="CH34" s="15" t="str">
        <f t="shared" si="20"/>
        <v>BAIXO</v>
      </c>
      <c r="CI34" s="117" t="s">
        <v>419</v>
      </c>
    </row>
    <row r="35" spans="1:87" ht="57">
      <c r="A35" s="115" t="s">
        <v>1026</v>
      </c>
      <c r="B35" s="12" t="s">
        <v>89</v>
      </c>
      <c r="C35" s="13" t="s">
        <v>1027</v>
      </c>
      <c r="D35" s="13" t="s">
        <v>568</v>
      </c>
      <c r="E35" s="12" t="s">
        <v>133</v>
      </c>
      <c r="F35" s="12" t="s">
        <v>91</v>
      </c>
      <c r="G35" s="13" t="s">
        <v>1017</v>
      </c>
      <c r="H35" s="12" t="s">
        <v>67</v>
      </c>
      <c r="I35" s="13" t="s">
        <v>2788</v>
      </c>
      <c r="J35" s="13" t="s">
        <v>1028</v>
      </c>
      <c r="K35" s="12" t="s">
        <v>69</v>
      </c>
      <c r="L35" s="13" t="s">
        <v>1029</v>
      </c>
      <c r="M35" s="12" t="s">
        <v>491</v>
      </c>
      <c r="N35" s="12">
        <v>3</v>
      </c>
      <c r="O35" s="12">
        <v>3</v>
      </c>
      <c r="P35" s="14">
        <f t="shared" si="0"/>
        <v>9</v>
      </c>
      <c r="Q35" s="15" t="str">
        <f t="shared" si="1"/>
        <v>Médio</v>
      </c>
      <c r="R35" s="13" t="s">
        <v>1030</v>
      </c>
      <c r="S35" s="12" t="s">
        <v>71</v>
      </c>
      <c r="T35" s="12">
        <v>3</v>
      </c>
      <c r="U35" s="12">
        <v>3</v>
      </c>
      <c r="V35" s="14">
        <f t="shared" si="2"/>
        <v>9</v>
      </c>
      <c r="W35" s="15" t="str">
        <f t="shared" si="3"/>
        <v>Médio</v>
      </c>
      <c r="X35" s="12" t="s">
        <v>71</v>
      </c>
      <c r="Y35" s="14" t="str">
        <f t="shared" si="4"/>
        <v>Mitigar</v>
      </c>
      <c r="Z35" s="12" t="s">
        <v>72</v>
      </c>
      <c r="AA35" s="12" t="s">
        <v>83</v>
      </c>
      <c r="AB35" s="16"/>
      <c r="AC35" s="13" t="s">
        <v>2810</v>
      </c>
      <c r="AD35" s="13" t="s">
        <v>1001</v>
      </c>
      <c r="AE35" s="13" t="s">
        <v>1021</v>
      </c>
      <c r="AF35" s="181">
        <v>46444</v>
      </c>
      <c r="AG35" s="12" t="s">
        <v>296</v>
      </c>
      <c r="AH35" s="13" t="s">
        <v>1031</v>
      </c>
      <c r="AI35" s="12"/>
      <c r="AJ35" s="14" t="str">
        <f t="shared" si="5"/>
        <v/>
      </c>
      <c r="AK35" s="14" t="str">
        <f t="shared" si="6"/>
        <v>Em andamento</v>
      </c>
      <c r="AL35" s="17">
        <f t="shared" si="7"/>
        <v>46444</v>
      </c>
      <c r="AM35" s="16">
        <v>46477</v>
      </c>
      <c r="AN35" s="12"/>
      <c r="AO35" s="16"/>
      <c r="AP35" s="12">
        <v>1</v>
      </c>
      <c r="AQ35" s="12">
        <v>3</v>
      </c>
      <c r="AR35" s="14">
        <f t="shared" si="8"/>
        <v>3</v>
      </c>
      <c r="AS35" s="15" t="str">
        <f t="shared" si="9"/>
        <v>Baixo</v>
      </c>
      <c r="AT35" s="12" t="s">
        <v>418</v>
      </c>
      <c r="AU35" s="13"/>
      <c r="AV35" s="12">
        <v>0</v>
      </c>
      <c r="AW35" s="16">
        <v>46371</v>
      </c>
      <c r="AX35" s="13" t="s">
        <v>1024</v>
      </c>
      <c r="AY35" s="17">
        <f t="shared" si="10"/>
        <v>46553</v>
      </c>
      <c r="AZ35" s="14" t="str">
        <f t="shared" ca="1" si="11"/>
        <v>OK</v>
      </c>
      <c r="BA35" s="13" t="s">
        <v>1032</v>
      </c>
      <c r="BB35" s="12" t="s">
        <v>1033</v>
      </c>
      <c r="BC35" s="14">
        <f>IF($V35="","",1+COUNTIF($V$5:$V$154,"&gt;"&amp;$V35)+COUNTIFS($V$5:$V$154,$V35,$U$5:$U$154,"&gt;"&amp;$U35)+COUNTIFS($V$4:$V34,$V35,$U$4:$U34,$U35))</f>
        <v>29</v>
      </c>
      <c r="BD35" s="12" t="s">
        <v>588</v>
      </c>
      <c r="BE35" s="12" t="s">
        <v>592</v>
      </c>
      <c r="BF35" s="12" t="s">
        <v>595</v>
      </c>
      <c r="BG35" s="62">
        <v>8000</v>
      </c>
      <c r="BH35" s="62">
        <v>30000</v>
      </c>
      <c r="BI35" s="63">
        <f t="shared" si="12"/>
        <v>15000</v>
      </c>
      <c r="BJ35" s="18" t="str">
        <f t="shared" si="13"/>
        <v>SST/Ambiental/Legal: custo não justifica aceitar (apetite e ALARP)</v>
      </c>
      <c r="BK35" s="12"/>
      <c r="BL35" s="117"/>
      <c r="BM35" s="117"/>
      <c r="BN35" s="16"/>
      <c r="BO35" s="117"/>
      <c r="BP35" s="117"/>
      <c r="BQ35" s="117"/>
      <c r="BR35" s="117"/>
      <c r="BS35" s="117"/>
      <c r="BT35" s="117"/>
      <c r="BU35" s="117"/>
      <c r="BV35" s="117"/>
      <c r="BW35" s="14" t="str">
        <f t="shared" si="14"/>
        <v/>
      </c>
      <c r="BX35" s="14" t="str">
        <f t="shared" si="15"/>
        <v/>
      </c>
      <c r="BY35" s="14" t="str">
        <f t="shared" si="16"/>
        <v/>
      </c>
      <c r="BZ35" s="15" t="str">
        <f t="shared" si="17"/>
        <v/>
      </c>
      <c r="CA35" s="15" t="str">
        <f t="shared" si="18"/>
        <v/>
      </c>
      <c r="CB35" s="117"/>
      <c r="CC35" s="117"/>
      <c r="CD35" s="117" t="s">
        <v>2809</v>
      </c>
      <c r="CE35" s="117"/>
      <c r="CF35" s="117"/>
      <c r="CG35" s="14" t="str">
        <f t="shared" si="19"/>
        <v/>
      </c>
      <c r="CH35" s="15" t="str">
        <f t="shared" si="20"/>
        <v/>
      </c>
      <c r="CI35" s="117"/>
    </row>
    <row r="36" spans="1:87" ht="57">
      <c r="A36" s="115" t="s">
        <v>1034</v>
      </c>
      <c r="B36" s="12" t="s">
        <v>89</v>
      </c>
      <c r="C36" s="13" t="s">
        <v>1035</v>
      </c>
      <c r="D36" s="13" t="s">
        <v>568</v>
      </c>
      <c r="E36" s="12" t="s">
        <v>133</v>
      </c>
      <c r="F36" s="12" t="s">
        <v>91</v>
      </c>
      <c r="G36" s="13" t="s">
        <v>1017</v>
      </c>
      <c r="H36" s="12" t="s">
        <v>67</v>
      </c>
      <c r="I36" s="13" t="s">
        <v>2788</v>
      </c>
      <c r="J36" s="13" t="s">
        <v>1036</v>
      </c>
      <c r="K36" s="12" t="s">
        <v>69</v>
      </c>
      <c r="L36" s="13" t="s">
        <v>1037</v>
      </c>
      <c r="M36" s="12" t="s">
        <v>491</v>
      </c>
      <c r="N36" s="12">
        <v>3</v>
      </c>
      <c r="O36" s="12">
        <v>4</v>
      </c>
      <c r="P36" s="14">
        <f t="shared" si="0"/>
        <v>12</v>
      </c>
      <c r="Q36" s="15" t="str">
        <f t="shared" si="1"/>
        <v>Alto</v>
      </c>
      <c r="R36" s="13" t="s">
        <v>1038</v>
      </c>
      <c r="S36" s="12" t="s">
        <v>102</v>
      </c>
      <c r="T36" s="12">
        <v>3</v>
      </c>
      <c r="U36" s="12">
        <v>4</v>
      </c>
      <c r="V36" s="14">
        <f t="shared" si="2"/>
        <v>12</v>
      </c>
      <c r="W36" s="15" t="str">
        <f t="shared" si="3"/>
        <v>Alto</v>
      </c>
      <c r="X36" s="12" t="s">
        <v>102</v>
      </c>
      <c r="Y36" s="14" t="str">
        <f t="shared" si="4"/>
        <v>Mitigar</v>
      </c>
      <c r="Z36" s="12" t="s">
        <v>72</v>
      </c>
      <c r="AA36" s="12" t="s">
        <v>83</v>
      </c>
      <c r="AB36" s="16"/>
      <c r="AC36" s="13" t="s">
        <v>2812</v>
      </c>
      <c r="AD36" s="13" t="s">
        <v>1001</v>
      </c>
      <c r="AE36" s="13" t="s">
        <v>1001</v>
      </c>
      <c r="AF36" s="181">
        <v>46444</v>
      </c>
      <c r="AG36" s="12" t="s">
        <v>296</v>
      </c>
      <c r="AH36" s="13" t="s">
        <v>1039</v>
      </c>
      <c r="AI36" s="12"/>
      <c r="AJ36" s="14" t="str">
        <f t="shared" si="5"/>
        <v/>
      </c>
      <c r="AK36" s="14" t="str">
        <f t="shared" si="6"/>
        <v>Em andamento</v>
      </c>
      <c r="AL36" s="17">
        <f t="shared" si="7"/>
        <v>46444</v>
      </c>
      <c r="AM36" s="16">
        <v>46477</v>
      </c>
      <c r="AN36" s="12"/>
      <c r="AO36" s="16"/>
      <c r="AP36" s="12">
        <v>1</v>
      </c>
      <c r="AQ36" s="12">
        <v>4</v>
      </c>
      <c r="AR36" s="14">
        <f t="shared" si="8"/>
        <v>4</v>
      </c>
      <c r="AS36" s="15" t="str">
        <f t="shared" si="9"/>
        <v>Baixo</v>
      </c>
      <c r="AT36" s="12" t="s">
        <v>418</v>
      </c>
      <c r="AU36" s="13"/>
      <c r="AV36" s="12">
        <v>0</v>
      </c>
      <c r="AW36" s="16">
        <v>46371</v>
      </c>
      <c r="AX36" s="13" t="s">
        <v>1024</v>
      </c>
      <c r="AY36" s="17">
        <f t="shared" si="10"/>
        <v>46461</v>
      </c>
      <c r="AZ36" s="14" t="str">
        <f t="shared" ca="1" si="11"/>
        <v>Rever hierarquia de controle</v>
      </c>
      <c r="BA36" s="13" t="s">
        <v>1040</v>
      </c>
      <c r="BB36" s="12" t="s">
        <v>1041</v>
      </c>
      <c r="BC36" s="14">
        <f>IF($V36="","",1+COUNTIF($V$5:$V$154,"&gt;"&amp;$V36)+COUNTIFS($V$5:$V$154,$V36,$U$5:$U$154,"&gt;"&amp;$U36)+COUNTIFS($V$4:$V35,$V36,$U$4:$U35,$U36))</f>
        <v>5</v>
      </c>
      <c r="BD36" s="12" t="s">
        <v>588</v>
      </c>
      <c r="BE36" s="12" t="s">
        <v>592</v>
      </c>
      <c r="BF36" s="12" t="s">
        <v>595</v>
      </c>
      <c r="BG36" s="62">
        <v>10000</v>
      </c>
      <c r="BH36" s="62">
        <v>120000</v>
      </c>
      <c r="BI36" s="63">
        <f t="shared" si="12"/>
        <v>60000</v>
      </c>
      <c r="BJ36" s="18" t="str">
        <f t="shared" si="13"/>
        <v>SST/Ambiental/Legal: custo não justifica aceitar (apetite e ALARP)</v>
      </c>
      <c r="BK36" s="12"/>
      <c r="BL36" s="117"/>
      <c r="BM36" s="117"/>
      <c r="BN36" s="16"/>
      <c r="BO36" s="117"/>
      <c r="BP36" s="117"/>
      <c r="BQ36" s="117"/>
      <c r="BR36" s="117"/>
      <c r="BS36" s="117"/>
      <c r="BT36" s="117"/>
      <c r="BU36" s="117"/>
      <c r="BV36" s="117"/>
      <c r="BW36" s="14" t="str">
        <f t="shared" si="14"/>
        <v/>
      </c>
      <c r="BX36" s="14" t="str">
        <f t="shared" si="15"/>
        <v/>
      </c>
      <c r="BY36" s="14" t="str">
        <f t="shared" si="16"/>
        <v/>
      </c>
      <c r="BZ36" s="15" t="str">
        <f t="shared" si="17"/>
        <v/>
      </c>
      <c r="CA36" s="15" t="str">
        <f t="shared" si="18"/>
        <v/>
      </c>
      <c r="CB36" s="117"/>
      <c r="CC36" s="117"/>
      <c r="CD36" s="117" t="s">
        <v>2811</v>
      </c>
      <c r="CE36" s="117"/>
      <c r="CF36" s="117"/>
      <c r="CG36" s="14" t="str">
        <f t="shared" si="19"/>
        <v/>
      </c>
      <c r="CH36" s="15" t="str">
        <f t="shared" si="20"/>
        <v/>
      </c>
      <c r="CI36" s="117"/>
    </row>
    <row r="37" spans="1:87" ht="136.80000000000001">
      <c r="A37" s="115" t="s">
        <v>1042</v>
      </c>
      <c r="B37" s="12" t="s">
        <v>567</v>
      </c>
      <c r="C37" s="13" t="s">
        <v>1043</v>
      </c>
      <c r="D37" s="13" t="s">
        <v>132</v>
      </c>
      <c r="E37" s="12" t="s">
        <v>133</v>
      </c>
      <c r="F37" s="12" t="s">
        <v>134</v>
      </c>
      <c r="G37" s="13" t="s">
        <v>1017</v>
      </c>
      <c r="H37" s="12" t="s">
        <v>67</v>
      </c>
      <c r="I37" s="13" t="s">
        <v>2785</v>
      </c>
      <c r="J37" s="13" t="s">
        <v>1044</v>
      </c>
      <c r="K37" s="12" t="s">
        <v>261</v>
      </c>
      <c r="L37" s="13" t="s">
        <v>1045</v>
      </c>
      <c r="M37" s="12" t="s">
        <v>491</v>
      </c>
      <c r="N37" s="12">
        <v>4</v>
      </c>
      <c r="O37" s="12">
        <v>4</v>
      </c>
      <c r="P37" s="14">
        <f t="shared" ref="P37:P68" si="21">IF(COUNT($N37:$O37)=2,$N37*$O37,"")</f>
        <v>16</v>
      </c>
      <c r="Q37" s="15" t="str">
        <f t="shared" ref="Q37:Q68" si="22">IF($P37="","",INDEX(Niveis,MAX(IFERROR(MATCH($P37,Limites,1),1),IF($O37=5,MinIdx,1))))</f>
        <v>Crítico</v>
      </c>
      <c r="R37" s="13" t="s">
        <v>1046</v>
      </c>
      <c r="S37" s="12" t="s">
        <v>102</v>
      </c>
      <c r="T37" s="12">
        <v>4</v>
      </c>
      <c r="U37" s="12">
        <v>3</v>
      </c>
      <c r="V37" s="14">
        <f t="shared" ref="V37:V68" si="23">IF(COUNT($T37:$U37)=2,$T37*$U37,"")</f>
        <v>12</v>
      </c>
      <c r="W37" s="15" t="str">
        <f t="shared" ref="W37:W68" si="24">IF($V37="","",INDEX(Niveis,MAX(IFERROR(MATCH($V37,Limites,1),1),IF($U37=5,MinIdx,1))))</f>
        <v>Alto</v>
      </c>
      <c r="X37" s="12" t="s">
        <v>71</v>
      </c>
      <c r="Y37" s="14" t="str">
        <f t="shared" ref="Y37:Y68" si="25">IF(IF($W37&lt;&gt;"",$W37,$Q37)="","",INDEX(AcaoRisco,MATCH(IF($W37&lt;&gt;"",$W37,$Q37),Niveis,0)))</f>
        <v>Mitigar</v>
      </c>
      <c r="Z37" s="12" t="s">
        <v>72</v>
      </c>
      <c r="AA37" s="12" t="s">
        <v>824</v>
      </c>
      <c r="AB37" s="16"/>
      <c r="AC37" s="13" t="s">
        <v>2814</v>
      </c>
      <c r="AD37" s="13" t="s">
        <v>1047</v>
      </c>
      <c r="AE37" s="13" t="s">
        <v>1048</v>
      </c>
      <c r="AF37" s="181">
        <v>46934</v>
      </c>
      <c r="AG37" s="12" t="s">
        <v>296</v>
      </c>
      <c r="AH37" s="13" t="s">
        <v>1049</v>
      </c>
      <c r="AI37" s="12"/>
      <c r="AJ37" s="14" t="str">
        <f t="shared" ref="AJ37:AJ68" si="26">IF(OR($AI37="",PlanoUrl=""),"",HYPERLINK(SUBSTITUTE(PlanoUrl,"{COD}",SUBSTITUTE($AI37," ","%20")),"↗"))</f>
        <v/>
      </c>
      <c r="AK37" s="14" t="str">
        <f t="shared" ref="AK37:AK68" si="27">IF($C37="","",IF($AI37="",$AG37&amp;"",IFERROR(IF(INDEX(PlanosStatus,MATCH($AI37,PlanosCod,0))="",$AG37&amp;"",INDEX(PlanosStatus,MATCH($AI37,PlanosCod,0))),$AG37&amp;"")))</f>
        <v>Em andamento</v>
      </c>
      <c r="AL37" s="17">
        <f t="shared" ref="AL37:AL68" si="28">IF($C37="","",IF($AI37="",IF($AF37="","",$AF37),IFERROR(IF(INDEX(PlanosPrazo,MATCH($AI37,PlanosCod,0))="",IF($AF37="","",$AF37),INDEX(PlanosPrazo,MATCH($AI37,PlanosCod,0))),IF($AF37="","",$AF37))))</f>
        <v>46934</v>
      </c>
      <c r="AM37" s="16">
        <v>46741</v>
      </c>
      <c r="AN37" s="12"/>
      <c r="AO37" s="16"/>
      <c r="AP37" s="12">
        <v>2</v>
      </c>
      <c r="AQ37" s="12">
        <v>3</v>
      </c>
      <c r="AR37" s="14">
        <f t="shared" ref="AR37:AR68" si="29">IF(COUNT($AP37:$AQ37)=2,$AP37*$AQ37,"")</f>
        <v>6</v>
      </c>
      <c r="AS37" s="15" t="str">
        <f t="shared" ref="AS37:AS68" si="30">IF($AR37="","",INDEX(Niveis,MAX(IFERROR(MATCH($AR37,Limites,1),1),IF($AQ37=5,MinIdx,1))))</f>
        <v>Baixo</v>
      </c>
      <c r="AT37" s="12" t="s">
        <v>418</v>
      </c>
      <c r="AU37" s="13"/>
      <c r="AV37" s="12">
        <v>0</v>
      </c>
      <c r="AW37" s="16">
        <v>46371</v>
      </c>
      <c r="AX37" s="13" t="s">
        <v>1050</v>
      </c>
      <c r="AY37" s="17">
        <f t="shared" ref="AY37:AY68" si="31">IF(OR($AW37="",IF(AND($AN37="Eficaz",$AS37&lt;&gt;""),$AS37,IF($W37&lt;&gt;"",$W37,$Q37))=""),"",EDATE($AW37,INDEX(MesesRev,MATCH(IF(AND($AN37="Eficaz",$AS37&lt;&gt;""),$AS37,IF($W37&lt;&gt;"",$W37,$Q37)),Niveis,0))))</f>
        <v>46461</v>
      </c>
      <c r="AZ37" s="14" t="str">
        <f t="shared" ref="AZ37:AZ68" ca="1" si="32">IF($C37="","",IF($AD37="","Sem dono",IF($W37="","Falta avaliação",IF(AND($AI37&lt;&gt;"",COUNTIF(PlanosCod,$AI37)=0),"Código não encontrado",IF(AND($AI37&lt;&gt;"",IFERROR(INDEX(PlanosIdRef,MATCH($AI37,PlanosCod,0))&amp;"","")&lt;&gt;"",ISERROR(SEARCH(";"&amp;$A37&amp;";",";"&amp;SUBSTITUTE(SUBSTITUTE(IFERROR(INDEX(PlanosIdRef,MATCH($AI37,PlanosCod,0))&amp;"","")," ",""),",",";")&amp;";"))),"Vínculo divergente",IF(AND(ISNUMBER($P37),ISNUMBER($V37),$V37&lt;$P37,OR($S37="",$S37="Inexistente")),"Redução s/ controle",IF(AND(ISNUMBER($AR37),ISNUMBER($V37),$AR37&lt;$V37,NOT(OR($Z37="Prevenir",$Z37="Mitigar",$Z37="Transferir / compartilhar")),$AC37="",$AI37=""),"Residual s/ tratamento",IF(AND(LEFT($AI37,3)="RNC",N(IFERROR(INDEX(PlanosAbertura,MATCH($AI37,PlanosCod,0)),0))&gt;N($AW37)),"Reavaliar após RNC",IF(AND(N($AV37)&gt;=1,ISNUMBER($T37),$T37&lt;=2),"Recalibrar probabilidade",IF(AND($Z37="Aceitar",$BA37=""),"Aceite sem justificativa",IF(AND($Z37="Aceitar",ISNUMBER($AB37),$AB37&lt;TODAY()),"Aceite vencido",IF(AND(OR($Z37="Aceitar",$Z37="Monitorar"),$Y37&lt;&gt;"Monitorar",$Y37&lt;&gt;""),"Aprovar aceite",IF(AND($Z37&lt;&gt;"Aceitar",$Z37&lt;&gt;"Monitorar",$Z37&lt;&gt;"Aprofundar análise",$AC37="",$AI37="",IFERROR(MATCH(IF($W37&lt;&gt;"",$W37,$Q37),Niveis,0),0)&gt;IF(N(IFERROR(INDEX(ApetIdx,MATCH($M37,ListaCatRisco,0)),0))=0,IdxExige-1,INDEX(ApetIdx,MATCH($M37,ListaCatRisco,0)))),"Sem ação",IF($Z37="Aprofundar análise","Aprofundar análise",IF(AND(OR($Z37="Prevenir",$Z37="Mitigar",$Z37="Transferir / compartilhar"),$AH37=""),"Definir critério de eficácia",IF(AND(OR($Z37="Prevenir",$Z37="Mitigar",$Z37="Transferir / compartilhar"),OR($AA37="Controle administrativo",$AA37="EPI"),IFERROR(MATCH(IF($W37&lt;&gt;"",$W37,$Q37),Niveis,0),0)&gt;=3),"Rever hierarquia de controle",IF(COUNTIFS(KriId,$A37,KriSit,"Estourou")+COUNTIFS(KriId,$A37,KriSit,"Atenção")&gt;0,"KRI em alerta",IF(COUNTIFS(BtId,$A37,BtEf,"Baixa")+COUNTIFS(BtId,$A37,BtEf,"Inexistente")&gt;0,"Barreira fraca",IF($AN37="Não eficaz","Ação ineficaz",IF(AND($AL37&lt;&gt;"",$AL37&lt;TODAY(),$AK37&lt;&gt;"Concluído",$AK37&lt;&gt;"Cancelado"),"Ação vencida",IF(AND($AN37&lt;&gt;"Eficaz",OR($AK37="Concluído",AND(ISNUMBER($AM37),$AM37&lt;TODAY()))),"Avaliar eficácia",IF(AND($AN37="Eficaz",OR($AS37="",$AT37="")),"Concluir residual",IF($AT37="Não","Tratamento adicional",IF(AND($AT37="Sim",$AS37&lt;&gt;"",IFERROR(MATCH($AS37,Niveis,0),0)&gt;IF(N(IFERROR(INDEX(ApetIdx,MATCH($M37,ListaCatRisco,0)),0))=0,IdxExige-1,INDEX(ApetIdx,MATCH($M37,ListaCatRisco,0)))),"Aceite fora do apetite",IF(AND(COUNTIF(BtId,$A37)=0,OR(IFERROR(MATCH(IF($W37&lt;&gt;"",$W37,$Q37),Niveis,0),0)&gt;=3,AND(OR($S37="Baixa",$S37="Inexistente"),IFERROR(MATCH(IF($W37&lt;&gt;"",$W37,$Q37),Niveis,0),0)&gt;=2))),"Sem BowTie",IF(AND($AY37&lt;&gt;"",$AY37&lt;TODAY()),"Revisão vencida",IF(AND($AL37&lt;&gt;"",N($AL37)-TODAY()&lt;=DiasAlerta,$AK37&lt;&gt;"Concluído",$AK37&lt;&gt;"Cancelado"),"Vence em breve","OK")))))))))))))))))))))))))))</f>
        <v>Barreira fraca</v>
      </c>
      <c r="BA37" s="13" t="s">
        <v>2699</v>
      </c>
      <c r="BB37" s="12" t="s">
        <v>1051</v>
      </c>
      <c r="BC37" s="14">
        <f>IF($V37="","",1+COUNTIF($V$5:$V$154,"&gt;"&amp;$V37)+COUNTIFS($V$5:$V$154,$V37,$U$5:$U$154,"&gt;"&amp;$U37)+COUNTIFS($V$4:$V36,$V37,$U$4:$U36,$U37))</f>
        <v>18</v>
      </c>
      <c r="BD37" s="12" t="s">
        <v>588</v>
      </c>
      <c r="BE37" s="12" t="s">
        <v>593</v>
      </c>
      <c r="BF37" s="12" t="s">
        <v>595</v>
      </c>
      <c r="BG37" s="62">
        <v>40000</v>
      </c>
      <c r="BH37" s="62">
        <v>150000</v>
      </c>
      <c r="BI37" s="63">
        <f t="shared" ref="BI37:BI68" si="33">IF(OR($BH37="",$T37=""),"",IFERROR($BH37*INDEX(ProbMedia,$T37),""))</f>
        <v>105000</v>
      </c>
      <c r="BJ37" s="18" t="str">
        <f t="shared" ref="BJ37:BJ68" si="34">IF(OR($BG37="",$BI37=""),"",IF(OR(LEFT($M37,3)="SST",LEFT($M37,5)="Legal",LEFT($M37,8)="Ambienta"),"SST/Ambiental/Legal: custo não justifica aceitar (apetite e ALARP)",IF($BG37&gt;$BI37,"Custo maior que a perda esperada: reter/aceitar é defensável, com justificativa","Custo menor ou igual à perda esperada: tratar compensa")))</f>
        <v>SST/Ambiental/Legal: custo não justifica aceitar (apetite e ALARP)</v>
      </c>
      <c r="BK37" s="12"/>
      <c r="BL37" s="117"/>
      <c r="BM37" s="117" t="s">
        <v>2471</v>
      </c>
      <c r="BN37" s="16">
        <v>46126</v>
      </c>
      <c r="BO37" s="117" t="s">
        <v>2472</v>
      </c>
      <c r="BP37" s="117" t="s">
        <v>419</v>
      </c>
      <c r="BQ37" s="117" t="s">
        <v>567</v>
      </c>
      <c r="BR37" s="117" t="s">
        <v>2445</v>
      </c>
      <c r="BS37" s="117" t="s">
        <v>2473</v>
      </c>
      <c r="BT37" s="117" t="s">
        <v>2474</v>
      </c>
      <c r="BU37" s="117" t="s">
        <v>2420</v>
      </c>
      <c r="BV37" s="117" t="s">
        <v>453</v>
      </c>
      <c r="BW37" s="14">
        <f t="shared" ref="BW37:BW68" si="35">IF($BU37="","",IFERROR(INDEX(SgaProbValor,MATCH($BU37,SgaProbNivel,0)),""))</f>
        <v>3</v>
      </c>
      <c r="BX37" s="14">
        <f t="shared" ref="BX37:BX68" si="36">IF($BV37="","",IFERROR(INDEX(SgaSevRiValor,MATCH($BV37,SgaSevRiNivel,0)),""))</f>
        <v>-3</v>
      </c>
      <c r="BY37" s="14">
        <f t="shared" ref="BY37:BY68" si="37">IF(COUNT($BW37:$BX37)=2,$BW37*$BX37,"")</f>
        <v>-9</v>
      </c>
      <c r="BZ37" s="15" t="str">
        <f t="shared" ref="BZ37:BZ68" si="38">IF($BY37="","",IF($BY37&lt;=SgaLimRiSig,"SIGNIFICATIVO",IF($BY37&lt;=SgaLimRiTol,"TOLERÁVEL","BAIXO")))</f>
        <v>SIGNIFICATIVO</v>
      </c>
      <c r="CA37" s="15" t="str">
        <f t="shared" ref="CA37:CA68" si="39">IF($BZ37="","",IF($BZ37="SIGNIFICATIVO","NÃO ACEITÁVEL","ACEITÁVEL"))</f>
        <v>NÃO ACEITÁVEL</v>
      </c>
      <c r="CB37" s="117" t="s">
        <v>2438</v>
      </c>
      <c r="CC37" s="117" t="s">
        <v>2475</v>
      </c>
      <c r="CD37" s="117" t="s">
        <v>2813</v>
      </c>
      <c r="CE37" s="117" t="s">
        <v>2441</v>
      </c>
      <c r="CF37" s="117" t="s">
        <v>453</v>
      </c>
      <c r="CG37" s="14">
        <f t="shared" ref="CG37:CG68" si="40">IF(OR($CE37="",$CF37=""),"",IFERROR(INDEX(SgaProbValor,MATCH($CE37,SgaProbNivel,0))*INDEX(SgaSevRiValor,MATCH($CF37,SgaSevRiNivel,0)),""))</f>
        <v>-3</v>
      </c>
      <c r="CH37" s="15" t="str">
        <f t="shared" ref="CH37:CH68" si="41">IF($CG37="","",IF($CG37&lt;=SgaLimRiSig,"SIGNIFICATIVO",IF($CG37&lt;=SgaLimRiTol,"TOLERÁVEL","BAIXO")))</f>
        <v>TOLERÁVEL</v>
      </c>
      <c r="CI37" s="117" t="s">
        <v>419</v>
      </c>
    </row>
    <row r="38" spans="1:87" ht="125.4">
      <c r="A38" s="115" t="s">
        <v>1041</v>
      </c>
      <c r="B38" s="12" t="s">
        <v>566</v>
      </c>
      <c r="C38" s="13" t="s">
        <v>1052</v>
      </c>
      <c r="D38" s="13" t="s">
        <v>542</v>
      </c>
      <c r="E38" s="12" t="s">
        <v>133</v>
      </c>
      <c r="F38" s="12" t="s">
        <v>134</v>
      </c>
      <c r="G38" s="13" t="s">
        <v>848</v>
      </c>
      <c r="H38" s="12" t="s">
        <v>67</v>
      </c>
      <c r="I38" s="13" t="s">
        <v>145</v>
      </c>
      <c r="J38" s="13" t="s">
        <v>1053</v>
      </c>
      <c r="K38" s="12" t="s">
        <v>264</v>
      </c>
      <c r="L38" s="13" t="s">
        <v>1054</v>
      </c>
      <c r="M38" s="12" t="s">
        <v>81</v>
      </c>
      <c r="N38" s="12">
        <v>3</v>
      </c>
      <c r="O38" s="12">
        <v>3</v>
      </c>
      <c r="P38" s="14">
        <f t="shared" si="21"/>
        <v>9</v>
      </c>
      <c r="Q38" s="15" t="str">
        <f t="shared" si="22"/>
        <v>Médio</v>
      </c>
      <c r="R38" s="13" t="s">
        <v>1055</v>
      </c>
      <c r="S38" s="12" t="s">
        <v>102</v>
      </c>
      <c r="T38" s="12">
        <v>3</v>
      </c>
      <c r="U38" s="12">
        <v>3</v>
      </c>
      <c r="V38" s="14">
        <f t="shared" si="23"/>
        <v>9</v>
      </c>
      <c r="W38" s="15" t="str">
        <f t="shared" si="24"/>
        <v>Médio</v>
      </c>
      <c r="X38" s="12" t="s">
        <v>102</v>
      </c>
      <c r="Y38" s="14" t="str">
        <f t="shared" si="25"/>
        <v>Mitigar</v>
      </c>
      <c r="Z38" s="12" t="s">
        <v>223</v>
      </c>
      <c r="AA38" s="12" t="s">
        <v>969</v>
      </c>
      <c r="AB38" s="16"/>
      <c r="AC38" s="13" t="s">
        <v>1056</v>
      </c>
      <c r="AD38" s="13" t="s">
        <v>1047</v>
      </c>
      <c r="AE38" s="13" t="s">
        <v>1001</v>
      </c>
      <c r="AF38" s="16"/>
      <c r="AG38" s="12"/>
      <c r="AH38" s="13"/>
      <c r="AI38" s="12"/>
      <c r="AJ38" s="14" t="str">
        <f t="shared" si="26"/>
        <v/>
      </c>
      <c r="AK38" s="14" t="str">
        <f t="shared" si="27"/>
        <v/>
      </c>
      <c r="AL38" s="17" t="str">
        <f t="shared" si="28"/>
        <v/>
      </c>
      <c r="AM38" s="16"/>
      <c r="AN38" s="12"/>
      <c r="AO38" s="16"/>
      <c r="AP38" s="12"/>
      <c r="AQ38" s="12"/>
      <c r="AR38" s="14" t="str">
        <f t="shared" si="29"/>
        <v/>
      </c>
      <c r="AS38" s="15" t="str">
        <f t="shared" si="30"/>
        <v/>
      </c>
      <c r="AT38" s="12"/>
      <c r="AU38" s="13"/>
      <c r="AV38" s="12">
        <v>0</v>
      </c>
      <c r="AW38" s="16">
        <v>46371</v>
      </c>
      <c r="AX38" s="13" t="s">
        <v>140</v>
      </c>
      <c r="AY38" s="17">
        <f t="shared" si="31"/>
        <v>46553</v>
      </c>
      <c r="AZ38" s="14" t="str">
        <f t="shared" ca="1" si="32"/>
        <v>Aprofundar análise</v>
      </c>
      <c r="BA38" s="13" t="s">
        <v>2698</v>
      </c>
      <c r="BB38" s="12" t="s">
        <v>1057</v>
      </c>
      <c r="BC38" s="14">
        <f>IF($V38="","",1+COUNTIF($V$5:$V$154,"&gt;"&amp;$V38)+COUNTIFS($V$5:$V$154,$V38,$U$5:$U$154,"&gt;"&amp;$U38)+COUNTIFS($V$4:$V37,$V38,$U$4:$U37,$U38))</f>
        <v>30</v>
      </c>
      <c r="BD38" s="12" t="s">
        <v>588</v>
      </c>
      <c r="BE38" s="12" t="s">
        <v>593</v>
      </c>
      <c r="BF38" s="12" t="s">
        <v>595</v>
      </c>
      <c r="BG38" s="62"/>
      <c r="BH38" s="62"/>
      <c r="BI38" s="63" t="str">
        <f t="shared" si="33"/>
        <v/>
      </c>
      <c r="BJ38" s="18" t="str">
        <f t="shared" si="34"/>
        <v/>
      </c>
      <c r="BK38" s="12"/>
      <c r="BL38" s="117"/>
      <c r="BM38" s="117" t="s">
        <v>2451</v>
      </c>
      <c r="BN38" s="16">
        <v>46126</v>
      </c>
      <c r="BO38" s="117" t="s">
        <v>2452</v>
      </c>
      <c r="BP38" s="117" t="s">
        <v>418</v>
      </c>
      <c r="BQ38" s="117" t="s">
        <v>566</v>
      </c>
      <c r="BR38" s="117" t="s">
        <v>2433</v>
      </c>
      <c r="BS38" s="117" t="s">
        <v>2453</v>
      </c>
      <c r="BT38" s="117" t="s">
        <v>2454</v>
      </c>
      <c r="BU38" s="117" t="s">
        <v>2448</v>
      </c>
      <c r="BV38" s="117" t="s">
        <v>2437</v>
      </c>
      <c r="BW38" s="14">
        <f t="shared" si="35"/>
        <v>2</v>
      </c>
      <c r="BX38" s="14">
        <f t="shared" si="36"/>
        <v>-2</v>
      </c>
      <c r="BY38" s="14">
        <f t="shared" si="37"/>
        <v>-4</v>
      </c>
      <c r="BZ38" s="15" t="str">
        <f t="shared" si="38"/>
        <v>TOLERÁVEL</v>
      </c>
      <c r="CA38" s="15" t="str">
        <f t="shared" si="39"/>
        <v>ACEITÁVEL</v>
      </c>
      <c r="CB38" s="117" t="s">
        <v>2455</v>
      </c>
      <c r="CC38" s="117" t="s">
        <v>2450</v>
      </c>
      <c r="CD38" s="117"/>
      <c r="CE38" s="117" t="s">
        <v>2448</v>
      </c>
      <c r="CF38" s="117" t="s">
        <v>2456</v>
      </c>
      <c r="CG38" s="14">
        <f t="shared" si="40"/>
        <v>-2</v>
      </c>
      <c r="CH38" s="15" t="str">
        <f t="shared" si="41"/>
        <v>BAIXO</v>
      </c>
      <c r="CI38" s="117" t="s">
        <v>419</v>
      </c>
    </row>
    <row r="39" spans="1:87" ht="171">
      <c r="A39" s="115" t="s">
        <v>2606</v>
      </c>
      <c r="B39" s="12" t="s">
        <v>560</v>
      </c>
      <c r="C39" s="13" t="s">
        <v>2429</v>
      </c>
      <c r="D39" s="13" t="s">
        <v>540</v>
      </c>
      <c r="E39" s="12" t="s">
        <v>64</v>
      </c>
      <c r="F39" s="12" t="s">
        <v>91</v>
      </c>
      <c r="G39" s="13"/>
      <c r="H39" s="12" t="s">
        <v>67</v>
      </c>
      <c r="I39" s="13" t="s">
        <v>145</v>
      </c>
      <c r="J39" s="13" t="s">
        <v>2430</v>
      </c>
      <c r="K39" s="12"/>
      <c r="L39" s="13" t="s">
        <v>2431</v>
      </c>
      <c r="M39" s="12" t="s">
        <v>94</v>
      </c>
      <c r="N39" s="12">
        <v>5</v>
      </c>
      <c r="O39" s="12">
        <v>3</v>
      </c>
      <c r="P39" s="14">
        <f t="shared" si="21"/>
        <v>15</v>
      </c>
      <c r="Q39" s="15" t="str">
        <f t="shared" si="22"/>
        <v>Alto</v>
      </c>
      <c r="R39" s="13" t="s">
        <v>2436</v>
      </c>
      <c r="S39" s="12" t="s">
        <v>102</v>
      </c>
      <c r="T39" s="12">
        <v>4</v>
      </c>
      <c r="U39" s="12">
        <v>3</v>
      </c>
      <c r="V39" s="14">
        <f t="shared" si="23"/>
        <v>12</v>
      </c>
      <c r="W39" s="15" t="str">
        <f t="shared" si="24"/>
        <v>Alto</v>
      </c>
      <c r="X39" s="12" t="s">
        <v>71</v>
      </c>
      <c r="Y39" s="14" t="str">
        <f t="shared" si="25"/>
        <v>Mitigar</v>
      </c>
      <c r="Z39" s="12" t="s">
        <v>72</v>
      </c>
      <c r="AA39" s="12"/>
      <c r="AB39" s="16"/>
      <c r="AC39" s="13" t="s">
        <v>2439</v>
      </c>
      <c r="AD39" s="13" t="s">
        <v>84</v>
      </c>
      <c r="AE39" s="13" t="s">
        <v>84</v>
      </c>
      <c r="AF39" s="16">
        <v>46387</v>
      </c>
      <c r="AG39" s="12" t="s">
        <v>296</v>
      </c>
      <c r="AH39" s="13" t="s">
        <v>2719</v>
      </c>
      <c r="AI39" s="12"/>
      <c r="AJ39" s="14" t="str">
        <f t="shared" si="26"/>
        <v/>
      </c>
      <c r="AK39" s="14" t="str">
        <f t="shared" si="27"/>
        <v>Em andamento</v>
      </c>
      <c r="AL39" s="17">
        <f t="shared" si="28"/>
        <v>46387</v>
      </c>
      <c r="AM39" s="16">
        <v>46477</v>
      </c>
      <c r="AN39" s="12"/>
      <c r="AO39" s="16"/>
      <c r="AP39" s="12">
        <v>2</v>
      </c>
      <c r="AQ39" s="12">
        <v>3</v>
      </c>
      <c r="AR39" s="14">
        <f t="shared" si="29"/>
        <v>6</v>
      </c>
      <c r="AS39" s="15" t="str">
        <f t="shared" si="30"/>
        <v>Baixo</v>
      </c>
      <c r="AT39" s="12" t="s">
        <v>418</v>
      </c>
      <c r="AU39" s="13" t="s">
        <v>2442</v>
      </c>
      <c r="AV39" s="12"/>
      <c r="AW39" s="16">
        <v>46126</v>
      </c>
      <c r="AX39" s="13" t="s">
        <v>2605</v>
      </c>
      <c r="AY39" s="17">
        <f t="shared" si="31"/>
        <v>46217</v>
      </c>
      <c r="AZ39" s="14" t="str">
        <f t="shared" ca="1" si="32"/>
        <v>Barreira fraca</v>
      </c>
      <c r="BA39" s="13" t="s">
        <v>2702</v>
      </c>
      <c r="BB39" s="12" t="s">
        <v>2607</v>
      </c>
      <c r="BC39" s="14">
        <f>IF($V39="","",1+COUNTIF($V$5:$V$154,"&gt;"&amp;$V39)+COUNTIFS($V$5:$V$154,$V39,$U$5:$U$154,"&gt;"&amp;$U39)+COUNTIFS($V$4:$V38,$V39,$U$4:$U38,$U39))</f>
        <v>19</v>
      </c>
      <c r="BD39" s="12"/>
      <c r="BE39" s="12"/>
      <c r="BF39" s="12"/>
      <c r="BG39" s="62"/>
      <c r="BH39" s="62"/>
      <c r="BI39" s="63" t="str">
        <f t="shared" si="33"/>
        <v/>
      </c>
      <c r="BJ39" s="18" t="str">
        <f t="shared" si="34"/>
        <v/>
      </c>
      <c r="BK39" s="12"/>
      <c r="BL39" s="117"/>
      <c r="BM39" s="117" t="s">
        <v>2426</v>
      </c>
      <c r="BN39" s="16">
        <v>46126</v>
      </c>
      <c r="BO39" s="117" t="s">
        <v>2427</v>
      </c>
      <c r="BP39" s="117" t="s">
        <v>418</v>
      </c>
      <c r="BQ39" s="117" t="s">
        <v>2432</v>
      </c>
      <c r="BR39" s="117" t="s">
        <v>2433</v>
      </c>
      <c r="BS39" s="117" t="s">
        <v>2434</v>
      </c>
      <c r="BT39" s="117" t="s">
        <v>2435</v>
      </c>
      <c r="BU39" s="117" t="s">
        <v>2420</v>
      </c>
      <c r="BV39" s="117" t="s">
        <v>2437</v>
      </c>
      <c r="BW39" s="14">
        <f t="shared" si="35"/>
        <v>3</v>
      </c>
      <c r="BX39" s="14">
        <f t="shared" si="36"/>
        <v>-2</v>
      </c>
      <c r="BY39" s="14">
        <f t="shared" si="37"/>
        <v>-6</v>
      </c>
      <c r="BZ39" s="15" t="str">
        <f t="shared" si="38"/>
        <v>SIGNIFICATIVO</v>
      </c>
      <c r="CA39" s="15" t="str">
        <f t="shared" si="39"/>
        <v>NÃO ACEITÁVEL</v>
      </c>
      <c r="CB39" s="117" t="s">
        <v>2438</v>
      </c>
      <c r="CC39" s="117" t="s">
        <v>2423</v>
      </c>
      <c r="CD39" s="117" t="s">
        <v>2440</v>
      </c>
      <c r="CE39" s="117" t="s">
        <v>2441</v>
      </c>
      <c r="CF39" s="117" t="s">
        <v>2437</v>
      </c>
      <c r="CG39" s="14">
        <f t="shared" si="40"/>
        <v>-2</v>
      </c>
      <c r="CH39" s="15" t="str">
        <f t="shared" si="41"/>
        <v>BAIXO</v>
      </c>
      <c r="CI39" s="117" t="s">
        <v>419</v>
      </c>
    </row>
    <row r="40" spans="1:87" ht="148.19999999999999">
      <c r="A40" s="115" t="s">
        <v>2608</v>
      </c>
      <c r="B40" s="12" t="s">
        <v>557</v>
      </c>
      <c r="C40" s="13" t="s">
        <v>2459</v>
      </c>
      <c r="D40" s="13" t="s">
        <v>540</v>
      </c>
      <c r="E40" s="12" t="s">
        <v>133</v>
      </c>
      <c r="F40" s="12" t="s">
        <v>91</v>
      </c>
      <c r="G40" s="13"/>
      <c r="H40" s="12" t="s">
        <v>80</v>
      </c>
      <c r="I40" s="13" t="s">
        <v>2785</v>
      </c>
      <c r="J40" s="13" t="s">
        <v>2460</v>
      </c>
      <c r="K40" s="12"/>
      <c r="L40" s="13" t="s">
        <v>2461</v>
      </c>
      <c r="M40" s="12" t="s">
        <v>491</v>
      </c>
      <c r="N40" s="12">
        <v>5</v>
      </c>
      <c r="O40" s="12">
        <v>3</v>
      </c>
      <c r="P40" s="14">
        <f t="shared" si="21"/>
        <v>15</v>
      </c>
      <c r="Q40" s="15" t="str">
        <f t="shared" si="22"/>
        <v>Alto</v>
      </c>
      <c r="R40" s="13" t="s">
        <v>2466</v>
      </c>
      <c r="S40" s="12" t="s">
        <v>71</v>
      </c>
      <c r="T40" s="12">
        <v>4</v>
      </c>
      <c r="U40" s="12">
        <v>3</v>
      </c>
      <c r="V40" s="14">
        <f t="shared" si="23"/>
        <v>12</v>
      </c>
      <c r="W40" s="15" t="str">
        <f t="shared" si="24"/>
        <v>Alto</v>
      </c>
      <c r="X40" s="12" t="s">
        <v>71</v>
      </c>
      <c r="Y40" s="14" t="str">
        <f t="shared" si="25"/>
        <v>Mitigar</v>
      </c>
      <c r="Z40" s="12" t="s">
        <v>72</v>
      </c>
      <c r="AA40" s="12"/>
      <c r="AB40" s="16"/>
      <c r="AC40" s="13" t="s">
        <v>2467</v>
      </c>
      <c r="AD40" s="13" t="s">
        <v>2469</v>
      </c>
      <c r="AE40" s="13" t="s">
        <v>2469</v>
      </c>
      <c r="AF40" s="16">
        <v>46387</v>
      </c>
      <c r="AG40" s="12" t="s">
        <v>296</v>
      </c>
      <c r="AH40" s="13" t="s">
        <v>2720</v>
      </c>
      <c r="AI40" s="12"/>
      <c r="AJ40" s="14" t="str">
        <f t="shared" si="26"/>
        <v/>
      </c>
      <c r="AK40" s="14" t="str">
        <f t="shared" si="27"/>
        <v>Em andamento</v>
      </c>
      <c r="AL40" s="17">
        <f t="shared" si="28"/>
        <v>46387</v>
      </c>
      <c r="AM40" s="16">
        <v>46568</v>
      </c>
      <c r="AN40" s="12"/>
      <c r="AO40" s="16"/>
      <c r="AP40" s="12">
        <v>3</v>
      </c>
      <c r="AQ40" s="12">
        <v>2</v>
      </c>
      <c r="AR40" s="14">
        <f t="shared" si="29"/>
        <v>6</v>
      </c>
      <c r="AS40" s="15" t="str">
        <f t="shared" si="30"/>
        <v>Baixo</v>
      </c>
      <c r="AT40" s="12" t="s">
        <v>418</v>
      </c>
      <c r="AU40" s="13" t="s">
        <v>2470</v>
      </c>
      <c r="AV40" s="12"/>
      <c r="AW40" s="16">
        <v>46126</v>
      </c>
      <c r="AX40" s="13" t="s">
        <v>2605</v>
      </c>
      <c r="AY40" s="17">
        <f t="shared" si="31"/>
        <v>46217</v>
      </c>
      <c r="AZ40" s="14" t="str">
        <f t="shared" ca="1" si="32"/>
        <v>Barreira fraca</v>
      </c>
      <c r="BA40" s="13" t="s">
        <v>2703</v>
      </c>
      <c r="BB40" s="12" t="s">
        <v>2611</v>
      </c>
      <c r="BC40" s="14">
        <f>IF($V40="","",1+COUNTIF($V$5:$V$154,"&gt;"&amp;$V40)+COUNTIFS($V$5:$V$154,$V40,$U$5:$U$154,"&gt;"&amp;$U40)+COUNTIFS($V$4:$V39,$V40,$U$4:$U39,$U40))</f>
        <v>20</v>
      </c>
      <c r="BD40" s="12"/>
      <c r="BE40" s="12"/>
      <c r="BF40" s="12"/>
      <c r="BG40" s="62"/>
      <c r="BH40" s="62"/>
      <c r="BI40" s="63" t="str">
        <f t="shared" si="33"/>
        <v/>
      </c>
      <c r="BJ40" s="18" t="str">
        <f t="shared" si="34"/>
        <v/>
      </c>
      <c r="BK40" s="12"/>
      <c r="BL40" s="117"/>
      <c r="BM40" s="117" t="s">
        <v>2457</v>
      </c>
      <c r="BN40" s="16">
        <v>46126</v>
      </c>
      <c r="BO40" s="117" t="s">
        <v>2458</v>
      </c>
      <c r="BP40" s="117" t="s">
        <v>419</v>
      </c>
      <c r="BQ40" s="117" t="s">
        <v>2462</v>
      </c>
      <c r="BR40" s="117" t="s">
        <v>2463</v>
      </c>
      <c r="BS40" s="117" t="s">
        <v>2464</v>
      </c>
      <c r="BT40" s="117" t="s">
        <v>2465</v>
      </c>
      <c r="BU40" s="117" t="s">
        <v>2420</v>
      </c>
      <c r="BV40" s="117" t="s">
        <v>2437</v>
      </c>
      <c r="BW40" s="14">
        <f t="shared" si="35"/>
        <v>3</v>
      </c>
      <c r="BX40" s="14">
        <f t="shared" si="36"/>
        <v>-2</v>
      </c>
      <c r="BY40" s="14">
        <f t="shared" si="37"/>
        <v>-6</v>
      </c>
      <c r="BZ40" s="15" t="str">
        <f t="shared" si="38"/>
        <v>SIGNIFICATIVO</v>
      </c>
      <c r="CA40" s="15" t="str">
        <f t="shared" si="39"/>
        <v>NÃO ACEITÁVEL</v>
      </c>
      <c r="CB40" s="117" t="s">
        <v>2438</v>
      </c>
      <c r="CC40" s="117" t="s">
        <v>2423</v>
      </c>
      <c r="CD40" s="117" t="s">
        <v>2468</v>
      </c>
      <c r="CE40" s="117" t="s">
        <v>2448</v>
      </c>
      <c r="CF40" s="117" t="s">
        <v>2456</v>
      </c>
      <c r="CG40" s="14">
        <f t="shared" si="40"/>
        <v>-2</v>
      </c>
      <c r="CH40" s="15" t="str">
        <f t="shared" si="41"/>
        <v>BAIXO</v>
      </c>
      <c r="CI40" s="117" t="s">
        <v>419</v>
      </c>
    </row>
    <row r="41" spans="1:87" ht="136.80000000000001">
      <c r="A41" s="115" t="s">
        <v>2609</v>
      </c>
      <c r="B41" s="12" t="s">
        <v>89</v>
      </c>
      <c r="C41" s="13" t="s">
        <v>2478</v>
      </c>
      <c r="D41" s="13" t="s">
        <v>132</v>
      </c>
      <c r="E41" s="12" t="s">
        <v>64</v>
      </c>
      <c r="F41" s="12" t="s">
        <v>65</v>
      </c>
      <c r="G41" s="13"/>
      <c r="H41" s="12" t="s">
        <v>67</v>
      </c>
      <c r="I41" s="13" t="s">
        <v>2791</v>
      </c>
      <c r="J41" s="13" t="s">
        <v>2479</v>
      </c>
      <c r="K41" s="12"/>
      <c r="L41" s="13" t="s">
        <v>2480</v>
      </c>
      <c r="M41" s="12" t="s">
        <v>94</v>
      </c>
      <c r="N41" s="12">
        <v>4</v>
      </c>
      <c r="O41" s="12">
        <v>4</v>
      </c>
      <c r="P41" s="14">
        <f t="shared" si="21"/>
        <v>16</v>
      </c>
      <c r="Q41" s="15" t="str">
        <f t="shared" si="22"/>
        <v>Crítico</v>
      </c>
      <c r="R41" s="13" t="s">
        <v>2484</v>
      </c>
      <c r="S41" s="12" t="s">
        <v>102</v>
      </c>
      <c r="T41" s="12">
        <v>3</v>
      </c>
      <c r="U41" s="12">
        <v>4</v>
      </c>
      <c r="V41" s="14">
        <f t="shared" si="23"/>
        <v>12</v>
      </c>
      <c r="W41" s="15" t="str">
        <f t="shared" si="24"/>
        <v>Alto</v>
      </c>
      <c r="X41" s="12" t="s">
        <v>71</v>
      </c>
      <c r="Y41" s="14" t="str">
        <f t="shared" si="25"/>
        <v>Mitigar</v>
      </c>
      <c r="Z41" s="12" t="s">
        <v>72</v>
      </c>
      <c r="AA41" s="12"/>
      <c r="AB41" s="16"/>
      <c r="AC41" s="13" t="s">
        <v>2485</v>
      </c>
      <c r="AD41" s="13" t="s">
        <v>2425</v>
      </c>
      <c r="AE41" s="13" t="s">
        <v>2425</v>
      </c>
      <c r="AF41" s="16">
        <v>46477</v>
      </c>
      <c r="AG41" s="12" t="s">
        <v>296</v>
      </c>
      <c r="AH41" s="13" t="s">
        <v>2721</v>
      </c>
      <c r="AI41" s="12"/>
      <c r="AJ41" s="14" t="str">
        <f t="shared" si="26"/>
        <v/>
      </c>
      <c r="AK41" s="14" t="str">
        <f t="shared" si="27"/>
        <v>Em andamento</v>
      </c>
      <c r="AL41" s="17">
        <f t="shared" si="28"/>
        <v>46477</v>
      </c>
      <c r="AM41" s="16">
        <v>46660</v>
      </c>
      <c r="AN41" s="12"/>
      <c r="AO41" s="16"/>
      <c r="AP41" s="12">
        <v>2</v>
      </c>
      <c r="AQ41" s="12">
        <v>3</v>
      </c>
      <c r="AR41" s="14">
        <f t="shared" si="29"/>
        <v>6</v>
      </c>
      <c r="AS41" s="15" t="str">
        <f t="shared" si="30"/>
        <v>Baixo</v>
      </c>
      <c r="AT41" s="12" t="s">
        <v>418</v>
      </c>
      <c r="AU41" s="13" t="s">
        <v>2487</v>
      </c>
      <c r="AV41" s="12"/>
      <c r="AW41" s="16">
        <v>46126</v>
      </c>
      <c r="AX41" s="13" t="s">
        <v>2605</v>
      </c>
      <c r="AY41" s="17">
        <f t="shared" si="31"/>
        <v>46217</v>
      </c>
      <c r="AZ41" s="14" t="str">
        <f t="shared" ca="1" si="32"/>
        <v>Barreira fraca</v>
      </c>
      <c r="BA41" s="13" t="s">
        <v>2704</v>
      </c>
      <c r="BB41" s="12"/>
      <c r="BC41" s="14">
        <f>IF($V41="","",1+COUNTIF($V$5:$V$154,"&gt;"&amp;$V41)+COUNTIFS($V$5:$V$154,$V41,$U$5:$U$154,"&gt;"&amp;$U41)+COUNTIFS($V$4:$V40,$V41,$U$4:$U40,$U41))</f>
        <v>6</v>
      </c>
      <c r="BD41" s="12"/>
      <c r="BE41" s="12"/>
      <c r="BF41" s="12"/>
      <c r="BG41" s="62"/>
      <c r="BH41" s="62"/>
      <c r="BI41" s="63" t="str">
        <f t="shared" si="33"/>
        <v/>
      </c>
      <c r="BJ41" s="18" t="str">
        <f t="shared" si="34"/>
        <v/>
      </c>
      <c r="BK41" s="12"/>
      <c r="BL41" s="117"/>
      <c r="BM41" s="117" t="s">
        <v>2476</v>
      </c>
      <c r="BN41" s="16">
        <v>46126</v>
      </c>
      <c r="BO41" s="117" t="s">
        <v>2477</v>
      </c>
      <c r="BP41" s="117" t="s">
        <v>419</v>
      </c>
      <c r="BQ41" s="117" t="s">
        <v>89</v>
      </c>
      <c r="BR41" s="117" t="s">
        <v>2481</v>
      </c>
      <c r="BS41" s="117" t="s">
        <v>2482</v>
      </c>
      <c r="BT41" s="117" t="s">
        <v>2483</v>
      </c>
      <c r="BU41" s="117" t="s">
        <v>2448</v>
      </c>
      <c r="BV41" s="117" t="s">
        <v>453</v>
      </c>
      <c r="BW41" s="14">
        <f t="shared" si="35"/>
        <v>2</v>
      </c>
      <c r="BX41" s="14">
        <f t="shared" si="36"/>
        <v>-3</v>
      </c>
      <c r="BY41" s="14">
        <f t="shared" si="37"/>
        <v>-6</v>
      </c>
      <c r="BZ41" s="15" t="str">
        <f t="shared" si="38"/>
        <v>SIGNIFICATIVO</v>
      </c>
      <c r="CA41" s="15" t="str">
        <f t="shared" si="39"/>
        <v>NÃO ACEITÁVEL</v>
      </c>
      <c r="CB41" s="117" t="s">
        <v>2438</v>
      </c>
      <c r="CC41" s="117" t="s">
        <v>2423</v>
      </c>
      <c r="CD41" s="117" t="s">
        <v>2486</v>
      </c>
      <c r="CE41" s="117" t="s">
        <v>2441</v>
      </c>
      <c r="CF41" s="117" t="s">
        <v>2437</v>
      </c>
      <c r="CG41" s="14">
        <f t="shared" si="40"/>
        <v>-2</v>
      </c>
      <c r="CH41" s="15" t="str">
        <f t="shared" si="41"/>
        <v>BAIXO</v>
      </c>
      <c r="CI41" s="117" t="s">
        <v>419</v>
      </c>
    </row>
    <row r="42" spans="1:87" ht="148.19999999999999">
      <c r="A42" s="115" t="s">
        <v>2612</v>
      </c>
      <c r="B42" s="12" t="s">
        <v>917</v>
      </c>
      <c r="C42" s="13" t="s">
        <v>2490</v>
      </c>
      <c r="D42" s="13" t="s">
        <v>132</v>
      </c>
      <c r="E42" s="12" t="s">
        <v>64</v>
      </c>
      <c r="F42" s="12" t="s">
        <v>65</v>
      </c>
      <c r="G42" s="13"/>
      <c r="H42" s="12" t="s">
        <v>80</v>
      </c>
      <c r="I42" s="13" t="s">
        <v>2791</v>
      </c>
      <c r="J42" s="13" t="s">
        <v>2491</v>
      </c>
      <c r="K42" s="12"/>
      <c r="L42" s="13" t="s">
        <v>2492</v>
      </c>
      <c r="M42" s="12" t="s">
        <v>94</v>
      </c>
      <c r="N42" s="12">
        <v>3</v>
      </c>
      <c r="O42" s="12">
        <v>5</v>
      </c>
      <c r="P42" s="14">
        <f t="shared" si="21"/>
        <v>15</v>
      </c>
      <c r="Q42" s="15" t="str">
        <f t="shared" si="22"/>
        <v>Alto</v>
      </c>
      <c r="R42" s="13" t="s">
        <v>2495</v>
      </c>
      <c r="S42" s="12" t="s">
        <v>82</v>
      </c>
      <c r="T42" s="12">
        <v>2</v>
      </c>
      <c r="U42" s="12">
        <v>4</v>
      </c>
      <c r="V42" s="14">
        <f t="shared" si="23"/>
        <v>8</v>
      </c>
      <c r="W42" s="15" t="str">
        <f t="shared" si="24"/>
        <v>Médio</v>
      </c>
      <c r="X42" s="12" t="s">
        <v>71</v>
      </c>
      <c r="Y42" s="14" t="str">
        <f t="shared" si="25"/>
        <v>Mitigar</v>
      </c>
      <c r="Z42" s="12" t="s">
        <v>548</v>
      </c>
      <c r="AA42" s="12"/>
      <c r="AB42" s="16"/>
      <c r="AC42" s="13" t="s">
        <v>2497</v>
      </c>
      <c r="AD42" s="13" t="s">
        <v>1047</v>
      </c>
      <c r="AE42" s="13" t="s">
        <v>1047</v>
      </c>
      <c r="AF42" s="16">
        <v>46356</v>
      </c>
      <c r="AG42" s="12" t="s">
        <v>85</v>
      </c>
      <c r="AH42" s="13" t="s">
        <v>2722</v>
      </c>
      <c r="AI42" s="12"/>
      <c r="AJ42" s="14" t="str">
        <f t="shared" si="26"/>
        <v/>
      </c>
      <c r="AK42" s="14" t="str">
        <f t="shared" si="27"/>
        <v>Aberto</v>
      </c>
      <c r="AL42" s="17">
        <f t="shared" si="28"/>
        <v>46356</v>
      </c>
      <c r="AM42" s="16">
        <v>46387</v>
      </c>
      <c r="AN42" s="12"/>
      <c r="AO42" s="16"/>
      <c r="AP42" s="12">
        <v>2</v>
      </c>
      <c r="AQ42" s="12">
        <v>3</v>
      </c>
      <c r="AR42" s="14">
        <f t="shared" si="29"/>
        <v>6</v>
      </c>
      <c r="AS42" s="15" t="str">
        <f t="shared" si="30"/>
        <v>Baixo</v>
      </c>
      <c r="AT42" s="12" t="s">
        <v>418</v>
      </c>
      <c r="AU42" s="13" t="s">
        <v>2498</v>
      </c>
      <c r="AV42" s="12"/>
      <c r="AW42" s="16">
        <v>46126</v>
      </c>
      <c r="AX42" s="13" t="s">
        <v>2605</v>
      </c>
      <c r="AY42" s="17">
        <f t="shared" si="31"/>
        <v>46309</v>
      </c>
      <c r="AZ42" s="14" t="str">
        <f t="shared" ca="1" si="32"/>
        <v>OK</v>
      </c>
      <c r="BA42" s="13" t="s">
        <v>2705</v>
      </c>
      <c r="BB42" s="12"/>
      <c r="BC42" s="14">
        <f>IF($V42="","",1+COUNTIF($V$5:$V$154,"&gt;"&amp;$V42)+COUNTIFS($V$5:$V$154,$V42,$U$5:$U$154,"&gt;"&amp;$U42)+COUNTIFS($V$4:$V41,$V42,$U$4:$U41,$U42))</f>
        <v>34</v>
      </c>
      <c r="BD42" s="12"/>
      <c r="BE42" s="12"/>
      <c r="BF42" s="12"/>
      <c r="BG42" s="62"/>
      <c r="BH42" s="62"/>
      <c r="BI42" s="63" t="str">
        <f t="shared" si="33"/>
        <v/>
      </c>
      <c r="BJ42" s="18" t="str">
        <f t="shared" si="34"/>
        <v/>
      </c>
      <c r="BK42" s="12"/>
      <c r="BL42" s="117"/>
      <c r="BM42" s="117" t="s">
        <v>2488</v>
      </c>
      <c r="BN42" s="16">
        <v>46126</v>
      </c>
      <c r="BO42" s="117" t="s">
        <v>2489</v>
      </c>
      <c r="BP42" s="117" t="s">
        <v>419</v>
      </c>
      <c r="BQ42" s="117" t="s">
        <v>2432</v>
      </c>
      <c r="BR42" s="117" t="s">
        <v>2481</v>
      </c>
      <c r="BS42" s="117" t="s">
        <v>2493</v>
      </c>
      <c r="BT42" s="117" t="s">
        <v>2494</v>
      </c>
      <c r="BU42" s="117" t="s">
        <v>2441</v>
      </c>
      <c r="BV42" s="117" t="s">
        <v>453</v>
      </c>
      <c r="BW42" s="14">
        <f t="shared" si="35"/>
        <v>1</v>
      </c>
      <c r="BX42" s="14">
        <f t="shared" si="36"/>
        <v>-3</v>
      </c>
      <c r="BY42" s="14">
        <f t="shared" si="37"/>
        <v>-3</v>
      </c>
      <c r="BZ42" s="15" t="str">
        <f t="shared" si="38"/>
        <v>TOLERÁVEL</v>
      </c>
      <c r="CA42" s="15" t="str">
        <f t="shared" si="39"/>
        <v>ACEITÁVEL</v>
      </c>
      <c r="CB42" s="117" t="s">
        <v>2496</v>
      </c>
      <c r="CC42" s="117" t="s">
        <v>2450</v>
      </c>
      <c r="CD42" s="117"/>
      <c r="CE42" s="117" t="s">
        <v>2441</v>
      </c>
      <c r="CF42" s="117" t="s">
        <v>2437</v>
      </c>
      <c r="CG42" s="14">
        <f t="shared" si="40"/>
        <v>-2</v>
      </c>
      <c r="CH42" s="15" t="str">
        <f t="shared" si="41"/>
        <v>BAIXO</v>
      </c>
      <c r="CI42" s="117" t="s">
        <v>419</v>
      </c>
    </row>
    <row r="43" spans="1:87" ht="125.4">
      <c r="A43" s="115" t="s">
        <v>2613</v>
      </c>
      <c r="B43" s="12" t="s">
        <v>560</v>
      </c>
      <c r="C43" s="13" t="s">
        <v>2522</v>
      </c>
      <c r="D43" s="13" t="s">
        <v>568</v>
      </c>
      <c r="E43" s="12" t="s">
        <v>99</v>
      </c>
      <c r="F43" s="12" t="s">
        <v>65</v>
      </c>
      <c r="G43" s="13"/>
      <c r="H43" s="12" t="s">
        <v>67</v>
      </c>
      <c r="I43" s="13" t="s">
        <v>2791</v>
      </c>
      <c r="J43" s="13" t="s">
        <v>2523</v>
      </c>
      <c r="K43" s="12"/>
      <c r="L43" s="13" t="s">
        <v>2524</v>
      </c>
      <c r="M43" s="12" t="s">
        <v>491</v>
      </c>
      <c r="N43" s="12">
        <v>4</v>
      </c>
      <c r="O43" s="12">
        <v>3</v>
      </c>
      <c r="P43" s="14">
        <f t="shared" si="21"/>
        <v>12</v>
      </c>
      <c r="Q43" s="15" t="str">
        <f t="shared" si="22"/>
        <v>Alto</v>
      </c>
      <c r="R43" s="13" t="s">
        <v>2527</v>
      </c>
      <c r="S43" s="12" t="s">
        <v>71</v>
      </c>
      <c r="T43" s="12">
        <v>3</v>
      </c>
      <c r="U43" s="12">
        <v>3</v>
      </c>
      <c r="V43" s="14">
        <f t="shared" si="23"/>
        <v>9</v>
      </c>
      <c r="W43" s="15" t="str">
        <f t="shared" si="24"/>
        <v>Médio</v>
      </c>
      <c r="X43" s="12" t="s">
        <v>71</v>
      </c>
      <c r="Y43" s="14" t="str">
        <f t="shared" si="25"/>
        <v>Mitigar</v>
      </c>
      <c r="Z43" s="12" t="s">
        <v>72</v>
      </c>
      <c r="AA43" s="12"/>
      <c r="AB43" s="16"/>
      <c r="AC43" s="13" t="s">
        <v>2528</v>
      </c>
      <c r="AD43" s="13" t="s">
        <v>2425</v>
      </c>
      <c r="AE43" s="13" t="s">
        <v>2425</v>
      </c>
      <c r="AF43" s="16">
        <v>46326</v>
      </c>
      <c r="AG43" s="12" t="s">
        <v>296</v>
      </c>
      <c r="AH43" s="13" t="s">
        <v>2723</v>
      </c>
      <c r="AI43" s="12"/>
      <c r="AJ43" s="14" t="str">
        <f t="shared" si="26"/>
        <v/>
      </c>
      <c r="AK43" s="14" t="str">
        <f t="shared" si="27"/>
        <v>Em andamento</v>
      </c>
      <c r="AL43" s="17">
        <f t="shared" si="28"/>
        <v>46326</v>
      </c>
      <c r="AM43" s="16">
        <v>46691</v>
      </c>
      <c r="AN43" s="12"/>
      <c r="AO43" s="16"/>
      <c r="AP43" s="12">
        <v>2</v>
      </c>
      <c r="AQ43" s="12">
        <v>2</v>
      </c>
      <c r="AR43" s="14">
        <f t="shared" si="29"/>
        <v>4</v>
      </c>
      <c r="AS43" s="15" t="str">
        <f t="shared" si="30"/>
        <v>Baixo</v>
      </c>
      <c r="AT43" s="12" t="s">
        <v>418</v>
      </c>
      <c r="AU43" s="13" t="s">
        <v>2531</v>
      </c>
      <c r="AV43" s="12"/>
      <c r="AW43" s="16">
        <v>46126</v>
      </c>
      <c r="AX43" s="13" t="s">
        <v>2605</v>
      </c>
      <c r="AY43" s="17">
        <f t="shared" si="31"/>
        <v>46309</v>
      </c>
      <c r="AZ43" s="14" t="str">
        <f t="shared" ca="1" si="32"/>
        <v>OK</v>
      </c>
      <c r="BA43" s="13" t="s">
        <v>2706</v>
      </c>
      <c r="BB43" s="12"/>
      <c r="BC43" s="14">
        <f>IF($V43="","",1+COUNTIF($V$5:$V$154,"&gt;"&amp;$V43)+COUNTIFS($V$5:$V$154,$V43,$U$5:$U$154,"&gt;"&amp;$U43)+COUNTIFS($V$4:$V42,$V43,$U$4:$U42,$U43))</f>
        <v>31</v>
      </c>
      <c r="BD43" s="12"/>
      <c r="BE43" s="12"/>
      <c r="BF43" s="12"/>
      <c r="BG43" s="62"/>
      <c r="BH43" s="62"/>
      <c r="BI43" s="63" t="str">
        <f t="shared" si="33"/>
        <v/>
      </c>
      <c r="BJ43" s="18" t="str">
        <f t="shared" si="34"/>
        <v/>
      </c>
      <c r="BK43" s="12"/>
      <c r="BL43" s="117"/>
      <c r="BM43" s="117" t="s">
        <v>2520</v>
      </c>
      <c r="BN43" s="16">
        <v>46126</v>
      </c>
      <c r="BO43" s="117" t="s">
        <v>2521</v>
      </c>
      <c r="BP43" s="117" t="s">
        <v>419</v>
      </c>
      <c r="BQ43" s="117" t="s">
        <v>2432</v>
      </c>
      <c r="BR43" s="117" t="s">
        <v>2433</v>
      </c>
      <c r="BS43" s="117" t="s">
        <v>2525</v>
      </c>
      <c r="BT43" s="117" t="s">
        <v>2526</v>
      </c>
      <c r="BU43" s="117" t="s">
        <v>2448</v>
      </c>
      <c r="BV43" s="117" t="s">
        <v>2437</v>
      </c>
      <c r="BW43" s="14">
        <f t="shared" si="35"/>
        <v>2</v>
      </c>
      <c r="BX43" s="14">
        <f t="shared" si="36"/>
        <v>-2</v>
      </c>
      <c r="BY43" s="14">
        <f t="shared" si="37"/>
        <v>-4</v>
      </c>
      <c r="BZ43" s="15" t="str">
        <f t="shared" si="38"/>
        <v>TOLERÁVEL</v>
      </c>
      <c r="CA43" s="15" t="str">
        <f t="shared" si="39"/>
        <v>ACEITÁVEL</v>
      </c>
      <c r="CB43" s="117" t="s">
        <v>2438</v>
      </c>
      <c r="CC43" s="117" t="s">
        <v>2529</v>
      </c>
      <c r="CD43" s="117" t="s">
        <v>2530</v>
      </c>
      <c r="CE43" s="117" t="s">
        <v>2441</v>
      </c>
      <c r="CF43" s="117" t="s">
        <v>2456</v>
      </c>
      <c r="CG43" s="14">
        <f t="shared" si="40"/>
        <v>-1</v>
      </c>
      <c r="CH43" s="15" t="str">
        <f t="shared" si="41"/>
        <v>BAIXO</v>
      </c>
      <c r="CI43" s="117" t="s">
        <v>419</v>
      </c>
    </row>
    <row r="44" spans="1:87">
      <c r="A44" s="115"/>
      <c r="B44" s="12"/>
      <c r="C44" s="13"/>
      <c r="D44" s="13"/>
      <c r="E44" s="12"/>
      <c r="F44" s="12"/>
      <c r="G44" s="13"/>
      <c r="H44" s="12"/>
      <c r="I44" s="13"/>
      <c r="J44" s="13"/>
      <c r="K44" s="12"/>
      <c r="L44" s="13"/>
      <c r="M44" s="12"/>
      <c r="N44" s="12"/>
      <c r="O44" s="12"/>
      <c r="P44" s="14" t="str">
        <f t="shared" si="21"/>
        <v/>
      </c>
      <c r="Q44" s="15" t="str">
        <f t="shared" si="22"/>
        <v/>
      </c>
      <c r="R44" s="13"/>
      <c r="S44" s="12"/>
      <c r="T44" s="12"/>
      <c r="U44" s="12"/>
      <c r="V44" s="14" t="str">
        <f t="shared" si="23"/>
        <v/>
      </c>
      <c r="W44" s="15" t="str">
        <f t="shared" si="24"/>
        <v/>
      </c>
      <c r="X44" s="12"/>
      <c r="Y44" s="14" t="str">
        <f t="shared" si="25"/>
        <v/>
      </c>
      <c r="Z44" s="12"/>
      <c r="AA44" s="12"/>
      <c r="AB44" s="16"/>
      <c r="AC44" s="13"/>
      <c r="AD44" s="13"/>
      <c r="AE44" s="13"/>
      <c r="AF44" s="16"/>
      <c r="AG44" s="12"/>
      <c r="AH44" s="13"/>
      <c r="AI44" s="12"/>
      <c r="AJ44" s="14" t="str">
        <f t="shared" si="26"/>
        <v/>
      </c>
      <c r="AK44" s="14" t="str">
        <f t="shared" si="27"/>
        <v/>
      </c>
      <c r="AL44" s="17" t="str">
        <f t="shared" si="28"/>
        <v/>
      </c>
      <c r="AM44" s="16"/>
      <c r="AN44" s="12"/>
      <c r="AO44" s="16"/>
      <c r="AP44" s="12"/>
      <c r="AQ44" s="12"/>
      <c r="AR44" s="14" t="str">
        <f t="shared" si="29"/>
        <v/>
      </c>
      <c r="AS44" s="15" t="str">
        <f t="shared" si="30"/>
        <v/>
      </c>
      <c r="AT44" s="12"/>
      <c r="AU44" s="13"/>
      <c r="AV44" s="12"/>
      <c r="AW44" s="16"/>
      <c r="AX44" s="13"/>
      <c r="AY44" s="17" t="str">
        <f t="shared" si="31"/>
        <v/>
      </c>
      <c r="AZ44" s="14" t="str">
        <f t="shared" ca="1" si="32"/>
        <v/>
      </c>
      <c r="BA44" s="13"/>
      <c r="BB44" s="12"/>
      <c r="BC44" s="14" t="str">
        <f>IF($V44="","",1+COUNTIF($V$5:$V$154,"&gt;"&amp;$V44)+COUNTIFS($V$5:$V$154,$V44,$U$5:$U$154,"&gt;"&amp;$U44)+COUNTIFS($V$4:$V43,$V44,$U$4:$U43,$U44))</f>
        <v/>
      </c>
      <c r="BD44" s="12"/>
      <c r="BE44" s="12"/>
      <c r="BF44" s="12"/>
      <c r="BG44" s="62"/>
      <c r="BH44" s="62"/>
      <c r="BI44" s="63" t="str">
        <f t="shared" si="33"/>
        <v/>
      </c>
      <c r="BJ44" s="18" t="str">
        <f t="shared" si="34"/>
        <v/>
      </c>
      <c r="BK44" s="12"/>
      <c r="BL44" s="117"/>
      <c r="BM44" s="117"/>
      <c r="BN44" s="16"/>
      <c r="BO44" s="117"/>
      <c r="BP44" s="117"/>
      <c r="BQ44" s="117"/>
      <c r="BR44" s="117"/>
      <c r="BS44" s="117"/>
      <c r="BT44" s="117"/>
      <c r="BU44" s="117"/>
      <c r="BV44" s="117"/>
      <c r="BW44" s="14" t="str">
        <f t="shared" si="35"/>
        <v/>
      </c>
      <c r="BX44" s="14" t="str">
        <f t="shared" si="36"/>
        <v/>
      </c>
      <c r="BY44" s="14" t="str">
        <f t="shared" si="37"/>
        <v/>
      </c>
      <c r="BZ44" s="15" t="str">
        <f t="shared" si="38"/>
        <v/>
      </c>
      <c r="CA44" s="15" t="str">
        <f t="shared" si="39"/>
        <v/>
      </c>
      <c r="CB44" s="117"/>
      <c r="CC44" s="117"/>
      <c r="CD44" s="117"/>
      <c r="CE44" s="117"/>
      <c r="CF44" s="117"/>
      <c r="CG44" s="14" t="str">
        <f t="shared" si="40"/>
        <v/>
      </c>
      <c r="CH44" s="15" t="str">
        <f t="shared" si="41"/>
        <v/>
      </c>
      <c r="CI44" s="117"/>
    </row>
    <row r="45" spans="1:87">
      <c r="A45" s="115"/>
      <c r="B45" s="12"/>
      <c r="C45" s="13"/>
      <c r="D45" s="13"/>
      <c r="E45" s="12"/>
      <c r="F45" s="12"/>
      <c r="G45" s="13"/>
      <c r="H45" s="12"/>
      <c r="I45" s="13"/>
      <c r="J45" s="13"/>
      <c r="K45" s="12"/>
      <c r="L45" s="13"/>
      <c r="M45" s="12"/>
      <c r="N45" s="12"/>
      <c r="O45" s="12"/>
      <c r="P45" s="14" t="str">
        <f t="shared" si="21"/>
        <v/>
      </c>
      <c r="Q45" s="15" t="str">
        <f t="shared" si="22"/>
        <v/>
      </c>
      <c r="R45" s="13"/>
      <c r="S45" s="12"/>
      <c r="T45" s="12"/>
      <c r="U45" s="12"/>
      <c r="V45" s="14" t="str">
        <f t="shared" si="23"/>
        <v/>
      </c>
      <c r="W45" s="15" t="str">
        <f t="shared" si="24"/>
        <v/>
      </c>
      <c r="X45" s="12"/>
      <c r="Y45" s="14" t="str">
        <f t="shared" si="25"/>
        <v/>
      </c>
      <c r="Z45" s="12"/>
      <c r="AA45" s="12"/>
      <c r="AB45" s="16"/>
      <c r="AC45" s="13"/>
      <c r="AD45" s="13"/>
      <c r="AE45" s="13"/>
      <c r="AF45" s="16"/>
      <c r="AG45" s="12"/>
      <c r="AH45" s="13"/>
      <c r="AI45" s="12"/>
      <c r="AJ45" s="14" t="str">
        <f t="shared" si="26"/>
        <v/>
      </c>
      <c r="AK45" s="14" t="str">
        <f t="shared" si="27"/>
        <v/>
      </c>
      <c r="AL45" s="17" t="str">
        <f t="shared" si="28"/>
        <v/>
      </c>
      <c r="AM45" s="16"/>
      <c r="AN45" s="12"/>
      <c r="AO45" s="16"/>
      <c r="AP45" s="12"/>
      <c r="AQ45" s="12"/>
      <c r="AR45" s="14" t="str">
        <f t="shared" si="29"/>
        <v/>
      </c>
      <c r="AS45" s="15" t="str">
        <f t="shared" si="30"/>
        <v/>
      </c>
      <c r="AT45" s="12"/>
      <c r="AU45" s="13"/>
      <c r="AV45" s="12"/>
      <c r="AW45" s="16"/>
      <c r="AX45" s="13"/>
      <c r="AY45" s="17" t="str">
        <f t="shared" si="31"/>
        <v/>
      </c>
      <c r="AZ45" s="14" t="str">
        <f t="shared" ca="1" si="32"/>
        <v/>
      </c>
      <c r="BA45" s="13"/>
      <c r="BB45" s="12"/>
      <c r="BC45" s="14" t="str">
        <f>IF($V45="","",1+COUNTIF($V$5:$V$154,"&gt;"&amp;$V45)+COUNTIFS($V$5:$V$154,$V45,$U$5:$U$154,"&gt;"&amp;$U45)+COUNTIFS($V$4:$V44,$V45,$U$4:$U44,$U45))</f>
        <v/>
      </c>
      <c r="BD45" s="12"/>
      <c r="BE45" s="12"/>
      <c r="BF45" s="12"/>
      <c r="BG45" s="62"/>
      <c r="BH45" s="62"/>
      <c r="BI45" s="63" t="str">
        <f t="shared" si="33"/>
        <v/>
      </c>
      <c r="BJ45" s="18" t="str">
        <f t="shared" si="34"/>
        <v/>
      </c>
      <c r="BK45" s="12"/>
      <c r="BL45" s="117"/>
      <c r="BM45" s="117"/>
      <c r="BN45" s="16"/>
      <c r="BO45" s="117"/>
      <c r="BP45" s="117"/>
      <c r="BQ45" s="117"/>
      <c r="BR45" s="117"/>
      <c r="BS45" s="117"/>
      <c r="BT45" s="117"/>
      <c r="BU45" s="117"/>
      <c r="BV45" s="117"/>
      <c r="BW45" s="14" t="str">
        <f t="shared" si="35"/>
        <v/>
      </c>
      <c r="BX45" s="14" t="str">
        <f t="shared" si="36"/>
        <v/>
      </c>
      <c r="BY45" s="14" t="str">
        <f t="shared" si="37"/>
        <v/>
      </c>
      <c r="BZ45" s="15" t="str">
        <f t="shared" si="38"/>
        <v/>
      </c>
      <c r="CA45" s="15" t="str">
        <f t="shared" si="39"/>
        <v/>
      </c>
      <c r="CB45" s="117"/>
      <c r="CC45" s="117"/>
      <c r="CD45" s="117"/>
      <c r="CE45" s="117"/>
      <c r="CF45" s="117"/>
      <c r="CG45" s="14" t="str">
        <f t="shared" si="40"/>
        <v/>
      </c>
      <c r="CH45" s="15" t="str">
        <f t="shared" si="41"/>
        <v/>
      </c>
      <c r="CI45" s="117"/>
    </row>
    <row r="46" spans="1:87">
      <c r="A46" s="115"/>
      <c r="B46" s="12"/>
      <c r="C46" s="13"/>
      <c r="D46" s="13"/>
      <c r="E46" s="12"/>
      <c r="F46" s="12"/>
      <c r="G46" s="13"/>
      <c r="H46" s="12"/>
      <c r="I46" s="13"/>
      <c r="J46" s="13"/>
      <c r="K46" s="12"/>
      <c r="L46" s="13"/>
      <c r="M46" s="12"/>
      <c r="N46" s="12"/>
      <c r="O46" s="12"/>
      <c r="P46" s="14" t="str">
        <f t="shared" si="21"/>
        <v/>
      </c>
      <c r="Q46" s="15" t="str">
        <f t="shared" si="22"/>
        <v/>
      </c>
      <c r="R46" s="13"/>
      <c r="S46" s="12"/>
      <c r="T46" s="12"/>
      <c r="U46" s="12"/>
      <c r="V46" s="14" t="str">
        <f t="shared" si="23"/>
        <v/>
      </c>
      <c r="W46" s="15" t="str">
        <f t="shared" si="24"/>
        <v/>
      </c>
      <c r="X46" s="12"/>
      <c r="Y46" s="14" t="str">
        <f t="shared" si="25"/>
        <v/>
      </c>
      <c r="Z46" s="12"/>
      <c r="AA46" s="12"/>
      <c r="AB46" s="16"/>
      <c r="AC46" s="13"/>
      <c r="AD46" s="13"/>
      <c r="AE46" s="13"/>
      <c r="AF46" s="16"/>
      <c r="AG46" s="12"/>
      <c r="AH46" s="13"/>
      <c r="AI46" s="12"/>
      <c r="AJ46" s="14" t="str">
        <f t="shared" si="26"/>
        <v/>
      </c>
      <c r="AK46" s="14" t="str">
        <f t="shared" si="27"/>
        <v/>
      </c>
      <c r="AL46" s="17" t="str">
        <f t="shared" si="28"/>
        <v/>
      </c>
      <c r="AM46" s="16"/>
      <c r="AN46" s="12"/>
      <c r="AO46" s="16"/>
      <c r="AP46" s="12"/>
      <c r="AQ46" s="12"/>
      <c r="AR46" s="14" t="str">
        <f t="shared" si="29"/>
        <v/>
      </c>
      <c r="AS46" s="15" t="str">
        <f t="shared" si="30"/>
        <v/>
      </c>
      <c r="AT46" s="12"/>
      <c r="AU46" s="13"/>
      <c r="AV46" s="12"/>
      <c r="AW46" s="16"/>
      <c r="AX46" s="13"/>
      <c r="AY46" s="17" t="str">
        <f t="shared" si="31"/>
        <v/>
      </c>
      <c r="AZ46" s="14" t="str">
        <f t="shared" ca="1" si="32"/>
        <v/>
      </c>
      <c r="BA46" s="13"/>
      <c r="BB46" s="12"/>
      <c r="BC46" s="14" t="str">
        <f>IF($V46="","",1+COUNTIF($V$5:$V$154,"&gt;"&amp;$V46)+COUNTIFS($V$5:$V$154,$V46,$U$5:$U$154,"&gt;"&amp;$U46)+COUNTIFS($V$4:$V45,$V46,$U$4:$U45,$U46))</f>
        <v/>
      </c>
      <c r="BD46" s="12"/>
      <c r="BE46" s="12"/>
      <c r="BF46" s="12"/>
      <c r="BG46" s="62"/>
      <c r="BH46" s="62"/>
      <c r="BI46" s="63" t="str">
        <f t="shared" si="33"/>
        <v/>
      </c>
      <c r="BJ46" s="18" t="str">
        <f t="shared" si="34"/>
        <v/>
      </c>
      <c r="BK46" s="12"/>
      <c r="BL46" s="117"/>
      <c r="BM46" s="117"/>
      <c r="BN46" s="16"/>
      <c r="BO46" s="117"/>
      <c r="BP46" s="117"/>
      <c r="BQ46" s="117"/>
      <c r="BR46" s="117"/>
      <c r="BS46" s="117"/>
      <c r="BT46" s="117"/>
      <c r="BU46" s="117"/>
      <c r="BV46" s="117"/>
      <c r="BW46" s="14" t="str">
        <f t="shared" si="35"/>
        <v/>
      </c>
      <c r="BX46" s="14" t="str">
        <f t="shared" si="36"/>
        <v/>
      </c>
      <c r="BY46" s="14" t="str">
        <f t="shared" si="37"/>
        <v/>
      </c>
      <c r="BZ46" s="15" t="str">
        <f t="shared" si="38"/>
        <v/>
      </c>
      <c r="CA46" s="15" t="str">
        <f t="shared" si="39"/>
        <v/>
      </c>
      <c r="CB46" s="117"/>
      <c r="CC46" s="117"/>
      <c r="CD46" s="117"/>
      <c r="CE46" s="117"/>
      <c r="CF46" s="117"/>
      <c r="CG46" s="14" t="str">
        <f t="shared" si="40"/>
        <v/>
      </c>
      <c r="CH46" s="15" t="str">
        <f t="shared" si="41"/>
        <v/>
      </c>
      <c r="CI46" s="117"/>
    </row>
    <row r="47" spans="1:87">
      <c r="A47" s="115"/>
      <c r="B47" s="12"/>
      <c r="C47" s="13"/>
      <c r="D47" s="13"/>
      <c r="E47" s="12"/>
      <c r="F47" s="12"/>
      <c r="G47" s="13"/>
      <c r="H47" s="12"/>
      <c r="I47" s="13"/>
      <c r="J47" s="13"/>
      <c r="K47" s="12"/>
      <c r="L47" s="13"/>
      <c r="M47" s="12"/>
      <c r="N47" s="12"/>
      <c r="O47" s="12"/>
      <c r="P47" s="14" t="str">
        <f t="shared" si="21"/>
        <v/>
      </c>
      <c r="Q47" s="15" t="str">
        <f t="shared" si="22"/>
        <v/>
      </c>
      <c r="R47" s="13"/>
      <c r="S47" s="12"/>
      <c r="T47" s="12"/>
      <c r="U47" s="12"/>
      <c r="V47" s="14" t="str">
        <f t="shared" si="23"/>
        <v/>
      </c>
      <c r="W47" s="15" t="str">
        <f t="shared" si="24"/>
        <v/>
      </c>
      <c r="X47" s="12"/>
      <c r="Y47" s="14" t="str">
        <f t="shared" si="25"/>
        <v/>
      </c>
      <c r="Z47" s="12"/>
      <c r="AA47" s="12"/>
      <c r="AB47" s="16"/>
      <c r="AC47" s="13"/>
      <c r="AD47" s="13"/>
      <c r="AE47" s="13"/>
      <c r="AF47" s="16"/>
      <c r="AG47" s="12"/>
      <c r="AH47" s="13"/>
      <c r="AI47" s="12"/>
      <c r="AJ47" s="14" t="str">
        <f t="shared" si="26"/>
        <v/>
      </c>
      <c r="AK47" s="14" t="str">
        <f t="shared" si="27"/>
        <v/>
      </c>
      <c r="AL47" s="17" t="str">
        <f t="shared" si="28"/>
        <v/>
      </c>
      <c r="AM47" s="16"/>
      <c r="AN47" s="12"/>
      <c r="AO47" s="16"/>
      <c r="AP47" s="12"/>
      <c r="AQ47" s="12"/>
      <c r="AR47" s="14" t="str">
        <f t="shared" si="29"/>
        <v/>
      </c>
      <c r="AS47" s="15" t="str">
        <f t="shared" si="30"/>
        <v/>
      </c>
      <c r="AT47" s="12"/>
      <c r="AU47" s="13"/>
      <c r="AV47" s="12"/>
      <c r="AW47" s="16"/>
      <c r="AX47" s="13"/>
      <c r="AY47" s="17" t="str">
        <f t="shared" si="31"/>
        <v/>
      </c>
      <c r="AZ47" s="14" t="str">
        <f t="shared" ca="1" si="32"/>
        <v/>
      </c>
      <c r="BA47" s="13"/>
      <c r="BB47" s="12"/>
      <c r="BC47" s="14" t="str">
        <f>IF($V47="","",1+COUNTIF($V$5:$V$154,"&gt;"&amp;$V47)+COUNTIFS($V$5:$V$154,$V47,$U$5:$U$154,"&gt;"&amp;$U47)+COUNTIFS($V$4:$V46,$V47,$U$4:$U46,$U47))</f>
        <v/>
      </c>
      <c r="BD47" s="12"/>
      <c r="BE47" s="12"/>
      <c r="BF47" s="12"/>
      <c r="BG47" s="62"/>
      <c r="BH47" s="62"/>
      <c r="BI47" s="63" t="str">
        <f t="shared" si="33"/>
        <v/>
      </c>
      <c r="BJ47" s="18" t="str">
        <f t="shared" si="34"/>
        <v/>
      </c>
      <c r="BK47" s="12"/>
      <c r="BL47" s="117"/>
      <c r="BM47" s="117"/>
      <c r="BN47" s="16"/>
      <c r="BO47" s="117"/>
      <c r="BP47" s="117"/>
      <c r="BQ47" s="117"/>
      <c r="BR47" s="117"/>
      <c r="BS47" s="117"/>
      <c r="BT47" s="117"/>
      <c r="BU47" s="117"/>
      <c r="BV47" s="117"/>
      <c r="BW47" s="14" t="str">
        <f t="shared" si="35"/>
        <v/>
      </c>
      <c r="BX47" s="14" t="str">
        <f t="shared" si="36"/>
        <v/>
      </c>
      <c r="BY47" s="14" t="str">
        <f t="shared" si="37"/>
        <v/>
      </c>
      <c r="BZ47" s="15" t="str">
        <f t="shared" si="38"/>
        <v/>
      </c>
      <c r="CA47" s="15" t="str">
        <f t="shared" si="39"/>
        <v/>
      </c>
      <c r="CB47" s="117"/>
      <c r="CC47" s="117"/>
      <c r="CD47" s="117"/>
      <c r="CE47" s="117"/>
      <c r="CF47" s="117"/>
      <c r="CG47" s="14" t="str">
        <f t="shared" si="40"/>
        <v/>
      </c>
      <c r="CH47" s="15" t="str">
        <f t="shared" si="41"/>
        <v/>
      </c>
      <c r="CI47" s="117"/>
    </row>
    <row r="48" spans="1:87">
      <c r="A48" s="115"/>
      <c r="B48" s="12"/>
      <c r="C48" s="13"/>
      <c r="D48" s="13"/>
      <c r="E48" s="12"/>
      <c r="F48" s="12"/>
      <c r="G48" s="13"/>
      <c r="H48" s="12"/>
      <c r="I48" s="13"/>
      <c r="J48" s="13"/>
      <c r="K48" s="12"/>
      <c r="L48" s="13"/>
      <c r="M48" s="12"/>
      <c r="N48" s="12"/>
      <c r="O48" s="12"/>
      <c r="P48" s="14" t="str">
        <f t="shared" si="21"/>
        <v/>
      </c>
      <c r="Q48" s="15" t="str">
        <f t="shared" si="22"/>
        <v/>
      </c>
      <c r="R48" s="13"/>
      <c r="S48" s="12"/>
      <c r="T48" s="12"/>
      <c r="U48" s="12"/>
      <c r="V48" s="14" t="str">
        <f t="shared" si="23"/>
        <v/>
      </c>
      <c r="W48" s="15" t="str">
        <f t="shared" si="24"/>
        <v/>
      </c>
      <c r="X48" s="12"/>
      <c r="Y48" s="14" t="str">
        <f t="shared" si="25"/>
        <v/>
      </c>
      <c r="Z48" s="12"/>
      <c r="AA48" s="12"/>
      <c r="AB48" s="16"/>
      <c r="AC48" s="13"/>
      <c r="AD48" s="13"/>
      <c r="AE48" s="13"/>
      <c r="AF48" s="16"/>
      <c r="AG48" s="12"/>
      <c r="AH48" s="13"/>
      <c r="AI48" s="12"/>
      <c r="AJ48" s="14" t="str">
        <f t="shared" si="26"/>
        <v/>
      </c>
      <c r="AK48" s="14" t="str">
        <f t="shared" si="27"/>
        <v/>
      </c>
      <c r="AL48" s="17" t="str">
        <f t="shared" si="28"/>
        <v/>
      </c>
      <c r="AM48" s="16"/>
      <c r="AN48" s="12"/>
      <c r="AO48" s="16"/>
      <c r="AP48" s="12"/>
      <c r="AQ48" s="12"/>
      <c r="AR48" s="14" t="str">
        <f t="shared" si="29"/>
        <v/>
      </c>
      <c r="AS48" s="15" t="str">
        <f t="shared" si="30"/>
        <v/>
      </c>
      <c r="AT48" s="12"/>
      <c r="AU48" s="13"/>
      <c r="AV48" s="12"/>
      <c r="AW48" s="16"/>
      <c r="AX48" s="13"/>
      <c r="AY48" s="17" t="str">
        <f t="shared" si="31"/>
        <v/>
      </c>
      <c r="AZ48" s="14" t="str">
        <f t="shared" ca="1" si="32"/>
        <v/>
      </c>
      <c r="BA48" s="13"/>
      <c r="BB48" s="12"/>
      <c r="BC48" s="14" t="str">
        <f>IF($V48="","",1+COUNTIF($V$5:$V$154,"&gt;"&amp;$V48)+COUNTIFS($V$5:$V$154,$V48,$U$5:$U$154,"&gt;"&amp;$U48)+COUNTIFS($V$4:$V47,$V48,$U$4:$U47,$U48))</f>
        <v/>
      </c>
      <c r="BD48" s="12"/>
      <c r="BE48" s="12"/>
      <c r="BF48" s="12"/>
      <c r="BG48" s="62"/>
      <c r="BH48" s="62"/>
      <c r="BI48" s="63" t="str">
        <f t="shared" si="33"/>
        <v/>
      </c>
      <c r="BJ48" s="18" t="str">
        <f t="shared" si="34"/>
        <v/>
      </c>
      <c r="BK48" s="12"/>
      <c r="BL48" s="117"/>
      <c r="BM48" s="117"/>
      <c r="BN48" s="16"/>
      <c r="BO48" s="117"/>
      <c r="BP48" s="117"/>
      <c r="BQ48" s="117"/>
      <c r="BR48" s="117"/>
      <c r="BS48" s="117"/>
      <c r="BT48" s="117"/>
      <c r="BU48" s="117"/>
      <c r="BV48" s="117"/>
      <c r="BW48" s="14" t="str">
        <f t="shared" si="35"/>
        <v/>
      </c>
      <c r="BX48" s="14" t="str">
        <f t="shared" si="36"/>
        <v/>
      </c>
      <c r="BY48" s="14" t="str">
        <f t="shared" si="37"/>
        <v/>
      </c>
      <c r="BZ48" s="15" t="str">
        <f t="shared" si="38"/>
        <v/>
      </c>
      <c r="CA48" s="15" t="str">
        <f t="shared" si="39"/>
        <v/>
      </c>
      <c r="CB48" s="117"/>
      <c r="CC48" s="117"/>
      <c r="CD48" s="117"/>
      <c r="CE48" s="117"/>
      <c r="CF48" s="117"/>
      <c r="CG48" s="14" t="str">
        <f t="shared" si="40"/>
        <v/>
      </c>
      <c r="CH48" s="15" t="str">
        <f t="shared" si="41"/>
        <v/>
      </c>
      <c r="CI48" s="117"/>
    </row>
    <row r="49" spans="1:87">
      <c r="A49" s="115"/>
      <c r="B49" s="12"/>
      <c r="C49" s="13"/>
      <c r="D49" s="13"/>
      <c r="E49" s="12"/>
      <c r="F49" s="12"/>
      <c r="G49" s="13"/>
      <c r="H49" s="12"/>
      <c r="I49" s="13"/>
      <c r="J49" s="13"/>
      <c r="K49" s="12"/>
      <c r="L49" s="13"/>
      <c r="M49" s="12"/>
      <c r="N49" s="12"/>
      <c r="O49" s="12"/>
      <c r="P49" s="14" t="str">
        <f t="shared" si="21"/>
        <v/>
      </c>
      <c r="Q49" s="15" t="str">
        <f t="shared" si="22"/>
        <v/>
      </c>
      <c r="R49" s="13"/>
      <c r="S49" s="12"/>
      <c r="T49" s="12"/>
      <c r="U49" s="12"/>
      <c r="V49" s="14" t="str">
        <f t="shared" si="23"/>
        <v/>
      </c>
      <c r="W49" s="15" t="str">
        <f t="shared" si="24"/>
        <v/>
      </c>
      <c r="X49" s="12"/>
      <c r="Y49" s="14" t="str">
        <f t="shared" si="25"/>
        <v/>
      </c>
      <c r="Z49" s="12"/>
      <c r="AA49" s="12"/>
      <c r="AB49" s="16"/>
      <c r="AC49" s="13"/>
      <c r="AD49" s="13"/>
      <c r="AE49" s="13"/>
      <c r="AF49" s="16"/>
      <c r="AG49" s="12"/>
      <c r="AH49" s="13"/>
      <c r="AI49" s="12"/>
      <c r="AJ49" s="14" t="str">
        <f t="shared" si="26"/>
        <v/>
      </c>
      <c r="AK49" s="14" t="str">
        <f t="shared" si="27"/>
        <v/>
      </c>
      <c r="AL49" s="17" t="str">
        <f t="shared" si="28"/>
        <v/>
      </c>
      <c r="AM49" s="16"/>
      <c r="AN49" s="12"/>
      <c r="AO49" s="16"/>
      <c r="AP49" s="12"/>
      <c r="AQ49" s="12"/>
      <c r="AR49" s="14" t="str">
        <f t="shared" si="29"/>
        <v/>
      </c>
      <c r="AS49" s="15" t="str">
        <f t="shared" si="30"/>
        <v/>
      </c>
      <c r="AT49" s="12"/>
      <c r="AU49" s="13"/>
      <c r="AV49" s="12"/>
      <c r="AW49" s="16"/>
      <c r="AX49" s="13"/>
      <c r="AY49" s="17" t="str">
        <f t="shared" si="31"/>
        <v/>
      </c>
      <c r="AZ49" s="14" t="str">
        <f t="shared" ca="1" si="32"/>
        <v/>
      </c>
      <c r="BA49" s="13"/>
      <c r="BB49" s="12"/>
      <c r="BC49" s="14" t="str">
        <f>IF($V49="","",1+COUNTIF($V$5:$V$154,"&gt;"&amp;$V49)+COUNTIFS($V$5:$V$154,$V49,$U$5:$U$154,"&gt;"&amp;$U49)+COUNTIFS($V$4:$V48,$V49,$U$4:$U48,$U49))</f>
        <v/>
      </c>
      <c r="BD49" s="12"/>
      <c r="BE49" s="12"/>
      <c r="BF49" s="12"/>
      <c r="BG49" s="62"/>
      <c r="BH49" s="62"/>
      <c r="BI49" s="63" t="str">
        <f t="shared" si="33"/>
        <v/>
      </c>
      <c r="BJ49" s="18" t="str">
        <f t="shared" si="34"/>
        <v/>
      </c>
      <c r="BK49" s="12"/>
      <c r="BL49" s="117"/>
      <c r="BM49" s="117"/>
      <c r="BN49" s="16"/>
      <c r="BO49" s="117"/>
      <c r="BP49" s="117"/>
      <c r="BQ49" s="117"/>
      <c r="BR49" s="117"/>
      <c r="BS49" s="117"/>
      <c r="BT49" s="117"/>
      <c r="BU49" s="117"/>
      <c r="BV49" s="117"/>
      <c r="BW49" s="14" t="str">
        <f t="shared" si="35"/>
        <v/>
      </c>
      <c r="BX49" s="14" t="str">
        <f t="shared" si="36"/>
        <v/>
      </c>
      <c r="BY49" s="14" t="str">
        <f t="shared" si="37"/>
        <v/>
      </c>
      <c r="BZ49" s="15" t="str">
        <f t="shared" si="38"/>
        <v/>
      </c>
      <c r="CA49" s="15" t="str">
        <f t="shared" si="39"/>
        <v/>
      </c>
      <c r="CB49" s="117"/>
      <c r="CC49" s="117"/>
      <c r="CD49" s="117"/>
      <c r="CE49" s="117"/>
      <c r="CF49" s="117"/>
      <c r="CG49" s="14" t="str">
        <f t="shared" si="40"/>
        <v/>
      </c>
      <c r="CH49" s="15" t="str">
        <f t="shared" si="41"/>
        <v/>
      </c>
      <c r="CI49" s="117"/>
    </row>
    <row r="50" spans="1:87">
      <c r="A50" s="115"/>
      <c r="B50" s="12"/>
      <c r="C50" s="13"/>
      <c r="D50" s="13"/>
      <c r="E50" s="12"/>
      <c r="F50" s="12"/>
      <c r="G50" s="13"/>
      <c r="H50" s="12"/>
      <c r="I50" s="13"/>
      <c r="J50" s="13"/>
      <c r="K50" s="12"/>
      <c r="L50" s="13"/>
      <c r="M50" s="12"/>
      <c r="N50" s="12"/>
      <c r="O50" s="12"/>
      <c r="P50" s="14" t="str">
        <f t="shared" si="21"/>
        <v/>
      </c>
      <c r="Q50" s="15" t="str">
        <f t="shared" si="22"/>
        <v/>
      </c>
      <c r="R50" s="13"/>
      <c r="S50" s="12"/>
      <c r="T50" s="12"/>
      <c r="U50" s="12"/>
      <c r="V50" s="14" t="str">
        <f t="shared" si="23"/>
        <v/>
      </c>
      <c r="W50" s="15" t="str">
        <f t="shared" si="24"/>
        <v/>
      </c>
      <c r="X50" s="12"/>
      <c r="Y50" s="14" t="str">
        <f t="shared" si="25"/>
        <v/>
      </c>
      <c r="Z50" s="12"/>
      <c r="AA50" s="12"/>
      <c r="AB50" s="16"/>
      <c r="AC50" s="13"/>
      <c r="AD50" s="13"/>
      <c r="AE50" s="13"/>
      <c r="AF50" s="16"/>
      <c r="AG50" s="12"/>
      <c r="AH50" s="13"/>
      <c r="AI50" s="12"/>
      <c r="AJ50" s="14" t="str">
        <f t="shared" si="26"/>
        <v/>
      </c>
      <c r="AK50" s="14" t="str">
        <f t="shared" si="27"/>
        <v/>
      </c>
      <c r="AL50" s="17" t="str">
        <f t="shared" si="28"/>
        <v/>
      </c>
      <c r="AM50" s="16"/>
      <c r="AN50" s="12"/>
      <c r="AO50" s="16"/>
      <c r="AP50" s="12"/>
      <c r="AQ50" s="12"/>
      <c r="AR50" s="14" t="str">
        <f t="shared" si="29"/>
        <v/>
      </c>
      <c r="AS50" s="15" t="str">
        <f t="shared" si="30"/>
        <v/>
      </c>
      <c r="AT50" s="12"/>
      <c r="AU50" s="13"/>
      <c r="AV50" s="12"/>
      <c r="AW50" s="16"/>
      <c r="AX50" s="13"/>
      <c r="AY50" s="17" t="str">
        <f t="shared" si="31"/>
        <v/>
      </c>
      <c r="AZ50" s="14" t="str">
        <f t="shared" ca="1" si="32"/>
        <v/>
      </c>
      <c r="BA50" s="13"/>
      <c r="BB50" s="12"/>
      <c r="BC50" s="14" t="str">
        <f>IF($V50="","",1+COUNTIF($V$5:$V$154,"&gt;"&amp;$V50)+COUNTIFS($V$5:$V$154,$V50,$U$5:$U$154,"&gt;"&amp;$U50)+COUNTIFS($V$4:$V49,$V50,$U$4:$U49,$U50))</f>
        <v/>
      </c>
      <c r="BD50" s="12"/>
      <c r="BE50" s="12"/>
      <c r="BF50" s="12"/>
      <c r="BG50" s="62"/>
      <c r="BH50" s="62"/>
      <c r="BI50" s="63" t="str">
        <f t="shared" si="33"/>
        <v/>
      </c>
      <c r="BJ50" s="18" t="str">
        <f t="shared" si="34"/>
        <v/>
      </c>
      <c r="BK50" s="12"/>
      <c r="BL50" s="117"/>
      <c r="BM50" s="117"/>
      <c r="BN50" s="16"/>
      <c r="BO50" s="117"/>
      <c r="BP50" s="117"/>
      <c r="BQ50" s="117"/>
      <c r="BR50" s="117"/>
      <c r="BS50" s="117"/>
      <c r="BT50" s="117"/>
      <c r="BU50" s="117"/>
      <c r="BV50" s="117"/>
      <c r="BW50" s="14" t="str">
        <f t="shared" si="35"/>
        <v/>
      </c>
      <c r="BX50" s="14" t="str">
        <f t="shared" si="36"/>
        <v/>
      </c>
      <c r="BY50" s="14" t="str">
        <f t="shared" si="37"/>
        <v/>
      </c>
      <c r="BZ50" s="15" t="str">
        <f t="shared" si="38"/>
        <v/>
      </c>
      <c r="CA50" s="15" t="str">
        <f t="shared" si="39"/>
        <v/>
      </c>
      <c r="CB50" s="117"/>
      <c r="CC50" s="117"/>
      <c r="CD50" s="117"/>
      <c r="CE50" s="117"/>
      <c r="CF50" s="117"/>
      <c r="CG50" s="14" t="str">
        <f t="shared" si="40"/>
        <v/>
      </c>
      <c r="CH50" s="15" t="str">
        <f t="shared" si="41"/>
        <v/>
      </c>
      <c r="CI50" s="117"/>
    </row>
    <row r="51" spans="1:87">
      <c r="A51" s="115"/>
      <c r="B51" s="12"/>
      <c r="C51" s="13"/>
      <c r="D51" s="13"/>
      <c r="E51" s="12"/>
      <c r="F51" s="12"/>
      <c r="G51" s="13"/>
      <c r="H51" s="12"/>
      <c r="I51" s="13"/>
      <c r="J51" s="13"/>
      <c r="K51" s="12"/>
      <c r="L51" s="13"/>
      <c r="M51" s="12"/>
      <c r="N51" s="12"/>
      <c r="O51" s="12"/>
      <c r="P51" s="14" t="str">
        <f t="shared" si="21"/>
        <v/>
      </c>
      <c r="Q51" s="15" t="str">
        <f t="shared" si="22"/>
        <v/>
      </c>
      <c r="R51" s="13"/>
      <c r="S51" s="12"/>
      <c r="T51" s="12"/>
      <c r="U51" s="12"/>
      <c r="V51" s="14" t="str">
        <f t="shared" si="23"/>
        <v/>
      </c>
      <c r="W51" s="15" t="str">
        <f t="shared" si="24"/>
        <v/>
      </c>
      <c r="X51" s="12"/>
      <c r="Y51" s="14" t="str">
        <f t="shared" si="25"/>
        <v/>
      </c>
      <c r="Z51" s="12"/>
      <c r="AA51" s="12"/>
      <c r="AB51" s="16"/>
      <c r="AC51" s="13"/>
      <c r="AD51" s="13"/>
      <c r="AE51" s="13"/>
      <c r="AF51" s="16"/>
      <c r="AG51" s="12"/>
      <c r="AH51" s="13"/>
      <c r="AI51" s="12"/>
      <c r="AJ51" s="14" t="str">
        <f t="shared" si="26"/>
        <v/>
      </c>
      <c r="AK51" s="14" t="str">
        <f t="shared" si="27"/>
        <v/>
      </c>
      <c r="AL51" s="17" t="str">
        <f t="shared" si="28"/>
        <v/>
      </c>
      <c r="AM51" s="16"/>
      <c r="AN51" s="12"/>
      <c r="AO51" s="16"/>
      <c r="AP51" s="12"/>
      <c r="AQ51" s="12"/>
      <c r="AR51" s="14" t="str">
        <f t="shared" si="29"/>
        <v/>
      </c>
      <c r="AS51" s="15" t="str">
        <f t="shared" si="30"/>
        <v/>
      </c>
      <c r="AT51" s="12"/>
      <c r="AU51" s="13"/>
      <c r="AV51" s="12"/>
      <c r="AW51" s="16"/>
      <c r="AX51" s="13"/>
      <c r="AY51" s="17" t="str">
        <f t="shared" si="31"/>
        <v/>
      </c>
      <c r="AZ51" s="14" t="str">
        <f t="shared" ca="1" si="32"/>
        <v/>
      </c>
      <c r="BA51" s="13"/>
      <c r="BB51" s="12"/>
      <c r="BC51" s="14" t="str">
        <f>IF($V51="","",1+COUNTIF($V$5:$V$154,"&gt;"&amp;$V51)+COUNTIFS($V$5:$V$154,$V51,$U$5:$U$154,"&gt;"&amp;$U51)+COUNTIFS($V$4:$V50,$V51,$U$4:$U50,$U51))</f>
        <v/>
      </c>
      <c r="BD51" s="12"/>
      <c r="BE51" s="12"/>
      <c r="BF51" s="12"/>
      <c r="BG51" s="62"/>
      <c r="BH51" s="62"/>
      <c r="BI51" s="63" t="str">
        <f t="shared" si="33"/>
        <v/>
      </c>
      <c r="BJ51" s="18" t="str">
        <f t="shared" si="34"/>
        <v/>
      </c>
      <c r="BK51" s="12"/>
      <c r="BL51" s="117"/>
      <c r="BM51" s="117"/>
      <c r="BN51" s="16"/>
      <c r="BO51" s="117"/>
      <c r="BP51" s="117"/>
      <c r="BQ51" s="117"/>
      <c r="BR51" s="117"/>
      <c r="BS51" s="117"/>
      <c r="BT51" s="117"/>
      <c r="BU51" s="117"/>
      <c r="BV51" s="117"/>
      <c r="BW51" s="14" t="str">
        <f t="shared" si="35"/>
        <v/>
      </c>
      <c r="BX51" s="14" t="str">
        <f t="shared" si="36"/>
        <v/>
      </c>
      <c r="BY51" s="14" t="str">
        <f t="shared" si="37"/>
        <v/>
      </c>
      <c r="BZ51" s="15" t="str">
        <f t="shared" si="38"/>
        <v/>
      </c>
      <c r="CA51" s="15" t="str">
        <f t="shared" si="39"/>
        <v/>
      </c>
      <c r="CB51" s="117"/>
      <c r="CC51" s="117"/>
      <c r="CD51" s="117"/>
      <c r="CE51" s="117"/>
      <c r="CF51" s="117"/>
      <c r="CG51" s="14" t="str">
        <f t="shared" si="40"/>
        <v/>
      </c>
      <c r="CH51" s="15" t="str">
        <f t="shared" si="41"/>
        <v/>
      </c>
      <c r="CI51" s="117"/>
    </row>
    <row r="52" spans="1:87">
      <c r="A52" s="115"/>
      <c r="B52" s="12"/>
      <c r="C52" s="13"/>
      <c r="D52" s="13"/>
      <c r="E52" s="12"/>
      <c r="F52" s="12"/>
      <c r="G52" s="13"/>
      <c r="H52" s="12"/>
      <c r="I52" s="13"/>
      <c r="J52" s="13"/>
      <c r="K52" s="12"/>
      <c r="L52" s="13"/>
      <c r="M52" s="12"/>
      <c r="N52" s="12"/>
      <c r="O52" s="12"/>
      <c r="P52" s="14" t="str">
        <f t="shared" si="21"/>
        <v/>
      </c>
      <c r="Q52" s="15" t="str">
        <f t="shared" si="22"/>
        <v/>
      </c>
      <c r="R52" s="13"/>
      <c r="S52" s="12"/>
      <c r="T52" s="12"/>
      <c r="U52" s="12"/>
      <c r="V52" s="14" t="str">
        <f t="shared" si="23"/>
        <v/>
      </c>
      <c r="W52" s="15" t="str">
        <f t="shared" si="24"/>
        <v/>
      </c>
      <c r="X52" s="12"/>
      <c r="Y52" s="14" t="str">
        <f t="shared" si="25"/>
        <v/>
      </c>
      <c r="Z52" s="12"/>
      <c r="AA52" s="12"/>
      <c r="AB52" s="16"/>
      <c r="AC52" s="13"/>
      <c r="AD52" s="13"/>
      <c r="AE52" s="13"/>
      <c r="AF52" s="16"/>
      <c r="AG52" s="12"/>
      <c r="AH52" s="13"/>
      <c r="AI52" s="12"/>
      <c r="AJ52" s="14" t="str">
        <f t="shared" si="26"/>
        <v/>
      </c>
      <c r="AK52" s="14" t="str">
        <f t="shared" si="27"/>
        <v/>
      </c>
      <c r="AL52" s="17" t="str">
        <f t="shared" si="28"/>
        <v/>
      </c>
      <c r="AM52" s="16"/>
      <c r="AN52" s="12"/>
      <c r="AO52" s="16"/>
      <c r="AP52" s="12"/>
      <c r="AQ52" s="12"/>
      <c r="AR52" s="14" t="str">
        <f t="shared" si="29"/>
        <v/>
      </c>
      <c r="AS52" s="15" t="str">
        <f t="shared" si="30"/>
        <v/>
      </c>
      <c r="AT52" s="12"/>
      <c r="AU52" s="13"/>
      <c r="AV52" s="12"/>
      <c r="AW52" s="16"/>
      <c r="AX52" s="13"/>
      <c r="AY52" s="17" t="str">
        <f t="shared" si="31"/>
        <v/>
      </c>
      <c r="AZ52" s="14" t="str">
        <f t="shared" ca="1" si="32"/>
        <v/>
      </c>
      <c r="BA52" s="13"/>
      <c r="BB52" s="12"/>
      <c r="BC52" s="14" t="str">
        <f>IF($V52="","",1+COUNTIF($V$5:$V$154,"&gt;"&amp;$V52)+COUNTIFS($V$5:$V$154,$V52,$U$5:$U$154,"&gt;"&amp;$U52)+COUNTIFS($V$4:$V51,$V52,$U$4:$U51,$U52))</f>
        <v/>
      </c>
      <c r="BD52" s="12"/>
      <c r="BE52" s="12"/>
      <c r="BF52" s="12"/>
      <c r="BG52" s="62"/>
      <c r="BH52" s="62"/>
      <c r="BI52" s="63" t="str">
        <f t="shared" si="33"/>
        <v/>
      </c>
      <c r="BJ52" s="18" t="str">
        <f t="shared" si="34"/>
        <v/>
      </c>
      <c r="BK52" s="12"/>
      <c r="BL52" s="117"/>
      <c r="BM52" s="117"/>
      <c r="BN52" s="16"/>
      <c r="BO52" s="117"/>
      <c r="BP52" s="117"/>
      <c r="BQ52" s="117"/>
      <c r="BR52" s="117"/>
      <c r="BS52" s="117"/>
      <c r="BT52" s="117"/>
      <c r="BU52" s="117"/>
      <c r="BV52" s="117"/>
      <c r="BW52" s="14" t="str">
        <f t="shared" si="35"/>
        <v/>
      </c>
      <c r="BX52" s="14" t="str">
        <f t="shared" si="36"/>
        <v/>
      </c>
      <c r="BY52" s="14" t="str">
        <f t="shared" si="37"/>
        <v/>
      </c>
      <c r="BZ52" s="15" t="str">
        <f t="shared" si="38"/>
        <v/>
      </c>
      <c r="CA52" s="15" t="str">
        <f t="shared" si="39"/>
        <v/>
      </c>
      <c r="CB52" s="117"/>
      <c r="CC52" s="117"/>
      <c r="CD52" s="117"/>
      <c r="CE52" s="117"/>
      <c r="CF52" s="117"/>
      <c r="CG52" s="14" t="str">
        <f t="shared" si="40"/>
        <v/>
      </c>
      <c r="CH52" s="15" t="str">
        <f t="shared" si="41"/>
        <v/>
      </c>
      <c r="CI52" s="117"/>
    </row>
    <row r="53" spans="1:87">
      <c r="A53" s="115"/>
      <c r="B53" s="12"/>
      <c r="C53" s="13"/>
      <c r="D53" s="13"/>
      <c r="E53" s="12"/>
      <c r="F53" s="12"/>
      <c r="G53" s="13"/>
      <c r="H53" s="12"/>
      <c r="I53" s="13"/>
      <c r="J53" s="13"/>
      <c r="K53" s="12"/>
      <c r="L53" s="13"/>
      <c r="M53" s="12"/>
      <c r="N53" s="12"/>
      <c r="O53" s="12"/>
      <c r="P53" s="14" t="str">
        <f t="shared" si="21"/>
        <v/>
      </c>
      <c r="Q53" s="15" t="str">
        <f t="shared" si="22"/>
        <v/>
      </c>
      <c r="R53" s="13"/>
      <c r="S53" s="12"/>
      <c r="T53" s="12"/>
      <c r="U53" s="12"/>
      <c r="V53" s="14" t="str">
        <f t="shared" si="23"/>
        <v/>
      </c>
      <c r="W53" s="15" t="str">
        <f t="shared" si="24"/>
        <v/>
      </c>
      <c r="X53" s="12"/>
      <c r="Y53" s="14" t="str">
        <f t="shared" si="25"/>
        <v/>
      </c>
      <c r="Z53" s="12"/>
      <c r="AA53" s="12"/>
      <c r="AB53" s="16"/>
      <c r="AC53" s="13"/>
      <c r="AD53" s="13"/>
      <c r="AE53" s="13"/>
      <c r="AF53" s="16"/>
      <c r="AG53" s="12"/>
      <c r="AH53" s="13"/>
      <c r="AI53" s="12"/>
      <c r="AJ53" s="14" t="str">
        <f t="shared" si="26"/>
        <v/>
      </c>
      <c r="AK53" s="14" t="str">
        <f t="shared" si="27"/>
        <v/>
      </c>
      <c r="AL53" s="17" t="str">
        <f t="shared" si="28"/>
        <v/>
      </c>
      <c r="AM53" s="16"/>
      <c r="AN53" s="12"/>
      <c r="AO53" s="16"/>
      <c r="AP53" s="12"/>
      <c r="AQ53" s="12"/>
      <c r="AR53" s="14" t="str">
        <f t="shared" si="29"/>
        <v/>
      </c>
      <c r="AS53" s="15" t="str">
        <f t="shared" si="30"/>
        <v/>
      </c>
      <c r="AT53" s="12"/>
      <c r="AU53" s="13"/>
      <c r="AV53" s="12"/>
      <c r="AW53" s="16"/>
      <c r="AX53" s="13"/>
      <c r="AY53" s="17" t="str">
        <f t="shared" si="31"/>
        <v/>
      </c>
      <c r="AZ53" s="14" t="str">
        <f t="shared" ca="1" si="32"/>
        <v/>
      </c>
      <c r="BA53" s="13"/>
      <c r="BB53" s="12"/>
      <c r="BC53" s="14" t="str">
        <f>IF($V53="","",1+COUNTIF($V$5:$V$154,"&gt;"&amp;$V53)+COUNTIFS($V$5:$V$154,$V53,$U$5:$U$154,"&gt;"&amp;$U53)+COUNTIFS($V$4:$V52,$V53,$U$4:$U52,$U53))</f>
        <v/>
      </c>
      <c r="BD53" s="12"/>
      <c r="BE53" s="12"/>
      <c r="BF53" s="12"/>
      <c r="BG53" s="62"/>
      <c r="BH53" s="62"/>
      <c r="BI53" s="63" t="str">
        <f t="shared" si="33"/>
        <v/>
      </c>
      <c r="BJ53" s="18" t="str">
        <f t="shared" si="34"/>
        <v/>
      </c>
      <c r="BK53" s="12"/>
      <c r="BL53" s="117"/>
      <c r="BM53" s="117"/>
      <c r="BN53" s="16"/>
      <c r="BO53" s="117"/>
      <c r="BP53" s="117"/>
      <c r="BQ53" s="117"/>
      <c r="BR53" s="117"/>
      <c r="BS53" s="117"/>
      <c r="BT53" s="117"/>
      <c r="BU53" s="117"/>
      <c r="BV53" s="117"/>
      <c r="BW53" s="14" t="str">
        <f t="shared" si="35"/>
        <v/>
      </c>
      <c r="BX53" s="14" t="str">
        <f t="shared" si="36"/>
        <v/>
      </c>
      <c r="BY53" s="14" t="str">
        <f t="shared" si="37"/>
        <v/>
      </c>
      <c r="BZ53" s="15" t="str">
        <f t="shared" si="38"/>
        <v/>
      </c>
      <c r="CA53" s="15" t="str">
        <f t="shared" si="39"/>
        <v/>
      </c>
      <c r="CB53" s="117"/>
      <c r="CC53" s="117"/>
      <c r="CD53" s="117"/>
      <c r="CE53" s="117"/>
      <c r="CF53" s="117"/>
      <c r="CG53" s="14" t="str">
        <f t="shared" si="40"/>
        <v/>
      </c>
      <c r="CH53" s="15" t="str">
        <f t="shared" si="41"/>
        <v/>
      </c>
      <c r="CI53" s="117"/>
    </row>
    <row r="54" spans="1:87">
      <c r="A54" s="115"/>
      <c r="B54" s="12"/>
      <c r="C54" s="13"/>
      <c r="D54" s="13"/>
      <c r="E54" s="12"/>
      <c r="F54" s="12"/>
      <c r="G54" s="13"/>
      <c r="H54" s="12"/>
      <c r="I54" s="13"/>
      <c r="J54" s="13"/>
      <c r="K54" s="12"/>
      <c r="L54" s="13"/>
      <c r="M54" s="12"/>
      <c r="N54" s="12"/>
      <c r="O54" s="12"/>
      <c r="P54" s="14" t="str">
        <f t="shared" si="21"/>
        <v/>
      </c>
      <c r="Q54" s="15" t="str">
        <f t="shared" si="22"/>
        <v/>
      </c>
      <c r="R54" s="13"/>
      <c r="S54" s="12"/>
      <c r="T54" s="12"/>
      <c r="U54" s="12"/>
      <c r="V54" s="14" t="str">
        <f t="shared" si="23"/>
        <v/>
      </c>
      <c r="W54" s="15" t="str">
        <f t="shared" si="24"/>
        <v/>
      </c>
      <c r="X54" s="12"/>
      <c r="Y54" s="14" t="str">
        <f t="shared" si="25"/>
        <v/>
      </c>
      <c r="Z54" s="12"/>
      <c r="AA54" s="12"/>
      <c r="AB54" s="16"/>
      <c r="AC54" s="13"/>
      <c r="AD54" s="13"/>
      <c r="AE54" s="13"/>
      <c r="AF54" s="16"/>
      <c r="AG54" s="12"/>
      <c r="AH54" s="13"/>
      <c r="AI54" s="12"/>
      <c r="AJ54" s="14" t="str">
        <f t="shared" si="26"/>
        <v/>
      </c>
      <c r="AK54" s="14" t="str">
        <f t="shared" si="27"/>
        <v/>
      </c>
      <c r="AL54" s="17" t="str">
        <f t="shared" si="28"/>
        <v/>
      </c>
      <c r="AM54" s="16"/>
      <c r="AN54" s="12"/>
      <c r="AO54" s="16"/>
      <c r="AP54" s="12"/>
      <c r="AQ54" s="12"/>
      <c r="AR54" s="14" t="str">
        <f t="shared" si="29"/>
        <v/>
      </c>
      <c r="AS54" s="15" t="str">
        <f t="shared" si="30"/>
        <v/>
      </c>
      <c r="AT54" s="12"/>
      <c r="AU54" s="13"/>
      <c r="AV54" s="12"/>
      <c r="AW54" s="16"/>
      <c r="AX54" s="13"/>
      <c r="AY54" s="17" t="str">
        <f t="shared" si="31"/>
        <v/>
      </c>
      <c r="AZ54" s="14" t="str">
        <f t="shared" ca="1" si="32"/>
        <v/>
      </c>
      <c r="BA54" s="13"/>
      <c r="BB54" s="12"/>
      <c r="BC54" s="14" t="str">
        <f>IF($V54="","",1+COUNTIF($V$5:$V$154,"&gt;"&amp;$V54)+COUNTIFS($V$5:$V$154,$V54,$U$5:$U$154,"&gt;"&amp;$U54)+COUNTIFS($V$4:$V53,$V54,$U$4:$U53,$U54))</f>
        <v/>
      </c>
      <c r="BD54" s="12"/>
      <c r="BE54" s="12"/>
      <c r="BF54" s="12"/>
      <c r="BG54" s="62"/>
      <c r="BH54" s="62"/>
      <c r="BI54" s="63" t="str">
        <f t="shared" si="33"/>
        <v/>
      </c>
      <c r="BJ54" s="18" t="str">
        <f t="shared" si="34"/>
        <v/>
      </c>
      <c r="BK54" s="12"/>
      <c r="BL54" s="117"/>
      <c r="BM54" s="117"/>
      <c r="BN54" s="16"/>
      <c r="BO54" s="117"/>
      <c r="BP54" s="117"/>
      <c r="BQ54" s="117"/>
      <c r="BR54" s="117"/>
      <c r="BS54" s="117"/>
      <c r="BT54" s="117"/>
      <c r="BU54" s="117"/>
      <c r="BV54" s="117"/>
      <c r="BW54" s="14" t="str">
        <f t="shared" si="35"/>
        <v/>
      </c>
      <c r="BX54" s="14" t="str">
        <f t="shared" si="36"/>
        <v/>
      </c>
      <c r="BY54" s="14" t="str">
        <f t="shared" si="37"/>
        <v/>
      </c>
      <c r="BZ54" s="15" t="str">
        <f t="shared" si="38"/>
        <v/>
      </c>
      <c r="CA54" s="15" t="str">
        <f t="shared" si="39"/>
        <v/>
      </c>
      <c r="CB54" s="117"/>
      <c r="CC54" s="117"/>
      <c r="CD54" s="117"/>
      <c r="CE54" s="117"/>
      <c r="CF54" s="117"/>
      <c r="CG54" s="14" t="str">
        <f t="shared" si="40"/>
        <v/>
      </c>
      <c r="CH54" s="15" t="str">
        <f t="shared" si="41"/>
        <v/>
      </c>
      <c r="CI54" s="117"/>
    </row>
    <row r="55" spans="1:87">
      <c r="A55" s="115"/>
      <c r="B55" s="12"/>
      <c r="C55" s="13"/>
      <c r="D55" s="13"/>
      <c r="E55" s="12"/>
      <c r="F55" s="12"/>
      <c r="G55" s="13"/>
      <c r="H55" s="12"/>
      <c r="I55" s="13"/>
      <c r="J55" s="13"/>
      <c r="K55" s="12"/>
      <c r="L55" s="13"/>
      <c r="M55" s="12"/>
      <c r="N55" s="12"/>
      <c r="O55" s="12"/>
      <c r="P55" s="14" t="str">
        <f t="shared" si="21"/>
        <v/>
      </c>
      <c r="Q55" s="15" t="str">
        <f t="shared" si="22"/>
        <v/>
      </c>
      <c r="R55" s="13"/>
      <c r="S55" s="12"/>
      <c r="T55" s="12"/>
      <c r="U55" s="12"/>
      <c r="V55" s="14" t="str">
        <f t="shared" si="23"/>
        <v/>
      </c>
      <c r="W55" s="15" t="str">
        <f t="shared" si="24"/>
        <v/>
      </c>
      <c r="X55" s="12"/>
      <c r="Y55" s="14" t="str">
        <f t="shared" si="25"/>
        <v/>
      </c>
      <c r="Z55" s="12"/>
      <c r="AA55" s="12"/>
      <c r="AB55" s="16"/>
      <c r="AC55" s="13"/>
      <c r="AD55" s="13"/>
      <c r="AE55" s="13"/>
      <c r="AF55" s="16"/>
      <c r="AG55" s="12"/>
      <c r="AH55" s="13"/>
      <c r="AI55" s="12"/>
      <c r="AJ55" s="14" t="str">
        <f t="shared" si="26"/>
        <v/>
      </c>
      <c r="AK55" s="14" t="str">
        <f t="shared" si="27"/>
        <v/>
      </c>
      <c r="AL55" s="17" t="str">
        <f t="shared" si="28"/>
        <v/>
      </c>
      <c r="AM55" s="16"/>
      <c r="AN55" s="12"/>
      <c r="AO55" s="16"/>
      <c r="AP55" s="12"/>
      <c r="AQ55" s="12"/>
      <c r="AR55" s="14" t="str">
        <f t="shared" si="29"/>
        <v/>
      </c>
      <c r="AS55" s="15" t="str">
        <f t="shared" si="30"/>
        <v/>
      </c>
      <c r="AT55" s="12"/>
      <c r="AU55" s="13"/>
      <c r="AV55" s="12"/>
      <c r="AW55" s="16"/>
      <c r="AX55" s="13"/>
      <c r="AY55" s="17" t="str">
        <f t="shared" si="31"/>
        <v/>
      </c>
      <c r="AZ55" s="14" t="str">
        <f t="shared" ca="1" si="32"/>
        <v/>
      </c>
      <c r="BA55" s="13"/>
      <c r="BB55" s="12"/>
      <c r="BC55" s="14" t="str">
        <f>IF($V55="","",1+COUNTIF($V$5:$V$154,"&gt;"&amp;$V55)+COUNTIFS($V$5:$V$154,$V55,$U$5:$U$154,"&gt;"&amp;$U55)+COUNTIFS($V$4:$V54,$V55,$U$4:$U54,$U55))</f>
        <v/>
      </c>
      <c r="BD55" s="12"/>
      <c r="BE55" s="12"/>
      <c r="BF55" s="12"/>
      <c r="BG55" s="62"/>
      <c r="BH55" s="62"/>
      <c r="BI55" s="63" t="str">
        <f t="shared" si="33"/>
        <v/>
      </c>
      <c r="BJ55" s="18" t="str">
        <f t="shared" si="34"/>
        <v/>
      </c>
      <c r="BK55" s="12"/>
      <c r="BL55" s="117"/>
      <c r="BM55" s="117"/>
      <c r="BN55" s="16"/>
      <c r="BO55" s="117"/>
      <c r="BP55" s="117"/>
      <c r="BQ55" s="117"/>
      <c r="BR55" s="117"/>
      <c r="BS55" s="117"/>
      <c r="BT55" s="117"/>
      <c r="BU55" s="117"/>
      <c r="BV55" s="117"/>
      <c r="BW55" s="14" t="str">
        <f t="shared" si="35"/>
        <v/>
      </c>
      <c r="BX55" s="14" t="str">
        <f t="shared" si="36"/>
        <v/>
      </c>
      <c r="BY55" s="14" t="str">
        <f t="shared" si="37"/>
        <v/>
      </c>
      <c r="BZ55" s="15" t="str">
        <f t="shared" si="38"/>
        <v/>
      </c>
      <c r="CA55" s="15" t="str">
        <f t="shared" si="39"/>
        <v/>
      </c>
      <c r="CB55" s="117"/>
      <c r="CC55" s="117"/>
      <c r="CD55" s="117"/>
      <c r="CE55" s="117"/>
      <c r="CF55" s="117"/>
      <c r="CG55" s="14" t="str">
        <f t="shared" si="40"/>
        <v/>
      </c>
      <c r="CH55" s="15" t="str">
        <f t="shared" si="41"/>
        <v/>
      </c>
      <c r="CI55" s="117"/>
    </row>
    <row r="56" spans="1:87">
      <c r="A56" s="115"/>
      <c r="B56" s="12"/>
      <c r="C56" s="13"/>
      <c r="D56" s="13"/>
      <c r="E56" s="12"/>
      <c r="F56" s="12"/>
      <c r="G56" s="13"/>
      <c r="H56" s="12"/>
      <c r="I56" s="13"/>
      <c r="J56" s="13"/>
      <c r="K56" s="12"/>
      <c r="L56" s="13"/>
      <c r="M56" s="12"/>
      <c r="N56" s="12"/>
      <c r="O56" s="12"/>
      <c r="P56" s="14" t="str">
        <f t="shared" si="21"/>
        <v/>
      </c>
      <c r="Q56" s="15" t="str">
        <f t="shared" si="22"/>
        <v/>
      </c>
      <c r="R56" s="13"/>
      <c r="S56" s="12"/>
      <c r="T56" s="12"/>
      <c r="U56" s="12"/>
      <c r="V56" s="14" t="str">
        <f t="shared" si="23"/>
        <v/>
      </c>
      <c r="W56" s="15" t="str">
        <f t="shared" si="24"/>
        <v/>
      </c>
      <c r="X56" s="12"/>
      <c r="Y56" s="14" t="str">
        <f t="shared" si="25"/>
        <v/>
      </c>
      <c r="Z56" s="12"/>
      <c r="AA56" s="12"/>
      <c r="AB56" s="16"/>
      <c r="AC56" s="13"/>
      <c r="AD56" s="13"/>
      <c r="AE56" s="13"/>
      <c r="AF56" s="16"/>
      <c r="AG56" s="12"/>
      <c r="AH56" s="13"/>
      <c r="AI56" s="12"/>
      <c r="AJ56" s="14" t="str">
        <f t="shared" si="26"/>
        <v/>
      </c>
      <c r="AK56" s="14" t="str">
        <f t="shared" si="27"/>
        <v/>
      </c>
      <c r="AL56" s="17" t="str">
        <f t="shared" si="28"/>
        <v/>
      </c>
      <c r="AM56" s="16"/>
      <c r="AN56" s="12"/>
      <c r="AO56" s="16"/>
      <c r="AP56" s="12"/>
      <c r="AQ56" s="12"/>
      <c r="AR56" s="14" t="str">
        <f t="shared" si="29"/>
        <v/>
      </c>
      <c r="AS56" s="15" t="str">
        <f t="shared" si="30"/>
        <v/>
      </c>
      <c r="AT56" s="12"/>
      <c r="AU56" s="13"/>
      <c r="AV56" s="12"/>
      <c r="AW56" s="16"/>
      <c r="AX56" s="13"/>
      <c r="AY56" s="17" t="str">
        <f t="shared" si="31"/>
        <v/>
      </c>
      <c r="AZ56" s="14" t="str">
        <f t="shared" ca="1" si="32"/>
        <v/>
      </c>
      <c r="BA56" s="13"/>
      <c r="BB56" s="12"/>
      <c r="BC56" s="14" t="str">
        <f>IF($V56="","",1+COUNTIF($V$5:$V$154,"&gt;"&amp;$V56)+COUNTIFS($V$5:$V$154,$V56,$U$5:$U$154,"&gt;"&amp;$U56)+COUNTIFS($V$4:$V55,$V56,$U$4:$U55,$U56))</f>
        <v/>
      </c>
      <c r="BD56" s="12"/>
      <c r="BE56" s="12"/>
      <c r="BF56" s="12"/>
      <c r="BG56" s="62"/>
      <c r="BH56" s="62"/>
      <c r="BI56" s="63" t="str">
        <f t="shared" si="33"/>
        <v/>
      </c>
      <c r="BJ56" s="18" t="str">
        <f t="shared" si="34"/>
        <v/>
      </c>
      <c r="BK56" s="12"/>
      <c r="BL56" s="117"/>
      <c r="BM56" s="117"/>
      <c r="BN56" s="16"/>
      <c r="BO56" s="117"/>
      <c r="BP56" s="117"/>
      <c r="BQ56" s="117"/>
      <c r="BR56" s="117"/>
      <c r="BS56" s="117"/>
      <c r="BT56" s="117"/>
      <c r="BU56" s="117"/>
      <c r="BV56" s="117"/>
      <c r="BW56" s="14" t="str">
        <f t="shared" si="35"/>
        <v/>
      </c>
      <c r="BX56" s="14" t="str">
        <f t="shared" si="36"/>
        <v/>
      </c>
      <c r="BY56" s="14" t="str">
        <f t="shared" si="37"/>
        <v/>
      </c>
      <c r="BZ56" s="15" t="str">
        <f t="shared" si="38"/>
        <v/>
      </c>
      <c r="CA56" s="15" t="str">
        <f t="shared" si="39"/>
        <v/>
      </c>
      <c r="CB56" s="117"/>
      <c r="CC56" s="117"/>
      <c r="CD56" s="117"/>
      <c r="CE56" s="117"/>
      <c r="CF56" s="117"/>
      <c r="CG56" s="14" t="str">
        <f t="shared" si="40"/>
        <v/>
      </c>
      <c r="CH56" s="15" t="str">
        <f t="shared" si="41"/>
        <v/>
      </c>
      <c r="CI56" s="117"/>
    </row>
    <row r="57" spans="1:87">
      <c r="A57" s="115"/>
      <c r="B57" s="12"/>
      <c r="C57" s="13"/>
      <c r="D57" s="13"/>
      <c r="E57" s="12"/>
      <c r="F57" s="12"/>
      <c r="G57" s="13"/>
      <c r="H57" s="12"/>
      <c r="I57" s="13"/>
      <c r="J57" s="13"/>
      <c r="K57" s="12"/>
      <c r="L57" s="13"/>
      <c r="M57" s="12"/>
      <c r="N57" s="12"/>
      <c r="O57" s="12"/>
      <c r="P57" s="14" t="str">
        <f t="shared" si="21"/>
        <v/>
      </c>
      <c r="Q57" s="15" t="str">
        <f t="shared" si="22"/>
        <v/>
      </c>
      <c r="R57" s="13"/>
      <c r="S57" s="12"/>
      <c r="T57" s="12"/>
      <c r="U57" s="12"/>
      <c r="V57" s="14" t="str">
        <f t="shared" si="23"/>
        <v/>
      </c>
      <c r="W57" s="15" t="str">
        <f t="shared" si="24"/>
        <v/>
      </c>
      <c r="X57" s="12"/>
      <c r="Y57" s="14" t="str">
        <f t="shared" si="25"/>
        <v/>
      </c>
      <c r="Z57" s="12"/>
      <c r="AA57" s="12"/>
      <c r="AB57" s="16"/>
      <c r="AC57" s="13"/>
      <c r="AD57" s="13"/>
      <c r="AE57" s="13"/>
      <c r="AF57" s="16"/>
      <c r="AG57" s="12"/>
      <c r="AH57" s="13"/>
      <c r="AI57" s="12"/>
      <c r="AJ57" s="14" t="str">
        <f t="shared" si="26"/>
        <v/>
      </c>
      <c r="AK57" s="14" t="str">
        <f t="shared" si="27"/>
        <v/>
      </c>
      <c r="AL57" s="17" t="str">
        <f t="shared" si="28"/>
        <v/>
      </c>
      <c r="AM57" s="16"/>
      <c r="AN57" s="12"/>
      <c r="AO57" s="16"/>
      <c r="AP57" s="12"/>
      <c r="AQ57" s="12"/>
      <c r="AR57" s="14" t="str">
        <f t="shared" si="29"/>
        <v/>
      </c>
      <c r="AS57" s="15" t="str">
        <f t="shared" si="30"/>
        <v/>
      </c>
      <c r="AT57" s="12"/>
      <c r="AU57" s="13"/>
      <c r="AV57" s="12"/>
      <c r="AW57" s="16"/>
      <c r="AX57" s="13"/>
      <c r="AY57" s="17" t="str">
        <f t="shared" si="31"/>
        <v/>
      </c>
      <c r="AZ57" s="14" t="str">
        <f t="shared" ca="1" si="32"/>
        <v/>
      </c>
      <c r="BA57" s="13"/>
      <c r="BB57" s="12"/>
      <c r="BC57" s="14" t="str">
        <f>IF($V57="","",1+COUNTIF($V$5:$V$154,"&gt;"&amp;$V57)+COUNTIFS($V$5:$V$154,$V57,$U$5:$U$154,"&gt;"&amp;$U57)+COUNTIFS($V$4:$V56,$V57,$U$4:$U56,$U57))</f>
        <v/>
      </c>
      <c r="BD57" s="12"/>
      <c r="BE57" s="12"/>
      <c r="BF57" s="12"/>
      <c r="BG57" s="62"/>
      <c r="BH57" s="62"/>
      <c r="BI57" s="63" t="str">
        <f t="shared" si="33"/>
        <v/>
      </c>
      <c r="BJ57" s="18" t="str">
        <f t="shared" si="34"/>
        <v/>
      </c>
      <c r="BK57" s="12"/>
      <c r="BL57" s="117"/>
      <c r="BM57" s="117"/>
      <c r="BN57" s="16"/>
      <c r="BO57" s="117"/>
      <c r="BP57" s="117"/>
      <c r="BQ57" s="117"/>
      <c r="BR57" s="117"/>
      <c r="BS57" s="117"/>
      <c r="BT57" s="117"/>
      <c r="BU57" s="117"/>
      <c r="BV57" s="117"/>
      <c r="BW57" s="14" t="str">
        <f t="shared" si="35"/>
        <v/>
      </c>
      <c r="BX57" s="14" t="str">
        <f t="shared" si="36"/>
        <v/>
      </c>
      <c r="BY57" s="14" t="str">
        <f t="shared" si="37"/>
        <v/>
      </c>
      <c r="BZ57" s="15" t="str">
        <f t="shared" si="38"/>
        <v/>
      </c>
      <c r="CA57" s="15" t="str">
        <f t="shared" si="39"/>
        <v/>
      </c>
      <c r="CB57" s="117"/>
      <c r="CC57" s="117"/>
      <c r="CD57" s="117"/>
      <c r="CE57" s="117"/>
      <c r="CF57" s="117"/>
      <c r="CG57" s="14" t="str">
        <f t="shared" si="40"/>
        <v/>
      </c>
      <c r="CH57" s="15" t="str">
        <f t="shared" si="41"/>
        <v/>
      </c>
      <c r="CI57" s="117"/>
    </row>
    <row r="58" spans="1:87">
      <c r="A58" s="115"/>
      <c r="B58" s="12"/>
      <c r="C58" s="13"/>
      <c r="D58" s="13"/>
      <c r="E58" s="12"/>
      <c r="F58" s="12"/>
      <c r="G58" s="13"/>
      <c r="H58" s="12"/>
      <c r="I58" s="13"/>
      <c r="J58" s="13"/>
      <c r="K58" s="12"/>
      <c r="L58" s="13"/>
      <c r="M58" s="12"/>
      <c r="N58" s="12"/>
      <c r="O58" s="12"/>
      <c r="P58" s="14" t="str">
        <f t="shared" si="21"/>
        <v/>
      </c>
      <c r="Q58" s="15" t="str">
        <f t="shared" si="22"/>
        <v/>
      </c>
      <c r="R58" s="13"/>
      <c r="S58" s="12"/>
      <c r="T58" s="12"/>
      <c r="U58" s="12"/>
      <c r="V58" s="14" t="str">
        <f t="shared" si="23"/>
        <v/>
      </c>
      <c r="W58" s="15" t="str">
        <f t="shared" si="24"/>
        <v/>
      </c>
      <c r="X58" s="12"/>
      <c r="Y58" s="14" t="str">
        <f t="shared" si="25"/>
        <v/>
      </c>
      <c r="Z58" s="12"/>
      <c r="AA58" s="12"/>
      <c r="AB58" s="16"/>
      <c r="AC58" s="13"/>
      <c r="AD58" s="13"/>
      <c r="AE58" s="13"/>
      <c r="AF58" s="16"/>
      <c r="AG58" s="12"/>
      <c r="AH58" s="13"/>
      <c r="AI58" s="12"/>
      <c r="AJ58" s="14" t="str">
        <f t="shared" si="26"/>
        <v/>
      </c>
      <c r="AK58" s="14" t="str">
        <f t="shared" si="27"/>
        <v/>
      </c>
      <c r="AL58" s="17" t="str">
        <f t="shared" si="28"/>
        <v/>
      </c>
      <c r="AM58" s="16"/>
      <c r="AN58" s="12"/>
      <c r="AO58" s="16"/>
      <c r="AP58" s="12"/>
      <c r="AQ58" s="12"/>
      <c r="AR58" s="14" t="str">
        <f t="shared" si="29"/>
        <v/>
      </c>
      <c r="AS58" s="15" t="str">
        <f t="shared" si="30"/>
        <v/>
      </c>
      <c r="AT58" s="12"/>
      <c r="AU58" s="13"/>
      <c r="AV58" s="12"/>
      <c r="AW58" s="16"/>
      <c r="AX58" s="13"/>
      <c r="AY58" s="17" t="str">
        <f t="shared" si="31"/>
        <v/>
      </c>
      <c r="AZ58" s="14" t="str">
        <f t="shared" ca="1" si="32"/>
        <v/>
      </c>
      <c r="BA58" s="13"/>
      <c r="BB58" s="12"/>
      <c r="BC58" s="14" t="str">
        <f>IF($V58="","",1+COUNTIF($V$5:$V$154,"&gt;"&amp;$V58)+COUNTIFS($V$5:$V$154,$V58,$U$5:$U$154,"&gt;"&amp;$U58)+COUNTIFS($V$4:$V57,$V58,$U$4:$U57,$U58))</f>
        <v/>
      </c>
      <c r="BD58" s="12"/>
      <c r="BE58" s="12"/>
      <c r="BF58" s="12"/>
      <c r="BG58" s="62"/>
      <c r="BH58" s="62"/>
      <c r="BI58" s="63" t="str">
        <f t="shared" si="33"/>
        <v/>
      </c>
      <c r="BJ58" s="18" t="str">
        <f t="shared" si="34"/>
        <v/>
      </c>
      <c r="BK58" s="12"/>
      <c r="BL58" s="117"/>
      <c r="BM58" s="117"/>
      <c r="BN58" s="16"/>
      <c r="BO58" s="117"/>
      <c r="BP58" s="117"/>
      <c r="BQ58" s="117"/>
      <c r="BR58" s="117"/>
      <c r="BS58" s="117"/>
      <c r="BT58" s="117"/>
      <c r="BU58" s="117"/>
      <c r="BV58" s="117"/>
      <c r="BW58" s="14" t="str">
        <f t="shared" si="35"/>
        <v/>
      </c>
      <c r="BX58" s="14" t="str">
        <f t="shared" si="36"/>
        <v/>
      </c>
      <c r="BY58" s="14" t="str">
        <f t="shared" si="37"/>
        <v/>
      </c>
      <c r="BZ58" s="15" t="str">
        <f t="shared" si="38"/>
        <v/>
      </c>
      <c r="CA58" s="15" t="str">
        <f t="shared" si="39"/>
        <v/>
      </c>
      <c r="CB58" s="117"/>
      <c r="CC58" s="117"/>
      <c r="CD58" s="117"/>
      <c r="CE58" s="117"/>
      <c r="CF58" s="117"/>
      <c r="CG58" s="14" t="str">
        <f t="shared" si="40"/>
        <v/>
      </c>
      <c r="CH58" s="15" t="str">
        <f t="shared" si="41"/>
        <v/>
      </c>
      <c r="CI58" s="117"/>
    </row>
    <row r="59" spans="1:87">
      <c r="A59" s="115"/>
      <c r="B59" s="12"/>
      <c r="C59" s="13"/>
      <c r="D59" s="13"/>
      <c r="E59" s="12"/>
      <c r="F59" s="12"/>
      <c r="G59" s="13"/>
      <c r="H59" s="12"/>
      <c r="I59" s="13"/>
      <c r="J59" s="13"/>
      <c r="K59" s="12"/>
      <c r="L59" s="13"/>
      <c r="M59" s="12"/>
      <c r="N59" s="12"/>
      <c r="O59" s="12"/>
      <c r="P59" s="14" t="str">
        <f t="shared" si="21"/>
        <v/>
      </c>
      <c r="Q59" s="15" t="str">
        <f t="shared" si="22"/>
        <v/>
      </c>
      <c r="R59" s="13"/>
      <c r="S59" s="12"/>
      <c r="T59" s="12"/>
      <c r="U59" s="12"/>
      <c r="V59" s="14" t="str">
        <f t="shared" si="23"/>
        <v/>
      </c>
      <c r="W59" s="15" t="str">
        <f t="shared" si="24"/>
        <v/>
      </c>
      <c r="X59" s="12"/>
      <c r="Y59" s="14" t="str">
        <f t="shared" si="25"/>
        <v/>
      </c>
      <c r="Z59" s="12"/>
      <c r="AA59" s="12"/>
      <c r="AB59" s="16"/>
      <c r="AC59" s="13"/>
      <c r="AD59" s="13"/>
      <c r="AE59" s="13"/>
      <c r="AF59" s="16"/>
      <c r="AG59" s="12"/>
      <c r="AH59" s="13"/>
      <c r="AI59" s="12"/>
      <c r="AJ59" s="14" t="str">
        <f t="shared" si="26"/>
        <v/>
      </c>
      <c r="AK59" s="14" t="str">
        <f t="shared" si="27"/>
        <v/>
      </c>
      <c r="AL59" s="17" t="str">
        <f t="shared" si="28"/>
        <v/>
      </c>
      <c r="AM59" s="16"/>
      <c r="AN59" s="12"/>
      <c r="AO59" s="16"/>
      <c r="AP59" s="12"/>
      <c r="AQ59" s="12"/>
      <c r="AR59" s="14" t="str">
        <f t="shared" si="29"/>
        <v/>
      </c>
      <c r="AS59" s="15" t="str">
        <f t="shared" si="30"/>
        <v/>
      </c>
      <c r="AT59" s="12"/>
      <c r="AU59" s="13"/>
      <c r="AV59" s="12"/>
      <c r="AW59" s="16"/>
      <c r="AX59" s="13"/>
      <c r="AY59" s="17" t="str">
        <f t="shared" si="31"/>
        <v/>
      </c>
      <c r="AZ59" s="14" t="str">
        <f t="shared" ca="1" si="32"/>
        <v/>
      </c>
      <c r="BA59" s="13"/>
      <c r="BB59" s="12"/>
      <c r="BC59" s="14" t="str">
        <f>IF($V59="","",1+COUNTIF($V$5:$V$154,"&gt;"&amp;$V59)+COUNTIFS($V$5:$V$154,$V59,$U$5:$U$154,"&gt;"&amp;$U59)+COUNTIFS($V$4:$V58,$V59,$U$4:$U58,$U59))</f>
        <v/>
      </c>
      <c r="BD59" s="12"/>
      <c r="BE59" s="12"/>
      <c r="BF59" s="12"/>
      <c r="BG59" s="62"/>
      <c r="BH59" s="62"/>
      <c r="BI59" s="63" t="str">
        <f t="shared" si="33"/>
        <v/>
      </c>
      <c r="BJ59" s="18" t="str">
        <f t="shared" si="34"/>
        <v/>
      </c>
      <c r="BK59" s="12"/>
      <c r="BL59" s="117"/>
      <c r="BM59" s="117"/>
      <c r="BN59" s="16"/>
      <c r="BO59" s="117"/>
      <c r="BP59" s="117"/>
      <c r="BQ59" s="117"/>
      <c r="BR59" s="117"/>
      <c r="BS59" s="117"/>
      <c r="BT59" s="117"/>
      <c r="BU59" s="117"/>
      <c r="BV59" s="117"/>
      <c r="BW59" s="14" t="str">
        <f t="shared" si="35"/>
        <v/>
      </c>
      <c r="BX59" s="14" t="str">
        <f t="shared" si="36"/>
        <v/>
      </c>
      <c r="BY59" s="14" t="str">
        <f t="shared" si="37"/>
        <v/>
      </c>
      <c r="BZ59" s="15" t="str">
        <f t="shared" si="38"/>
        <v/>
      </c>
      <c r="CA59" s="15" t="str">
        <f t="shared" si="39"/>
        <v/>
      </c>
      <c r="CB59" s="117"/>
      <c r="CC59" s="117"/>
      <c r="CD59" s="117"/>
      <c r="CE59" s="117"/>
      <c r="CF59" s="117"/>
      <c r="CG59" s="14" t="str">
        <f t="shared" si="40"/>
        <v/>
      </c>
      <c r="CH59" s="15" t="str">
        <f t="shared" si="41"/>
        <v/>
      </c>
      <c r="CI59" s="117"/>
    </row>
    <row r="60" spans="1:87">
      <c r="A60" s="115"/>
      <c r="B60" s="12"/>
      <c r="C60" s="13"/>
      <c r="D60" s="13"/>
      <c r="E60" s="12"/>
      <c r="F60" s="12"/>
      <c r="G60" s="13"/>
      <c r="H60" s="12"/>
      <c r="I60" s="13"/>
      <c r="J60" s="13"/>
      <c r="K60" s="12"/>
      <c r="L60" s="13"/>
      <c r="M60" s="12"/>
      <c r="N60" s="12"/>
      <c r="O60" s="12"/>
      <c r="P60" s="14" t="str">
        <f t="shared" si="21"/>
        <v/>
      </c>
      <c r="Q60" s="15" t="str">
        <f t="shared" si="22"/>
        <v/>
      </c>
      <c r="R60" s="13"/>
      <c r="S60" s="12"/>
      <c r="T60" s="12"/>
      <c r="U60" s="12"/>
      <c r="V60" s="14" t="str">
        <f t="shared" si="23"/>
        <v/>
      </c>
      <c r="W60" s="15" t="str">
        <f t="shared" si="24"/>
        <v/>
      </c>
      <c r="X60" s="12"/>
      <c r="Y60" s="14" t="str">
        <f t="shared" si="25"/>
        <v/>
      </c>
      <c r="Z60" s="12"/>
      <c r="AA60" s="12"/>
      <c r="AB60" s="16"/>
      <c r="AC60" s="13"/>
      <c r="AD60" s="13"/>
      <c r="AE60" s="13"/>
      <c r="AF60" s="16"/>
      <c r="AG60" s="12"/>
      <c r="AH60" s="13"/>
      <c r="AI60" s="12"/>
      <c r="AJ60" s="14" t="str">
        <f t="shared" si="26"/>
        <v/>
      </c>
      <c r="AK60" s="14" t="str">
        <f t="shared" si="27"/>
        <v/>
      </c>
      <c r="AL60" s="17" t="str">
        <f t="shared" si="28"/>
        <v/>
      </c>
      <c r="AM60" s="16"/>
      <c r="AN60" s="12"/>
      <c r="AO60" s="16"/>
      <c r="AP60" s="12"/>
      <c r="AQ60" s="12"/>
      <c r="AR60" s="14" t="str">
        <f t="shared" si="29"/>
        <v/>
      </c>
      <c r="AS60" s="15" t="str">
        <f t="shared" si="30"/>
        <v/>
      </c>
      <c r="AT60" s="12"/>
      <c r="AU60" s="13"/>
      <c r="AV60" s="12"/>
      <c r="AW60" s="16"/>
      <c r="AX60" s="13"/>
      <c r="AY60" s="17" t="str">
        <f t="shared" si="31"/>
        <v/>
      </c>
      <c r="AZ60" s="14" t="str">
        <f t="shared" ca="1" si="32"/>
        <v/>
      </c>
      <c r="BA60" s="13"/>
      <c r="BB60" s="12"/>
      <c r="BC60" s="14" t="str">
        <f>IF($V60="","",1+COUNTIF($V$5:$V$154,"&gt;"&amp;$V60)+COUNTIFS($V$5:$V$154,$V60,$U$5:$U$154,"&gt;"&amp;$U60)+COUNTIFS($V$4:$V59,$V60,$U$4:$U59,$U60))</f>
        <v/>
      </c>
      <c r="BD60" s="12"/>
      <c r="BE60" s="12"/>
      <c r="BF60" s="12"/>
      <c r="BG60" s="62"/>
      <c r="BH60" s="62"/>
      <c r="BI60" s="63" t="str">
        <f t="shared" si="33"/>
        <v/>
      </c>
      <c r="BJ60" s="18" t="str">
        <f t="shared" si="34"/>
        <v/>
      </c>
      <c r="BK60" s="12"/>
      <c r="BL60" s="117"/>
      <c r="BM60" s="117"/>
      <c r="BN60" s="16"/>
      <c r="BO60" s="117"/>
      <c r="BP60" s="117"/>
      <c r="BQ60" s="117"/>
      <c r="BR60" s="117"/>
      <c r="BS60" s="117"/>
      <c r="BT60" s="117"/>
      <c r="BU60" s="117"/>
      <c r="BV60" s="117"/>
      <c r="BW60" s="14" t="str">
        <f t="shared" si="35"/>
        <v/>
      </c>
      <c r="BX60" s="14" t="str">
        <f t="shared" si="36"/>
        <v/>
      </c>
      <c r="BY60" s="14" t="str">
        <f t="shared" si="37"/>
        <v/>
      </c>
      <c r="BZ60" s="15" t="str">
        <f t="shared" si="38"/>
        <v/>
      </c>
      <c r="CA60" s="15" t="str">
        <f t="shared" si="39"/>
        <v/>
      </c>
      <c r="CB60" s="117"/>
      <c r="CC60" s="117"/>
      <c r="CD60" s="117"/>
      <c r="CE60" s="117"/>
      <c r="CF60" s="117"/>
      <c r="CG60" s="14" t="str">
        <f t="shared" si="40"/>
        <v/>
      </c>
      <c r="CH60" s="15" t="str">
        <f t="shared" si="41"/>
        <v/>
      </c>
      <c r="CI60" s="117"/>
    </row>
    <row r="61" spans="1:87">
      <c r="A61" s="115"/>
      <c r="B61" s="12"/>
      <c r="C61" s="13"/>
      <c r="D61" s="13"/>
      <c r="E61" s="12"/>
      <c r="F61" s="12"/>
      <c r="G61" s="13"/>
      <c r="H61" s="12"/>
      <c r="I61" s="13"/>
      <c r="J61" s="13"/>
      <c r="K61" s="12"/>
      <c r="L61" s="13"/>
      <c r="M61" s="12"/>
      <c r="N61" s="12"/>
      <c r="O61" s="12"/>
      <c r="P61" s="14" t="str">
        <f t="shared" si="21"/>
        <v/>
      </c>
      <c r="Q61" s="15" t="str">
        <f t="shared" si="22"/>
        <v/>
      </c>
      <c r="R61" s="13"/>
      <c r="S61" s="12"/>
      <c r="T61" s="12"/>
      <c r="U61" s="12"/>
      <c r="V61" s="14" t="str">
        <f t="shared" si="23"/>
        <v/>
      </c>
      <c r="W61" s="15" t="str">
        <f t="shared" si="24"/>
        <v/>
      </c>
      <c r="X61" s="12"/>
      <c r="Y61" s="14" t="str">
        <f t="shared" si="25"/>
        <v/>
      </c>
      <c r="Z61" s="12"/>
      <c r="AA61" s="12"/>
      <c r="AB61" s="16"/>
      <c r="AC61" s="13"/>
      <c r="AD61" s="13"/>
      <c r="AE61" s="13"/>
      <c r="AF61" s="16"/>
      <c r="AG61" s="12"/>
      <c r="AH61" s="13"/>
      <c r="AI61" s="12"/>
      <c r="AJ61" s="14" t="str">
        <f t="shared" si="26"/>
        <v/>
      </c>
      <c r="AK61" s="14" t="str">
        <f t="shared" si="27"/>
        <v/>
      </c>
      <c r="AL61" s="17" t="str">
        <f t="shared" si="28"/>
        <v/>
      </c>
      <c r="AM61" s="16"/>
      <c r="AN61" s="12"/>
      <c r="AO61" s="16"/>
      <c r="AP61" s="12"/>
      <c r="AQ61" s="12"/>
      <c r="AR61" s="14" t="str">
        <f t="shared" si="29"/>
        <v/>
      </c>
      <c r="AS61" s="15" t="str">
        <f t="shared" si="30"/>
        <v/>
      </c>
      <c r="AT61" s="12"/>
      <c r="AU61" s="13"/>
      <c r="AV61" s="12"/>
      <c r="AW61" s="16"/>
      <c r="AX61" s="13"/>
      <c r="AY61" s="17" t="str">
        <f t="shared" si="31"/>
        <v/>
      </c>
      <c r="AZ61" s="14" t="str">
        <f t="shared" ca="1" si="32"/>
        <v/>
      </c>
      <c r="BA61" s="13"/>
      <c r="BB61" s="12"/>
      <c r="BC61" s="14" t="str">
        <f>IF($V61="","",1+COUNTIF($V$5:$V$154,"&gt;"&amp;$V61)+COUNTIFS($V$5:$V$154,$V61,$U$5:$U$154,"&gt;"&amp;$U61)+COUNTIFS($V$4:$V60,$V61,$U$4:$U60,$U61))</f>
        <v/>
      </c>
      <c r="BD61" s="12"/>
      <c r="BE61" s="12"/>
      <c r="BF61" s="12"/>
      <c r="BG61" s="62"/>
      <c r="BH61" s="62"/>
      <c r="BI61" s="63" t="str">
        <f t="shared" si="33"/>
        <v/>
      </c>
      <c r="BJ61" s="18" t="str">
        <f t="shared" si="34"/>
        <v/>
      </c>
      <c r="BK61" s="12"/>
      <c r="BL61" s="117"/>
      <c r="BM61" s="117"/>
      <c r="BN61" s="16"/>
      <c r="BO61" s="117"/>
      <c r="BP61" s="117"/>
      <c r="BQ61" s="117"/>
      <c r="BR61" s="117"/>
      <c r="BS61" s="117"/>
      <c r="BT61" s="117"/>
      <c r="BU61" s="117"/>
      <c r="BV61" s="117"/>
      <c r="BW61" s="14" t="str">
        <f t="shared" si="35"/>
        <v/>
      </c>
      <c r="BX61" s="14" t="str">
        <f t="shared" si="36"/>
        <v/>
      </c>
      <c r="BY61" s="14" t="str">
        <f t="shared" si="37"/>
        <v/>
      </c>
      <c r="BZ61" s="15" t="str">
        <f t="shared" si="38"/>
        <v/>
      </c>
      <c r="CA61" s="15" t="str">
        <f t="shared" si="39"/>
        <v/>
      </c>
      <c r="CB61" s="117"/>
      <c r="CC61" s="117"/>
      <c r="CD61" s="117"/>
      <c r="CE61" s="117"/>
      <c r="CF61" s="117"/>
      <c r="CG61" s="14" t="str">
        <f t="shared" si="40"/>
        <v/>
      </c>
      <c r="CH61" s="15" t="str">
        <f t="shared" si="41"/>
        <v/>
      </c>
      <c r="CI61" s="117"/>
    </row>
    <row r="62" spans="1:87">
      <c r="A62" s="115"/>
      <c r="B62" s="12"/>
      <c r="C62" s="13"/>
      <c r="D62" s="13"/>
      <c r="E62" s="12"/>
      <c r="F62" s="12"/>
      <c r="G62" s="13"/>
      <c r="H62" s="12"/>
      <c r="I62" s="13"/>
      <c r="J62" s="13"/>
      <c r="K62" s="12"/>
      <c r="L62" s="13"/>
      <c r="M62" s="12"/>
      <c r="N62" s="12"/>
      <c r="O62" s="12"/>
      <c r="P62" s="14" t="str">
        <f t="shared" si="21"/>
        <v/>
      </c>
      <c r="Q62" s="15" t="str">
        <f t="shared" si="22"/>
        <v/>
      </c>
      <c r="R62" s="13"/>
      <c r="S62" s="12"/>
      <c r="T62" s="12"/>
      <c r="U62" s="12"/>
      <c r="V62" s="14" t="str">
        <f t="shared" si="23"/>
        <v/>
      </c>
      <c r="W62" s="15" t="str">
        <f t="shared" si="24"/>
        <v/>
      </c>
      <c r="X62" s="12"/>
      <c r="Y62" s="14" t="str">
        <f t="shared" si="25"/>
        <v/>
      </c>
      <c r="Z62" s="12"/>
      <c r="AA62" s="12"/>
      <c r="AB62" s="16"/>
      <c r="AC62" s="13"/>
      <c r="AD62" s="13"/>
      <c r="AE62" s="13"/>
      <c r="AF62" s="16"/>
      <c r="AG62" s="12"/>
      <c r="AH62" s="13"/>
      <c r="AI62" s="12"/>
      <c r="AJ62" s="14" t="str">
        <f t="shared" si="26"/>
        <v/>
      </c>
      <c r="AK62" s="14" t="str">
        <f t="shared" si="27"/>
        <v/>
      </c>
      <c r="AL62" s="17" t="str">
        <f t="shared" si="28"/>
        <v/>
      </c>
      <c r="AM62" s="16"/>
      <c r="AN62" s="12"/>
      <c r="AO62" s="16"/>
      <c r="AP62" s="12"/>
      <c r="AQ62" s="12"/>
      <c r="AR62" s="14" t="str">
        <f t="shared" si="29"/>
        <v/>
      </c>
      <c r="AS62" s="15" t="str">
        <f t="shared" si="30"/>
        <v/>
      </c>
      <c r="AT62" s="12"/>
      <c r="AU62" s="13"/>
      <c r="AV62" s="12"/>
      <c r="AW62" s="16"/>
      <c r="AX62" s="13"/>
      <c r="AY62" s="17" t="str">
        <f t="shared" si="31"/>
        <v/>
      </c>
      <c r="AZ62" s="14" t="str">
        <f t="shared" ca="1" si="32"/>
        <v/>
      </c>
      <c r="BA62" s="13"/>
      <c r="BB62" s="12"/>
      <c r="BC62" s="14" t="str">
        <f>IF($V62="","",1+COUNTIF($V$5:$V$154,"&gt;"&amp;$V62)+COUNTIFS($V$5:$V$154,$V62,$U$5:$U$154,"&gt;"&amp;$U62)+COUNTIFS($V$4:$V61,$V62,$U$4:$U61,$U62))</f>
        <v/>
      </c>
      <c r="BD62" s="12"/>
      <c r="BE62" s="12"/>
      <c r="BF62" s="12"/>
      <c r="BG62" s="62"/>
      <c r="BH62" s="62"/>
      <c r="BI62" s="63" t="str">
        <f t="shared" si="33"/>
        <v/>
      </c>
      <c r="BJ62" s="18" t="str">
        <f t="shared" si="34"/>
        <v/>
      </c>
      <c r="BK62" s="12"/>
      <c r="BL62" s="117"/>
      <c r="BM62" s="117"/>
      <c r="BN62" s="16"/>
      <c r="BO62" s="117"/>
      <c r="BP62" s="117"/>
      <c r="BQ62" s="117"/>
      <c r="BR62" s="117"/>
      <c r="BS62" s="117"/>
      <c r="BT62" s="117"/>
      <c r="BU62" s="117"/>
      <c r="BV62" s="117"/>
      <c r="BW62" s="14" t="str">
        <f t="shared" si="35"/>
        <v/>
      </c>
      <c r="BX62" s="14" t="str">
        <f t="shared" si="36"/>
        <v/>
      </c>
      <c r="BY62" s="14" t="str">
        <f t="shared" si="37"/>
        <v/>
      </c>
      <c r="BZ62" s="15" t="str">
        <f t="shared" si="38"/>
        <v/>
      </c>
      <c r="CA62" s="15" t="str">
        <f t="shared" si="39"/>
        <v/>
      </c>
      <c r="CB62" s="117"/>
      <c r="CC62" s="117"/>
      <c r="CD62" s="117"/>
      <c r="CE62" s="117"/>
      <c r="CF62" s="117"/>
      <c r="CG62" s="14" t="str">
        <f t="shared" si="40"/>
        <v/>
      </c>
      <c r="CH62" s="15" t="str">
        <f t="shared" si="41"/>
        <v/>
      </c>
      <c r="CI62" s="117"/>
    </row>
    <row r="63" spans="1:87">
      <c r="A63" s="115"/>
      <c r="B63" s="12"/>
      <c r="C63" s="13"/>
      <c r="D63" s="13"/>
      <c r="E63" s="12"/>
      <c r="F63" s="12"/>
      <c r="G63" s="13"/>
      <c r="H63" s="12"/>
      <c r="I63" s="13"/>
      <c r="J63" s="13"/>
      <c r="K63" s="12"/>
      <c r="L63" s="13"/>
      <c r="M63" s="12"/>
      <c r="N63" s="12"/>
      <c r="O63" s="12"/>
      <c r="P63" s="14" t="str">
        <f t="shared" si="21"/>
        <v/>
      </c>
      <c r="Q63" s="15" t="str">
        <f t="shared" si="22"/>
        <v/>
      </c>
      <c r="R63" s="13"/>
      <c r="S63" s="12"/>
      <c r="T63" s="12"/>
      <c r="U63" s="12"/>
      <c r="V63" s="14" t="str">
        <f t="shared" si="23"/>
        <v/>
      </c>
      <c r="W63" s="15" t="str">
        <f t="shared" si="24"/>
        <v/>
      </c>
      <c r="X63" s="12"/>
      <c r="Y63" s="14" t="str">
        <f t="shared" si="25"/>
        <v/>
      </c>
      <c r="Z63" s="12"/>
      <c r="AA63" s="12"/>
      <c r="AB63" s="16"/>
      <c r="AC63" s="13"/>
      <c r="AD63" s="13"/>
      <c r="AE63" s="13"/>
      <c r="AF63" s="16"/>
      <c r="AG63" s="12"/>
      <c r="AH63" s="13"/>
      <c r="AI63" s="12"/>
      <c r="AJ63" s="14" t="str">
        <f t="shared" si="26"/>
        <v/>
      </c>
      <c r="AK63" s="14" t="str">
        <f t="shared" si="27"/>
        <v/>
      </c>
      <c r="AL63" s="17" t="str">
        <f t="shared" si="28"/>
        <v/>
      </c>
      <c r="AM63" s="16"/>
      <c r="AN63" s="12"/>
      <c r="AO63" s="16"/>
      <c r="AP63" s="12"/>
      <c r="AQ63" s="12"/>
      <c r="AR63" s="14" t="str">
        <f t="shared" si="29"/>
        <v/>
      </c>
      <c r="AS63" s="15" t="str">
        <f t="shared" si="30"/>
        <v/>
      </c>
      <c r="AT63" s="12"/>
      <c r="AU63" s="13"/>
      <c r="AV63" s="12"/>
      <c r="AW63" s="16"/>
      <c r="AX63" s="13"/>
      <c r="AY63" s="17" t="str">
        <f t="shared" si="31"/>
        <v/>
      </c>
      <c r="AZ63" s="14" t="str">
        <f t="shared" ca="1" si="32"/>
        <v/>
      </c>
      <c r="BA63" s="13"/>
      <c r="BB63" s="12"/>
      <c r="BC63" s="14" t="str">
        <f>IF($V63="","",1+COUNTIF($V$5:$V$154,"&gt;"&amp;$V63)+COUNTIFS($V$5:$V$154,$V63,$U$5:$U$154,"&gt;"&amp;$U63)+COUNTIFS($V$4:$V62,$V63,$U$4:$U62,$U63))</f>
        <v/>
      </c>
      <c r="BD63" s="12"/>
      <c r="BE63" s="12"/>
      <c r="BF63" s="12"/>
      <c r="BG63" s="62"/>
      <c r="BH63" s="62"/>
      <c r="BI63" s="63" t="str">
        <f t="shared" si="33"/>
        <v/>
      </c>
      <c r="BJ63" s="18" t="str">
        <f t="shared" si="34"/>
        <v/>
      </c>
      <c r="BK63" s="12"/>
      <c r="BL63" s="117"/>
      <c r="BM63" s="117"/>
      <c r="BN63" s="16"/>
      <c r="BO63" s="117"/>
      <c r="BP63" s="117"/>
      <c r="BQ63" s="117"/>
      <c r="BR63" s="117"/>
      <c r="BS63" s="117"/>
      <c r="BT63" s="117"/>
      <c r="BU63" s="117"/>
      <c r="BV63" s="117"/>
      <c r="BW63" s="14" t="str">
        <f t="shared" si="35"/>
        <v/>
      </c>
      <c r="BX63" s="14" t="str">
        <f t="shared" si="36"/>
        <v/>
      </c>
      <c r="BY63" s="14" t="str">
        <f t="shared" si="37"/>
        <v/>
      </c>
      <c r="BZ63" s="15" t="str">
        <f t="shared" si="38"/>
        <v/>
      </c>
      <c r="CA63" s="15" t="str">
        <f t="shared" si="39"/>
        <v/>
      </c>
      <c r="CB63" s="117"/>
      <c r="CC63" s="117"/>
      <c r="CD63" s="117"/>
      <c r="CE63" s="117"/>
      <c r="CF63" s="117"/>
      <c r="CG63" s="14" t="str">
        <f t="shared" si="40"/>
        <v/>
      </c>
      <c r="CH63" s="15" t="str">
        <f t="shared" si="41"/>
        <v/>
      </c>
      <c r="CI63" s="117"/>
    </row>
    <row r="64" spans="1:87">
      <c r="A64" s="115"/>
      <c r="B64" s="12"/>
      <c r="C64" s="13"/>
      <c r="D64" s="13"/>
      <c r="E64" s="12"/>
      <c r="F64" s="12"/>
      <c r="G64" s="13"/>
      <c r="H64" s="12"/>
      <c r="I64" s="13"/>
      <c r="J64" s="13"/>
      <c r="K64" s="12"/>
      <c r="L64" s="13"/>
      <c r="M64" s="12"/>
      <c r="N64" s="12"/>
      <c r="O64" s="12"/>
      <c r="P64" s="14" t="str">
        <f t="shared" si="21"/>
        <v/>
      </c>
      <c r="Q64" s="15" t="str">
        <f t="shared" si="22"/>
        <v/>
      </c>
      <c r="R64" s="13"/>
      <c r="S64" s="12"/>
      <c r="T64" s="12"/>
      <c r="U64" s="12"/>
      <c r="V64" s="14" t="str">
        <f t="shared" si="23"/>
        <v/>
      </c>
      <c r="W64" s="15" t="str">
        <f t="shared" si="24"/>
        <v/>
      </c>
      <c r="X64" s="12"/>
      <c r="Y64" s="14" t="str">
        <f t="shared" si="25"/>
        <v/>
      </c>
      <c r="Z64" s="12"/>
      <c r="AA64" s="12"/>
      <c r="AB64" s="16"/>
      <c r="AC64" s="13"/>
      <c r="AD64" s="13"/>
      <c r="AE64" s="13"/>
      <c r="AF64" s="16"/>
      <c r="AG64" s="12"/>
      <c r="AH64" s="13"/>
      <c r="AI64" s="12"/>
      <c r="AJ64" s="14" t="str">
        <f t="shared" si="26"/>
        <v/>
      </c>
      <c r="AK64" s="14" t="str">
        <f t="shared" si="27"/>
        <v/>
      </c>
      <c r="AL64" s="17" t="str">
        <f t="shared" si="28"/>
        <v/>
      </c>
      <c r="AM64" s="16"/>
      <c r="AN64" s="12"/>
      <c r="AO64" s="16"/>
      <c r="AP64" s="12"/>
      <c r="AQ64" s="12"/>
      <c r="AR64" s="14" t="str">
        <f t="shared" si="29"/>
        <v/>
      </c>
      <c r="AS64" s="15" t="str">
        <f t="shared" si="30"/>
        <v/>
      </c>
      <c r="AT64" s="12"/>
      <c r="AU64" s="13"/>
      <c r="AV64" s="12"/>
      <c r="AW64" s="16"/>
      <c r="AX64" s="13"/>
      <c r="AY64" s="17" t="str">
        <f t="shared" si="31"/>
        <v/>
      </c>
      <c r="AZ64" s="14" t="str">
        <f t="shared" ca="1" si="32"/>
        <v/>
      </c>
      <c r="BA64" s="13"/>
      <c r="BB64" s="12"/>
      <c r="BC64" s="14" t="str">
        <f>IF($V64="","",1+COUNTIF($V$5:$V$154,"&gt;"&amp;$V64)+COUNTIFS($V$5:$V$154,$V64,$U$5:$U$154,"&gt;"&amp;$U64)+COUNTIFS($V$4:$V63,$V64,$U$4:$U63,$U64))</f>
        <v/>
      </c>
      <c r="BD64" s="12"/>
      <c r="BE64" s="12"/>
      <c r="BF64" s="12"/>
      <c r="BG64" s="62"/>
      <c r="BH64" s="62"/>
      <c r="BI64" s="63" t="str">
        <f t="shared" si="33"/>
        <v/>
      </c>
      <c r="BJ64" s="18" t="str">
        <f t="shared" si="34"/>
        <v/>
      </c>
      <c r="BK64" s="12"/>
      <c r="BL64" s="117"/>
      <c r="BM64" s="117"/>
      <c r="BN64" s="16"/>
      <c r="BO64" s="117"/>
      <c r="BP64" s="117"/>
      <c r="BQ64" s="117"/>
      <c r="BR64" s="117"/>
      <c r="BS64" s="117"/>
      <c r="BT64" s="117"/>
      <c r="BU64" s="117"/>
      <c r="BV64" s="117"/>
      <c r="BW64" s="14" t="str">
        <f t="shared" si="35"/>
        <v/>
      </c>
      <c r="BX64" s="14" t="str">
        <f t="shared" si="36"/>
        <v/>
      </c>
      <c r="BY64" s="14" t="str">
        <f t="shared" si="37"/>
        <v/>
      </c>
      <c r="BZ64" s="15" t="str">
        <f t="shared" si="38"/>
        <v/>
      </c>
      <c r="CA64" s="15" t="str">
        <f t="shared" si="39"/>
        <v/>
      </c>
      <c r="CB64" s="117"/>
      <c r="CC64" s="117"/>
      <c r="CD64" s="117"/>
      <c r="CE64" s="117"/>
      <c r="CF64" s="117"/>
      <c r="CG64" s="14" t="str">
        <f t="shared" si="40"/>
        <v/>
      </c>
      <c r="CH64" s="15" t="str">
        <f t="shared" si="41"/>
        <v/>
      </c>
      <c r="CI64" s="117"/>
    </row>
    <row r="65" spans="1:87">
      <c r="A65" s="115"/>
      <c r="B65" s="12"/>
      <c r="C65" s="13"/>
      <c r="D65" s="13"/>
      <c r="E65" s="12"/>
      <c r="F65" s="12"/>
      <c r="G65" s="13"/>
      <c r="H65" s="12"/>
      <c r="I65" s="13"/>
      <c r="J65" s="13"/>
      <c r="K65" s="12"/>
      <c r="L65" s="13"/>
      <c r="M65" s="12"/>
      <c r="N65" s="12"/>
      <c r="O65" s="12"/>
      <c r="P65" s="14" t="str">
        <f t="shared" si="21"/>
        <v/>
      </c>
      <c r="Q65" s="15" t="str">
        <f t="shared" si="22"/>
        <v/>
      </c>
      <c r="R65" s="13"/>
      <c r="S65" s="12"/>
      <c r="T65" s="12"/>
      <c r="U65" s="12"/>
      <c r="V65" s="14" t="str">
        <f t="shared" si="23"/>
        <v/>
      </c>
      <c r="W65" s="15" t="str">
        <f t="shared" si="24"/>
        <v/>
      </c>
      <c r="X65" s="12"/>
      <c r="Y65" s="14" t="str">
        <f t="shared" si="25"/>
        <v/>
      </c>
      <c r="Z65" s="12"/>
      <c r="AA65" s="12"/>
      <c r="AB65" s="16"/>
      <c r="AC65" s="13"/>
      <c r="AD65" s="13"/>
      <c r="AE65" s="13"/>
      <c r="AF65" s="16"/>
      <c r="AG65" s="12"/>
      <c r="AH65" s="13"/>
      <c r="AI65" s="12"/>
      <c r="AJ65" s="14" t="str">
        <f t="shared" si="26"/>
        <v/>
      </c>
      <c r="AK65" s="14" t="str">
        <f t="shared" si="27"/>
        <v/>
      </c>
      <c r="AL65" s="17" t="str">
        <f t="shared" si="28"/>
        <v/>
      </c>
      <c r="AM65" s="16"/>
      <c r="AN65" s="12"/>
      <c r="AO65" s="16"/>
      <c r="AP65" s="12"/>
      <c r="AQ65" s="12"/>
      <c r="AR65" s="14" t="str">
        <f t="shared" si="29"/>
        <v/>
      </c>
      <c r="AS65" s="15" t="str">
        <f t="shared" si="30"/>
        <v/>
      </c>
      <c r="AT65" s="12"/>
      <c r="AU65" s="13"/>
      <c r="AV65" s="12"/>
      <c r="AW65" s="16"/>
      <c r="AX65" s="13"/>
      <c r="AY65" s="17" t="str">
        <f t="shared" si="31"/>
        <v/>
      </c>
      <c r="AZ65" s="14" t="str">
        <f t="shared" ca="1" si="32"/>
        <v/>
      </c>
      <c r="BA65" s="13"/>
      <c r="BB65" s="12"/>
      <c r="BC65" s="14" t="str">
        <f>IF($V65="","",1+COUNTIF($V$5:$V$154,"&gt;"&amp;$V65)+COUNTIFS($V$5:$V$154,$V65,$U$5:$U$154,"&gt;"&amp;$U65)+COUNTIFS($V$4:$V64,$V65,$U$4:$U64,$U65))</f>
        <v/>
      </c>
      <c r="BD65" s="12"/>
      <c r="BE65" s="12"/>
      <c r="BF65" s="12"/>
      <c r="BG65" s="62"/>
      <c r="BH65" s="62"/>
      <c r="BI65" s="63" t="str">
        <f t="shared" si="33"/>
        <v/>
      </c>
      <c r="BJ65" s="18" t="str">
        <f t="shared" si="34"/>
        <v/>
      </c>
      <c r="BK65" s="12"/>
      <c r="BL65" s="117"/>
      <c r="BM65" s="117"/>
      <c r="BN65" s="16"/>
      <c r="BO65" s="117"/>
      <c r="BP65" s="117"/>
      <c r="BQ65" s="117"/>
      <c r="BR65" s="117"/>
      <c r="BS65" s="117"/>
      <c r="BT65" s="117"/>
      <c r="BU65" s="117"/>
      <c r="BV65" s="117"/>
      <c r="BW65" s="14" t="str">
        <f t="shared" si="35"/>
        <v/>
      </c>
      <c r="BX65" s="14" t="str">
        <f t="shared" si="36"/>
        <v/>
      </c>
      <c r="BY65" s="14" t="str">
        <f t="shared" si="37"/>
        <v/>
      </c>
      <c r="BZ65" s="15" t="str">
        <f t="shared" si="38"/>
        <v/>
      </c>
      <c r="CA65" s="15" t="str">
        <f t="shared" si="39"/>
        <v/>
      </c>
      <c r="CB65" s="117"/>
      <c r="CC65" s="117"/>
      <c r="CD65" s="117"/>
      <c r="CE65" s="117"/>
      <c r="CF65" s="117"/>
      <c r="CG65" s="14" t="str">
        <f t="shared" si="40"/>
        <v/>
      </c>
      <c r="CH65" s="15" t="str">
        <f t="shared" si="41"/>
        <v/>
      </c>
      <c r="CI65" s="117"/>
    </row>
    <row r="66" spans="1:87">
      <c r="A66" s="115"/>
      <c r="B66" s="12"/>
      <c r="C66" s="13"/>
      <c r="D66" s="13"/>
      <c r="E66" s="12"/>
      <c r="F66" s="12"/>
      <c r="G66" s="13"/>
      <c r="H66" s="12"/>
      <c r="I66" s="13"/>
      <c r="J66" s="13"/>
      <c r="K66" s="12"/>
      <c r="L66" s="13"/>
      <c r="M66" s="12"/>
      <c r="N66" s="12"/>
      <c r="O66" s="12"/>
      <c r="P66" s="14" t="str">
        <f t="shared" si="21"/>
        <v/>
      </c>
      <c r="Q66" s="15" t="str">
        <f t="shared" si="22"/>
        <v/>
      </c>
      <c r="R66" s="13"/>
      <c r="S66" s="12"/>
      <c r="T66" s="12"/>
      <c r="U66" s="12"/>
      <c r="V66" s="14" t="str">
        <f t="shared" si="23"/>
        <v/>
      </c>
      <c r="W66" s="15" t="str">
        <f t="shared" si="24"/>
        <v/>
      </c>
      <c r="X66" s="12"/>
      <c r="Y66" s="14" t="str">
        <f t="shared" si="25"/>
        <v/>
      </c>
      <c r="Z66" s="12"/>
      <c r="AA66" s="12"/>
      <c r="AB66" s="16"/>
      <c r="AC66" s="13"/>
      <c r="AD66" s="13"/>
      <c r="AE66" s="13"/>
      <c r="AF66" s="16"/>
      <c r="AG66" s="12"/>
      <c r="AH66" s="13"/>
      <c r="AI66" s="12"/>
      <c r="AJ66" s="14" t="str">
        <f t="shared" si="26"/>
        <v/>
      </c>
      <c r="AK66" s="14" t="str">
        <f t="shared" si="27"/>
        <v/>
      </c>
      <c r="AL66" s="17" t="str">
        <f t="shared" si="28"/>
        <v/>
      </c>
      <c r="AM66" s="16"/>
      <c r="AN66" s="12"/>
      <c r="AO66" s="16"/>
      <c r="AP66" s="12"/>
      <c r="AQ66" s="12"/>
      <c r="AR66" s="14" t="str">
        <f t="shared" si="29"/>
        <v/>
      </c>
      <c r="AS66" s="15" t="str">
        <f t="shared" si="30"/>
        <v/>
      </c>
      <c r="AT66" s="12"/>
      <c r="AU66" s="13"/>
      <c r="AV66" s="12"/>
      <c r="AW66" s="16"/>
      <c r="AX66" s="13"/>
      <c r="AY66" s="17" t="str">
        <f t="shared" si="31"/>
        <v/>
      </c>
      <c r="AZ66" s="14" t="str">
        <f t="shared" ca="1" si="32"/>
        <v/>
      </c>
      <c r="BA66" s="13"/>
      <c r="BB66" s="12"/>
      <c r="BC66" s="14" t="str">
        <f>IF($V66="","",1+COUNTIF($V$5:$V$154,"&gt;"&amp;$V66)+COUNTIFS($V$5:$V$154,$V66,$U$5:$U$154,"&gt;"&amp;$U66)+COUNTIFS($V$4:$V65,$V66,$U$4:$U65,$U66))</f>
        <v/>
      </c>
      <c r="BD66" s="12"/>
      <c r="BE66" s="12"/>
      <c r="BF66" s="12"/>
      <c r="BG66" s="62"/>
      <c r="BH66" s="62"/>
      <c r="BI66" s="63" t="str">
        <f t="shared" si="33"/>
        <v/>
      </c>
      <c r="BJ66" s="18" t="str">
        <f t="shared" si="34"/>
        <v/>
      </c>
      <c r="BK66" s="12"/>
      <c r="BL66" s="117"/>
      <c r="BM66" s="117"/>
      <c r="BN66" s="16"/>
      <c r="BO66" s="117"/>
      <c r="BP66" s="117"/>
      <c r="BQ66" s="117"/>
      <c r="BR66" s="117"/>
      <c r="BS66" s="117"/>
      <c r="BT66" s="117"/>
      <c r="BU66" s="117"/>
      <c r="BV66" s="117"/>
      <c r="BW66" s="14" t="str">
        <f t="shared" si="35"/>
        <v/>
      </c>
      <c r="BX66" s="14" t="str">
        <f t="shared" si="36"/>
        <v/>
      </c>
      <c r="BY66" s="14" t="str">
        <f t="shared" si="37"/>
        <v/>
      </c>
      <c r="BZ66" s="15" t="str">
        <f t="shared" si="38"/>
        <v/>
      </c>
      <c r="CA66" s="15" t="str">
        <f t="shared" si="39"/>
        <v/>
      </c>
      <c r="CB66" s="117"/>
      <c r="CC66" s="117"/>
      <c r="CD66" s="117"/>
      <c r="CE66" s="117"/>
      <c r="CF66" s="117"/>
      <c r="CG66" s="14" t="str">
        <f t="shared" si="40"/>
        <v/>
      </c>
      <c r="CH66" s="15" t="str">
        <f t="shared" si="41"/>
        <v/>
      </c>
      <c r="CI66" s="117"/>
    </row>
    <row r="67" spans="1:87">
      <c r="A67" s="115"/>
      <c r="B67" s="12"/>
      <c r="C67" s="13"/>
      <c r="D67" s="13"/>
      <c r="E67" s="12"/>
      <c r="F67" s="12"/>
      <c r="G67" s="13"/>
      <c r="H67" s="12"/>
      <c r="I67" s="13"/>
      <c r="J67" s="13"/>
      <c r="K67" s="12"/>
      <c r="L67" s="13"/>
      <c r="M67" s="12"/>
      <c r="N67" s="12"/>
      <c r="O67" s="12"/>
      <c r="P67" s="14" t="str">
        <f t="shared" si="21"/>
        <v/>
      </c>
      <c r="Q67" s="15" t="str">
        <f t="shared" si="22"/>
        <v/>
      </c>
      <c r="R67" s="13"/>
      <c r="S67" s="12"/>
      <c r="T67" s="12"/>
      <c r="U67" s="12"/>
      <c r="V67" s="14" t="str">
        <f t="shared" si="23"/>
        <v/>
      </c>
      <c r="W67" s="15" t="str">
        <f t="shared" si="24"/>
        <v/>
      </c>
      <c r="X67" s="12"/>
      <c r="Y67" s="14" t="str">
        <f t="shared" si="25"/>
        <v/>
      </c>
      <c r="Z67" s="12"/>
      <c r="AA67" s="12"/>
      <c r="AB67" s="16"/>
      <c r="AC67" s="13"/>
      <c r="AD67" s="13"/>
      <c r="AE67" s="13"/>
      <c r="AF67" s="16"/>
      <c r="AG67" s="12"/>
      <c r="AH67" s="13"/>
      <c r="AI67" s="12"/>
      <c r="AJ67" s="14" t="str">
        <f t="shared" si="26"/>
        <v/>
      </c>
      <c r="AK67" s="14" t="str">
        <f t="shared" si="27"/>
        <v/>
      </c>
      <c r="AL67" s="17" t="str">
        <f t="shared" si="28"/>
        <v/>
      </c>
      <c r="AM67" s="16"/>
      <c r="AN67" s="12"/>
      <c r="AO67" s="16"/>
      <c r="AP67" s="12"/>
      <c r="AQ67" s="12"/>
      <c r="AR67" s="14" t="str">
        <f t="shared" si="29"/>
        <v/>
      </c>
      <c r="AS67" s="15" t="str">
        <f t="shared" si="30"/>
        <v/>
      </c>
      <c r="AT67" s="12"/>
      <c r="AU67" s="13"/>
      <c r="AV67" s="12"/>
      <c r="AW67" s="16"/>
      <c r="AX67" s="13"/>
      <c r="AY67" s="17" t="str">
        <f t="shared" si="31"/>
        <v/>
      </c>
      <c r="AZ67" s="14" t="str">
        <f t="shared" ca="1" si="32"/>
        <v/>
      </c>
      <c r="BA67" s="13"/>
      <c r="BB67" s="12"/>
      <c r="BC67" s="14" t="str">
        <f>IF($V67="","",1+COUNTIF($V$5:$V$154,"&gt;"&amp;$V67)+COUNTIFS($V$5:$V$154,$V67,$U$5:$U$154,"&gt;"&amp;$U67)+COUNTIFS($V$4:$V66,$V67,$U$4:$U66,$U67))</f>
        <v/>
      </c>
      <c r="BD67" s="12"/>
      <c r="BE67" s="12"/>
      <c r="BF67" s="12"/>
      <c r="BG67" s="62"/>
      <c r="BH67" s="62"/>
      <c r="BI67" s="63" t="str">
        <f t="shared" si="33"/>
        <v/>
      </c>
      <c r="BJ67" s="18" t="str">
        <f t="shared" si="34"/>
        <v/>
      </c>
      <c r="BK67" s="12"/>
      <c r="BL67" s="117"/>
      <c r="BM67" s="117"/>
      <c r="BN67" s="16"/>
      <c r="BO67" s="117"/>
      <c r="BP67" s="117"/>
      <c r="BQ67" s="117"/>
      <c r="BR67" s="117"/>
      <c r="BS67" s="117"/>
      <c r="BT67" s="117"/>
      <c r="BU67" s="117"/>
      <c r="BV67" s="117"/>
      <c r="BW67" s="14" t="str">
        <f t="shared" si="35"/>
        <v/>
      </c>
      <c r="BX67" s="14" t="str">
        <f t="shared" si="36"/>
        <v/>
      </c>
      <c r="BY67" s="14" t="str">
        <f t="shared" si="37"/>
        <v/>
      </c>
      <c r="BZ67" s="15" t="str">
        <f t="shared" si="38"/>
        <v/>
      </c>
      <c r="CA67" s="15" t="str">
        <f t="shared" si="39"/>
        <v/>
      </c>
      <c r="CB67" s="117"/>
      <c r="CC67" s="117"/>
      <c r="CD67" s="117"/>
      <c r="CE67" s="117"/>
      <c r="CF67" s="117"/>
      <c r="CG67" s="14" t="str">
        <f t="shared" si="40"/>
        <v/>
      </c>
      <c r="CH67" s="15" t="str">
        <f t="shared" si="41"/>
        <v/>
      </c>
      <c r="CI67" s="117"/>
    </row>
    <row r="68" spans="1:87">
      <c r="A68" s="115"/>
      <c r="B68" s="12"/>
      <c r="C68" s="13"/>
      <c r="D68" s="13"/>
      <c r="E68" s="12"/>
      <c r="F68" s="12"/>
      <c r="G68" s="13"/>
      <c r="H68" s="12"/>
      <c r="I68" s="13"/>
      <c r="J68" s="13"/>
      <c r="K68" s="12"/>
      <c r="L68" s="13"/>
      <c r="M68" s="12"/>
      <c r="N68" s="12"/>
      <c r="O68" s="12"/>
      <c r="P68" s="14" t="str">
        <f t="shared" si="21"/>
        <v/>
      </c>
      <c r="Q68" s="15" t="str">
        <f t="shared" si="22"/>
        <v/>
      </c>
      <c r="R68" s="13"/>
      <c r="S68" s="12"/>
      <c r="T68" s="12"/>
      <c r="U68" s="12"/>
      <c r="V68" s="14" t="str">
        <f t="shared" si="23"/>
        <v/>
      </c>
      <c r="W68" s="15" t="str">
        <f t="shared" si="24"/>
        <v/>
      </c>
      <c r="X68" s="12"/>
      <c r="Y68" s="14" t="str">
        <f t="shared" si="25"/>
        <v/>
      </c>
      <c r="Z68" s="12"/>
      <c r="AA68" s="12"/>
      <c r="AB68" s="16"/>
      <c r="AC68" s="13"/>
      <c r="AD68" s="13"/>
      <c r="AE68" s="13"/>
      <c r="AF68" s="16"/>
      <c r="AG68" s="12"/>
      <c r="AH68" s="13"/>
      <c r="AI68" s="12"/>
      <c r="AJ68" s="14" t="str">
        <f t="shared" si="26"/>
        <v/>
      </c>
      <c r="AK68" s="14" t="str">
        <f t="shared" si="27"/>
        <v/>
      </c>
      <c r="AL68" s="17" t="str">
        <f t="shared" si="28"/>
        <v/>
      </c>
      <c r="AM68" s="16"/>
      <c r="AN68" s="12"/>
      <c r="AO68" s="16"/>
      <c r="AP68" s="12"/>
      <c r="AQ68" s="12"/>
      <c r="AR68" s="14" t="str">
        <f t="shared" si="29"/>
        <v/>
      </c>
      <c r="AS68" s="15" t="str">
        <f t="shared" si="30"/>
        <v/>
      </c>
      <c r="AT68" s="12"/>
      <c r="AU68" s="13"/>
      <c r="AV68" s="12"/>
      <c r="AW68" s="16"/>
      <c r="AX68" s="13"/>
      <c r="AY68" s="17" t="str">
        <f t="shared" si="31"/>
        <v/>
      </c>
      <c r="AZ68" s="14" t="str">
        <f t="shared" ca="1" si="32"/>
        <v/>
      </c>
      <c r="BA68" s="13"/>
      <c r="BB68" s="12"/>
      <c r="BC68" s="14" t="str">
        <f>IF($V68="","",1+COUNTIF($V$5:$V$154,"&gt;"&amp;$V68)+COUNTIFS($V$5:$V$154,$V68,$U$5:$U$154,"&gt;"&amp;$U68)+COUNTIFS($V$4:$V67,$V68,$U$4:$U67,$U68))</f>
        <v/>
      </c>
      <c r="BD68" s="12"/>
      <c r="BE68" s="12"/>
      <c r="BF68" s="12"/>
      <c r="BG68" s="62"/>
      <c r="BH68" s="62"/>
      <c r="BI68" s="63" t="str">
        <f t="shared" si="33"/>
        <v/>
      </c>
      <c r="BJ68" s="18" t="str">
        <f t="shared" si="34"/>
        <v/>
      </c>
      <c r="BK68" s="12"/>
      <c r="BL68" s="117"/>
      <c r="BM68" s="117"/>
      <c r="BN68" s="16"/>
      <c r="BO68" s="117"/>
      <c r="BP68" s="117"/>
      <c r="BQ68" s="117"/>
      <c r="BR68" s="117"/>
      <c r="BS68" s="117"/>
      <c r="BT68" s="117"/>
      <c r="BU68" s="117"/>
      <c r="BV68" s="117"/>
      <c r="BW68" s="14" t="str">
        <f t="shared" si="35"/>
        <v/>
      </c>
      <c r="BX68" s="14" t="str">
        <f t="shared" si="36"/>
        <v/>
      </c>
      <c r="BY68" s="14" t="str">
        <f t="shared" si="37"/>
        <v/>
      </c>
      <c r="BZ68" s="15" t="str">
        <f t="shared" si="38"/>
        <v/>
      </c>
      <c r="CA68" s="15" t="str">
        <f t="shared" si="39"/>
        <v/>
      </c>
      <c r="CB68" s="117"/>
      <c r="CC68" s="117"/>
      <c r="CD68" s="117"/>
      <c r="CE68" s="117"/>
      <c r="CF68" s="117"/>
      <c r="CG68" s="14" t="str">
        <f t="shared" si="40"/>
        <v/>
      </c>
      <c r="CH68" s="15" t="str">
        <f t="shared" si="41"/>
        <v/>
      </c>
      <c r="CI68" s="117"/>
    </row>
    <row r="69" spans="1:87">
      <c r="A69" s="115"/>
      <c r="B69" s="12"/>
      <c r="C69" s="13"/>
      <c r="D69" s="13"/>
      <c r="E69" s="12"/>
      <c r="F69" s="12"/>
      <c r="G69" s="13"/>
      <c r="H69" s="12"/>
      <c r="I69" s="13"/>
      <c r="J69" s="13"/>
      <c r="K69" s="12"/>
      <c r="L69" s="13"/>
      <c r="M69" s="12"/>
      <c r="N69" s="12"/>
      <c r="O69" s="12"/>
      <c r="P69" s="14" t="str">
        <f t="shared" ref="P69:P100" si="42">IF(COUNT($N69:$O69)=2,$N69*$O69,"")</f>
        <v/>
      </c>
      <c r="Q69" s="15" t="str">
        <f t="shared" ref="Q69:Q100" si="43">IF($P69="","",INDEX(Niveis,MAX(IFERROR(MATCH($P69,Limites,1),1),IF($O69=5,MinIdx,1))))</f>
        <v/>
      </c>
      <c r="R69" s="13"/>
      <c r="S69" s="12"/>
      <c r="T69" s="12"/>
      <c r="U69" s="12"/>
      <c r="V69" s="14" t="str">
        <f t="shared" ref="V69:V100" si="44">IF(COUNT($T69:$U69)=2,$T69*$U69,"")</f>
        <v/>
      </c>
      <c r="W69" s="15" t="str">
        <f t="shared" ref="W69:W100" si="45">IF($V69="","",INDEX(Niveis,MAX(IFERROR(MATCH($V69,Limites,1),1),IF($U69=5,MinIdx,1))))</f>
        <v/>
      </c>
      <c r="X69" s="12"/>
      <c r="Y69" s="14" t="str">
        <f t="shared" ref="Y69:Y100" si="46">IF(IF($W69&lt;&gt;"",$W69,$Q69)="","",INDEX(AcaoRisco,MATCH(IF($W69&lt;&gt;"",$W69,$Q69),Niveis,0)))</f>
        <v/>
      </c>
      <c r="Z69" s="12"/>
      <c r="AA69" s="12"/>
      <c r="AB69" s="16"/>
      <c r="AC69" s="13"/>
      <c r="AD69" s="13"/>
      <c r="AE69" s="13"/>
      <c r="AF69" s="16"/>
      <c r="AG69" s="12"/>
      <c r="AH69" s="13"/>
      <c r="AI69" s="12"/>
      <c r="AJ69" s="14" t="str">
        <f t="shared" ref="AJ69:AJ100" si="47">IF(OR($AI69="",PlanoUrl=""),"",HYPERLINK(SUBSTITUTE(PlanoUrl,"{COD}",SUBSTITUTE($AI69," ","%20")),"↗"))</f>
        <v/>
      </c>
      <c r="AK69" s="14" t="str">
        <f t="shared" ref="AK69:AK100" si="48">IF($C69="","",IF($AI69="",$AG69&amp;"",IFERROR(IF(INDEX(PlanosStatus,MATCH($AI69,PlanosCod,0))="",$AG69&amp;"",INDEX(PlanosStatus,MATCH($AI69,PlanosCod,0))),$AG69&amp;"")))</f>
        <v/>
      </c>
      <c r="AL69" s="17" t="str">
        <f t="shared" ref="AL69:AL100" si="49">IF($C69="","",IF($AI69="",IF($AF69="","",$AF69),IFERROR(IF(INDEX(PlanosPrazo,MATCH($AI69,PlanosCod,0))="",IF($AF69="","",$AF69),INDEX(PlanosPrazo,MATCH($AI69,PlanosCod,0))),IF($AF69="","",$AF69))))</f>
        <v/>
      </c>
      <c r="AM69" s="16"/>
      <c r="AN69" s="12"/>
      <c r="AO69" s="16"/>
      <c r="AP69" s="12"/>
      <c r="AQ69" s="12"/>
      <c r="AR69" s="14" t="str">
        <f t="shared" ref="AR69:AR100" si="50">IF(COUNT($AP69:$AQ69)=2,$AP69*$AQ69,"")</f>
        <v/>
      </c>
      <c r="AS69" s="15" t="str">
        <f t="shared" ref="AS69:AS100" si="51">IF($AR69="","",INDEX(Niveis,MAX(IFERROR(MATCH($AR69,Limites,1),1),IF($AQ69=5,MinIdx,1))))</f>
        <v/>
      </c>
      <c r="AT69" s="12"/>
      <c r="AU69" s="13"/>
      <c r="AV69" s="12"/>
      <c r="AW69" s="16"/>
      <c r="AX69" s="13"/>
      <c r="AY69" s="17" t="str">
        <f t="shared" ref="AY69:AY100" si="52">IF(OR($AW69="",IF(AND($AN69="Eficaz",$AS69&lt;&gt;""),$AS69,IF($W69&lt;&gt;"",$W69,$Q69))=""),"",EDATE($AW69,INDEX(MesesRev,MATCH(IF(AND($AN69="Eficaz",$AS69&lt;&gt;""),$AS69,IF($W69&lt;&gt;"",$W69,$Q69)),Niveis,0))))</f>
        <v/>
      </c>
      <c r="AZ69" s="14" t="str">
        <f t="shared" ref="AZ69:AZ100" ca="1" si="53">IF($C69="","",IF($AD69="","Sem dono",IF($W69="","Falta avaliação",IF(AND($AI69&lt;&gt;"",COUNTIF(PlanosCod,$AI69)=0),"Código não encontrado",IF(AND($AI69&lt;&gt;"",IFERROR(INDEX(PlanosIdRef,MATCH($AI69,PlanosCod,0))&amp;"","")&lt;&gt;"",ISERROR(SEARCH(";"&amp;$A69&amp;";",";"&amp;SUBSTITUTE(SUBSTITUTE(IFERROR(INDEX(PlanosIdRef,MATCH($AI69,PlanosCod,0))&amp;"","")," ",""),",",";")&amp;";"))),"Vínculo divergente",IF(AND(ISNUMBER($P69),ISNUMBER($V69),$V69&lt;$P69,OR($S69="",$S69="Inexistente")),"Redução s/ controle",IF(AND(ISNUMBER($AR69),ISNUMBER($V69),$AR69&lt;$V69,NOT(OR($Z69="Prevenir",$Z69="Mitigar",$Z69="Transferir / compartilhar")),$AC69="",$AI69=""),"Residual s/ tratamento",IF(AND(LEFT($AI69,3)="RNC",N(IFERROR(INDEX(PlanosAbertura,MATCH($AI69,PlanosCod,0)),0))&gt;N($AW69)),"Reavaliar após RNC",IF(AND(N($AV69)&gt;=1,ISNUMBER($T69),$T69&lt;=2),"Recalibrar probabilidade",IF(AND($Z69="Aceitar",$BA69=""),"Aceite sem justificativa",IF(AND($Z69="Aceitar",ISNUMBER($AB69),$AB69&lt;TODAY()),"Aceite vencido",IF(AND(OR($Z69="Aceitar",$Z69="Monitorar"),$Y69&lt;&gt;"Monitorar",$Y69&lt;&gt;""),"Aprovar aceite",IF(AND($Z69&lt;&gt;"Aceitar",$Z69&lt;&gt;"Monitorar",$Z69&lt;&gt;"Aprofundar análise",$AC69="",$AI69="",IFERROR(MATCH(IF($W69&lt;&gt;"",$W69,$Q69),Niveis,0),0)&gt;IF(N(IFERROR(INDEX(ApetIdx,MATCH($M69,ListaCatRisco,0)),0))=0,IdxExige-1,INDEX(ApetIdx,MATCH($M69,ListaCatRisco,0)))),"Sem ação",IF($Z69="Aprofundar análise","Aprofundar análise",IF(AND(OR($Z69="Prevenir",$Z69="Mitigar",$Z69="Transferir / compartilhar"),$AH69=""),"Definir critério de eficácia",IF(AND(OR($Z69="Prevenir",$Z69="Mitigar",$Z69="Transferir / compartilhar"),OR($AA69="Controle administrativo",$AA69="EPI"),IFERROR(MATCH(IF($W69&lt;&gt;"",$W69,$Q69),Niveis,0),0)&gt;=3),"Rever hierarquia de controle",IF(COUNTIFS(KriId,$A69,KriSit,"Estourou")+COUNTIFS(KriId,$A69,KriSit,"Atenção")&gt;0,"KRI em alerta",IF(COUNTIFS(BtId,$A69,BtEf,"Baixa")+COUNTIFS(BtId,$A69,BtEf,"Inexistente")&gt;0,"Barreira fraca",IF($AN69="Não eficaz","Ação ineficaz",IF(AND($AL69&lt;&gt;"",$AL69&lt;TODAY(),$AK69&lt;&gt;"Concluído",$AK69&lt;&gt;"Cancelado"),"Ação vencida",IF(AND($AN69&lt;&gt;"Eficaz",OR($AK69="Concluído",AND(ISNUMBER($AM69),$AM69&lt;TODAY()))),"Avaliar eficácia",IF(AND($AN69="Eficaz",OR($AS69="",$AT69="")),"Concluir residual",IF($AT69="Não","Tratamento adicional",IF(AND($AT69="Sim",$AS69&lt;&gt;"",IFERROR(MATCH($AS69,Niveis,0),0)&gt;IF(N(IFERROR(INDEX(ApetIdx,MATCH($M69,ListaCatRisco,0)),0))=0,IdxExige-1,INDEX(ApetIdx,MATCH($M69,ListaCatRisco,0)))),"Aceite fora do apetite",IF(AND(COUNTIF(BtId,$A69)=0,OR(IFERROR(MATCH(IF($W69&lt;&gt;"",$W69,$Q69),Niveis,0),0)&gt;=3,AND(OR($S69="Baixa",$S69="Inexistente"),IFERROR(MATCH(IF($W69&lt;&gt;"",$W69,$Q69),Niveis,0),0)&gt;=2))),"Sem BowTie",IF(AND($AY69&lt;&gt;"",$AY69&lt;TODAY()),"Revisão vencida",IF(AND($AL69&lt;&gt;"",N($AL69)-TODAY()&lt;=DiasAlerta,$AK69&lt;&gt;"Concluído",$AK69&lt;&gt;"Cancelado"),"Vence em breve","OK")))))))))))))))))))))))))))</f>
        <v/>
      </c>
      <c r="BA69" s="13"/>
      <c r="BB69" s="12"/>
      <c r="BC69" s="14" t="str">
        <f>IF($V69="","",1+COUNTIF($V$5:$V$154,"&gt;"&amp;$V69)+COUNTIFS($V$5:$V$154,$V69,$U$5:$U$154,"&gt;"&amp;$U69)+COUNTIFS($V$4:$V68,$V69,$U$4:$U68,$U69))</f>
        <v/>
      </c>
      <c r="BD69" s="12"/>
      <c r="BE69" s="12"/>
      <c r="BF69" s="12"/>
      <c r="BG69" s="62"/>
      <c r="BH69" s="62"/>
      <c r="BI69" s="63" t="str">
        <f t="shared" ref="BI69:BI100" si="54">IF(OR($BH69="",$T69=""),"",IFERROR($BH69*INDEX(ProbMedia,$T69),""))</f>
        <v/>
      </c>
      <c r="BJ69" s="18" t="str">
        <f t="shared" ref="BJ69:BJ100" si="55">IF(OR($BG69="",$BI69=""),"",IF(OR(LEFT($M69,3)="SST",LEFT($M69,5)="Legal",LEFT($M69,8)="Ambienta"),"SST/Ambiental/Legal: custo não justifica aceitar (apetite e ALARP)",IF($BG69&gt;$BI69,"Custo maior que a perda esperada: reter/aceitar é defensável, com justificativa","Custo menor ou igual à perda esperada: tratar compensa")))</f>
        <v/>
      </c>
      <c r="BK69" s="12"/>
      <c r="BL69" s="117"/>
      <c r="BM69" s="117"/>
      <c r="BN69" s="16"/>
      <c r="BO69" s="117"/>
      <c r="BP69" s="117"/>
      <c r="BQ69" s="117"/>
      <c r="BR69" s="117"/>
      <c r="BS69" s="117"/>
      <c r="BT69" s="117"/>
      <c r="BU69" s="117"/>
      <c r="BV69" s="117"/>
      <c r="BW69" s="14" t="str">
        <f t="shared" ref="BW69:BW100" si="56">IF($BU69="","",IFERROR(INDEX(SgaProbValor,MATCH($BU69,SgaProbNivel,0)),""))</f>
        <v/>
      </c>
      <c r="BX69" s="14" t="str">
        <f t="shared" ref="BX69:BX100" si="57">IF($BV69="","",IFERROR(INDEX(SgaSevRiValor,MATCH($BV69,SgaSevRiNivel,0)),""))</f>
        <v/>
      </c>
      <c r="BY69" s="14" t="str">
        <f t="shared" ref="BY69:BY100" si="58">IF(COUNT($BW69:$BX69)=2,$BW69*$BX69,"")</f>
        <v/>
      </c>
      <c r="BZ69" s="15" t="str">
        <f t="shared" ref="BZ69:BZ100" si="59">IF($BY69="","",IF($BY69&lt;=SgaLimRiSig,"SIGNIFICATIVO",IF($BY69&lt;=SgaLimRiTol,"TOLERÁVEL","BAIXO")))</f>
        <v/>
      </c>
      <c r="CA69" s="15" t="str">
        <f t="shared" ref="CA69:CA100" si="60">IF($BZ69="","",IF($BZ69="SIGNIFICATIVO","NÃO ACEITÁVEL","ACEITÁVEL"))</f>
        <v/>
      </c>
      <c r="CB69" s="117"/>
      <c r="CC69" s="117"/>
      <c r="CD69" s="117"/>
      <c r="CE69" s="117"/>
      <c r="CF69" s="117"/>
      <c r="CG69" s="14" t="str">
        <f t="shared" ref="CG69:CG100" si="61">IF(OR($CE69="",$CF69=""),"",IFERROR(INDEX(SgaProbValor,MATCH($CE69,SgaProbNivel,0))*INDEX(SgaSevRiValor,MATCH($CF69,SgaSevRiNivel,0)),""))</f>
        <v/>
      </c>
      <c r="CH69" s="15" t="str">
        <f t="shared" ref="CH69:CH100" si="62">IF($CG69="","",IF($CG69&lt;=SgaLimRiSig,"SIGNIFICATIVO",IF($CG69&lt;=SgaLimRiTol,"TOLERÁVEL","BAIXO")))</f>
        <v/>
      </c>
      <c r="CI69" s="117"/>
    </row>
    <row r="70" spans="1:87">
      <c r="A70" s="115"/>
      <c r="B70" s="12"/>
      <c r="C70" s="13"/>
      <c r="D70" s="13"/>
      <c r="E70" s="12"/>
      <c r="F70" s="12"/>
      <c r="G70" s="13"/>
      <c r="H70" s="12"/>
      <c r="I70" s="13"/>
      <c r="J70" s="13"/>
      <c r="K70" s="12"/>
      <c r="L70" s="13"/>
      <c r="M70" s="12"/>
      <c r="N70" s="12"/>
      <c r="O70" s="12"/>
      <c r="P70" s="14" t="str">
        <f t="shared" si="42"/>
        <v/>
      </c>
      <c r="Q70" s="15" t="str">
        <f t="shared" si="43"/>
        <v/>
      </c>
      <c r="R70" s="13"/>
      <c r="S70" s="12"/>
      <c r="T70" s="12"/>
      <c r="U70" s="12"/>
      <c r="V70" s="14" t="str">
        <f t="shared" si="44"/>
        <v/>
      </c>
      <c r="W70" s="15" t="str">
        <f t="shared" si="45"/>
        <v/>
      </c>
      <c r="X70" s="12"/>
      <c r="Y70" s="14" t="str">
        <f t="shared" si="46"/>
        <v/>
      </c>
      <c r="Z70" s="12"/>
      <c r="AA70" s="12"/>
      <c r="AB70" s="16"/>
      <c r="AC70" s="13"/>
      <c r="AD70" s="13"/>
      <c r="AE70" s="13"/>
      <c r="AF70" s="16"/>
      <c r="AG70" s="12"/>
      <c r="AH70" s="13"/>
      <c r="AI70" s="12"/>
      <c r="AJ70" s="14" t="str">
        <f t="shared" si="47"/>
        <v/>
      </c>
      <c r="AK70" s="14" t="str">
        <f t="shared" si="48"/>
        <v/>
      </c>
      <c r="AL70" s="17" t="str">
        <f t="shared" si="49"/>
        <v/>
      </c>
      <c r="AM70" s="16"/>
      <c r="AN70" s="12"/>
      <c r="AO70" s="16"/>
      <c r="AP70" s="12"/>
      <c r="AQ70" s="12"/>
      <c r="AR70" s="14" t="str">
        <f t="shared" si="50"/>
        <v/>
      </c>
      <c r="AS70" s="15" t="str">
        <f t="shared" si="51"/>
        <v/>
      </c>
      <c r="AT70" s="12"/>
      <c r="AU70" s="13"/>
      <c r="AV70" s="12"/>
      <c r="AW70" s="16"/>
      <c r="AX70" s="13"/>
      <c r="AY70" s="17" t="str">
        <f t="shared" si="52"/>
        <v/>
      </c>
      <c r="AZ70" s="14" t="str">
        <f t="shared" ca="1" si="53"/>
        <v/>
      </c>
      <c r="BA70" s="13"/>
      <c r="BB70" s="12"/>
      <c r="BC70" s="14" t="str">
        <f>IF($V70="","",1+COUNTIF($V$5:$V$154,"&gt;"&amp;$V70)+COUNTIFS($V$5:$V$154,$V70,$U$5:$U$154,"&gt;"&amp;$U70)+COUNTIFS($V$4:$V69,$V70,$U$4:$U69,$U70))</f>
        <v/>
      </c>
      <c r="BD70" s="12"/>
      <c r="BE70" s="12"/>
      <c r="BF70" s="12"/>
      <c r="BG70" s="62"/>
      <c r="BH70" s="62"/>
      <c r="BI70" s="63" t="str">
        <f t="shared" si="54"/>
        <v/>
      </c>
      <c r="BJ70" s="18" t="str">
        <f t="shared" si="55"/>
        <v/>
      </c>
      <c r="BK70" s="12"/>
      <c r="BL70" s="117"/>
      <c r="BM70" s="117"/>
      <c r="BN70" s="16"/>
      <c r="BO70" s="117"/>
      <c r="BP70" s="117"/>
      <c r="BQ70" s="117"/>
      <c r="BR70" s="117"/>
      <c r="BS70" s="117"/>
      <c r="BT70" s="117"/>
      <c r="BU70" s="117"/>
      <c r="BV70" s="117"/>
      <c r="BW70" s="14" t="str">
        <f t="shared" si="56"/>
        <v/>
      </c>
      <c r="BX70" s="14" t="str">
        <f t="shared" si="57"/>
        <v/>
      </c>
      <c r="BY70" s="14" t="str">
        <f t="shared" si="58"/>
        <v/>
      </c>
      <c r="BZ70" s="15" t="str">
        <f t="shared" si="59"/>
        <v/>
      </c>
      <c r="CA70" s="15" t="str">
        <f t="shared" si="60"/>
        <v/>
      </c>
      <c r="CB70" s="117"/>
      <c r="CC70" s="117"/>
      <c r="CD70" s="117"/>
      <c r="CE70" s="117"/>
      <c r="CF70" s="117"/>
      <c r="CG70" s="14" t="str">
        <f t="shared" si="61"/>
        <v/>
      </c>
      <c r="CH70" s="15" t="str">
        <f t="shared" si="62"/>
        <v/>
      </c>
      <c r="CI70" s="117"/>
    </row>
    <row r="71" spans="1:87">
      <c r="A71" s="115"/>
      <c r="B71" s="12"/>
      <c r="C71" s="13"/>
      <c r="D71" s="13"/>
      <c r="E71" s="12"/>
      <c r="F71" s="12"/>
      <c r="G71" s="13"/>
      <c r="H71" s="12"/>
      <c r="I71" s="13"/>
      <c r="J71" s="13"/>
      <c r="K71" s="12"/>
      <c r="L71" s="13"/>
      <c r="M71" s="12"/>
      <c r="N71" s="12"/>
      <c r="O71" s="12"/>
      <c r="P71" s="14" t="str">
        <f t="shared" si="42"/>
        <v/>
      </c>
      <c r="Q71" s="15" t="str">
        <f t="shared" si="43"/>
        <v/>
      </c>
      <c r="R71" s="13"/>
      <c r="S71" s="12"/>
      <c r="T71" s="12"/>
      <c r="U71" s="12"/>
      <c r="V71" s="14" t="str">
        <f t="shared" si="44"/>
        <v/>
      </c>
      <c r="W71" s="15" t="str">
        <f t="shared" si="45"/>
        <v/>
      </c>
      <c r="X71" s="12"/>
      <c r="Y71" s="14" t="str">
        <f t="shared" si="46"/>
        <v/>
      </c>
      <c r="Z71" s="12"/>
      <c r="AA71" s="12"/>
      <c r="AB71" s="16"/>
      <c r="AC71" s="13"/>
      <c r="AD71" s="13"/>
      <c r="AE71" s="13"/>
      <c r="AF71" s="16"/>
      <c r="AG71" s="12"/>
      <c r="AH71" s="13"/>
      <c r="AI71" s="12"/>
      <c r="AJ71" s="14" t="str">
        <f t="shared" si="47"/>
        <v/>
      </c>
      <c r="AK71" s="14" t="str">
        <f t="shared" si="48"/>
        <v/>
      </c>
      <c r="AL71" s="17" t="str">
        <f t="shared" si="49"/>
        <v/>
      </c>
      <c r="AM71" s="16"/>
      <c r="AN71" s="12"/>
      <c r="AO71" s="16"/>
      <c r="AP71" s="12"/>
      <c r="AQ71" s="12"/>
      <c r="AR71" s="14" t="str">
        <f t="shared" si="50"/>
        <v/>
      </c>
      <c r="AS71" s="15" t="str">
        <f t="shared" si="51"/>
        <v/>
      </c>
      <c r="AT71" s="12"/>
      <c r="AU71" s="13"/>
      <c r="AV71" s="12"/>
      <c r="AW71" s="16"/>
      <c r="AX71" s="13"/>
      <c r="AY71" s="17" t="str">
        <f t="shared" si="52"/>
        <v/>
      </c>
      <c r="AZ71" s="14" t="str">
        <f t="shared" ca="1" si="53"/>
        <v/>
      </c>
      <c r="BA71" s="13"/>
      <c r="BB71" s="12"/>
      <c r="BC71" s="14" t="str">
        <f>IF($V71="","",1+COUNTIF($V$5:$V$154,"&gt;"&amp;$V71)+COUNTIFS($V$5:$V$154,$V71,$U$5:$U$154,"&gt;"&amp;$U71)+COUNTIFS($V$4:$V70,$V71,$U$4:$U70,$U71))</f>
        <v/>
      </c>
      <c r="BD71" s="12"/>
      <c r="BE71" s="12"/>
      <c r="BF71" s="12"/>
      <c r="BG71" s="62"/>
      <c r="BH71" s="62"/>
      <c r="BI71" s="63" t="str">
        <f t="shared" si="54"/>
        <v/>
      </c>
      <c r="BJ71" s="18" t="str">
        <f t="shared" si="55"/>
        <v/>
      </c>
      <c r="BK71" s="12"/>
      <c r="BL71" s="117"/>
      <c r="BM71" s="117"/>
      <c r="BN71" s="16"/>
      <c r="BO71" s="117"/>
      <c r="BP71" s="117"/>
      <c r="BQ71" s="117"/>
      <c r="BR71" s="117"/>
      <c r="BS71" s="117"/>
      <c r="BT71" s="117"/>
      <c r="BU71" s="117"/>
      <c r="BV71" s="117"/>
      <c r="BW71" s="14" t="str">
        <f t="shared" si="56"/>
        <v/>
      </c>
      <c r="BX71" s="14" t="str">
        <f t="shared" si="57"/>
        <v/>
      </c>
      <c r="BY71" s="14" t="str">
        <f t="shared" si="58"/>
        <v/>
      </c>
      <c r="BZ71" s="15" t="str">
        <f t="shared" si="59"/>
        <v/>
      </c>
      <c r="CA71" s="15" t="str">
        <f t="shared" si="60"/>
        <v/>
      </c>
      <c r="CB71" s="117"/>
      <c r="CC71" s="117"/>
      <c r="CD71" s="117"/>
      <c r="CE71" s="117"/>
      <c r="CF71" s="117"/>
      <c r="CG71" s="14" t="str">
        <f t="shared" si="61"/>
        <v/>
      </c>
      <c r="CH71" s="15" t="str">
        <f t="shared" si="62"/>
        <v/>
      </c>
      <c r="CI71" s="117"/>
    </row>
    <row r="72" spans="1:87">
      <c r="A72" s="115"/>
      <c r="B72" s="12"/>
      <c r="C72" s="13"/>
      <c r="D72" s="13"/>
      <c r="E72" s="12"/>
      <c r="F72" s="12"/>
      <c r="G72" s="13"/>
      <c r="H72" s="12"/>
      <c r="I72" s="13"/>
      <c r="J72" s="13"/>
      <c r="K72" s="12"/>
      <c r="L72" s="13"/>
      <c r="M72" s="12"/>
      <c r="N72" s="12"/>
      <c r="O72" s="12"/>
      <c r="P72" s="14" t="str">
        <f t="shared" si="42"/>
        <v/>
      </c>
      <c r="Q72" s="15" t="str">
        <f t="shared" si="43"/>
        <v/>
      </c>
      <c r="R72" s="13"/>
      <c r="S72" s="12"/>
      <c r="T72" s="12"/>
      <c r="U72" s="12"/>
      <c r="V72" s="14" t="str">
        <f t="shared" si="44"/>
        <v/>
      </c>
      <c r="W72" s="15" t="str">
        <f t="shared" si="45"/>
        <v/>
      </c>
      <c r="X72" s="12"/>
      <c r="Y72" s="14" t="str">
        <f t="shared" si="46"/>
        <v/>
      </c>
      <c r="Z72" s="12"/>
      <c r="AA72" s="12"/>
      <c r="AB72" s="16"/>
      <c r="AC72" s="13"/>
      <c r="AD72" s="13"/>
      <c r="AE72" s="13"/>
      <c r="AF72" s="16"/>
      <c r="AG72" s="12"/>
      <c r="AH72" s="13"/>
      <c r="AI72" s="12"/>
      <c r="AJ72" s="14" t="str">
        <f t="shared" si="47"/>
        <v/>
      </c>
      <c r="AK72" s="14" t="str">
        <f t="shared" si="48"/>
        <v/>
      </c>
      <c r="AL72" s="17" t="str">
        <f t="shared" si="49"/>
        <v/>
      </c>
      <c r="AM72" s="16"/>
      <c r="AN72" s="12"/>
      <c r="AO72" s="16"/>
      <c r="AP72" s="12"/>
      <c r="AQ72" s="12"/>
      <c r="AR72" s="14" t="str">
        <f t="shared" si="50"/>
        <v/>
      </c>
      <c r="AS72" s="15" t="str">
        <f t="shared" si="51"/>
        <v/>
      </c>
      <c r="AT72" s="12"/>
      <c r="AU72" s="13"/>
      <c r="AV72" s="12"/>
      <c r="AW72" s="16"/>
      <c r="AX72" s="13"/>
      <c r="AY72" s="17" t="str">
        <f t="shared" si="52"/>
        <v/>
      </c>
      <c r="AZ72" s="14" t="str">
        <f t="shared" ca="1" si="53"/>
        <v/>
      </c>
      <c r="BA72" s="13"/>
      <c r="BB72" s="12"/>
      <c r="BC72" s="14" t="str">
        <f>IF($V72="","",1+COUNTIF($V$5:$V$154,"&gt;"&amp;$V72)+COUNTIFS($V$5:$V$154,$V72,$U$5:$U$154,"&gt;"&amp;$U72)+COUNTIFS($V$4:$V71,$V72,$U$4:$U71,$U72))</f>
        <v/>
      </c>
      <c r="BD72" s="12"/>
      <c r="BE72" s="12"/>
      <c r="BF72" s="12"/>
      <c r="BG72" s="62"/>
      <c r="BH72" s="62"/>
      <c r="BI72" s="63" t="str">
        <f t="shared" si="54"/>
        <v/>
      </c>
      <c r="BJ72" s="18" t="str">
        <f t="shared" si="55"/>
        <v/>
      </c>
      <c r="BK72" s="12"/>
      <c r="BL72" s="117"/>
      <c r="BM72" s="117"/>
      <c r="BN72" s="16"/>
      <c r="BO72" s="117"/>
      <c r="BP72" s="117"/>
      <c r="BQ72" s="117"/>
      <c r="BR72" s="117"/>
      <c r="BS72" s="117"/>
      <c r="BT72" s="117"/>
      <c r="BU72" s="117"/>
      <c r="BV72" s="117"/>
      <c r="BW72" s="14" t="str">
        <f t="shared" si="56"/>
        <v/>
      </c>
      <c r="BX72" s="14" t="str">
        <f t="shared" si="57"/>
        <v/>
      </c>
      <c r="BY72" s="14" t="str">
        <f t="shared" si="58"/>
        <v/>
      </c>
      <c r="BZ72" s="15" t="str">
        <f t="shared" si="59"/>
        <v/>
      </c>
      <c r="CA72" s="15" t="str">
        <f t="shared" si="60"/>
        <v/>
      </c>
      <c r="CB72" s="117"/>
      <c r="CC72" s="117"/>
      <c r="CD72" s="117"/>
      <c r="CE72" s="117"/>
      <c r="CF72" s="117"/>
      <c r="CG72" s="14" t="str">
        <f t="shared" si="61"/>
        <v/>
      </c>
      <c r="CH72" s="15" t="str">
        <f t="shared" si="62"/>
        <v/>
      </c>
      <c r="CI72" s="117"/>
    </row>
    <row r="73" spans="1:87">
      <c r="A73" s="115"/>
      <c r="B73" s="12"/>
      <c r="C73" s="13"/>
      <c r="D73" s="13"/>
      <c r="E73" s="12"/>
      <c r="F73" s="12"/>
      <c r="G73" s="13"/>
      <c r="H73" s="12"/>
      <c r="I73" s="13"/>
      <c r="J73" s="13"/>
      <c r="K73" s="12"/>
      <c r="L73" s="13"/>
      <c r="M73" s="12"/>
      <c r="N73" s="12"/>
      <c r="O73" s="12"/>
      <c r="P73" s="14" t="str">
        <f t="shared" si="42"/>
        <v/>
      </c>
      <c r="Q73" s="15" t="str">
        <f t="shared" si="43"/>
        <v/>
      </c>
      <c r="R73" s="13"/>
      <c r="S73" s="12"/>
      <c r="T73" s="12"/>
      <c r="U73" s="12"/>
      <c r="V73" s="14" t="str">
        <f t="shared" si="44"/>
        <v/>
      </c>
      <c r="W73" s="15" t="str">
        <f t="shared" si="45"/>
        <v/>
      </c>
      <c r="X73" s="12"/>
      <c r="Y73" s="14" t="str">
        <f t="shared" si="46"/>
        <v/>
      </c>
      <c r="Z73" s="12"/>
      <c r="AA73" s="12"/>
      <c r="AB73" s="16"/>
      <c r="AC73" s="13"/>
      <c r="AD73" s="13"/>
      <c r="AE73" s="13"/>
      <c r="AF73" s="16"/>
      <c r="AG73" s="12"/>
      <c r="AH73" s="13"/>
      <c r="AI73" s="12"/>
      <c r="AJ73" s="14" t="str">
        <f t="shared" si="47"/>
        <v/>
      </c>
      <c r="AK73" s="14" t="str">
        <f t="shared" si="48"/>
        <v/>
      </c>
      <c r="AL73" s="17" t="str">
        <f t="shared" si="49"/>
        <v/>
      </c>
      <c r="AM73" s="16"/>
      <c r="AN73" s="12"/>
      <c r="AO73" s="16"/>
      <c r="AP73" s="12"/>
      <c r="AQ73" s="12"/>
      <c r="AR73" s="14" t="str">
        <f t="shared" si="50"/>
        <v/>
      </c>
      <c r="AS73" s="15" t="str">
        <f t="shared" si="51"/>
        <v/>
      </c>
      <c r="AT73" s="12"/>
      <c r="AU73" s="13"/>
      <c r="AV73" s="12"/>
      <c r="AW73" s="16"/>
      <c r="AX73" s="13"/>
      <c r="AY73" s="17" t="str">
        <f t="shared" si="52"/>
        <v/>
      </c>
      <c r="AZ73" s="14" t="str">
        <f t="shared" ca="1" si="53"/>
        <v/>
      </c>
      <c r="BA73" s="13"/>
      <c r="BB73" s="12"/>
      <c r="BC73" s="14" t="str">
        <f>IF($V73="","",1+COUNTIF($V$5:$V$154,"&gt;"&amp;$V73)+COUNTIFS($V$5:$V$154,$V73,$U$5:$U$154,"&gt;"&amp;$U73)+COUNTIFS($V$4:$V72,$V73,$U$4:$U72,$U73))</f>
        <v/>
      </c>
      <c r="BD73" s="12"/>
      <c r="BE73" s="12"/>
      <c r="BF73" s="12"/>
      <c r="BG73" s="62"/>
      <c r="BH73" s="62"/>
      <c r="BI73" s="63" t="str">
        <f t="shared" si="54"/>
        <v/>
      </c>
      <c r="BJ73" s="18" t="str">
        <f t="shared" si="55"/>
        <v/>
      </c>
      <c r="BK73" s="12"/>
      <c r="BL73" s="117"/>
      <c r="BM73" s="117"/>
      <c r="BN73" s="16"/>
      <c r="BO73" s="117"/>
      <c r="BP73" s="117"/>
      <c r="BQ73" s="117"/>
      <c r="BR73" s="117"/>
      <c r="BS73" s="117"/>
      <c r="BT73" s="117"/>
      <c r="BU73" s="117"/>
      <c r="BV73" s="117"/>
      <c r="BW73" s="14" t="str">
        <f t="shared" si="56"/>
        <v/>
      </c>
      <c r="BX73" s="14" t="str">
        <f t="shared" si="57"/>
        <v/>
      </c>
      <c r="BY73" s="14" t="str">
        <f t="shared" si="58"/>
        <v/>
      </c>
      <c r="BZ73" s="15" t="str">
        <f t="shared" si="59"/>
        <v/>
      </c>
      <c r="CA73" s="15" t="str">
        <f t="shared" si="60"/>
        <v/>
      </c>
      <c r="CB73" s="117"/>
      <c r="CC73" s="117"/>
      <c r="CD73" s="117"/>
      <c r="CE73" s="117"/>
      <c r="CF73" s="117"/>
      <c r="CG73" s="14" t="str">
        <f t="shared" si="61"/>
        <v/>
      </c>
      <c r="CH73" s="15" t="str">
        <f t="shared" si="62"/>
        <v/>
      </c>
      <c r="CI73" s="117"/>
    </row>
    <row r="74" spans="1:87">
      <c r="A74" s="115"/>
      <c r="B74" s="12"/>
      <c r="C74" s="13"/>
      <c r="D74" s="13"/>
      <c r="E74" s="12"/>
      <c r="F74" s="12"/>
      <c r="G74" s="13"/>
      <c r="H74" s="12"/>
      <c r="I74" s="13"/>
      <c r="J74" s="13"/>
      <c r="K74" s="12"/>
      <c r="L74" s="13"/>
      <c r="M74" s="12"/>
      <c r="N74" s="12"/>
      <c r="O74" s="12"/>
      <c r="P74" s="14" t="str">
        <f t="shared" si="42"/>
        <v/>
      </c>
      <c r="Q74" s="15" t="str">
        <f t="shared" si="43"/>
        <v/>
      </c>
      <c r="R74" s="13"/>
      <c r="S74" s="12"/>
      <c r="T74" s="12"/>
      <c r="U74" s="12"/>
      <c r="V74" s="14" t="str">
        <f t="shared" si="44"/>
        <v/>
      </c>
      <c r="W74" s="15" t="str">
        <f t="shared" si="45"/>
        <v/>
      </c>
      <c r="X74" s="12"/>
      <c r="Y74" s="14" t="str">
        <f t="shared" si="46"/>
        <v/>
      </c>
      <c r="Z74" s="12"/>
      <c r="AA74" s="12"/>
      <c r="AB74" s="16"/>
      <c r="AC74" s="13"/>
      <c r="AD74" s="13"/>
      <c r="AE74" s="13"/>
      <c r="AF74" s="16"/>
      <c r="AG74" s="12"/>
      <c r="AH74" s="13"/>
      <c r="AI74" s="12"/>
      <c r="AJ74" s="14" t="str">
        <f t="shared" si="47"/>
        <v/>
      </c>
      <c r="AK74" s="14" t="str">
        <f t="shared" si="48"/>
        <v/>
      </c>
      <c r="AL74" s="17" t="str">
        <f t="shared" si="49"/>
        <v/>
      </c>
      <c r="AM74" s="16"/>
      <c r="AN74" s="12"/>
      <c r="AO74" s="16"/>
      <c r="AP74" s="12"/>
      <c r="AQ74" s="12"/>
      <c r="AR74" s="14" t="str">
        <f t="shared" si="50"/>
        <v/>
      </c>
      <c r="AS74" s="15" t="str">
        <f t="shared" si="51"/>
        <v/>
      </c>
      <c r="AT74" s="12"/>
      <c r="AU74" s="13"/>
      <c r="AV74" s="12"/>
      <c r="AW74" s="16"/>
      <c r="AX74" s="13"/>
      <c r="AY74" s="17" t="str">
        <f t="shared" si="52"/>
        <v/>
      </c>
      <c r="AZ74" s="14" t="str">
        <f t="shared" ca="1" si="53"/>
        <v/>
      </c>
      <c r="BA74" s="13"/>
      <c r="BB74" s="12"/>
      <c r="BC74" s="14" t="str">
        <f>IF($V74="","",1+COUNTIF($V$5:$V$154,"&gt;"&amp;$V74)+COUNTIFS($V$5:$V$154,$V74,$U$5:$U$154,"&gt;"&amp;$U74)+COUNTIFS($V$4:$V73,$V74,$U$4:$U73,$U74))</f>
        <v/>
      </c>
      <c r="BD74" s="12"/>
      <c r="BE74" s="12"/>
      <c r="BF74" s="12"/>
      <c r="BG74" s="62"/>
      <c r="BH74" s="62"/>
      <c r="BI74" s="63" t="str">
        <f t="shared" si="54"/>
        <v/>
      </c>
      <c r="BJ74" s="18" t="str">
        <f t="shared" si="55"/>
        <v/>
      </c>
      <c r="BK74" s="12"/>
      <c r="BL74" s="117"/>
      <c r="BM74" s="117"/>
      <c r="BN74" s="16"/>
      <c r="BO74" s="117"/>
      <c r="BP74" s="117"/>
      <c r="BQ74" s="117"/>
      <c r="BR74" s="117"/>
      <c r="BS74" s="117"/>
      <c r="BT74" s="117"/>
      <c r="BU74" s="117"/>
      <c r="BV74" s="117"/>
      <c r="BW74" s="14" t="str">
        <f t="shared" si="56"/>
        <v/>
      </c>
      <c r="BX74" s="14" t="str">
        <f t="shared" si="57"/>
        <v/>
      </c>
      <c r="BY74" s="14" t="str">
        <f t="shared" si="58"/>
        <v/>
      </c>
      <c r="BZ74" s="15" t="str">
        <f t="shared" si="59"/>
        <v/>
      </c>
      <c r="CA74" s="15" t="str">
        <f t="shared" si="60"/>
        <v/>
      </c>
      <c r="CB74" s="117"/>
      <c r="CC74" s="117"/>
      <c r="CD74" s="117"/>
      <c r="CE74" s="117"/>
      <c r="CF74" s="117"/>
      <c r="CG74" s="14" t="str">
        <f t="shared" si="61"/>
        <v/>
      </c>
      <c r="CH74" s="15" t="str">
        <f t="shared" si="62"/>
        <v/>
      </c>
      <c r="CI74" s="117"/>
    </row>
    <row r="75" spans="1:87">
      <c r="A75" s="115"/>
      <c r="B75" s="12"/>
      <c r="C75" s="13"/>
      <c r="D75" s="13"/>
      <c r="E75" s="12"/>
      <c r="F75" s="12"/>
      <c r="G75" s="13"/>
      <c r="H75" s="12"/>
      <c r="I75" s="13"/>
      <c r="J75" s="13"/>
      <c r="K75" s="12"/>
      <c r="L75" s="13"/>
      <c r="M75" s="12"/>
      <c r="N75" s="12"/>
      <c r="O75" s="12"/>
      <c r="P75" s="14" t="str">
        <f t="shared" si="42"/>
        <v/>
      </c>
      <c r="Q75" s="15" t="str">
        <f t="shared" si="43"/>
        <v/>
      </c>
      <c r="R75" s="13"/>
      <c r="S75" s="12"/>
      <c r="T75" s="12"/>
      <c r="U75" s="12"/>
      <c r="V75" s="14" t="str">
        <f t="shared" si="44"/>
        <v/>
      </c>
      <c r="W75" s="15" t="str">
        <f t="shared" si="45"/>
        <v/>
      </c>
      <c r="X75" s="12"/>
      <c r="Y75" s="14" t="str">
        <f t="shared" si="46"/>
        <v/>
      </c>
      <c r="Z75" s="12"/>
      <c r="AA75" s="12"/>
      <c r="AB75" s="16"/>
      <c r="AC75" s="13"/>
      <c r="AD75" s="13"/>
      <c r="AE75" s="13"/>
      <c r="AF75" s="16"/>
      <c r="AG75" s="12"/>
      <c r="AH75" s="13"/>
      <c r="AI75" s="12"/>
      <c r="AJ75" s="14" t="str">
        <f t="shared" si="47"/>
        <v/>
      </c>
      <c r="AK75" s="14" t="str">
        <f t="shared" si="48"/>
        <v/>
      </c>
      <c r="AL75" s="17" t="str">
        <f t="shared" si="49"/>
        <v/>
      </c>
      <c r="AM75" s="16"/>
      <c r="AN75" s="12"/>
      <c r="AO75" s="16"/>
      <c r="AP75" s="12"/>
      <c r="AQ75" s="12"/>
      <c r="AR75" s="14" t="str">
        <f t="shared" si="50"/>
        <v/>
      </c>
      <c r="AS75" s="15" t="str">
        <f t="shared" si="51"/>
        <v/>
      </c>
      <c r="AT75" s="12"/>
      <c r="AU75" s="13"/>
      <c r="AV75" s="12"/>
      <c r="AW75" s="16"/>
      <c r="AX75" s="13"/>
      <c r="AY75" s="17" t="str">
        <f t="shared" si="52"/>
        <v/>
      </c>
      <c r="AZ75" s="14" t="str">
        <f t="shared" ca="1" si="53"/>
        <v/>
      </c>
      <c r="BA75" s="13"/>
      <c r="BB75" s="12"/>
      <c r="BC75" s="14" t="str">
        <f>IF($V75="","",1+COUNTIF($V$5:$V$154,"&gt;"&amp;$V75)+COUNTIFS($V$5:$V$154,$V75,$U$5:$U$154,"&gt;"&amp;$U75)+COUNTIFS($V$4:$V74,$V75,$U$4:$U74,$U75))</f>
        <v/>
      </c>
      <c r="BD75" s="12"/>
      <c r="BE75" s="12"/>
      <c r="BF75" s="12"/>
      <c r="BG75" s="62"/>
      <c r="BH75" s="62"/>
      <c r="BI75" s="63" t="str">
        <f t="shared" si="54"/>
        <v/>
      </c>
      <c r="BJ75" s="18" t="str">
        <f t="shared" si="55"/>
        <v/>
      </c>
      <c r="BK75" s="12"/>
      <c r="BL75" s="117"/>
      <c r="BM75" s="117"/>
      <c r="BN75" s="16"/>
      <c r="BO75" s="117"/>
      <c r="BP75" s="117"/>
      <c r="BQ75" s="117"/>
      <c r="BR75" s="117"/>
      <c r="BS75" s="117"/>
      <c r="BT75" s="117"/>
      <c r="BU75" s="117"/>
      <c r="BV75" s="117"/>
      <c r="BW75" s="14" t="str">
        <f t="shared" si="56"/>
        <v/>
      </c>
      <c r="BX75" s="14" t="str">
        <f t="shared" si="57"/>
        <v/>
      </c>
      <c r="BY75" s="14" t="str">
        <f t="shared" si="58"/>
        <v/>
      </c>
      <c r="BZ75" s="15" t="str">
        <f t="shared" si="59"/>
        <v/>
      </c>
      <c r="CA75" s="15" t="str">
        <f t="shared" si="60"/>
        <v/>
      </c>
      <c r="CB75" s="117"/>
      <c r="CC75" s="117"/>
      <c r="CD75" s="117"/>
      <c r="CE75" s="117"/>
      <c r="CF75" s="117"/>
      <c r="CG75" s="14" t="str">
        <f t="shared" si="61"/>
        <v/>
      </c>
      <c r="CH75" s="15" t="str">
        <f t="shared" si="62"/>
        <v/>
      </c>
      <c r="CI75" s="117"/>
    </row>
    <row r="76" spans="1:87">
      <c r="A76" s="115"/>
      <c r="B76" s="12"/>
      <c r="C76" s="13"/>
      <c r="D76" s="13"/>
      <c r="E76" s="12"/>
      <c r="F76" s="12"/>
      <c r="G76" s="13"/>
      <c r="H76" s="12"/>
      <c r="I76" s="13"/>
      <c r="J76" s="13"/>
      <c r="K76" s="12"/>
      <c r="L76" s="13"/>
      <c r="M76" s="12"/>
      <c r="N76" s="12"/>
      <c r="O76" s="12"/>
      <c r="P76" s="14" t="str">
        <f t="shared" si="42"/>
        <v/>
      </c>
      <c r="Q76" s="15" t="str">
        <f t="shared" si="43"/>
        <v/>
      </c>
      <c r="R76" s="13"/>
      <c r="S76" s="12"/>
      <c r="T76" s="12"/>
      <c r="U76" s="12"/>
      <c r="V76" s="14" t="str">
        <f t="shared" si="44"/>
        <v/>
      </c>
      <c r="W76" s="15" t="str">
        <f t="shared" si="45"/>
        <v/>
      </c>
      <c r="X76" s="12"/>
      <c r="Y76" s="14" t="str">
        <f t="shared" si="46"/>
        <v/>
      </c>
      <c r="Z76" s="12"/>
      <c r="AA76" s="12"/>
      <c r="AB76" s="16"/>
      <c r="AC76" s="13"/>
      <c r="AD76" s="13"/>
      <c r="AE76" s="13"/>
      <c r="AF76" s="16"/>
      <c r="AG76" s="12"/>
      <c r="AH76" s="13"/>
      <c r="AI76" s="12"/>
      <c r="AJ76" s="14" t="str">
        <f t="shared" si="47"/>
        <v/>
      </c>
      <c r="AK76" s="14" t="str">
        <f t="shared" si="48"/>
        <v/>
      </c>
      <c r="AL76" s="17" t="str">
        <f t="shared" si="49"/>
        <v/>
      </c>
      <c r="AM76" s="16"/>
      <c r="AN76" s="12"/>
      <c r="AO76" s="16"/>
      <c r="AP76" s="12"/>
      <c r="AQ76" s="12"/>
      <c r="AR76" s="14" t="str">
        <f t="shared" si="50"/>
        <v/>
      </c>
      <c r="AS76" s="15" t="str">
        <f t="shared" si="51"/>
        <v/>
      </c>
      <c r="AT76" s="12"/>
      <c r="AU76" s="13"/>
      <c r="AV76" s="12"/>
      <c r="AW76" s="16"/>
      <c r="AX76" s="13"/>
      <c r="AY76" s="17" t="str">
        <f t="shared" si="52"/>
        <v/>
      </c>
      <c r="AZ76" s="14" t="str">
        <f t="shared" ca="1" si="53"/>
        <v/>
      </c>
      <c r="BA76" s="13"/>
      <c r="BB76" s="12"/>
      <c r="BC76" s="14" t="str">
        <f>IF($V76="","",1+COUNTIF($V$5:$V$154,"&gt;"&amp;$V76)+COUNTIFS($V$5:$V$154,$V76,$U$5:$U$154,"&gt;"&amp;$U76)+COUNTIFS($V$4:$V75,$V76,$U$4:$U75,$U76))</f>
        <v/>
      </c>
      <c r="BD76" s="12"/>
      <c r="BE76" s="12"/>
      <c r="BF76" s="12"/>
      <c r="BG76" s="62"/>
      <c r="BH76" s="62"/>
      <c r="BI76" s="63" t="str">
        <f t="shared" si="54"/>
        <v/>
      </c>
      <c r="BJ76" s="18" t="str">
        <f t="shared" si="55"/>
        <v/>
      </c>
      <c r="BK76" s="12"/>
      <c r="BL76" s="117"/>
      <c r="BM76" s="117"/>
      <c r="BN76" s="16"/>
      <c r="BO76" s="117"/>
      <c r="BP76" s="117"/>
      <c r="BQ76" s="117"/>
      <c r="BR76" s="117"/>
      <c r="BS76" s="117"/>
      <c r="BT76" s="117"/>
      <c r="BU76" s="117"/>
      <c r="BV76" s="117"/>
      <c r="BW76" s="14" t="str">
        <f t="shared" si="56"/>
        <v/>
      </c>
      <c r="BX76" s="14" t="str">
        <f t="shared" si="57"/>
        <v/>
      </c>
      <c r="BY76" s="14" t="str">
        <f t="shared" si="58"/>
        <v/>
      </c>
      <c r="BZ76" s="15" t="str">
        <f t="shared" si="59"/>
        <v/>
      </c>
      <c r="CA76" s="15" t="str">
        <f t="shared" si="60"/>
        <v/>
      </c>
      <c r="CB76" s="117"/>
      <c r="CC76" s="117"/>
      <c r="CD76" s="117"/>
      <c r="CE76" s="117"/>
      <c r="CF76" s="117"/>
      <c r="CG76" s="14" t="str">
        <f t="shared" si="61"/>
        <v/>
      </c>
      <c r="CH76" s="15" t="str">
        <f t="shared" si="62"/>
        <v/>
      </c>
      <c r="CI76" s="117"/>
    </row>
    <row r="77" spans="1:87">
      <c r="A77" s="115"/>
      <c r="B77" s="12"/>
      <c r="C77" s="13"/>
      <c r="D77" s="13"/>
      <c r="E77" s="12"/>
      <c r="F77" s="12"/>
      <c r="G77" s="13"/>
      <c r="H77" s="12"/>
      <c r="I77" s="13"/>
      <c r="J77" s="13"/>
      <c r="K77" s="12"/>
      <c r="L77" s="13"/>
      <c r="M77" s="12"/>
      <c r="N77" s="12"/>
      <c r="O77" s="12"/>
      <c r="P77" s="14" t="str">
        <f t="shared" si="42"/>
        <v/>
      </c>
      <c r="Q77" s="15" t="str">
        <f t="shared" si="43"/>
        <v/>
      </c>
      <c r="R77" s="13"/>
      <c r="S77" s="12"/>
      <c r="T77" s="12"/>
      <c r="U77" s="12"/>
      <c r="V77" s="14" t="str">
        <f t="shared" si="44"/>
        <v/>
      </c>
      <c r="W77" s="15" t="str">
        <f t="shared" si="45"/>
        <v/>
      </c>
      <c r="X77" s="12"/>
      <c r="Y77" s="14" t="str">
        <f t="shared" si="46"/>
        <v/>
      </c>
      <c r="Z77" s="12"/>
      <c r="AA77" s="12"/>
      <c r="AB77" s="16"/>
      <c r="AC77" s="13"/>
      <c r="AD77" s="13"/>
      <c r="AE77" s="13"/>
      <c r="AF77" s="16"/>
      <c r="AG77" s="12"/>
      <c r="AH77" s="13"/>
      <c r="AI77" s="12"/>
      <c r="AJ77" s="14" t="str">
        <f t="shared" si="47"/>
        <v/>
      </c>
      <c r="AK77" s="14" t="str">
        <f t="shared" si="48"/>
        <v/>
      </c>
      <c r="AL77" s="17" t="str">
        <f t="shared" si="49"/>
        <v/>
      </c>
      <c r="AM77" s="16"/>
      <c r="AN77" s="12"/>
      <c r="AO77" s="16"/>
      <c r="AP77" s="12"/>
      <c r="AQ77" s="12"/>
      <c r="AR77" s="14" t="str">
        <f t="shared" si="50"/>
        <v/>
      </c>
      <c r="AS77" s="15" t="str">
        <f t="shared" si="51"/>
        <v/>
      </c>
      <c r="AT77" s="12"/>
      <c r="AU77" s="13"/>
      <c r="AV77" s="12"/>
      <c r="AW77" s="16"/>
      <c r="AX77" s="13"/>
      <c r="AY77" s="17" t="str">
        <f t="shared" si="52"/>
        <v/>
      </c>
      <c r="AZ77" s="14" t="str">
        <f t="shared" ca="1" si="53"/>
        <v/>
      </c>
      <c r="BA77" s="13"/>
      <c r="BB77" s="12"/>
      <c r="BC77" s="14" t="str">
        <f>IF($V77="","",1+COUNTIF($V$5:$V$154,"&gt;"&amp;$V77)+COUNTIFS($V$5:$V$154,$V77,$U$5:$U$154,"&gt;"&amp;$U77)+COUNTIFS($V$4:$V76,$V77,$U$4:$U76,$U77))</f>
        <v/>
      </c>
      <c r="BD77" s="12"/>
      <c r="BE77" s="12"/>
      <c r="BF77" s="12"/>
      <c r="BG77" s="62"/>
      <c r="BH77" s="62"/>
      <c r="BI77" s="63" t="str">
        <f t="shared" si="54"/>
        <v/>
      </c>
      <c r="BJ77" s="18" t="str">
        <f t="shared" si="55"/>
        <v/>
      </c>
      <c r="BK77" s="12"/>
      <c r="BL77" s="117"/>
      <c r="BM77" s="117"/>
      <c r="BN77" s="16"/>
      <c r="BO77" s="117"/>
      <c r="BP77" s="117"/>
      <c r="BQ77" s="117"/>
      <c r="BR77" s="117"/>
      <c r="BS77" s="117"/>
      <c r="BT77" s="117"/>
      <c r="BU77" s="117"/>
      <c r="BV77" s="117"/>
      <c r="BW77" s="14" t="str">
        <f t="shared" si="56"/>
        <v/>
      </c>
      <c r="BX77" s="14" t="str">
        <f t="shared" si="57"/>
        <v/>
      </c>
      <c r="BY77" s="14" t="str">
        <f t="shared" si="58"/>
        <v/>
      </c>
      <c r="BZ77" s="15" t="str">
        <f t="shared" si="59"/>
        <v/>
      </c>
      <c r="CA77" s="15" t="str">
        <f t="shared" si="60"/>
        <v/>
      </c>
      <c r="CB77" s="117"/>
      <c r="CC77" s="117"/>
      <c r="CD77" s="117"/>
      <c r="CE77" s="117"/>
      <c r="CF77" s="117"/>
      <c r="CG77" s="14" t="str">
        <f t="shared" si="61"/>
        <v/>
      </c>
      <c r="CH77" s="15" t="str">
        <f t="shared" si="62"/>
        <v/>
      </c>
      <c r="CI77" s="117"/>
    </row>
    <row r="78" spans="1:87">
      <c r="A78" s="115"/>
      <c r="B78" s="12"/>
      <c r="C78" s="13"/>
      <c r="D78" s="13"/>
      <c r="E78" s="12"/>
      <c r="F78" s="12"/>
      <c r="G78" s="13"/>
      <c r="H78" s="12"/>
      <c r="I78" s="13"/>
      <c r="J78" s="13"/>
      <c r="K78" s="12"/>
      <c r="L78" s="13"/>
      <c r="M78" s="12"/>
      <c r="N78" s="12"/>
      <c r="O78" s="12"/>
      <c r="P78" s="14" t="str">
        <f t="shared" si="42"/>
        <v/>
      </c>
      <c r="Q78" s="15" t="str">
        <f t="shared" si="43"/>
        <v/>
      </c>
      <c r="R78" s="13"/>
      <c r="S78" s="12"/>
      <c r="T78" s="12"/>
      <c r="U78" s="12"/>
      <c r="V78" s="14" t="str">
        <f t="shared" si="44"/>
        <v/>
      </c>
      <c r="W78" s="15" t="str">
        <f t="shared" si="45"/>
        <v/>
      </c>
      <c r="X78" s="12"/>
      <c r="Y78" s="14" t="str">
        <f t="shared" si="46"/>
        <v/>
      </c>
      <c r="Z78" s="12"/>
      <c r="AA78" s="12"/>
      <c r="AB78" s="16"/>
      <c r="AC78" s="13"/>
      <c r="AD78" s="13"/>
      <c r="AE78" s="13"/>
      <c r="AF78" s="16"/>
      <c r="AG78" s="12"/>
      <c r="AH78" s="13"/>
      <c r="AI78" s="12"/>
      <c r="AJ78" s="14" t="str">
        <f t="shared" si="47"/>
        <v/>
      </c>
      <c r="AK78" s="14" t="str">
        <f t="shared" si="48"/>
        <v/>
      </c>
      <c r="AL78" s="17" t="str">
        <f t="shared" si="49"/>
        <v/>
      </c>
      <c r="AM78" s="16"/>
      <c r="AN78" s="12"/>
      <c r="AO78" s="16"/>
      <c r="AP78" s="12"/>
      <c r="AQ78" s="12"/>
      <c r="AR78" s="14" t="str">
        <f t="shared" si="50"/>
        <v/>
      </c>
      <c r="AS78" s="15" t="str">
        <f t="shared" si="51"/>
        <v/>
      </c>
      <c r="AT78" s="12"/>
      <c r="AU78" s="13"/>
      <c r="AV78" s="12"/>
      <c r="AW78" s="16"/>
      <c r="AX78" s="13"/>
      <c r="AY78" s="17" t="str">
        <f t="shared" si="52"/>
        <v/>
      </c>
      <c r="AZ78" s="14" t="str">
        <f t="shared" ca="1" si="53"/>
        <v/>
      </c>
      <c r="BA78" s="13"/>
      <c r="BB78" s="12"/>
      <c r="BC78" s="14" t="str">
        <f>IF($V78="","",1+COUNTIF($V$5:$V$154,"&gt;"&amp;$V78)+COUNTIFS($V$5:$V$154,$V78,$U$5:$U$154,"&gt;"&amp;$U78)+COUNTIFS($V$4:$V77,$V78,$U$4:$U77,$U78))</f>
        <v/>
      </c>
      <c r="BD78" s="12"/>
      <c r="BE78" s="12"/>
      <c r="BF78" s="12"/>
      <c r="BG78" s="62"/>
      <c r="BH78" s="62"/>
      <c r="BI78" s="63" t="str">
        <f t="shared" si="54"/>
        <v/>
      </c>
      <c r="BJ78" s="18" t="str">
        <f t="shared" si="55"/>
        <v/>
      </c>
      <c r="BK78" s="12"/>
      <c r="BL78" s="117"/>
      <c r="BM78" s="117"/>
      <c r="BN78" s="16"/>
      <c r="BO78" s="117"/>
      <c r="BP78" s="117"/>
      <c r="BQ78" s="117"/>
      <c r="BR78" s="117"/>
      <c r="BS78" s="117"/>
      <c r="BT78" s="117"/>
      <c r="BU78" s="117"/>
      <c r="BV78" s="117"/>
      <c r="BW78" s="14" t="str">
        <f t="shared" si="56"/>
        <v/>
      </c>
      <c r="BX78" s="14" t="str">
        <f t="shared" si="57"/>
        <v/>
      </c>
      <c r="BY78" s="14" t="str">
        <f t="shared" si="58"/>
        <v/>
      </c>
      <c r="BZ78" s="15" t="str">
        <f t="shared" si="59"/>
        <v/>
      </c>
      <c r="CA78" s="15" t="str">
        <f t="shared" si="60"/>
        <v/>
      </c>
      <c r="CB78" s="117"/>
      <c r="CC78" s="117"/>
      <c r="CD78" s="117"/>
      <c r="CE78" s="117"/>
      <c r="CF78" s="117"/>
      <c r="CG78" s="14" t="str">
        <f t="shared" si="61"/>
        <v/>
      </c>
      <c r="CH78" s="15" t="str">
        <f t="shared" si="62"/>
        <v/>
      </c>
      <c r="CI78" s="117"/>
    </row>
    <row r="79" spans="1:87">
      <c r="A79" s="115"/>
      <c r="B79" s="12"/>
      <c r="C79" s="13"/>
      <c r="D79" s="13"/>
      <c r="E79" s="12"/>
      <c r="F79" s="12"/>
      <c r="G79" s="13"/>
      <c r="H79" s="12"/>
      <c r="I79" s="13"/>
      <c r="J79" s="13"/>
      <c r="K79" s="12"/>
      <c r="L79" s="13"/>
      <c r="M79" s="12"/>
      <c r="N79" s="12"/>
      <c r="O79" s="12"/>
      <c r="P79" s="14" t="str">
        <f t="shared" si="42"/>
        <v/>
      </c>
      <c r="Q79" s="15" t="str">
        <f t="shared" si="43"/>
        <v/>
      </c>
      <c r="R79" s="13"/>
      <c r="S79" s="12"/>
      <c r="T79" s="12"/>
      <c r="U79" s="12"/>
      <c r="V79" s="14" t="str">
        <f t="shared" si="44"/>
        <v/>
      </c>
      <c r="W79" s="15" t="str">
        <f t="shared" si="45"/>
        <v/>
      </c>
      <c r="X79" s="12"/>
      <c r="Y79" s="14" t="str">
        <f t="shared" si="46"/>
        <v/>
      </c>
      <c r="Z79" s="12"/>
      <c r="AA79" s="12"/>
      <c r="AB79" s="16"/>
      <c r="AC79" s="13"/>
      <c r="AD79" s="13"/>
      <c r="AE79" s="13"/>
      <c r="AF79" s="16"/>
      <c r="AG79" s="12"/>
      <c r="AH79" s="13"/>
      <c r="AI79" s="12"/>
      <c r="AJ79" s="14" t="str">
        <f t="shared" si="47"/>
        <v/>
      </c>
      <c r="AK79" s="14" t="str">
        <f t="shared" si="48"/>
        <v/>
      </c>
      <c r="AL79" s="17" t="str">
        <f t="shared" si="49"/>
        <v/>
      </c>
      <c r="AM79" s="16"/>
      <c r="AN79" s="12"/>
      <c r="AO79" s="16"/>
      <c r="AP79" s="12"/>
      <c r="AQ79" s="12"/>
      <c r="AR79" s="14" t="str">
        <f t="shared" si="50"/>
        <v/>
      </c>
      <c r="AS79" s="15" t="str">
        <f t="shared" si="51"/>
        <v/>
      </c>
      <c r="AT79" s="12"/>
      <c r="AU79" s="13"/>
      <c r="AV79" s="12"/>
      <c r="AW79" s="16"/>
      <c r="AX79" s="13"/>
      <c r="AY79" s="17" t="str">
        <f t="shared" si="52"/>
        <v/>
      </c>
      <c r="AZ79" s="14" t="str">
        <f t="shared" ca="1" si="53"/>
        <v/>
      </c>
      <c r="BA79" s="13"/>
      <c r="BB79" s="12"/>
      <c r="BC79" s="14" t="str">
        <f>IF($V79="","",1+COUNTIF($V$5:$V$154,"&gt;"&amp;$V79)+COUNTIFS($V$5:$V$154,$V79,$U$5:$U$154,"&gt;"&amp;$U79)+COUNTIFS($V$4:$V78,$V79,$U$4:$U78,$U79))</f>
        <v/>
      </c>
      <c r="BD79" s="12"/>
      <c r="BE79" s="12"/>
      <c r="BF79" s="12"/>
      <c r="BG79" s="62"/>
      <c r="BH79" s="62"/>
      <c r="BI79" s="63" t="str">
        <f t="shared" si="54"/>
        <v/>
      </c>
      <c r="BJ79" s="18" t="str">
        <f t="shared" si="55"/>
        <v/>
      </c>
      <c r="BK79" s="12"/>
      <c r="BL79" s="117"/>
      <c r="BM79" s="117"/>
      <c r="BN79" s="16"/>
      <c r="BO79" s="117"/>
      <c r="BP79" s="117"/>
      <c r="BQ79" s="117"/>
      <c r="BR79" s="117"/>
      <c r="BS79" s="117"/>
      <c r="BT79" s="117"/>
      <c r="BU79" s="117"/>
      <c r="BV79" s="117"/>
      <c r="BW79" s="14" t="str">
        <f t="shared" si="56"/>
        <v/>
      </c>
      <c r="BX79" s="14" t="str">
        <f t="shared" si="57"/>
        <v/>
      </c>
      <c r="BY79" s="14" t="str">
        <f t="shared" si="58"/>
        <v/>
      </c>
      <c r="BZ79" s="15" t="str">
        <f t="shared" si="59"/>
        <v/>
      </c>
      <c r="CA79" s="15" t="str">
        <f t="shared" si="60"/>
        <v/>
      </c>
      <c r="CB79" s="117"/>
      <c r="CC79" s="117"/>
      <c r="CD79" s="117"/>
      <c r="CE79" s="117"/>
      <c r="CF79" s="117"/>
      <c r="CG79" s="14" t="str">
        <f t="shared" si="61"/>
        <v/>
      </c>
      <c r="CH79" s="15" t="str">
        <f t="shared" si="62"/>
        <v/>
      </c>
      <c r="CI79" s="117"/>
    </row>
    <row r="80" spans="1:87">
      <c r="A80" s="115"/>
      <c r="B80" s="12"/>
      <c r="C80" s="13"/>
      <c r="D80" s="13"/>
      <c r="E80" s="12"/>
      <c r="F80" s="12"/>
      <c r="G80" s="13"/>
      <c r="H80" s="12"/>
      <c r="I80" s="13"/>
      <c r="J80" s="13"/>
      <c r="K80" s="12"/>
      <c r="L80" s="13"/>
      <c r="M80" s="12"/>
      <c r="N80" s="12"/>
      <c r="O80" s="12"/>
      <c r="P80" s="14" t="str">
        <f t="shared" si="42"/>
        <v/>
      </c>
      <c r="Q80" s="15" t="str">
        <f t="shared" si="43"/>
        <v/>
      </c>
      <c r="R80" s="13"/>
      <c r="S80" s="12"/>
      <c r="T80" s="12"/>
      <c r="U80" s="12"/>
      <c r="V80" s="14" t="str">
        <f t="shared" si="44"/>
        <v/>
      </c>
      <c r="W80" s="15" t="str">
        <f t="shared" si="45"/>
        <v/>
      </c>
      <c r="X80" s="12"/>
      <c r="Y80" s="14" t="str">
        <f t="shared" si="46"/>
        <v/>
      </c>
      <c r="Z80" s="12"/>
      <c r="AA80" s="12"/>
      <c r="AB80" s="16"/>
      <c r="AC80" s="13"/>
      <c r="AD80" s="13"/>
      <c r="AE80" s="13"/>
      <c r="AF80" s="16"/>
      <c r="AG80" s="12"/>
      <c r="AH80" s="13"/>
      <c r="AI80" s="12"/>
      <c r="AJ80" s="14" t="str">
        <f t="shared" si="47"/>
        <v/>
      </c>
      <c r="AK80" s="14" t="str">
        <f t="shared" si="48"/>
        <v/>
      </c>
      <c r="AL80" s="17" t="str">
        <f t="shared" si="49"/>
        <v/>
      </c>
      <c r="AM80" s="16"/>
      <c r="AN80" s="12"/>
      <c r="AO80" s="16"/>
      <c r="AP80" s="12"/>
      <c r="AQ80" s="12"/>
      <c r="AR80" s="14" t="str">
        <f t="shared" si="50"/>
        <v/>
      </c>
      <c r="AS80" s="15" t="str">
        <f t="shared" si="51"/>
        <v/>
      </c>
      <c r="AT80" s="12"/>
      <c r="AU80" s="13"/>
      <c r="AV80" s="12"/>
      <c r="AW80" s="16"/>
      <c r="AX80" s="13"/>
      <c r="AY80" s="17" t="str">
        <f t="shared" si="52"/>
        <v/>
      </c>
      <c r="AZ80" s="14" t="str">
        <f t="shared" ca="1" si="53"/>
        <v/>
      </c>
      <c r="BA80" s="13"/>
      <c r="BB80" s="12"/>
      <c r="BC80" s="14" t="str">
        <f>IF($V80="","",1+COUNTIF($V$5:$V$154,"&gt;"&amp;$V80)+COUNTIFS($V$5:$V$154,$V80,$U$5:$U$154,"&gt;"&amp;$U80)+COUNTIFS($V$4:$V79,$V80,$U$4:$U79,$U80))</f>
        <v/>
      </c>
      <c r="BD80" s="12"/>
      <c r="BE80" s="12"/>
      <c r="BF80" s="12"/>
      <c r="BG80" s="62"/>
      <c r="BH80" s="62"/>
      <c r="BI80" s="63" t="str">
        <f t="shared" si="54"/>
        <v/>
      </c>
      <c r="BJ80" s="18" t="str">
        <f t="shared" si="55"/>
        <v/>
      </c>
      <c r="BK80" s="12"/>
      <c r="BL80" s="117"/>
      <c r="BM80" s="117"/>
      <c r="BN80" s="16"/>
      <c r="BO80" s="117"/>
      <c r="BP80" s="117"/>
      <c r="BQ80" s="117"/>
      <c r="BR80" s="117"/>
      <c r="BS80" s="117"/>
      <c r="BT80" s="117"/>
      <c r="BU80" s="117"/>
      <c r="BV80" s="117"/>
      <c r="BW80" s="14" t="str">
        <f t="shared" si="56"/>
        <v/>
      </c>
      <c r="BX80" s="14" t="str">
        <f t="shared" si="57"/>
        <v/>
      </c>
      <c r="BY80" s="14" t="str">
        <f t="shared" si="58"/>
        <v/>
      </c>
      <c r="BZ80" s="15" t="str">
        <f t="shared" si="59"/>
        <v/>
      </c>
      <c r="CA80" s="15" t="str">
        <f t="shared" si="60"/>
        <v/>
      </c>
      <c r="CB80" s="117"/>
      <c r="CC80" s="117"/>
      <c r="CD80" s="117"/>
      <c r="CE80" s="117"/>
      <c r="CF80" s="117"/>
      <c r="CG80" s="14" t="str">
        <f t="shared" si="61"/>
        <v/>
      </c>
      <c r="CH80" s="15" t="str">
        <f t="shared" si="62"/>
        <v/>
      </c>
      <c r="CI80" s="117"/>
    </row>
    <row r="81" spans="1:87">
      <c r="A81" s="115"/>
      <c r="B81" s="12"/>
      <c r="C81" s="13"/>
      <c r="D81" s="13"/>
      <c r="E81" s="12"/>
      <c r="F81" s="12"/>
      <c r="G81" s="13"/>
      <c r="H81" s="12"/>
      <c r="I81" s="13"/>
      <c r="J81" s="13"/>
      <c r="K81" s="12"/>
      <c r="L81" s="13"/>
      <c r="M81" s="12"/>
      <c r="N81" s="12"/>
      <c r="O81" s="12"/>
      <c r="P81" s="14" t="str">
        <f t="shared" si="42"/>
        <v/>
      </c>
      <c r="Q81" s="15" t="str">
        <f t="shared" si="43"/>
        <v/>
      </c>
      <c r="R81" s="13"/>
      <c r="S81" s="12"/>
      <c r="T81" s="12"/>
      <c r="U81" s="12"/>
      <c r="V81" s="14" t="str">
        <f t="shared" si="44"/>
        <v/>
      </c>
      <c r="W81" s="15" t="str">
        <f t="shared" si="45"/>
        <v/>
      </c>
      <c r="X81" s="12"/>
      <c r="Y81" s="14" t="str">
        <f t="shared" si="46"/>
        <v/>
      </c>
      <c r="Z81" s="12"/>
      <c r="AA81" s="12"/>
      <c r="AB81" s="16"/>
      <c r="AC81" s="13"/>
      <c r="AD81" s="13"/>
      <c r="AE81" s="13"/>
      <c r="AF81" s="16"/>
      <c r="AG81" s="12"/>
      <c r="AH81" s="13"/>
      <c r="AI81" s="12"/>
      <c r="AJ81" s="14" t="str">
        <f t="shared" si="47"/>
        <v/>
      </c>
      <c r="AK81" s="14" t="str">
        <f t="shared" si="48"/>
        <v/>
      </c>
      <c r="AL81" s="17" t="str">
        <f t="shared" si="49"/>
        <v/>
      </c>
      <c r="AM81" s="16"/>
      <c r="AN81" s="12"/>
      <c r="AO81" s="16"/>
      <c r="AP81" s="12"/>
      <c r="AQ81" s="12"/>
      <c r="AR81" s="14" t="str">
        <f t="shared" si="50"/>
        <v/>
      </c>
      <c r="AS81" s="15" t="str">
        <f t="shared" si="51"/>
        <v/>
      </c>
      <c r="AT81" s="12"/>
      <c r="AU81" s="13"/>
      <c r="AV81" s="12"/>
      <c r="AW81" s="16"/>
      <c r="AX81" s="13"/>
      <c r="AY81" s="17" t="str">
        <f t="shared" si="52"/>
        <v/>
      </c>
      <c r="AZ81" s="14" t="str">
        <f t="shared" ca="1" si="53"/>
        <v/>
      </c>
      <c r="BA81" s="13"/>
      <c r="BB81" s="12"/>
      <c r="BC81" s="14" t="str">
        <f>IF($V81="","",1+COUNTIF($V$5:$V$154,"&gt;"&amp;$V81)+COUNTIFS($V$5:$V$154,$V81,$U$5:$U$154,"&gt;"&amp;$U81)+COUNTIFS($V$4:$V80,$V81,$U$4:$U80,$U81))</f>
        <v/>
      </c>
      <c r="BD81" s="12"/>
      <c r="BE81" s="12"/>
      <c r="BF81" s="12"/>
      <c r="BG81" s="62"/>
      <c r="BH81" s="62"/>
      <c r="BI81" s="63" t="str">
        <f t="shared" si="54"/>
        <v/>
      </c>
      <c r="BJ81" s="18" t="str">
        <f t="shared" si="55"/>
        <v/>
      </c>
      <c r="BK81" s="12"/>
      <c r="BL81" s="117"/>
      <c r="BM81" s="117"/>
      <c r="BN81" s="16"/>
      <c r="BO81" s="117"/>
      <c r="BP81" s="117"/>
      <c r="BQ81" s="117"/>
      <c r="BR81" s="117"/>
      <c r="BS81" s="117"/>
      <c r="BT81" s="117"/>
      <c r="BU81" s="117"/>
      <c r="BV81" s="117"/>
      <c r="BW81" s="14" t="str">
        <f t="shared" si="56"/>
        <v/>
      </c>
      <c r="BX81" s="14" t="str">
        <f t="shared" si="57"/>
        <v/>
      </c>
      <c r="BY81" s="14" t="str">
        <f t="shared" si="58"/>
        <v/>
      </c>
      <c r="BZ81" s="15" t="str">
        <f t="shared" si="59"/>
        <v/>
      </c>
      <c r="CA81" s="15" t="str">
        <f t="shared" si="60"/>
        <v/>
      </c>
      <c r="CB81" s="117"/>
      <c r="CC81" s="117"/>
      <c r="CD81" s="117"/>
      <c r="CE81" s="117"/>
      <c r="CF81" s="117"/>
      <c r="CG81" s="14" t="str">
        <f t="shared" si="61"/>
        <v/>
      </c>
      <c r="CH81" s="15" t="str">
        <f t="shared" si="62"/>
        <v/>
      </c>
      <c r="CI81" s="117"/>
    </row>
    <row r="82" spans="1:87">
      <c r="A82" s="115"/>
      <c r="B82" s="12"/>
      <c r="C82" s="13"/>
      <c r="D82" s="13"/>
      <c r="E82" s="12"/>
      <c r="F82" s="12"/>
      <c r="G82" s="13"/>
      <c r="H82" s="12"/>
      <c r="I82" s="13"/>
      <c r="J82" s="13"/>
      <c r="K82" s="12"/>
      <c r="L82" s="13"/>
      <c r="M82" s="12"/>
      <c r="N82" s="12"/>
      <c r="O82" s="12"/>
      <c r="P82" s="14" t="str">
        <f t="shared" si="42"/>
        <v/>
      </c>
      <c r="Q82" s="15" t="str">
        <f t="shared" si="43"/>
        <v/>
      </c>
      <c r="R82" s="13"/>
      <c r="S82" s="12"/>
      <c r="T82" s="12"/>
      <c r="U82" s="12"/>
      <c r="V82" s="14" t="str">
        <f t="shared" si="44"/>
        <v/>
      </c>
      <c r="W82" s="15" t="str">
        <f t="shared" si="45"/>
        <v/>
      </c>
      <c r="X82" s="12"/>
      <c r="Y82" s="14" t="str">
        <f t="shared" si="46"/>
        <v/>
      </c>
      <c r="Z82" s="12"/>
      <c r="AA82" s="12"/>
      <c r="AB82" s="16"/>
      <c r="AC82" s="13"/>
      <c r="AD82" s="13"/>
      <c r="AE82" s="13"/>
      <c r="AF82" s="16"/>
      <c r="AG82" s="12"/>
      <c r="AH82" s="13"/>
      <c r="AI82" s="12"/>
      <c r="AJ82" s="14" t="str">
        <f t="shared" si="47"/>
        <v/>
      </c>
      <c r="AK82" s="14" t="str">
        <f t="shared" si="48"/>
        <v/>
      </c>
      <c r="AL82" s="17" t="str">
        <f t="shared" si="49"/>
        <v/>
      </c>
      <c r="AM82" s="16"/>
      <c r="AN82" s="12"/>
      <c r="AO82" s="16"/>
      <c r="AP82" s="12"/>
      <c r="AQ82" s="12"/>
      <c r="AR82" s="14" t="str">
        <f t="shared" si="50"/>
        <v/>
      </c>
      <c r="AS82" s="15" t="str">
        <f t="shared" si="51"/>
        <v/>
      </c>
      <c r="AT82" s="12"/>
      <c r="AU82" s="13"/>
      <c r="AV82" s="12"/>
      <c r="AW82" s="16"/>
      <c r="AX82" s="13"/>
      <c r="AY82" s="17" t="str">
        <f t="shared" si="52"/>
        <v/>
      </c>
      <c r="AZ82" s="14" t="str">
        <f t="shared" ca="1" si="53"/>
        <v/>
      </c>
      <c r="BA82" s="13"/>
      <c r="BB82" s="12"/>
      <c r="BC82" s="14" t="str">
        <f>IF($V82="","",1+COUNTIF($V$5:$V$154,"&gt;"&amp;$V82)+COUNTIFS($V$5:$V$154,$V82,$U$5:$U$154,"&gt;"&amp;$U82)+COUNTIFS($V$4:$V81,$V82,$U$4:$U81,$U82))</f>
        <v/>
      </c>
      <c r="BD82" s="12"/>
      <c r="BE82" s="12"/>
      <c r="BF82" s="12"/>
      <c r="BG82" s="62"/>
      <c r="BH82" s="62"/>
      <c r="BI82" s="63" t="str">
        <f t="shared" si="54"/>
        <v/>
      </c>
      <c r="BJ82" s="18" t="str">
        <f t="shared" si="55"/>
        <v/>
      </c>
      <c r="BK82" s="12"/>
      <c r="BL82" s="117"/>
      <c r="BM82" s="117"/>
      <c r="BN82" s="16"/>
      <c r="BO82" s="117"/>
      <c r="BP82" s="117"/>
      <c r="BQ82" s="117"/>
      <c r="BR82" s="117"/>
      <c r="BS82" s="117"/>
      <c r="BT82" s="117"/>
      <c r="BU82" s="117"/>
      <c r="BV82" s="117"/>
      <c r="BW82" s="14" t="str">
        <f t="shared" si="56"/>
        <v/>
      </c>
      <c r="BX82" s="14" t="str">
        <f t="shared" si="57"/>
        <v/>
      </c>
      <c r="BY82" s="14" t="str">
        <f t="shared" si="58"/>
        <v/>
      </c>
      <c r="BZ82" s="15" t="str">
        <f t="shared" si="59"/>
        <v/>
      </c>
      <c r="CA82" s="15" t="str">
        <f t="shared" si="60"/>
        <v/>
      </c>
      <c r="CB82" s="117"/>
      <c r="CC82" s="117"/>
      <c r="CD82" s="117"/>
      <c r="CE82" s="117"/>
      <c r="CF82" s="117"/>
      <c r="CG82" s="14" t="str">
        <f t="shared" si="61"/>
        <v/>
      </c>
      <c r="CH82" s="15" t="str">
        <f t="shared" si="62"/>
        <v/>
      </c>
      <c r="CI82" s="117"/>
    </row>
    <row r="83" spans="1:87">
      <c r="A83" s="115"/>
      <c r="B83" s="12"/>
      <c r="C83" s="13"/>
      <c r="D83" s="13"/>
      <c r="E83" s="12"/>
      <c r="F83" s="12"/>
      <c r="G83" s="13"/>
      <c r="H83" s="12"/>
      <c r="I83" s="13"/>
      <c r="J83" s="13"/>
      <c r="K83" s="12"/>
      <c r="L83" s="13"/>
      <c r="M83" s="12"/>
      <c r="N83" s="12"/>
      <c r="O83" s="12"/>
      <c r="P83" s="14" t="str">
        <f t="shared" si="42"/>
        <v/>
      </c>
      <c r="Q83" s="15" t="str">
        <f t="shared" si="43"/>
        <v/>
      </c>
      <c r="R83" s="13"/>
      <c r="S83" s="12"/>
      <c r="T83" s="12"/>
      <c r="U83" s="12"/>
      <c r="V83" s="14" t="str">
        <f t="shared" si="44"/>
        <v/>
      </c>
      <c r="W83" s="15" t="str">
        <f t="shared" si="45"/>
        <v/>
      </c>
      <c r="X83" s="12"/>
      <c r="Y83" s="14" t="str">
        <f t="shared" si="46"/>
        <v/>
      </c>
      <c r="Z83" s="12"/>
      <c r="AA83" s="12"/>
      <c r="AB83" s="16"/>
      <c r="AC83" s="13"/>
      <c r="AD83" s="13"/>
      <c r="AE83" s="13"/>
      <c r="AF83" s="16"/>
      <c r="AG83" s="12"/>
      <c r="AH83" s="13"/>
      <c r="AI83" s="12"/>
      <c r="AJ83" s="14" t="str">
        <f t="shared" si="47"/>
        <v/>
      </c>
      <c r="AK83" s="14" t="str">
        <f t="shared" si="48"/>
        <v/>
      </c>
      <c r="AL83" s="17" t="str">
        <f t="shared" si="49"/>
        <v/>
      </c>
      <c r="AM83" s="16"/>
      <c r="AN83" s="12"/>
      <c r="AO83" s="16"/>
      <c r="AP83" s="12"/>
      <c r="AQ83" s="12"/>
      <c r="AR83" s="14" t="str">
        <f t="shared" si="50"/>
        <v/>
      </c>
      <c r="AS83" s="15" t="str">
        <f t="shared" si="51"/>
        <v/>
      </c>
      <c r="AT83" s="12"/>
      <c r="AU83" s="13"/>
      <c r="AV83" s="12"/>
      <c r="AW83" s="16"/>
      <c r="AX83" s="13"/>
      <c r="AY83" s="17" t="str">
        <f t="shared" si="52"/>
        <v/>
      </c>
      <c r="AZ83" s="14" t="str">
        <f t="shared" ca="1" si="53"/>
        <v/>
      </c>
      <c r="BA83" s="13"/>
      <c r="BB83" s="12"/>
      <c r="BC83" s="14" t="str">
        <f>IF($V83="","",1+COUNTIF($V$5:$V$154,"&gt;"&amp;$V83)+COUNTIFS($V$5:$V$154,$V83,$U$5:$U$154,"&gt;"&amp;$U83)+COUNTIFS($V$4:$V82,$V83,$U$4:$U82,$U83))</f>
        <v/>
      </c>
      <c r="BD83" s="12"/>
      <c r="BE83" s="12"/>
      <c r="BF83" s="12"/>
      <c r="BG83" s="62"/>
      <c r="BH83" s="62"/>
      <c r="BI83" s="63" t="str">
        <f t="shared" si="54"/>
        <v/>
      </c>
      <c r="BJ83" s="18" t="str">
        <f t="shared" si="55"/>
        <v/>
      </c>
      <c r="BK83" s="12"/>
      <c r="BL83" s="117"/>
      <c r="BM83" s="117"/>
      <c r="BN83" s="16"/>
      <c r="BO83" s="117"/>
      <c r="BP83" s="117"/>
      <c r="BQ83" s="117"/>
      <c r="BR83" s="117"/>
      <c r="BS83" s="117"/>
      <c r="BT83" s="117"/>
      <c r="BU83" s="117"/>
      <c r="BV83" s="117"/>
      <c r="BW83" s="14" t="str">
        <f t="shared" si="56"/>
        <v/>
      </c>
      <c r="BX83" s="14" t="str">
        <f t="shared" si="57"/>
        <v/>
      </c>
      <c r="BY83" s="14" t="str">
        <f t="shared" si="58"/>
        <v/>
      </c>
      <c r="BZ83" s="15" t="str">
        <f t="shared" si="59"/>
        <v/>
      </c>
      <c r="CA83" s="15" t="str">
        <f t="shared" si="60"/>
        <v/>
      </c>
      <c r="CB83" s="117"/>
      <c r="CC83" s="117"/>
      <c r="CD83" s="117"/>
      <c r="CE83" s="117"/>
      <c r="CF83" s="117"/>
      <c r="CG83" s="14" t="str">
        <f t="shared" si="61"/>
        <v/>
      </c>
      <c r="CH83" s="15" t="str">
        <f t="shared" si="62"/>
        <v/>
      </c>
      <c r="CI83" s="117"/>
    </row>
    <row r="84" spans="1:87">
      <c r="A84" s="115"/>
      <c r="B84" s="12"/>
      <c r="C84" s="13"/>
      <c r="D84" s="13"/>
      <c r="E84" s="12"/>
      <c r="F84" s="12"/>
      <c r="G84" s="13"/>
      <c r="H84" s="12"/>
      <c r="I84" s="13"/>
      <c r="J84" s="13"/>
      <c r="K84" s="12"/>
      <c r="L84" s="13"/>
      <c r="M84" s="12"/>
      <c r="N84" s="12"/>
      <c r="O84" s="12"/>
      <c r="P84" s="14" t="str">
        <f t="shared" si="42"/>
        <v/>
      </c>
      <c r="Q84" s="15" t="str">
        <f t="shared" si="43"/>
        <v/>
      </c>
      <c r="R84" s="13"/>
      <c r="S84" s="12"/>
      <c r="T84" s="12"/>
      <c r="U84" s="12"/>
      <c r="V84" s="14" t="str">
        <f t="shared" si="44"/>
        <v/>
      </c>
      <c r="W84" s="15" t="str">
        <f t="shared" si="45"/>
        <v/>
      </c>
      <c r="X84" s="12"/>
      <c r="Y84" s="14" t="str">
        <f t="shared" si="46"/>
        <v/>
      </c>
      <c r="Z84" s="12"/>
      <c r="AA84" s="12"/>
      <c r="AB84" s="16"/>
      <c r="AC84" s="13"/>
      <c r="AD84" s="13"/>
      <c r="AE84" s="13"/>
      <c r="AF84" s="16"/>
      <c r="AG84" s="12"/>
      <c r="AH84" s="13"/>
      <c r="AI84" s="12"/>
      <c r="AJ84" s="14" t="str">
        <f t="shared" si="47"/>
        <v/>
      </c>
      <c r="AK84" s="14" t="str">
        <f t="shared" si="48"/>
        <v/>
      </c>
      <c r="AL84" s="17" t="str">
        <f t="shared" si="49"/>
        <v/>
      </c>
      <c r="AM84" s="16"/>
      <c r="AN84" s="12"/>
      <c r="AO84" s="16"/>
      <c r="AP84" s="12"/>
      <c r="AQ84" s="12"/>
      <c r="AR84" s="14" t="str">
        <f t="shared" si="50"/>
        <v/>
      </c>
      <c r="AS84" s="15" t="str">
        <f t="shared" si="51"/>
        <v/>
      </c>
      <c r="AT84" s="12"/>
      <c r="AU84" s="13"/>
      <c r="AV84" s="12"/>
      <c r="AW84" s="16"/>
      <c r="AX84" s="13"/>
      <c r="AY84" s="17" t="str">
        <f t="shared" si="52"/>
        <v/>
      </c>
      <c r="AZ84" s="14" t="str">
        <f t="shared" ca="1" si="53"/>
        <v/>
      </c>
      <c r="BA84" s="13"/>
      <c r="BB84" s="12"/>
      <c r="BC84" s="14" t="str">
        <f>IF($V84="","",1+COUNTIF($V$5:$V$154,"&gt;"&amp;$V84)+COUNTIFS($V$5:$V$154,$V84,$U$5:$U$154,"&gt;"&amp;$U84)+COUNTIFS($V$4:$V83,$V84,$U$4:$U83,$U84))</f>
        <v/>
      </c>
      <c r="BD84" s="12"/>
      <c r="BE84" s="12"/>
      <c r="BF84" s="12"/>
      <c r="BG84" s="62"/>
      <c r="BH84" s="62"/>
      <c r="BI84" s="63" t="str">
        <f t="shared" si="54"/>
        <v/>
      </c>
      <c r="BJ84" s="18" t="str">
        <f t="shared" si="55"/>
        <v/>
      </c>
      <c r="BK84" s="12"/>
      <c r="BL84" s="117"/>
      <c r="BM84" s="117"/>
      <c r="BN84" s="16"/>
      <c r="BO84" s="117"/>
      <c r="BP84" s="117"/>
      <c r="BQ84" s="117"/>
      <c r="BR84" s="117"/>
      <c r="BS84" s="117"/>
      <c r="BT84" s="117"/>
      <c r="BU84" s="117"/>
      <c r="BV84" s="117"/>
      <c r="BW84" s="14" t="str">
        <f t="shared" si="56"/>
        <v/>
      </c>
      <c r="BX84" s="14" t="str">
        <f t="shared" si="57"/>
        <v/>
      </c>
      <c r="BY84" s="14" t="str">
        <f t="shared" si="58"/>
        <v/>
      </c>
      <c r="BZ84" s="15" t="str">
        <f t="shared" si="59"/>
        <v/>
      </c>
      <c r="CA84" s="15" t="str">
        <f t="shared" si="60"/>
        <v/>
      </c>
      <c r="CB84" s="117"/>
      <c r="CC84" s="117"/>
      <c r="CD84" s="117"/>
      <c r="CE84" s="117"/>
      <c r="CF84" s="117"/>
      <c r="CG84" s="14" t="str">
        <f t="shared" si="61"/>
        <v/>
      </c>
      <c r="CH84" s="15" t="str">
        <f t="shared" si="62"/>
        <v/>
      </c>
      <c r="CI84" s="117"/>
    </row>
    <row r="85" spans="1:87">
      <c r="A85" s="115"/>
      <c r="B85" s="12"/>
      <c r="C85" s="13"/>
      <c r="D85" s="13"/>
      <c r="E85" s="12"/>
      <c r="F85" s="12"/>
      <c r="G85" s="13"/>
      <c r="H85" s="12"/>
      <c r="I85" s="13"/>
      <c r="J85" s="13"/>
      <c r="K85" s="12"/>
      <c r="L85" s="13"/>
      <c r="M85" s="12"/>
      <c r="N85" s="12"/>
      <c r="O85" s="12"/>
      <c r="P85" s="14" t="str">
        <f t="shared" si="42"/>
        <v/>
      </c>
      <c r="Q85" s="15" t="str">
        <f t="shared" si="43"/>
        <v/>
      </c>
      <c r="R85" s="13"/>
      <c r="S85" s="12"/>
      <c r="T85" s="12"/>
      <c r="U85" s="12"/>
      <c r="V85" s="14" t="str">
        <f t="shared" si="44"/>
        <v/>
      </c>
      <c r="W85" s="15" t="str">
        <f t="shared" si="45"/>
        <v/>
      </c>
      <c r="X85" s="12"/>
      <c r="Y85" s="14" t="str">
        <f t="shared" si="46"/>
        <v/>
      </c>
      <c r="Z85" s="12"/>
      <c r="AA85" s="12"/>
      <c r="AB85" s="16"/>
      <c r="AC85" s="13"/>
      <c r="AD85" s="13"/>
      <c r="AE85" s="13"/>
      <c r="AF85" s="16"/>
      <c r="AG85" s="12"/>
      <c r="AH85" s="13"/>
      <c r="AI85" s="12"/>
      <c r="AJ85" s="14" t="str">
        <f t="shared" si="47"/>
        <v/>
      </c>
      <c r="AK85" s="14" t="str">
        <f t="shared" si="48"/>
        <v/>
      </c>
      <c r="AL85" s="17" t="str">
        <f t="shared" si="49"/>
        <v/>
      </c>
      <c r="AM85" s="16"/>
      <c r="AN85" s="12"/>
      <c r="AO85" s="16"/>
      <c r="AP85" s="12"/>
      <c r="AQ85" s="12"/>
      <c r="AR85" s="14" t="str">
        <f t="shared" si="50"/>
        <v/>
      </c>
      <c r="AS85" s="15" t="str">
        <f t="shared" si="51"/>
        <v/>
      </c>
      <c r="AT85" s="12"/>
      <c r="AU85" s="13"/>
      <c r="AV85" s="12"/>
      <c r="AW85" s="16"/>
      <c r="AX85" s="13"/>
      <c r="AY85" s="17" t="str">
        <f t="shared" si="52"/>
        <v/>
      </c>
      <c r="AZ85" s="14" t="str">
        <f t="shared" ca="1" si="53"/>
        <v/>
      </c>
      <c r="BA85" s="13"/>
      <c r="BB85" s="12"/>
      <c r="BC85" s="14" t="str">
        <f>IF($V85="","",1+COUNTIF($V$5:$V$154,"&gt;"&amp;$V85)+COUNTIFS($V$5:$V$154,$V85,$U$5:$U$154,"&gt;"&amp;$U85)+COUNTIFS($V$4:$V84,$V85,$U$4:$U84,$U85))</f>
        <v/>
      </c>
      <c r="BD85" s="12"/>
      <c r="BE85" s="12"/>
      <c r="BF85" s="12"/>
      <c r="BG85" s="62"/>
      <c r="BH85" s="62"/>
      <c r="BI85" s="63" t="str">
        <f t="shared" si="54"/>
        <v/>
      </c>
      <c r="BJ85" s="18" t="str">
        <f t="shared" si="55"/>
        <v/>
      </c>
      <c r="BK85" s="12"/>
      <c r="BL85" s="117"/>
      <c r="BM85" s="117"/>
      <c r="BN85" s="16"/>
      <c r="BO85" s="117"/>
      <c r="BP85" s="117"/>
      <c r="BQ85" s="117"/>
      <c r="BR85" s="117"/>
      <c r="BS85" s="117"/>
      <c r="BT85" s="117"/>
      <c r="BU85" s="117"/>
      <c r="BV85" s="117"/>
      <c r="BW85" s="14" t="str">
        <f t="shared" si="56"/>
        <v/>
      </c>
      <c r="BX85" s="14" t="str">
        <f t="shared" si="57"/>
        <v/>
      </c>
      <c r="BY85" s="14" t="str">
        <f t="shared" si="58"/>
        <v/>
      </c>
      <c r="BZ85" s="15" t="str">
        <f t="shared" si="59"/>
        <v/>
      </c>
      <c r="CA85" s="15" t="str">
        <f t="shared" si="60"/>
        <v/>
      </c>
      <c r="CB85" s="117"/>
      <c r="CC85" s="117"/>
      <c r="CD85" s="117"/>
      <c r="CE85" s="117"/>
      <c r="CF85" s="117"/>
      <c r="CG85" s="14" t="str">
        <f t="shared" si="61"/>
        <v/>
      </c>
      <c r="CH85" s="15" t="str">
        <f t="shared" si="62"/>
        <v/>
      </c>
      <c r="CI85" s="117"/>
    </row>
    <row r="86" spans="1:87">
      <c r="A86" s="115"/>
      <c r="B86" s="12"/>
      <c r="C86" s="13"/>
      <c r="D86" s="13"/>
      <c r="E86" s="12"/>
      <c r="F86" s="12"/>
      <c r="G86" s="13"/>
      <c r="H86" s="12"/>
      <c r="I86" s="13"/>
      <c r="J86" s="13"/>
      <c r="K86" s="12"/>
      <c r="L86" s="13"/>
      <c r="M86" s="12"/>
      <c r="N86" s="12"/>
      <c r="O86" s="12"/>
      <c r="P86" s="14" t="str">
        <f t="shared" si="42"/>
        <v/>
      </c>
      <c r="Q86" s="15" t="str">
        <f t="shared" si="43"/>
        <v/>
      </c>
      <c r="R86" s="13"/>
      <c r="S86" s="12"/>
      <c r="T86" s="12"/>
      <c r="U86" s="12"/>
      <c r="V86" s="14" t="str">
        <f t="shared" si="44"/>
        <v/>
      </c>
      <c r="W86" s="15" t="str">
        <f t="shared" si="45"/>
        <v/>
      </c>
      <c r="X86" s="12"/>
      <c r="Y86" s="14" t="str">
        <f t="shared" si="46"/>
        <v/>
      </c>
      <c r="Z86" s="12"/>
      <c r="AA86" s="12"/>
      <c r="AB86" s="16"/>
      <c r="AC86" s="13"/>
      <c r="AD86" s="13"/>
      <c r="AE86" s="13"/>
      <c r="AF86" s="16"/>
      <c r="AG86" s="12"/>
      <c r="AH86" s="13"/>
      <c r="AI86" s="12"/>
      <c r="AJ86" s="14" t="str">
        <f t="shared" si="47"/>
        <v/>
      </c>
      <c r="AK86" s="14" t="str">
        <f t="shared" si="48"/>
        <v/>
      </c>
      <c r="AL86" s="17" t="str">
        <f t="shared" si="49"/>
        <v/>
      </c>
      <c r="AM86" s="16"/>
      <c r="AN86" s="12"/>
      <c r="AO86" s="16"/>
      <c r="AP86" s="12"/>
      <c r="AQ86" s="12"/>
      <c r="AR86" s="14" t="str">
        <f t="shared" si="50"/>
        <v/>
      </c>
      <c r="AS86" s="15" t="str">
        <f t="shared" si="51"/>
        <v/>
      </c>
      <c r="AT86" s="12"/>
      <c r="AU86" s="13"/>
      <c r="AV86" s="12"/>
      <c r="AW86" s="16"/>
      <c r="AX86" s="13"/>
      <c r="AY86" s="17" t="str">
        <f t="shared" si="52"/>
        <v/>
      </c>
      <c r="AZ86" s="14" t="str">
        <f t="shared" ca="1" si="53"/>
        <v/>
      </c>
      <c r="BA86" s="13"/>
      <c r="BB86" s="12"/>
      <c r="BC86" s="14" t="str">
        <f>IF($V86="","",1+COUNTIF($V$5:$V$154,"&gt;"&amp;$V86)+COUNTIFS($V$5:$V$154,$V86,$U$5:$U$154,"&gt;"&amp;$U86)+COUNTIFS($V$4:$V85,$V86,$U$4:$U85,$U86))</f>
        <v/>
      </c>
      <c r="BD86" s="12"/>
      <c r="BE86" s="12"/>
      <c r="BF86" s="12"/>
      <c r="BG86" s="62"/>
      <c r="BH86" s="62"/>
      <c r="BI86" s="63" t="str">
        <f t="shared" si="54"/>
        <v/>
      </c>
      <c r="BJ86" s="18" t="str">
        <f t="shared" si="55"/>
        <v/>
      </c>
      <c r="BK86" s="12"/>
      <c r="BL86" s="117"/>
      <c r="BM86" s="117"/>
      <c r="BN86" s="16"/>
      <c r="BO86" s="117"/>
      <c r="BP86" s="117"/>
      <c r="BQ86" s="117"/>
      <c r="BR86" s="117"/>
      <c r="BS86" s="117"/>
      <c r="BT86" s="117"/>
      <c r="BU86" s="117"/>
      <c r="BV86" s="117"/>
      <c r="BW86" s="14" t="str">
        <f t="shared" si="56"/>
        <v/>
      </c>
      <c r="BX86" s="14" t="str">
        <f t="shared" si="57"/>
        <v/>
      </c>
      <c r="BY86" s="14" t="str">
        <f t="shared" si="58"/>
        <v/>
      </c>
      <c r="BZ86" s="15" t="str">
        <f t="shared" si="59"/>
        <v/>
      </c>
      <c r="CA86" s="15" t="str">
        <f t="shared" si="60"/>
        <v/>
      </c>
      <c r="CB86" s="117"/>
      <c r="CC86" s="117"/>
      <c r="CD86" s="117"/>
      <c r="CE86" s="117"/>
      <c r="CF86" s="117"/>
      <c r="CG86" s="14" t="str">
        <f t="shared" si="61"/>
        <v/>
      </c>
      <c r="CH86" s="15" t="str">
        <f t="shared" si="62"/>
        <v/>
      </c>
      <c r="CI86" s="117"/>
    </row>
    <row r="87" spans="1:87">
      <c r="A87" s="115"/>
      <c r="B87" s="12"/>
      <c r="C87" s="13"/>
      <c r="D87" s="13"/>
      <c r="E87" s="12"/>
      <c r="F87" s="12"/>
      <c r="G87" s="13"/>
      <c r="H87" s="12"/>
      <c r="I87" s="13"/>
      <c r="J87" s="13"/>
      <c r="K87" s="12"/>
      <c r="L87" s="13"/>
      <c r="M87" s="12"/>
      <c r="N87" s="12"/>
      <c r="O87" s="12"/>
      <c r="P87" s="14" t="str">
        <f t="shared" si="42"/>
        <v/>
      </c>
      <c r="Q87" s="15" t="str">
        <f t="shared" si="43"/>
        <v/>
      </c>
      <c r="R87" s="13"/>
      <c r="S87" s="12"/>
      <c r="T87" s="12"/>
      <c r="U87" s="12"/>
      <c r="V87" s="14" t="str">
        <f t="shared" si="44"/>
        <v/>
      </c>
      <c r="W87" s="15" t="str">
        <f t="shared" si="45"/>
        <v/>
      </c>
      <c r="X87" s="12"/>
      <c r="Y87" s="14" t="str">
        <f t="shared" si="46"/>
        <v/>
      </c>
      <c r="Z87" s="12"/>
      <c r="AA87" s="12"/>
      <c r="AB87" s="16"/>
      <c r="AC87" s="13"/>
      <c r="AD87" s="13"/>
      <c r="AE87" s="13"/>
      <c r="AF87" s="16"/>
      <c r="AG87" s="12"/>
      <c r="AH87" s="13"/>
      <c r="AI87" s="12"/>
      <c r="AJ87" s="14" t="str">
        <f t="shared" si="47"/>
        <v/>
      </c>
      <c r="AK87" s="14" t="str">
        <f t="shared" si="48"/>
        <v/>
      </c>
      <c r="AL87" s="17" t="str">
        <f t="shared" si="49"/>
        <v/>
      </c>
      <c r="AM87" s="16"/>
      <c r="AN87" s="12"/>
      <c r="AO87" s="16"/>
      <c r="AP87" s="12"/>
      <c r="AQ87" s="12"/>
      <c r="AR87" s="14" t="str">
        <f t="shared" si="50"/>
        <v/>
      </c>
      <c r="AS87" s="15" t="str">
        <f t="shared" si="51"/>
        <v/>
      </c>
      <c r="AT87" s="12"/>
      <c r="AU87" s="13"/>
      <c r="AV87" s="12"/>
      <c r="AW87" s="16"/>
      <c r="AX87" s="13"/>
      <c r="AY87" s="17" t="str">
        <f t="shared" si="52"/>
        <v/>
      </c>
      <c r="AZ87" s="14" t="str">
        <f t="shared" ca="1" si="53"/>
        <v/>
      </c>
      <c r="BA87" s="13"/>
      <c r="BB87" s="12"/>
      <c r="BC87" s="14" t="str">
        <f>IF($V87="","",1+COUNTIF($V$5:$V$154,"&gt;"&amp;$V87)+COUNTIFS($V$5:$V$154,$V87,$U$5:$U$154,"&gt;"&amp;$U87)+COUNTIFS($V$4:$V86,$V87,$U$4:$U86,$U87))</f>
        <v/>
      </c>
      <c r="BD87" s="12"/>
      <c r="BE87" s="12"/>
      <c r="BF87" s="12"/>
      <c r="BG87" s="62"/>
      <c r="BH87" s="62"/>
      <c r="BI87" s="63" t="str">
        <f t="shared" si="54"/>
        <v/>
      </c>
      <c r="BJ87" s="18" t="str">
        <f t="shared" si="55"/>
        <v/>
      </c>
      <c r="BK87" s="12"/>
      <c r="BL87" s="117"/>
      <c r="BM87" s="117"/>
      <c r="BN87" s="16"/>
      <c r="BO87" s="117"/>
      <c r="BP87" s="117"/>
      <c r="BQ87" s="117"/>
      <c r="BR87" s="117"/>
      <c r="BS87" s="117"/>
      <c r="BT87" s="117"/>
      <c r="BU87" s="117"/>
      <c r="BV87" s="117"/>
      <c r="BW87" s="14" t="str">
        <f t="shared" si="56"/>
        <v/>
      </c>
      <c r="BX87" s="14" t="str">
        <f t="shared" si="57"/>
        <v/>
      </c>
      <c r="BY87" s="14" t="str">
        <f t="shared" si="58"/>
        <v/>
      </c>
      <c r="BZ87" s="15" t="str">
        <f t="shared" si="59"/>
        <v/>
      </c>
      <c r="CA87" s="15" t="str">
        <f t="shared" si="60"/>
        <v/>
      </c>
      <c r="CB87" s="117"/>
      <c r="CC87" s="117"/>
      <c r="CD87" s="117"/>
      <c r="CE87" s="117"/>
      <c r="CF87" s="117"/>
      <c r="CG87" s="14" t="str">
        <f t="shared" si="61"/>
        <v/>
      </c>
      <c r="CH87" s="15" t="str">
        <f t="shared" si="62"/>
        <v/>
      </c>
      <c r="CI87" s="117"/>
    </row>
    <row r="88" spans="1:87">
      <c r="A88" s="115"/>
      <c r="B88" s="12"/>
      <c r="C88" s="13"/>
      <c r="D88" s="13"/>
      <c r="E88" s="12"/>
      <c r="F88" s="12"/>
      <c r="G88" s="13"/>
      <c r="H88" s="12"/>
      <c r="I88" s="13"/>
      <c r="J88" s="13"/>
      <c r="K88" s="12"/>
      <c r="L88" s="13"/>
      <c r="M88" s="12"/>
      <c r="N88" s="12"/>
      <c r="O88" s="12"/>
      <c r="P88" s="14" t="str">
        <f t="shared" si="42"/>
        <v/>
      </c>
      <c r="Q88" s="15" t="str">
        <f t="shared" si="43"/>
        <v/>
      </c>
      <c r="R88" s="13"/>
      <c r="S88" s="12"/>
      <c r="T88" s="12"/>
      <c r="U88" s="12"/>
      <c r="V88" s="14" t="str">
        <f t="shared" si="44"/>
        <v/>
      </c>
      <c r="W88" s="15" t="str">
        <f t="shared" si="45"/>
        <v/>
      </c>
      <c r="X88" s="12"/>
      <c r="Y88" s="14" t="str">
        <f t="shared" si="46"/>
        <v/>
      </c>
      <c r="Z88" s="12"/>
      <c r="AA88" s="12"/>
      <c r="AB88" s="16"/>
      <c r="AC88" s="13"/>
      <c r="AD88" s="13"/>
      <c r="AE88" s="13"/>
      <c r="AF88" s="16"/>
      <c r="AG88" s="12"/>
      <c r="AH88" s="13"/>
      <c r="AI88" s="12"/>
      <c r="AJ88" s="14" t="str">
        <f t="shared" si="47"/>
        <v/>
      </c>
      <c r="AK88" s="14" t="str">
        <f t="shared" si="48"/>
        <v/>
      </c>
      <c r="AL88" s="17" t="str">
        <f t="shared" si="49"/>
        <v/>
      </c>
      <c r="AM88" s="16"/>
      <c r="AN88" s="12"/>
      <c r="AO88" s="16"/>
      <c r="AP88" s="12"/>
      <c r="AQ88" s="12"/>
      <c r="AR88" s="14" t="str">
        <f t="shared" si="50"/>
        <v/>
      </c>
      <c r="AS88" s="15" t="str">
        <f t="shared" si="51"/>
        <v/>
      </c>
      <c r="AT88" s="12"/>
      <c r="AU88" s="13"/>
      <c r="AV88" s="12"/>
      <c r="AW88" s="16"/>
      <c r="AX88" s="13"/>
      <c r="AY88" s="17" t="str">
        <f t="shared" si="52"/>
        <v/>
      </c>
      <c r="AZ88" s="14" t="str">
        <f t="shared" ca="1" si="53"/>
        <v/>
      </c>
      <c r="BA88" s="13"/>
      <c r="BB88" s="12"/>
      <c r="BC88" s="14" t="str">
        <f>IF($V88="","",1+COUNTIF($V$5:$V$154,"&gt;"&amp;$V88)+COUNTIFS($V$5:$V$154,$V88,$U$5:$U$154,"&gt;"&amp;$U88)+COUNTIFS($V$4:$V87,$V88,$U$4:$U87,$U88))</f>
        <v/>
      </c>
      <c r="BD88" s="12"/>
      <c r="BE88" s="12"/>
      <c r="BF88" s="12"/>
      <c r="BG88" s="62"/>
      <c r="BH88" s="62"/>
      <c r="BI88" s="63" t="str">
        <f t="shared" si="54"/>
        <v/>
      </c>
      <c r="BJ88" s="18" t="str">
        <f t="shared" si="55"/>
        <v/>
      </c>
      <c r="BK88" s="12"/>
      <c r="BL88" s="117"/>
      <c r="BM88" s="117"/>
      <c r="BN88" s="16"/>
      <c r="BO88" s="117"/>
      <c r="BP88" s="117"/>
      <c r="BQ88" s="117"/>
      <c r="BR88" s="117"/>
      <c r="BS88" s="117"/>
      <c r="BT88" s="117"/>
      <c r="BU88" s="117"/>
      <c r="BV88" s="117"/>
      <c r="BW88" s="14" t="str">
        <f t="shared" si="56"/>
        <v/>
      </c>
      <c r="BX88" s="14" t="str">
        <f t="shared" si="57"/>
        <v/>
      </c>
      <c r="BY88" s="14" t="str">
        <f t="shared" si="58"/>
        <v/>
      </c>
      <c r="BZ88" s="15" t="str">
        <f t="shared" si="59"/>
        <v/>
      </c>
      <c r="CA88" s="15" t="str">
        <f t="shared" si="60"/>
        <v/>
      </c>
      <c r="CB88" s="117"/>
      <c r="CC88" s="117"/>
      <c r="CD88" s="117"/>
      <c r="CE88" s="117"/>
      <c r="CF88" s="117"/>
      <c r="CG88" s="14" t="str">
        <f t="shared" si="61"/>
        <v/>
      </c>
      <c r="CH88" s="15" t="str">
        <f t="shared" si="62"/>
        <v/>
      </c>
      <c r="CI88" s="117"/>
    </row>
    <row r="89" spans="1:87">
      <c r="A89" s="115"/>
      <c r="B89" s="12"/>
      <c r="C89" s="13"/>
      <c r="D89" s="13"/>
      <c r="E89" s="12"/>
      <c r="F89" s="12"/>
      <c r="G89" s="13"/>
      <c r="H89" s="12"/>
      <c r="I89" s="13"/>
      <c r="J89" s="13"/>
      <c r="K89" s="12"/>
      <c r="L89" s="13"/>
      <c r="M89" s="12"/>
      <c r="N89" s="12"/>
      <c r="O89" s="12"/>
      <c r="P89" s="14" t="str">
        <f t="shared" si="42"/>
        <v/>
      </c>
      <c r="Q89" s="15" t="str">
        <f t="shared" si="43"/>
        <v/>
      </c>
      <c r="R89" s="13"/>
      <c r="S89" s="12"/>
      <c r="T89" s="12"/>
      <c r="U89" s="12"/>
      <c r="V89" s="14" t="str">
        <f t="shared" si="44"/>
        <v/>
      </c>
      <c r="W89" s="15" t="str">
        <f t="shared" si="45"/>
        <v/>
      </c>
      <c r="X89" s="12"/>
      <c r="Y89" s="14" t="str">
        <f t="shared" si="46"/>
        <v/>
      </c>
      <c r="Z89" s="12"/>
      <c r="AA89" s="12"/>
      <c r="AB89" s="16"/>
      <c r="AC89" s="13"/>
      <c r="AD89" s="13"/>
      <c r="AE89" s="13"/>
      <c r="AF89" s="16"/>
      <c r="AG89" s="12"/>
      <c r="AH89" s="13"/>
      <c r="AI89" s="12"/>
      <c r="AJ89" s="14" t="str">
        <f t="shared" si="47"/>
        <v/>
      </c>
      <c r="AK89" s="14" t="str">
        <f t="shared" si="48"/>
        <v/>
      </c>
      <c r="AL89" s="17" t="str">
        <f t="shared" si="49"/>
        <v/>
      </c>
      <c r="AM89" s="16"/>
      <c r="AN89" s="12"/>
      <c r="AO89" s="16"/>
      <c r="AP89" s="12"/>
      <c r="AQ89" s="12"/>
      <c r="AR89" s="14" t="str">
        <f t="shared" si="50"/>
        <v/>
      </c>
      <c r="AS89" s="15" t="str">
        <f t="shared" si="51"/>
        <v/>
      </c>
      <c r="AT89" s="12"/>
      <c r="AU89" s="13"/>
      <c r="AV89" s="12"/>
      <c r="AW89" s="16"/>
      <c r="AX89" s="13"/>
      <c r="AY89" s="17" t="str">
        <f t="shared" si="52"/>
        <v/>
      </c>
      <c r="AZ89" s="14" t="str">
        <f t="shared" ca="1" si="53"/>
        <v/>
      </c>
      <c r="BA89" s="13"/>
      <c r="BB89" s="12"/>
      <c r="BC89" s="14" t="str">
        <f>IF($V89="","",1+COUNTIF($V$5:$V$154,"&gt;"&amp;$V89)+COUNTIFS($V$5:$V$154,$V89,$U$5:$U$154,"&gt;"&amp;$U89)+COUNTIFS($V$4:$V88,$V89,$U$4:$U88,$U89))</f>
        <v/>
      </c>
      <c r="BD89" s="12"/>
      <c r="BE89" s="12"/>
      <c r="BF89" s="12"/>
      <c r="BG89" s="62"/>
      <c r="BH89" s="62"/>
      <c r="BI89" s="63" t="str">
        <f t="shared" si="54"/>
        <v/>
      </c>
      <c r="BJ89" s="18" t="str">
        <f t="shared" si="55"/>
        <v/>
      </c>
      <c r="BK89" s="12"/>
      <c r="BL89" s="117"/>
      <c r="BM89" s="117"/>
      <c r="BN89" s="16"/>
      <c r="BO89" s="117"/>
      <c r="BP89" s="117"/>
      <c r="BQ89" s="117"/>
      <c r="BR89" s="117"/>
      <c r="BS89" s="117"/>
      <c r="BT89" s="117"/>
      <c r="BU89" s="117"/>
      <c r="BV89" s="117"/>
      <c r="BW89" s="14" t="str">
        <f t="shared" si="56"/>
        <v/>
      </c>
      <c r="BX89" s="14" t="str">
        <f t="shared" si="57"/>
        <v/>
      </c>
      <c r="BY89" s="14" t="str">
        <f t="shared" si="58"/>
        <v/>
      </c>
      <c r="BZ89" s="15" t="str">
        <f t="shared" si="59"/>
        <v/>
      </c>
      <c r="CA89" s="15" t="str">
        <f t="shared" si="60"/>
        <v/>
      </c>
      <c r="CB89" s="117"/>
      <c r="CC89" s="117"/>
      <c r="CD89" s="117"/>
      <c r="CE89" s="117"/>
      <c r="CF89" s="117"/>
      <c r="CG89" s="14" t="str">
        <f t="shared" si="61"/>
        <v/>
      </c>
      <c r="CH89" s="15" t="str">
        <f t="shared" si="62"/>
        <v/>
      </c>
      <c r="CI89" s="117"/>
    </row>
    <row r="90" spans="1:87">
      <c r="A90" s="115"/>
      <c r="B90" s="12"/>
      <c r="C90" s="13"/>
      <c r="D90" s="13"/>
      <c r="E90" s="12"/>
      <c r="F90" s="12"/>
      <c r="G90" s="13"/>
      <c r="H90" s="12"/>
      <c r="I90" s="13"/>
      <c r="J90" s="13"/>
      <c r="K90" s="12"/>
      <c r="L90" s="13"/>
      <c r="M90" s="12"/>
      <c r="N90" s="12"/>
      <c r="O90" s="12"/>
      <c r="P90" s="14" t="str">
        <f t="shared" si="42"/>
        <v/>
      </c>
      <c r="Q90" s="15" t="str">
        <f t="shared" si="43"/>
        <v/>
      </c>
      <c r="R90" s="13"/>
      <c r="S90" s="12"/>
      <c r="T90" s="12"/>
      <c r="U90" s="12"/>
      <c r="V90" s="14" t="str">
        <f t="shared" si="44"/>
        <v/>
      </c>
      <c r="W90" s="15" t="str">
        <f t="shared" si="45"/>
        <v/>
      </c>
      <c r="X90" s="12"/>
      <c r="Y90" s="14" t="str">
        <f t="shared" si="46"/>
        <v/>
      </c>
      <c r="Z90" s="12"/>
      <c r="AA90" s="12"/>
      <c r="AB90" s="16"/>
      <c r="AC90" s="13"/>
      <c r="AD90" s="13"/>
      <c r="AE90" s="13"/>
      <c r="AF90" s="16"/>
      <c r="AG90" s="12"/>
      <c r="AH90" s="13"/>
      <c r="AI90" s="12"/>
      <c r="AJ90" s="14" t="str">
        <f t="shared" si="47"/>
        <v/>
      </c>
      <c r="AK90" s="14" t="str">
        <f t="shared" si="48"/>
        <v/>
      </c>
      <c r="AL90" s="17" t="str">
        <f t="shared" si="49"/>
        <v/>
      </c>
      <c r="AM90" s="16"/>
      <c r="AN90" s="12"/>
      <c r="AO90" s="16"/>
      <c r="AP90" s="12"/>
      <c r="AQ90" s="12"/>
      <c r="AR90" s="14" t="str">
        <f t="shared" si="50"/>
        <v/>
      </c>
      <c r="AS90" s="15" t="str">
        <f t="shared" si="51"/>
        <v/>
      </c>
      <c r="AT90" s="12"/>
      <c r="AU90" s="13"/>
      <c r="AV90" s="12"/>
      <c r="AW90" s="16"/>
      <c r="AX90" s="13"/>
      <c r="AY90" s="17" t="str">
        <f t="shared" si="52"/>
        <v/>
      </c>
      <c r="AZ90" s="14" t="str">
        <f t="shared" ca="1" si="53"/>
        <v/>
      </c>
      <c r="BA90" s="13"/>
      <c r="BB90" s="12"/>
      <c r="BC90" s="14" t="str">
        <f>IF($V90="","",1+COUNTIF($V$5:$V$154,"&gt;"&amp;$V90)+COUNTIFS($V$5:$V$154,$V90,$U$5:$U$154,"&gt;"&amp;$U90)+COUNTIFS($V$4:$V89,$V90,$U$4:$U89,$U90))</f>
        <v/>
      </c>
      <c r="BD90" s="12"/>
      <c r="BE90" s="12"/>
      <c r="BF90" s="12"/>
      <c r="BG90" s="62"/>
      <c r="BH90" s="62"/>
      <c r="BI90" s="63" t="str">
        <f t="shared" si="54"/>
        <v/>
      </c>
      <c r="BJ90" s="18" t="str">
        <f t="shared" si="55"/>
        <v/>
      </c>
      <c r="BK90" s="12"/>
      <c r="BL90" s="117"/>
      <c r="BM90" s="117"/>
      <c r="BN90" s="16"/>
      <c r="BO90" s="117"/>
      <c r="BP90" s="117"/>
      <c r="BQ90" s="117"/>
      <c r="BR90" s="117"/>
      <c r="BS90" s="117"/>
      <c r="BT90" s="117"/>
      <c r="BU90" s="117"/>
      <c r="BV90" s="117"/>
      <c r="BW90" s="14" t="str">
        <f t="shared" si="56"/>
        <v/>
      </c>
      <c r="BX90" s="14" t="str">
        <f t="shared" si="57"/>
        <v/>
      </c>
      <c r="BY90" s="14" t="str">
        <f t="shared" si="58"/>
        <v/>
      </c>
      <c r="BZ90" s="15" t="str">
        <f t="shared" si="59"/>
        <v/>
      </c>
      <c r="CA90" s="15" t="str">
        <f t="shared" si="60"/>
        <v/>
      </c>
      <c r="CB90" s="117"/>
      <c r="CC90" s="117"/>
      <c r="CD90" s="117"/>
      <c r="CE90" s="117"/>
      <c r="CF90" s="117"/>
      <c r="CG90" s="14" t="str">
        <f t="shared" si="61"/>
        <v/>
      </c>
      <c r="CH90" s="15" t="str">
        <f t="shared" si="62"/>
        <v/>
      </c>
      <c r="CI90" s="117"/>
    </row>
    <row r="91" spans="1:87">
      <c r="A91" s="115"/>
      <c r="B91" s="12"/>
      <c r="C91" s="13"/>
      <c r="D91" s="13"/>
      <c r="E91" s="12"/>
      <c r="F91" s="12"/>
      <c r="G91" s="13"/>
      <c r="H91" s="12"/>
      <c r="I91" s="13"/>
      <c r="J91" s="13"/>
      <c r="K91" s="12"/>
      <c r="L91" s="13"/>
      <c r="M91" s="12"/>
      <c r="N91" s="12"/>
      <c r="O91" s="12"/>
      <c r="P91" s="14" t="str">
        <f t="shared" si="42"/>
        <v/>
      </c>
      <c r="Q91" s="15" t="str">
        <f t="shared" si="43"/>
        <v/>
      </c>
      <c r="R91" s="13"/>
      <c r="S91" s="12"/>
      <c r="T91" s="12"/>
      <c r="U91" s="12"/>
      <c r="V91" s="14" t="str">
        <f t="shared" si="44"/>
        <v/>
      </c>
      <c r="W91" s="15" t="str">
        <f t="shared" si="45"/>
        <v/>
      </c>
      <c r="X91" s="12"/>
      <c r="Y91" s="14" t="str">
        <f t="shared" si="46"/>
        <v/>
      </c>
      <c r="Z91" s="12"/>
      <c r="AA91" s="12"/>
      <c r="AB91" s="16"/>
      <c r="AC91" s="13"/>
      <c r="AD91" s="13"/>
      <c r="AE91" s="13"/>
      <c r="AF91" s="16"/>
      <c r="AG91" s="12"/>
      <c r="AH91" s="13"/>
      <c r="AI91" s="12"/>
      <c r="AJ91" s="14" t="str">
        <f t="shared" si="47"/>
        <v/>
      </c>
      <c r="AK91" s="14" t="str">
        <f t="shared" si="48"/>
        <v/>
      </c>
      <c r="AL91" s="17" t="str">
        <f t="shared" si="49"/>
        <v/>
      </c>
      <c r="AM91" s="16"/>
      <c r="AN91" s="12"/>
      <c r="AO91" s="16"/>
      <c r="AP91" s="12"/>
      <c r="AQ91" s="12"/>
      <c r="AR91" s="14" t="str">
        <f t="shared" si="50"/>
        <v/>
      </c>
      <c r="AS91" s="15" t="str">
        <f t="shared" si="51"/>
        <v/>
      </c>
      <c r="AT91" s="12"/>
      <c r="AU91" s="13"/>
      <c r="AV91" s="12"/>
      <c r="AW91" s="16"/>
      <c r="AX91" s="13"/>
      <c r="AY91" s="17" t="str">
        <f t="shared" si="52"/>
        <v/>
      </c>
      <c r="AZ91" s="14" t="str">
        <f t="shared" ca="1" si="53"/>
        <v/>
      </c>
      <c r="BA91" s="13"/>
      <c r="BB91" s="12"/>
      <c r="BC91" s="14" t="str">
        <f>IF($V91="","",1+COUNTIF($V$5:$V$154,"&gt;"&amp;$V91)+COUNTIFS($V$5:$V$154,$V91,$U$5:$U$154,"&gt;"&amp;$U91)+COUNTIFS($V$4:$V90,$V91,$U$4:$U90,$U91))</f>
        <v/>
      </c>
      <c r="BD91" s="12"/>
      <c r="BE91" s="12"/>
      <c r="BF91" s="12"/>
      <c r="BG91" s="62"/>
      <c r="BH91" s="62"/>
      <c r="BI91" s="63" t="str">
        <f t="shared" si="54"/>
        <v/>
      </c>
      <c r="BJ91" s="18" t="str">
        <f t="shared" si="55"/>
        <v/>
      </c>
      <c r="BK91" s="12"/>
      <c r="BL91" s="117"/>
      <c r="BM91" s="117"/>
      <c r="BN91" s="16"/>
      <c r="BO91" s="117"/>
      <c r="BP91" s="117"/>
      <c r="BQ91" s="117"/>
      <c r="BR91" s="117"/>
      <c r="BS91" s="117"/>
      <c r="BT91" s="117"/>
      <c r="BU91" s="117"/>
      <c r="BV91" s="117"/>
      <c r="BW91" s="14" t="str">
        <f t="shared" si="56"/>
        <v/>
      </c>
      <c r="BX91" s="14" t="str">
        <f t="shared" si="57"/>
        <v/>
      </c>
      <c r="BY91" s="14" t="str">
        <f t="shared" si="58"/>
        <v/>
      </c>
      <c r="BZ91" s="15" t="str">
        <f t="shared" si="59"/>
        <v/>
      </c>
      <c r="CA91" s="15" t="str">
        <f t="shared" si="60"/>
        <v/>
      </c>
      <c r="CB91" s="117"/>
      <c r="CC91" s="117"/>
      <c r="CD91" s="117"/>
      <c r="CE91" s="117"/>
      <c r="CF91" s="117"/>
      <c r="CG91" s="14" t="str">
        <f t="shared" si="61"/>
        <v/>
      </c>
      <c r="CH91" s="15" t="str">
        <f t="shared" si="62"/>
        <v/>
      </c>
      <c r="CI91" s="117"/>
    </row>
    <row r="92" spans="1:87">
      <c r="A92" s="115"/>
      <c r="B92" s="12"/>
      <c r="C92" s="13"/>
      <c r="D92" s="13"/>
      <c r="E92" s="12"/>
      <c r="F92" s="12"/>
      <c r="G92" s="13"/>
      <c r="H92" s="12"/>
      <c r="I92" s="13"/>
      <c r="J92" s="13"/>
      <c r="K92" s="12"/>
      <c r="L92" s="13"/>
      <c r="M92" s="12"/>
      <c r="N92" s="12"/>
      <c r="O92" s="12"/>
      <c r="P92" s="14" t="str">
        <f t="shared" si="42"/>
        <v/>
      </c>
      <c r="Q92" s="15" t="str">
        <f t="shared" si="43"/>
        <v/>
      </c>
      <c r="R92" s="13"/>
      <c r="S92" s="12"/>
      <c r="T92" s="12"/>
      <c r="U92" s="12"/>
      <c r="V92" s="14" t="str">
        <f t="shared" si="44"/>
        <v/>
      </c>
      <c r="W92" s="15" t="str">
        <f t="shared" si="45"/>
        <v/>
      </c>
      <c r="X92" s="12"/>
      <c r="Y92" s="14" t="str">
        <f t="shared" si="46"/>
        <v/>
      </c>
      <c r="Z92" s="12"/>
      <c r="AA92" s="12"/>
      <c r="AB92" s="16"/>
      <c r="AC92" s="13"/>
      <c r="AD92" s="13"/>
      <c r="AE92" s="13"/>
      <c r="AF92" s="16"/>
      <c r="AG92" s="12"/>
      <c r="AH92" s="13"/>
      <c r="AI92" s="12"/>
      <c r="AJ92" s="14" t="str">
        <f t="shared" si="47"/>
        <v/>
      </c>
      <c r="AK92" s="14" t="str">
        <f t="shared" si="48"/>
        <v/>
      </c>
      <c r="AL92" s="17" t="str">
        <f t="shared" si="49"/>
        <v/>
      </c>
      <c r="AM92" s="16"/>
      <c r="AN92" s="12"/>
      <c r="AO92" s="16"/>
      <c r="AP92" s="12"/>
      <c r="AQ92" s="12"/>
      <c r="AR92" s="14" t="str">
        <f t="shared" si="50"/>
        <v/>
      </c>
      <c r="AS92" s="15" t="str">
        <f t="shared" si="51"/>
        <v/>
      </c>
      <c r="AT92" s="12"/>
      <c r="AU92" s="13"/>
      <c r="AV92" s="12"/>
      <c r="AW92" s="16"/>
      <c r="AX92" s="13"/>
      <c r="AY92" s="17" t="str">
        <f t="shared" si="52"/>
        <v/>
      </c>
      <c r="AZ92" s="14" t="str">
        <f t="shared" ca="1" si="53"/>
        <v/>
      </c>
      <c r="BA92" s="13"/>
      <c r="BB92" s="12"/>
      <c r="BC92" s="14" t="str">
        <f>IF($V92="","",1+COUNTIF($V$5:$V$154,"&gt;"&amp;$V92)+COUNTIFS($V$5:$V$154,$V92,$U$5:$U$154,"&gt;"&amp;$U92)+COUNTIFS($V$4:$V91,$V92,$U$4:$U91,$U92))</f>
        <v/>
      </c>
      <c r="BD92" s="12"/>
      <c r="BE92" s="12"/>
      <c r="BF92" s="12"/>
      <c r="BG92" s="62"/>
      <c r="BH92" s="62"/>
      <c r="BI92" s="63" t="str">
        <f t="shared" si="54"/>
        <v/>
      </c>
      <c r="BJ92" s="18" t="str">
        <f t="shared" si="55"/>
        <v/>
      </c>
      <c r="BK92" s="12"/>
      <c r="BL92" s="117"/>
      <c r="BM92" s="117"/>
      <c r="BN92" s="16"/>
      <c r="BO92" s="117"/>
      <c r="BP92" s="117"/>
      <c r="BQ92" s="117"/>
      <c r="BR92" s="117"/>
      <c r="BS92" s="117"/>
      <c r="BT92" s="117"/>
      <c r="BU92" s="117"/>
      <c r="BV92" s="117"/>
      <c r="BW92" s="14" t="str">
        <f t="shared" si="56"/>
        <v/>
      </c>
      <c r="BX92" s="14" t="str">
        <f t="shared" si="57"/>
        <v/>
      </c>
      <c r="BY92" s="14" t="str">
        <f t="shared" si="58"/>
        <v/>
      </c>
      <c r="BZ92" s="15" t="str">
        <f t="shared" si="59"/>
        <v/>
      </c>
      <c r="CA92" s="15" t="str">
        <f t="shared" si="60"/>
        <v/>
      </c>
      <c r="CB92" s="117"/>
      <c r="CC92" s="117"/>
      <c r="CD92" s="117"/>
      <c r="CE92" s="117"/>
      <c r="CF92" s="117"/>
      <c r="CG92" s="14" t="str">
        <f t="shared" si="61"/>
        <v/>
      </c>
      <c r="CH92" s="15" t="str">
        <f t="shared" si="62"/>
        <v/>
      </c>
      <c r="CI92" s="117"/>
    </row>
    <row r="93" spans="1:87">
      <c r="A93" s="115"/>
      <c r="B93" s="12"/>
      <c r="C93" s="13"/>
      <c r="D93" s="13"/>
      <c r="E93" s="12"/>
      <c r="F93" s="12"/>
      <c r="G93" s="13"/>
      <c r="H93" s="12"/>
      <c r="I93" s="13"/>
      <c r="J93" s="13"/>
      <c r="K93" s="12"/>
      <c r="L93" s="13"/>
      <c r="M93" s="12"/>
      <c r="N93" s="12"/>
      <c r="O93" s="12"/>
      <c r="P93" s="14" t="str">
        <f t="shared" si="42"/>
        <v/>
      </c>
      <c r="Q93" s="15" t="str">
        <f t="shared" si="43"/>
        <v/>
      </c>
      <c r="R93" s="13"/>
      <c r="S93" s="12"/>
      <c r="T93" s="12"/>
      <c r="U93" s="12"/>
      <c r="V93" s="14" t="str">
        <f t="shared" si="44"/>
        <v/>
      </c>
      <c r="W93" s="15" t="str">
        <f t="shared" si="45"/>
        <v/>
      </c>
      <c r="X93" s="12"/>
      <c r="Y93" s="14" t="str">
        <f t="shared" si="46"/>
        <v/>
      </c>
      <c r="Z93" s="12"/>
      <c r="AA93" s="12"/>
      <c r="AB93" s="16"/>
      <c r="AC93" s="13"/>
      <c r="AD93" s="13"/>
      <c r="AE93" s="13"/>
      <c r="AF93" s="16"/>
      <c r="AG93" s="12"/>
      <c r="AH93" s="13"/>
      <c r="AI93" s="12"/>
      <c r="AJ93" s="14" t="str">
        <f t="shared" si="47"/>
        <v/>
      </c>
      <c r="AK93" s="14" t="str">
        <f t="shared" si="48"/>
        <v/>
      </c>
      <c r="AL93" s="17" t="str">
        <f t="shared" si="49"/>
        <v/>
      </c>
      <c r="AM93" s="16"/>
      <c r="AN93" s="12"/>
      <c r="AO93" s="16"/>
      <c r="AP93" s="12"/>
      <c r="AQ93" s="12"/>
      <c r="AR93" s="14" t="str">
        <f t="shared" si="50"/>
        <v/>
      </c>
      <c r="AS93" s="15" t="str">
        <f t="shared" si="51"/>
        <v/>
      </c>
      <c r="AT93" s="12"/>
      <c r="AU93" s="13"/>
      <c r="AV93" s="12"/>
      <c r="AW93" s="16"/>
      <c r="AX93" s="13"/>
      <c r="AY93" s="17" t="str">
        <f t="shared" si="52"/>
        <v/>
      </c>
      <c r="AZ93" s="14" t="str">
        <f t="shared" ca="1" si="53"/>
        <v/>
      </c>
      <c r="BA93" s="13"/>
      <c r="BB93" s="12"/>
      <c r="BC93" s="14" t="str">
        <f>IF($V93="","",1+COUNTIF($V$5:$V$154,"&gt;"&amp;$V93)+COUNTIFS($V$5:$V$154,$V93,$U$5:$U$154,"&gt;"&amp;$U93)+COUNTIFS($V$4:$V92,$V93,$U$4:$U92,$U93))</f>
        <v/>
      </c>
      <c r="BD93" s="12"/>
      <c r="BE93" s="12"/>
      <c r="BF93" s="12"/>
      <c r="BG93" s="62"/>
      <c r="BH93" s="62"/>
      <c r="BI93" s="63" t="str">
        <f t="shared" si="54"/>
        <v/>
      </c>
      <c r="BJ93" s="18" t="str">
        <f t="shared" si="55"/>
        <v/>
      </c>
      <c r="BK93" s="12"/>
      <c r="BL93" s="117"/>
      <c r="BM93" s="117"/>
      <c r="BN93" s="16"/>
      <c r="BO93" s="117"/>
      <c r="BP93" s="117"/>
      <c r="BQ93" s="117"/>
      <c r="BR93" s="117"/>
      <c r="BS93" s="117"/>
      <c r="BT93" s="117"/>
      <c r="BU93" s="117"/>
      <c r="BV93" s="117"/>
      <c r="BW93" s="14" t="str">
        <f t="shared" si="56"/>
        <v/>
      </c>
      <c r="BX93" s="14" t="str">
        <f t="shared" si="57"/>
        <v/>
      </c>
      <c r="BY93" s="14" t="str">
        <f t="shared" si="58"/>
        <v/>
      </c>
      <c r="BZ93" s="15" t="str">
        <f t="shared" si="59"/>
        <v/>
      </c>
      <c r="CA93" s="15" t="str">
        <f t="shared" si="60"/>
        <v/>
      </c>
      <c r="CB93" s="117"/>
      <c r="CC93" s="117"/>
      <c r="CD93" s="117"/>
      <c r="CE93" s="117"/>
      <c r="CF93" s="117"/>
      <c r="CG93" s="14" t="str">
        <f t="shared" si="61"/>
        <v/>
      </c>
      <c r="CH93" s="15" t="str">
        <f t="shared" si="62"/>
        <v/>
      </c>
      <c r="CI93" s="117"/>
    </row>
    <row r="94" spans="1:87">
      <c r="A94" s="115"/>
      <c r="B94" s="12"/>
      <c r="C94" s="13"/>
      <c r="D94" s="13"/>
      <c r="E94" s="12"/>
      <c r="F94" s="12"/>
      <c r="G94" s="13"/>
      <c r="H94" s="12"/>
      <c r="I94" s="13"/>
      <c r="J94" s="13"/>
      <c r="K94" s="12"/>
      <c r="L94" s="13"/>
      <c r="M94" s="12"/>
      <c r="N94" s="12"/>
      <c r="O94" s="12"/>
      <c r="P94" s="14" t="str">
        <f t="shared" si="42"/>
        <v/>
      </c>
      <c r="Q94" s="15" t="str">
        <f t="shared" si="43"/>
        <v/>
      </c>
      <c r="R94" s="13"/>
      <c r="S94" s="12"/>
      <c r="T94" s="12"/>
      <c r="U94" s="12"/>
      <c r="V94" s="14" t="str">
        <f t="shared" si="44"/>
        <v/>
      </c>
      <c r="W94" s="15" t="str">
        <f t="shared" si="45"/>
        <v/>
      </c>
      <c r="X94" s="12"/>
      <c r="Y94" s="14" t="str">
        <f t="shared" si="46"/>
        <v/>
      </c>
      <c r="Z94" s="12"/>
      <c r="AA94" s="12"/>
      <c r="AB94" s="16"/>
      <c r="AC94" s="13"/>
      <c r="AD94" s="13"/>
      <c r="AE94" s="13"/>
      <c r="AF94" s="16"/>
      <c r="AG94" s="12"/>
      <c r="AH94" s="13"/>
      <c r="AI94" s="12"/>
      <c r="AJ94" s="14" t="str">
        <f t="shared" si="47"/>
        <v/>
      </c>
      <c r="AK94" s="14" t="str">
        <f t="shared" si="48"/>
        <v/>
      </c>
      <c r="AL94" s="17" t="str">
        <f t="shared" si="49"/>
        <v/>
      </c>
      <c r="AM94" s="16"/>
      <c r="AN94" s="12"/>
      <c r="AO94" s="16"/>
      <c r="AP94" s="12"/>
      <c r="AQ94" s="12"/>
      <c r="AR94" s="14" t="str">
        <f t="shared" si="50"/>
        <v/>
      </c>
      <c r="AS94" s="15" t="str">
        <f t="shared" si="51"/>
        <v/>
      </c>
      <c r="AT94" s="12"/>
      <c r="AU94" s="13"/>
      <c r="AV94" s="12"/>
      <c r="AW94" s="16"/>
      <c r="AX94" s="13"/>
      <c r="AY94" s="17" t="str">
        <f t="shared" si="52"/>
        <v/>
      </c>
      <c r="AZ94" s="14" t="str">
        <f t="shared" ca="1" si="53"/>
        <v/>
      </c>
      <c r="BA94" s="13"/>
      <c r="BB94" s="12"/>
      <c r="BC94" s="14" t="str">
        <f>IF($V94="","",1+COUNTIF($V$5:$V$154,"&gt;"&amp;$V94)+COUNTIFS($V$5:$V$154,$V94,$U$5:$U$154,"&gt;"&amp;$U94)+COUNTIFS($V$4:$V93,$V94,$U$4:$U93,$U94))</f>
        <v/>
      </c>
      <c r="BD94" s="12"/>
      <c r="BE94" s="12"/>
      <c r="BF94" s="12"/>
      <c r="BG94" s="62"/>
      <c r="BH94" s="62"/>
      <c r="BI94" s="63" t="str">
        <f t="shared" si="54"/>
        <v/>
      </c>
      <c r="BJ94" s="18" t="str">
        <f t="shared" si="55"/>
        <v/>
      </c>
      <c r="BK94" s="12"/>
      <c r="BL94" s="117"/>
      <c r="BM94" s="117"/>
      <c r="BN94" s="16"/>
      <c r="BO94" s="117"/>
      <c r="BP94" s="117"/>
      <c r="BQ94" s="117"/>
      <c r="BR94" s="117"/>
      <c r="BS94" s="117"/>
      <c r="BT94" s="117"/>
      <c r="BU94" s="117"/>
      <c r="BV94" s="117"/>
      <c r="BW94" s="14" t="str">
        <f t="shared" si="56"/>
        <v/>
      </c>
      <c r="BX94" s="14" t="str">
        <f t="shared" si="57"/>
        <v/>
      </c>
      <c r="BY94" s="14" t="str">
        <f t="shared" si="58"/>
        <v/>
      </c>
      <c r="BZ94" s="15" t="str">
        <f t="shared" si="59"/>
        <v/>
      </c>
      <c r="CA94" s="15" t="str">
        <f t="shared" si="60"/>
        <v/>
      </c>
      <c r="CB94" s="117"/>
      <c r="CC94" s="117"/>
      <c r="CD94" s="117"/>
      <c r="CE94" s="117"/>
      <c r="CF94" s="117"/>
      <c r="CG94" s="14" t="str">
        <f t="shared" si="61"/>
        <v/>
      </c>
      <c r="CH94" s="15" t="str">
        <f t="shared" si="62"/>
        <v/>
      </c>
      <c r="CI94" s="117"/>
    </row>
    <row r="95" spans="1:87">
      <c r="A95" s="115"/>
      <c r="B95" s="12"/>
      <c r="C95" s="13"/>
      <c r="D95" s="13"/>
      <c r="E95" s="12"/>
      <c r="F95" s="12"/>
      <c r="G95" s="13"/>
      <c r="H95" s="12"/>
      <c r="I95" s="13"/>
      <c r="J95" s="13"/>
      <c r="K95" s="12"/>
      <c r="L95" s="13"/>
      <c r="M95" s="12"/>
      <c r="N95" s="12"/>
      <c r="O95" s="12"/>
      <c r="P95" s="14" t="str">
        <f t="shared" si="42"/>
        <v/>
      </c>
      <c r="Q95" s="15" t="str">
        <f t="shared" si="43"/>
        <v/>
      </c>
      <c r="R95" s="13"/>
      <c r="S95" s="12"/>
      <c r="T95" s="12"/>
      <c r="U95" s="12"/>
      <c r="V95" s="14" t="str">
        <f t="shared" si="44"/>
        <v/>
      </c>
      <c r="W95" s="15" t="str">
        <f t="shared" si="45"/>
        <v/>
      </c>
      <c r="X95" s="12"/>
      <c r="Y95" s="14" t="str">
        <f t="shared" si="46"/>
        <v/>
      </c>
      <c r="Z95" s="12"/>
      <c r="AA95" s="12"/>
      <c r="AB95" s="16"/>
      <c r="AC95" s="13"/>
      <c r="AD95" s="13"/>
      <c r="AE95" s="13"/>
      <c r="AF95" s="16"/>
      <c r="AG95" s="12"/>
      <c r="AH95" s="13"/>
      <c r="AI95" s="12"/>
      <c r="AJ95" s="14" t="str">
        <f t="shared" si="47"/>
        <v/>
      </c>
      <c r="AK95" s="14" t="str">
        <f t="shared" si="48"/>
        <v/>
      </c>
      <c r="AL95" s="17" t="str">
        <f t="shared" si="49"/>
        <v/>
      </c>
      <c r="AM95" s="16"/>
      <c r="AN95" s="12"/>
      <c r="AO95" s="16"/>
      <c r="AP95" s="12"/>
      <c r="AQ95" s="12"/>
      <c r="AR95" s="14" t="str">
        <f t="shared" si="50"/>
        <v/>
      </c>
      <c r="AS95" s="15" t="str">
        <f t="shared" si="51"/>
        <v/>
      </c>
      <c r="AT95" s="12"/>
      <c r="AU95" s="13"/>
      <c r="AV95" s="12"/>
      <c r="AW95" s="16"/>
      <c r="AX95" s="13"/>
      <c r="AY95" s="17" t="str">
        <f t="shared" si="52"/>
        <v/>
      </c>
      <c r="AZ95" s="14" t="str">
        <f t="shared" ca="1" si="53"/>
        <v/>
      </c>
      <c r="BA95" s="13"/>
      <c r="BB95" s="12"/>
      <c r="BC95" s="14" t="str">
        <f>IF($V95="","",1+COUNTIF($V$5:$V$154,"&gt;"&amp;$V95)+COUNTIFS($V$5:$V$154,$V95,$U$5:$U$154,"&gt;"&amp;$U95)+COUNTIFS($V$4:$V94,$V95,$U$4:$U94,$U95))</f>
        <v/>
      </c>
      <c r="BD95" s="12"/>
      <c r="BE95" s="12"/>
      <c r="BF95" s="12"/>
      <c r="BG95" s="62"/>
      <c r="BH95" s="62"/>
      <c r="BI95" s="63" t="str">
        <f t="shared" si="54"/>
        <v/>
      </c>
      <c r="BJ95" s="18" t="str">
        <f t="shared" si="55"/>
        <v/>
      </c>
      <c r="BK95" s="12"/>
      <c r="BL95" s="117"/>
      <c r="BM95" s="117"/>
      <c r="BN95" s="16"/>
      <c r="BO95" s="117"/>
      <c r="BP95" s="117"/>
      <c r="BQ95" s="117"/>
      <c r="BR95" s="117"/>
      <c r="BS95" s="117"/>
      <c r="BT95" s="117"/>
      <c r="BU95" s="117"/>
      <c r="BV95" s="117"/>
      <c r="BW95" s="14" t="str">
        <f t="shared" si="56"/>
        <v/>
      </c>
      <c r="BX95" s="14" t="str">
        <f t="shared" si="57"/>
        <v/>
      </c>
      <c r="BY95" s="14" t="str">
        <f t="shared" si="58"/>
        <v/>
      </c>
      <c r="BZ95" s="15" t="str">
        <f t="shared" si="59"/>
        <v/>
      </c>
      <c r="CA95" s="15" t="str">
        <f t="shared" si="60"/>
        <v/>
      </c>
      <c r="CB95" s="117"/>
      <c r="CC95" s="117"/>
      <c r="CD95" s="117"/>
      <c r="CE95" s="117"/>
      <c r="CF95" s="117"/>
      <c r="CG95" s="14" t="str">
        <f t="shared" si="61"/>
        <v/>
      </c>
      <c r="CH95" s="15" t="str">
        <f t="shared" si="62"/>
        <v/>
      </c>
      <c r="CI95" s="117"/>
    </row>
    <row r="96" spans="1:87">
      <c r="A96" s="115"/>
      <c r="B96" s="12"/>
      <c r="C96" s="13"/>
      <c r="D96" s="13"/>
      <c r="E96" s="12"/>
      <c r="F96" s="12"/>
      <c r="G96" s="13"/>
      <c r="H96" s="12"/>
      <c r="I96" s="13"/>
      <c r="J96" s="13"/>
      <c r="K96" s="12"/>
      <c r="L96" s="13"/>
      <c r="M96" s="12"/>
      <c r="N96" s="12"/>
      <c r="O96" s="12"/>
      <c r="P96" s="14" t="str">
        <f t="shared" si="42"/>
        <v/>
      </c>
      <c r="Q96" s="15" t="str">
        <f t="shared" si="43"/>
        <v/>
      </c>
      <c r="R96" s="13"/>
      <c r="S96" s="12"/>
      <c r="T96" s="12"/>
      <c r="U96" s="12"/>
      <c r="V96" s="14" t="str">
        <f t="shared" si="44"/>
        <v/>
      </c>
      <c r="W96" s="15" t="str">
        <f t="shared" si="45"/>
        <v/>
      </c>
      <c r="X96" s="12"/>
      <c r="Y96" s="14" t="str">
        <f t="shared" si="46"/>
        <v/>
      </c>
      <c r="Z96" s="12"/>
      <c r="AA96" s="12"/>
      <c r="AB96" s="16"/>
      <c r="AC96" s="13"/>
      <c r="AD96" s="13"/>
      <c r="AE96" s="13"/>
      <c r="AF96" s="16"/>
      <c r="AG96" s="12"/>
      <c r="AH96" s="13"/>
      <c r="AI96" s="12"/>
      <c r="AJ96" s="14" t="str">
        <f t="shared" si="47"/>
        <v/>
      </c>
      <c r="AK96" s="14" t="str">
        <f t="shared" si="48"/>
        <v/>
      </c>
      <c r="AL96" s="17" t="str">
        <f t="shared" si="49"/>
        <v/>
      </c>
      <c r="AM96" s="16"/>
      <c r="AN96" s="12"/>
      <c r="AO96" s="16"/>
      <c r="AP96" s="12"/>
      <c r="AQ96" s="12"/>
      <c r="AR96" s="14" t="str">
        <f t="shared" si="50"/>
        <v/>
      </c>
      <c r="AS96" s="15" t="str">
        <f t="shared" si="51"/>
        <v/>
      </c>
      <c r="AT96" s="12"/>
      <c r="AU96" s="13"/>
      <c r="AV96" s="12"/>
      <c r="AW96" s="16"/>
      <c r="AX96" s="13"/>
      <c r="AY96" s="17" t="str">
        <f t="shared" si="52"/>
        <v/>
      </c>
      <c r="AZ96" s="14" t="str">
        <f t="shared" ca="1" si="53"/>
        <v/>
      </c>
      <c r="BA96" s="13"/>
      <c r="BB96" s="12"/>
      <c r="BC96" s="14" t="str">
        <f>IF($V96="","",1+COUNTIF($V$5:$V$154,"&gt;"&amp;$V96)+COUNTIFS($V$5:$V$154,$V96,$U$5:$U$154,"&gt;"&amp;$U96)+COUNTIFS($V$4:$V95,$V96,$U$4:$U95,$U96))</f>
        <v/>
      </c>
      <c r="BD96" s="12"/>
      <c r="BE96" s="12"/>
      <c r="BF96" s="12"/>
      <c r="BG96" s="62"/>
      <c r="BH96" s="62"/>
      <c r="BI96" s="63" t="str">
        <f t="shared" si="54"/>
        <v/>
      </c>
      <c r="BJ96" s="18" t="str">
        <f t="shared" si="55"/>
        <v/>
      </c>
      <c r="BK96" s="12"/>
      <c r="BL96" s="117"/>
      <c r="BM96" s="117"/>
      <c r="BN96" s="16"/>
      <c r="BO96" s="117"/>
      <c r="BP96" s="117"/>
      <c r="BQ96" s="117"/>
      <c r="BR96" s="117"/>
      <c r="BS96" s="117"/>
      <c r="BT96" s="117"/>
      <c r="BU96" s="117"/>
      <c r="BV96" s="117"/>
      <c r="BW96" s="14" t="str">
        <f t="shared" si="56"/>
        <v/>
      </c>
      <c r="BX96" s="14" t="str">
        <f t="shared" si="57"/>
        <v/>
      </c>
      <c r="BY96" s="14" t="str">
        <f t="shared" si="58"/>
        <v/>
      </c>
      <c r="BZ96" s="15" t="str">
        <f t="shared" si="59"/>
        <v/>
      </c>
      <c r="CA96" s="15" t="str">
        <f t="shared" si="60"/>
        <v/>
      </c>
      <c r="CB96" s="117"/>
      <c r="CC96" s="117"/>
      <c r="CD96" s="117"/>
      <c r="CE96" s="117"/>
      <c r="CF96" s="117"/>
      <c r="CG96" s="14" t="str">
        <f t="shared" si="61"/>
        <v/>
      </c>
      <c r="CH96" s="15" t="str">
        <f t="shared" si="62"/>
        <v/>
      </c>
      <c r="CI96" s="117"/>
    </row>
    <row r="97" spans="1:87">
      <c r="A97" s="115"/>
      <c r="B97" s="12"/>
      <c r="C97" s="13"/>
      <c r="D97" s="13"/>
      <c r="E97" s="12"/>
      <c r="F97" s="12"/>
      <c r="G97" s="13"/>
      <c r="H97" s="12"/>
      <c r="I97" s="13"/>
      <c r="J97" s="13"/>
      <c r="K97" s="12"/>
      <c r="L97" s="13"/>
      <c r="M97" s="12"/>
      <c r="N97" s="12"/>
      <c r="O97" s="12"/>
      <c r="P97" s="14" t="str">
        <f t="shared" si="42"/>
        <v/>
      </c>
      <c r="Q97" s="15" t="str">
        <f t="shared" si="43"/>
        <v/>
      </c>
      <c r="R97" s="13"/>
      <c r="S97" s="12"/>
      <c r="T97" s="12"/>
      <c r="U97" s="12"/>
      <c r="V97" s="14" t="str">
        <f t="shared" si="44"/>
        <v/>
      </c>
      <c r="W97" s="15" t="str">
        <f t="shared" si="45"/>
        <v/>
      </c>
      <c r="X97" s="12"/>
      <c r="Y97" s="14" t="str">
        <f t="shared" si="46"/>
        <v/>
      </c>
      <c r="Z97" s="12"/>
      <c r="AA97" s="12"/>
      <c r="AB97" s="16"/>
      <c r="AC97" s="13"/>
      <c r="AD97" s="13"/>
      <c r="AE97" s="13"/>
      <c r="AF97" s="16"/>
      <c r="AG97" s="12"/>
      <c r="AH97" s="13"/>
      <c r="AI97" s="12"/>
      <c r="AJ97" s="14" t="str">
        <f t="shared" si="47"/>
        <v/>
      </c>
      <c r="AK97" s="14" t="str">
        <f t="shared" si="48"/>
        <v/>
      </c>
      <c r="AL97" s="17" t="str">
        <f t="shared" si="49"/>
        <v/>
      </c>
      <c r="AM97" s="16"/>
      <c r="AN97" s="12"/>
      <c r="AO97" s="16"/>
      <c r="AP97" s="12"/>
      <c r="AQ97" s="12"/>
      <c r="AR97" s="14" t="str">
        <f t="shared" si="50"/>
        <v/>
      </c>
      <c r="AS97" s="15" t="str">
        <f t="shared" si="51"/>
        <v/>
      </c>
      <c r="AT97" s="12"/>
      <c r="AU97" s="13"/>
      <c r="AV97" s="12"/>
      <c r="AW97" s="16"/>
      <c r="AX97" s="13"/>
      <c r="AY97" s="17" t="str">
        <f t="shared" si="52"/>
        <v/>
      </c>
      <c r="AZ97" s="14" t="str">
        <f t="shared" ca="1" si="53"/>
        <v/>
      </c>
      <c r="BA97" s="13"/>
      <c r="BB97" s="12"/>
      <c r="BC97" s="14" t="str">
        <f>IF($V97="","",1+COUNTIF($V$5:$V$154,"&gt;"&amp;$V97)+COUNTIFS($V$5:$V$154,$V97,$U$5:$U$154,"&gt;"&amp;$U97)+COUNTIFS($V$4:$V96,$V97,$U$4:$U96,$U97))</f>
        <v/>
      </c>
      <c r="BD97" s="12"/>
      <c r="BE97" s="12"/>
      <c r="BF97" s="12"/>
      <c r="BG97" s="62"/>
      <c r="BH97" s="62"/>
      <c r="BI97" s="63" t="str">
        <f t="shared" si="54"/>
        <v/>
      </c>
      <c r="BJ97" s="18" t="str">
        <f t="shared" si="55"/>
        <v/>
      </c>
      <c r="BK97" s="12"/>
      <c r="BL97" s="117"/>
      <c r="BM97" s="117"/>
      <c r="BN97" s="16"/>
      <c r="BO97" s="117"/>
      <c r="BP97" s="117"/>
      <c r="BQ97" s="117"/>
      <c r="BR97" s="117"/>
      <c r="BS97" s="117"/>
      <c r="BT97" s="117"/>
      <c r="BU97" s="117"/>
      <c r="BV97" s="117"/>
      <c r="BW97" s="14" t="str">
        <f t="shared" si="56"/>
        <v/>
      </c>
      <c r="BX97" s="14" t="str">
        <f t="shared" si="57"/>
        <v/>
      </c>
      <c r="BY97" s="14" t="str">
        <f t="shared" si="58"/>
        <v/>
      </c>
      <c r="BZ97" s="15" t="str">
        <f t="shared" si="59"/>
        <v/>
      </c>
      <c r="CA97" s="15" t="str">
        <f t="shared" si="60"/>
        <v/>
      </c>
      <c r="CB97" s="117"/>
      <c r="CC97" s="117"/>
      <c r="CD97" s="117"/>
      <c r="CE97" s="117"/>
      <c r="CF97" s="117"/>
      <c r="CG97" s="14" t="str">
        <f t="shared" si="61"/>
        <v/>
      </c>
      <c r="CH97" s="15" t="str">
        <f t="shared" si="62"/>
        <v/>
      </c>
      <c r="CI97" s="117"/>
    </row>
    <row r="98" spans="1:87">
      <c r="A98" s="115"/>
      <c r="B98" s="12"/>
      <c r="C98" s="13"/>
      <c r="D98" s="13"/>
      <c r="E98" s="12"/>
      <c r="F98" s="12"/>
      <c r="G98" s="13"/>
      <c r="H98" s="12"/>
      <c r="I98" s="13"/>
      <c r="J98" s="13"/>
      <c r="K98" s="12"/>
      <c r="L98" s="13"/>
      <c r="M98" s="12"/>
      <c r="N98" s="12"/>
      <c r="O98" s="12"/>
      <c r="P98" s="14" t="str">
        <f t="shared" si="42"/>
        <v/>
      </c>
      <c r="Q98" s="15" t="str">
        <f t="shared" si="43"/>
        <v/>
      </c>
      <c r="R98" s="13"/>
      <c r="S98" s="12"/>
      <c r="T98" s="12"/>
      <c r="U98" s="12"/>
      <c r="V98" s="14" t="str">
        <f t="shared" si="44"/>
        <v/>
      </c>
      <c r="W98" s="15" t="str">
        <f t="shared" si="45"/>
        <v/>
      </c>
      <c r="X98" s="12"/>
      <c r="Y98" s="14" t="str">
        <f t="shared" si="46"/>
        <v/>
      </c>
      <c r="Z98" s="12"/>
      <c r="AA98" s="12"/>
      <c r="AB98" s="16"/>
      <c r="AC98" s="13"/>
      <c r="AD98" s="13"/>
      <c r="AE98" s="13"/>
      <c r="AF98" s="16"/>
      <c r="AG98" s="12"/>
      <c r="AH98" s="13"/>
      <c r="AI98" s="12"/>
      <c r="AJ98" s="14" t="str">
        <f t="shared" si="47"/>
        <v/>
      </c>
      <c r="AK98" s="14" t="str">
        <f t="shared" si="48"/>
        <v/>
      </c>
      <c r="AL98" s="17" t="str">
        <f t="shared" si="49"/>
        <v/>
      </c>
      <c r="AM98" s="16"/>
      <c r="AN98" s="12"/>
      <c r="AO98" s="16"/>
      <c r="AP98" s="12"/>
      <c r="AQ98" s="12"/>
      <c r="AR98" s="14" t="str">
        <f t="shared" si="50"/>
        <v/>
      </c>
      <c r="AS98" s="15" t="str">
        <f t="shared" si="51"/>
        <v/>
      </c>
      <c r="AT98" s="12"/>
      <c r="AU98" s="13"/>
      <c r="AV98" s="12"/>
      <c r="AW98" s="16"/>
      <c r="AX98" s="13"/>
      <c r="AY98" s="17" t="str">
        <f t="shared" si="52"/>
        <v/>
      </c>
      <c r="AZ98" s="14" t="str">
        <f t="shared" ca="1" si="53"/>
        <v/>
      </c>
      <c r="BA98" s="13"/>
      <c r="BB98" s="12"/>
      <c r="BC98" s="14" t="str">
        <f>IF($V98="","",1+COUNTIF($V$5:$V$154,"&gt;"&amp;$V98)+COUNTIFS($V$5:$V$154,$V98,$U$5:$U$154,"&gt;"&amp;$U98)+COUNTIFS($V$4:$V97,$V98,$U$4:$U97,$U98))</f>
        <v/>
      </c>
      <c r="BD98" s="12"/>
      <c r="BE98" s="12"/>
      <c r="BF98" s="12"/>
      <c r="BG98" s="62"/>
      <c r="BH98" s="62"/>
      <c r="BI98" s="63" t="str">
        <f t="shared" si="54"/>
        <v/>
      </c>
      <c r="BJ98" s="18" t="str">
        <f t="shared" si="55"/>
        <v/>
      </c>
      <c r="BK98" s="12"/>
      <c r="BL98" s="117"/>
      <c r="BM98" s="117"/>
      <c r="BN98" s="16"/>
      <c r="BO98" s="117"/>
      <c r="BP98" s="117"/>
      <c r="BQ98" s="117"/>
      <c r="BR98" s="117"/>
      <c r="BS98" s="117"/>
      <c r="BT98" s="117"/>
      <c r="BU98" s="117"/>
      <c r="BV98" s="117"/>
      <c r="BW98" s="14" t="str">
        <f t="shared" si="56"/>
        <v/>
      </c>
      <c r="BX98" s="14" t="str">
        <f t="shared" si="57"/>
        <v/>
      </c>
      <c r="BY98" s="14" t="str">
        <f t="shared" si="58"/>
        <v/>
      </c>
      <c r="BZ98" s="15" t="str">
        <f t="shared" si="59"/>
        <v/>
      </c>
      <c r="CA98" s="15" t="str">
        <f t="shared" si="60"/>
        <v/>
      </c>
      <c r="CB98" s="117"/>
      <c r="CC98" s="117"/>
      <c r="CD98" s="117"/>
      <c r="CE98" s="117"/>
      <c r="CF98" s="117"/>
      <c r="CG98" s="14" t="str">
        <f t="shared" si="61"/>
        <v/>
      </c>
      <c r="CH98" s="15" t="str">
        <f t="shared" si="62"/>
        <v/>
      </c>
      <c r="CI98" s="117"/>
    </row>
    <row r="99" spans="1:87">
      <c r="A99" s="115"/>
      <c r="B99" s="12"/>
      <c r="C99" s="13"/>
      <c r="D99" s="13"/>
      <c r="E99" s="12"/>
      <c r="F99" s="12"/>
      <c r="G99" s="13"/>
      <c r="H99" s="12"/>
      <c r="I99" s="13"/>
      <c r="J99" s="13"/>
      <c r="K99" s="12"/>
      <c r="L99" s="13"/>
      <c r="M99" s="12"/>
      <c r="N99" s="12"/>
      <c r="O99" s="12"/>
      <c r="P99" s="14" t="str">
        <f t="shared" si="42"/>
        <v/>
      </c>
      <c r="Q99" s="15" t="str">
        <f t="shared" si="43"/>
        <v/>
      </c>
      <c r="R99" s="13"/>
      <c r="S99" s="12"/>
      <c r="T99" s="12"/>
      <c r="U99" s="12"/>
      <c r="V99" s="14" t="str">
        <f t="shared" si="44"/>
        <v/>
      </c>
      <c r="W99" s="15" t="str">
        <f t="shared" si="45"/>
        <v/>
      </c>
      <c r="X99" s="12"/>
      <c r="Y99" s="14" t="str">
        <f t="shared" si="46"/>
        <v/>
      </c>
      <c r="Z99" s="12"/>
      <c r="AA99" s="12"/>
      <c r="AB99" s="16"/>
      <c r="AC99" s="13"/>
      <c r="AD99" s="13"/>
      <c r="AE99" s="13"/>
      <c r="AF99" s="16"/>
      <c r="AG99" s="12"/>
      <c r="AH99" s="13"/>
      <c r="AI99" s="12"/>
      <c r="AJ99" s="14" t="str">
        <f t="shared" si="47"/>
        <v/>
      </c>
      <c r="AK99" s="14" t="str">
        <f t="shared" si="48"/>
        <v/>
      </c>
      <c r="AL99" s="17" t="str">
        <f t="shared" si="49"/>
        <v/>
      </c>
      <c r="AM99" s="16"/>
      <c r="AN99" s="12"/>
      <c r="AO99" s="16"/>
      <c r="AP99" s="12"/>
      <c r="AQ99" s="12"/>
      <c r="AR99" s="14" t="str">
        <f t="shared" si="50"/>
        <v/>
      </c>
      <c r="AS99" s="15" t="str">
        <f t="shared" si="51"/>
        <v/>
      </c>
      <c r="AT99" s="12"/>
      <c r="AU99" s="13"/>
      <c r="AV99" s="12"/>
      <c r="AW99" s="16"/>
      <c r="AX99" s="13"/>
      <c r="AY99" s="17" t="str">
        <f t="shared" si="52"/>
        <v/>
      </c>
      <c r="AZ99" s="14" t="str">
        <f t="shared" ca="1" si="53"/>
        <v/>
      </c>
      <c r="BA99" s="13"/>
      <c r="BB99" s="12"/>
      <c r="BC99" s="14" t="str">
        <f>IF($V99="","",1+COUNTIF($V$5:$V$154,"&gt;"&amp;$V99)+COUNTIFS($V$5:$V$154,$V99,$U$5:$U$154,"&gt;"&amp;$U99)+COUNTIFS($V$4:$V98,$V99,$U$4:$U98,$U99))</f>
        <v/>
      </c>
      <c r="BD99" s="12"/>
      <c r="BE99" s="12"/>
      <c r="BF99" s="12"/>
      <c r="BG99" s="62"/>
      <c r="BH99" s="62"/>
      <c r="BI99" s="63" t="str">
        <f t="shared" si="54"/>
        <v/>
      </c>
      <c r="BJ99" s="18" t="str">
        <f t="shared" si="55"/>
        <v/>
      </c>
      <c r="BK99" s="12"/>
      <c r="BL99" s="117"/>
      <c r="BM99" s="117"/>
      <c r="BN99" s="16"/>
      <c r="BO99" s="117"/>
      <c r="BP99" s="117"/>
      <c r="BQ99" s="117"/>
      <c r="BR99" s="117"/>
      <c r="BS99" s="117"/>
      <c r="BT99" s="117"/>
      <c r="BU99" s="117"/>
      <c r="BV99" s="117"/>
      <c r="BW99" s="14" t="str">
        <f t="shared" si="56"/>
        <v/>
      </c>
      <c r="BX99" s="14" t="str">
        <f t="shared" si="57"/>
        <v/>
      </c>
      <c r="BY99" s="14" t="str">
        <f t="shared" si="58"/>
        <v/>
      </c>
      <c r="BZ99" s="15" t="str">
        <f t="shared" si="59"/>
        <v/>
      </c>
      <c r="CA99" s="15" t="str">
        <f t="shared" si="60"/>
        <v/>
      </c>
      <c r="CB99" s="117"/>
      <c r="CC99" s="117"/>
      <c r="CD99" s="117"/>
      <c r="CE99" s="117"/>
      <c r="CF99" s="117"/>
      <c r="CG99" s="14" t="str">
        <f t="shared" si="61"/>
        <v/>
      </c>
      <c r="CH99" s="15" t="str">
        <f t="shared" si="62"/>
        <v/>
      </c>
      <c r="CI99" s="117"/>
    </row>
    <row r="100" spans="1:87">
      <c r="A100" s="115"/>
      <c r="B100" s="12"/>
      <c r="C100" s="13"/>
      <c r="D100" s="13"/>
      <c r="E100" s="12"/>
      <c r="F100" s="12"/>
      <c r="G100" s="13"/>
      <c r="H100" s="12"/>
      <c r="I100" s="13"/>
      <c r="J100" s="13"/>
      <c r="K100" s="12"/>
      <c r="L100" s="13"/>
      <c r="M100" s="12"/>
      <c r="N100" s="12"/>
      <c r="O100" s="12"/>
      <c r="P100" s="14" t="str">
        <f t="shared" si="42"/>
        <v/>
      </c>
      <c r="Q100" s="15" t="str">
        <f t="shared" si="43"/>
        <v/>
      </c>
      <c r="R100" s="13"/>
      <c r="S100" s="12"/>
      <c r="T100" s="12"/>
      <c r="U100" s="12"/>
      <c r="V100" s="14" t="str">
        <f t="shared" si="44"/>
        <v/>
      </c>
      <c r="W100" s="15" t="str">
        <f t="shared" si="45"/>
        <v/>
      </c>
      <c r="X100" s="12"/>
      <c r="Y100" s="14" t="str">
        <f t="shared" si="46"/>
        <v/>
      </c>
      <c r="Z100" s="12"/>
      <c r="AA100" s="12"/>
      <c r="AB100" s="16"/>
      <c r="AC100" s="13"/>
      <c r="AD100" s="13"/>
      <c r="AE100" s="13"/>
      <c r="AF100" s="16"/>
      <c r="AG100" s="12"/>
      <c r="AH100" s="13"/>
      <c r="AI100" s="12"/>
      <c r="AJ100" s="14" t="str">
        <f t="shared" si="47"/>
        <v/>
      </c>
      <c r="AK100" s="14" t="str">
        <f t="shared" si="48"/>
        <v/>
      </c>
      <c r="AL100" s="17" t="str">
        <f t="shared" si="49"/>
        <v/>
      </c>
      <c r="AM100" s="16"/>
      <c r="AN100" s="12"/>
      <c r="AO100" s="16"/>
      <c r="AP100" s="12"/>
      <c r="AQ100" s="12"/>
      <c r="AR100" s="14" t="str">
        <f t="shared" si="50"/>
        <v/>
      </c>
      <c r="AS100" s="15" t="str">
        <f t="shared" si="51"/>
        <v/>
      </c>
      <c r="AT100" s="12"/>
      <c r="AU100" s="13"/>
      <c r="AV100" s="12"/>
      <c r="AW100" s="16"/>
      <c r="AX100" s="13"/>
      <c r="AY100" s="17" t="str">
        <f t="shared" si="52"/>
        <v/>
      </c>
      <c r="AZ100" s="14" t="str">
        <f t="shared" ca="1" si="53"/>
        <v/>
      </c>
      <c r="BA100" s="13"/>
      <c r="BB100" s="12"/>
      <c r="BC100" s="14" t="str">
        <f>IF($V100="","",1+COUNTIF($V$5:$V$154,"&gt;"&amp;$V100)+COUNTIFS($V$5:$V$154,$V100,$U$5:$U$154,"&gt;"&amp;$U100)+COUNTIFS($V$4:$V99,$V100,$U$4:$U99,$U100))</f>
        <v/>
      </c>
      <c r="BD100" s="12"/>
      <c r="BE100" s="12"/>
      <c r="BF100" s="12"/>
      <c r="BG100" s="62"/>
      <c r="BH100" s="62"/>
      <c r="BI100" s="63" t="str">
        <f t="shared" si="54"/>
        <v/>
      </c>
      <c r="BJ100" s="18" t="str">
        <f t="shared" si="55"/>
        <v/>
      </c>
      <c r="BK100" s="12"/>
      <c r="BL100" s="117"/>
      <c r="BM100" s="117"/>
      <c r="BN100" s="16"/>
      <c r="BO100" s="117"/>
      <c r="BP100" s="117"/>
      <c r="BQ100" s="117"/>
      <c r="BR100" s="117"/>
      <c r="BS100" s="117"/>
      <c r="BT100" s="117"/>
      <c r="BU100" s="117"/>
      <c r="BV100" s="117"/>
      <c r="BW100" s="14" t="str">
        <f t="shared" si="56"/>
        <v/>
      </c>
      <c r="BX100" s="14" t="str">
        <f t="shared" si="57"/>
        <v/>
      </c>
      <c r="BY100" s="14" t="str">
        <f t="shared" si="58"/>
        <v/>
      </c>
      <c r="BZ100" s="15" t="str">
        <f t="shared" si="59"/>
        <v/>
      </c>
      <c r="CA100" s="15" t="str">
        <f t="shared" si="60"/>
        <v/>
      </c>
      <c r="CB100" s="117"/>
      <c r="CC100" s="117"/>
      <c r="CD100" s="117"/>
      <c r="CE100" s="117"/>
      <c r="CF100" s="117"/>
      <c r="CG100" s="14" t="str">
        <f t="shared" si="61"/>
        <v/>
      </c>
      <c r="CH100" s="15" t="str">
        <f t="shared" si="62"/>
        <v/>
      </c>
      <c r="CI100" s="117"/>
    </row>
    <row r="101" spans="1:87">
      <c r="A101" s="115"/>
      <c r="B101" s="12"/>
      <c r="C101" s="13"/>
      <c r="D101" s="13"/>
      <c r="E101" s="12"/>
      <c r="F101" s="12"/>
      <c r="G101" s="13"/>
      <c r="H101" s="12"/>
      <c r="I101" s="13"/>
      <c r="J101" s="13"/>
      <c r="K101" s="12"/>
      <c r="L101" s="13"/>
      <c r="M101" s="12"/>
      <c r="N101" s="12"/>
      <c r="O101" s="12"/>
      <c r="P101" s="14" t="str">
        <f t="shared" ref="P101:P132" si="63">IF(COUNT($N101:$O101)=2,$N101*$O101,"")</f>
        <v/>
      </c>
      <c r="Q101" s="15" t="str">
        <f t="shared" ref="Q101:Q132" si="64">IF($P101="","",INDEX(Niveis,MAX(IFERROR(MATCH($P101,Limites,1),1),IF($O101=5,MinIdx,1))))</f>
        <v/>
      </c>
      <c r="R101" s="13"/>
      <c r="S101" s="12"/>
      <c r="T101" s="12"/>
      <c r="U101" s="12"/>
      <c r="V101" s="14" t="str">
        <f t="shared" ref="V101:V132" si="65">IF(COUNT($T101:$U101)=2,$T101*$U101,"")</f>
        <v/>
      </c>
      <c r="W101" s="15" t="str">
        <f t="shared" ref="W101:W132" si="66">IF($V101="","",INDEX(Niveis,MAX(IFERROR(MATCH($V101,Limites,1),1),IF($U101=5,MinIdx,1))))</f>
        <v/>
      </c>
      <c r="X101" s="12"/>
      <c r="Y101" s="14" t="str">
        <f t="shared" ref="Y101:Y132" si="67">IF(IF($W101&lt;&gt;"",$W101,$Q101)="","",INDEX(AcaoRisco,MATCH(IF($W101&lt;&gt;"",$W101,$Q101),Niveis,0)))</f>
        <v/>
      </c>
      <c r="Z101" s="12"/>
      <c r="AA101" s="12"/>
      <c r="AB101" s="16"/>
      <c r="AC101" s="13"/>
      <c r="AD101" s="13"/>
      <c r="AE101" s="13"/>
      <c r="AF101" s="16"/>
      <c r="AG101" s="12"/>
      <c r="AH101" s="13"/>
      <c r="AI101" s="12"/>
      <c r="AJ101" s="14" t="str">
        <f t="shared" ref="AJ101:AJ132" si="68">IF(OR($AI101="",PlanoUrl=""),"",HYPERLINK(SUBSTITUTE(PlanoUrl,"{COD}",SUBSTITUTE($AI101," ","%20")),"↗"))</f>
        <v/>
      </c>
      <c r="AK101" s="14" t="str">
        <f t="shared" ref="AK101:AK132" si="69">IF($C101="","",IF($AI101="",$AG101&amp;"",IFERROR(IF(INDEX(PlanosStatus,MATCH($AI101,PlanosCod,0))="",$AG101&amp;"",INDEX(PlanosStatus,MATCH($AI101,PlanosCod,0))),$AG101&amp;"")))</f>
        <v/>
      </c>
      <c r="AL101" s="17" t="str">
        <f t="shared" ref="AL101:AL132" si="70">IF($C101="","",IF($AI101="",IF($AF101="","",$AF101),IFERROR(IF(INDEX(PlanosPrazo,MATCH($AI101,PlanosCod,0))="",IF($AF101="","",$AF101),INDEX(PlanosPrazo,MATCH($AI101,PlanosCod,0))),IF($AF101="","",$AF101))))</f>
        <v/>
      </c>
      <c r="AM101" s="16"/>
      <c r="AN101" s="12"/>
      <c r="AO101" s="16"/>
      <c r="AP101" s="12"/>
      <c r="AQ101" s="12"/>
      <c r="AR101" s="14" t="str">
        <f t="shared" ref="AR101:AR132" si="71">IF(COUNT($AP101:$AQ101)=2,$AP101*$AQ101,"")</f>
        <v/>
      </c>
      <c r="AS101" s="15" t="str">
        <f t="shared" ref="AS101:AS132" si="72">IF($AR101="","",INDEX(Niveis,MAX(IFERROR(MATCH($AR101,Limites,1),1),IF($AQ101=5,MinIdx,1))))</f>
        <v/>
      </c>
      <c r="AT101" s="12"/>
      <c r="AU101" s="13"/>
      <c r="AV101" s="12"/>
      <c r="AW101" s="16"/>
      <c r="AX101" s="13"/>
      <c r="AY101" s="17" t="str">
        <f t="shared" ref="AY101:AY132" si="73">IF(OR($AW101="",IF(AND($AN101="Eficaz",$AS101&lt;&gt;""),$AS101,IF($W101&lt;&gt;"",$W101,$Q101))=""),"",EDATE($AW101,INDEX(MesesRev,MATCH(IF(AND($AN101="Eficaz",$AS101&lt;&gt;""),$AS101,IF($W101&lt;&gt;"",$W101,$Q101)),Niveis,0))))</f>
        <v/>
      </c>
      <c r="AZ101" s="14" t="str">
        <f t="shared" ref="AZ101:AZ132" ca="1" si="74">IF($C101="","",IF($AD101="","Sem dono",IF($W101="","Falta avaliação",IF(AND($AI101&lt;&gt;"",COUNTIF(PlanosCod,$AI101)=0),"Código não encontrado",IF(AND($AI101&lt;&gt;"",IFERROR(INDEX(PlanosIdRef,MATCH($AI101,PlanosCod,0))&amp;"","")&lt;&gt;"",ISERROR(SEARCH(";"&amp;$A101&amp;";",";"&amp;SUBSTITUTE(SUBSTITUTE(IFERROR(INDEX(PlanosIdRef,MATCH($AI101,PlanosCod,0))&amp;"","")," ",""),",",";")&amp;";"))),"Vínculo divergente",IF(AND(ISNUMBER($P101),ISNUMBER($V101),$V101&lt;$P101,OR($S101="",$S101="Inexistente")),"Redução s/ controle",IF(AND(ISNUMBER($AR101),ISNUMBER($V101),$AR101&lt;$V101,NOT(OR($Z101="Prevenir",$Z101="Mitigar",$Z101="Transferir / compartilhar")),$AC101="",$AI101=""),"Residual s/ tratamento",IF(AND(LEFT($AI101,3)="RNC",N(IFERROR(INDEX(PlanosAbertura,MATCH($AI101,PlanosCod,0)),0))&gt;N($AW101)),"Reavaliar após RNC",IF(AND(N($AV101)&gt;=1,ISNUMBER($T101),$T101&lt;=2),"Recalibrar probabilidade",IF(AND($Z101="Aceitar",$BA101=""),"Aceite sem justificativa",IF(AND($Z101="Aceitar",ISNUMBER($AB101),$AB101&lt;TODAY()),"Aceite vencido",IF(AND(OR($Z101="Aceitar",$Z101="Monitorar"),$Y101&lt;&gt;"Monitorar",$Y101&lt;&gt;""),"Aprovar aceite",IF(AND($Z101&lt;&gt;"Aceitar",$Z101&lt;&gt;"Monitorar",$Z101&lt;&gt;"Aprofundar análise",$AC101="",$AI101="",IFERROR(MATCH(IF($W101&lt;&gt;"",$W101,$Q101),Niveis,0),0)&gt;IF(N(IFERROR(INDEX(ApetIdx,MATCH($M101,ListaCatRisco,0)),0))=0,IdxExige-1,INDEX(ApetIdx,MATCH($M101,ListaCatRisco,0)))),"Sem ação",IF($Z101="Aprofundar análise","Aprofundar análise",IF(AND(OR($Z101="Prevenir",$Z101="Mitigar",$Z101="Transferir / compartilhar"),$AH101=""),"Definir critério de eficácia",IF(AND(OR($Z101="Prevenir",$Z101="Mitigar",$Z101="Transferir / compartilhar"),OR($AA101="Controle administrativo",$AA101="EPI"),IFERROR(MATCH(IF($W101&lt;&gt;"",$W101,$Q101),Niveis,0),0)&gt;=3),"Rever hierarquia de controle",IF(COUNTIFS(KriId,$A101,KriSit,"Estourou")+COUNTIFS(KriId,$A101,KriSit,"Atenção")&gt;0,"KRI em alerta",IF(COUNTIFS(BtId,$A101,BtEf,"Baixa")+COUNTIFS(BtId,$A101,BtEf,"Inexistente")&gt;0,"Barreira fraca",IF($AN101="Não eficaz","Ação ineficaz",IF(AND($AL101&lt;&gt;"",$AL101&lt;TODAY(),$AK101&lt;&gt;"Concluído",$AK101&lt;&gt;"Cancelado"),"Ação vencida",IF(AND($AN101&lt;&gt;"Eficaz",OR($AK101="Concluído",AND(ISNUMBER($AM101),$AM101&lt;TODAY()))),"Avaliar eficácia",IF(AND($AN101="Eficaz",OR($AS101="",$AT101="")),"Concluir residual",IF($AT101="Não","Tratamento adicional",IF(AND($AT101="Sim",$AS101&lt;&gt;"",IFERROR(MATCH($AS101,Niveis,0),0)&gt;IF(N(IFERROR(INDEX(ApetIdx,MATCH($M101,ListaCatRisco,0)),0))=0,IdxExige-1,INDEX(ApetIdx,MATCH($M101,ListaCatRisco,0)))),"Aceite fora do apetite",IF(AND(COUNTIF(BtId,$A101)=0,OR(IFERROR(MATCH(IF($W101&lt;&gt;"",$W101,$Q101),Niveis,0),0)&gt;=3,AND(OR($S101="Baixa",$S101="Inexistente"),IFERROR(MATCH(IF($W101&lt;&gt;"",$W101,$Q101),Niveis,0),0)&gt;=2))),"Sem BowTie",IF(AND($AY101&lt;&gt;"",$AY101&lt;TODAY()),"Revisão vencida",IF(AND($AL101&lt;&gt;"",N($AL101)-TODAY()&lt;=DiasAlerta,$AK101&lt;&gt;"Concluído",$AK101&lt;&gt;"Cancelado"),"Vence em breve","OK")))))))))))))))))))))))))))</f>
        <v/>
      </c>
      <c r="BA101" s="13"/>
      <c r="BB101" s="12"/>
      <c r="BC101" s="14" t="str">
        <f>IF($V101="","",1+COUNTIF($V$5:$V$154,"&gt;"&amp;$V101)+COUNTIFS($V$5:$V$154,$V101,$U$5:$U$154,"&gt;"&amp;$U101)+COUNTIFS($V$4:$V100,$V101,$U$4:$U100,$U101))</f>
        <v/>
      </c>
      <c r="BD101" s="12"/>
      <c r="BE101" s="12"/>
      <c r="BF101" s="12"/>
      <c r="BG101" s="62"/>
      <c r="BH101" s="62"/>
      <c r="BI101" s="63" t="str">
        <f t="shared" ref="BI101:BI132" si="75">IF(OR($BH101="",$T101=""),"",IFERROR($BH101*INDEX(ProbMedia,$T101),""))</f>
        <v/>
      </c>
      <c r="BJ101" s="18" t="str">
        <f t="shared" ref="BJ101:BJ132" si="76">IF(OR($BG101="",$BI101=""),"",IF(OR(LEFT($M101,3)="SST",LEFT($M101,5)="Legal",LEFT($M101,8)="Ambienta"),"SST/Ambiental/Legal: custo não justifica aceitar (apetite e ALARP)",IF($BG101&gt;$BI101,"Custo maior que a perda esperada: reter/aceitar é defensável, com justificativa","Custo menor ou igual à perda esperada: tratar compensa")))</f>
        <v/>
      </c>
      <c r="BK101" s="12"/>
      <c r="BL101" s="117"/>
      <c r="BM101" s="117"/>
      <c r="BN101" s="16"/>
      <c r="BO101" s="117"/>
      <c r="BP101" s="117"/>
      <c r="BQ101" s="117"/>
      <c r="BR101" s="117"/>
      <c r="BS101" s="117"/>
      <c r="BT101" s="117"/>
      <c r="BU101" s="117"/>
      <c r="BV101" s="117"/>
      <c r="BW101" s="14" t="str">
        <f t="shared" ref="BW101:BW132" si="77">IF($BU101="","",IFERROR(INDEX(SgaProbValor,MATCH($BU101,SgaProbNivel,0)),""))</f>
        <v/>
      </c>
      <c r="BX101" s="14" t="str">
        <f t="shared" ref="BX101:BX132" si="78">IF($BV101="","",IFERROR(INDEX(SgaSevRiValor,MATCH($BV101,SgaSevRiNivel,0)),""))</f>
        <v/>
      </c>
      <c r="BY101" s="14" t="str">
        <f t="shared" ref="BY101:BY132" si="79">IF(COUNT($BW101:$BX101)=2,$BW101*$BX101,"")</f>
        <v/>
      </c>
      <c r="BZ101" s="15" t="str">
        <f t="shared" ref="BZ101:BZ132" si="80">IF($BY101="","",IF($BY101&lt;=SgaLimRiSig,"SIGNIFICATIVO",IF($BY101&lt;=SgaLimRiTol,"TOLERÁVEL","BAIXO")))</f>
        <v/>
      </c>
      <c r="CA101" s="15" t="str">
        <f t="shared" ref="CA101:CA132" si="81">IF($BZ101="","",IF($BZ101="SIGNIFICATIVO","NÃO ACEITÁVEL","ACEITÁVEL"))</f>
        <v/>
      </c>
      <c r="CB101" s="117"/>
      <c r="CC101" s="117"/>
      <c r="CD101" s="117"/>
      <c r="CE101" s="117"/>
      <c r="CF101" s="117"/>
      <c r="CG101" s="14" t="str">
        <f t="shared" ref="CG101:CG132" si="82">IF(OR($CE101="",$CF101=""),"",IFERROR(INDEX(SgaProbValor,MATCH($CE101,SgaProbNivel,0))*INDEX(SgaSevRiValor,MATCH($CF101,SgaSevRiNivel,0)),""))</f>
        <v/>
      </c>
      <c r="CH101" s="15" t="str">
        <f t="shared" ref="CH101:CH132" si="83">IF($CG101="","",IF($CG101&lt;=SgaLimRiSig,"SIGNIFICATIVO",IF($CG101&lt;=SgaLimRiTol,"TOLERÁVEL","BAIXO")))</f>
        <v/>
      </c>
      <c r="CI101" s="117"/>
    </row>
    <row r="102" spans="1:87">
      <c r="A102" s="115"/>
      <c r="B102" s="12"/>
      <c r="C102" s="13"/>
      <c r="D102" s="13"/>
      <c r="E102" s="12"/>
      <c r="F102" s="12"/>
      <c r="G102" s="13"/>
      <c r="H102" s="12"/>
      <c r="I102" s="13"/>
      <c r="J102" s="13"/>
      <c r="K102" s="12"/>
      <c r="L102" s="13"/>
      <c r="M102" s="12"/>
      <c r="N102" s="12"/>
      <c r="O102" s="12"/>
      <c r="P102" s="14" t="str">
        <f t="shared" si="63"/>
        <v/>
      </c>
      <c r="Q102" s="15" t="str">
        <f t="shared" si="64"/>
        <v/>
      </c>
      <c r="R102" s="13"/>
      <c r="S102" s="12"/>
      <c r="T102" s="12"/>
      <c r="U102" s="12"/>
      <c r="V102" s="14" t="str">
        <f t="shared" si="65"/>
        <v/>
      </c>
      <c r="W102" s="15" t="str">
        <f t="shared" si="66"/>
        <v/>
      </c>
      <c r="X102" s="12"/>
      <c r="Y102" s="14" t="str">
        <f t="shared" si="67"/>
        <v/>
      </c>
      <c r="Z102" s="12"/>
      <c r="AA102" s="12"/>
      <c r="AB102" s="16"/>
      <c r="AC102" s="13"/>
      <c r="AD102" s="13"/>
      <c r="AE102" s="13"/>
      <c r="AF102" s="16"/>
      <c r="AG102" s="12"/>
      <c r="AH102" s="13"/>
      <c r="AI102" s="12"/>
      <c r="AJ102" s="14" t="str">
        <f t="shared" si="68"/>
        <v/>
      </c>
      <c r="AK102" s="14" t="str">
        <f t="shared" si="69"/>
        <v/>
      </c>
      <c r="AL102" s="17" t="str">
        <f t="shared" si="70"/>
        <v/>
      </c>
      <c r="AM102" s="16"/>
      <c r="AN102" s="12"/>
      <c r="AO102" s="16"/>
      <c r="AP102" s="12"/>
      <c r="AQ102" s="12"/>
      <c r="AR102" s="14" t="str">
        <f t="shared" si="71"/>
        <v/>
      </c>
      <c r="AS102" s="15" t="str">
        <f t="shared" si="72"/>
        <v/>
      </c>
      <c r="AT102" s="12"/>
      <c r="AU102" s="13"/>
      <c r="AV102" s="12"/>
      <c r="AW102" s="16"/>
      <c r="AX102" s="13"/>
      <c r="AY102" s="17" t="str">
        <f t="shared" si="73"/>
        <v/>
      </c>
      <c r="AZ102" s="14" t="str">
        <f t="shared" ca="1" si="74"/>
        <v/>
      </c>
      <c r="BA102" s="13"/>
      <c r="BB102" s="12"/>
      <c r="BC102" s="14" t="str">
        <f>IF($V102="","",1+COUNTIF($V$5:$V$154,"&gt;"&amp;$V102)+COUNTIFS($V$5:$V$154,$V102,$U$5:$U$154,"&gt;"&amp;$U102)+COUNTIFS($V$4:$V101,$V102,$U$4:$U101,$U102))</f>
        <v/>
      </c>
      <c r="BD102" s="12"/>
      <c r="BE102" s="12"/>
      <c r="BF102" s="12"/>
      <c r="BG102" s="62"/>
      <c r="BH102" s="62"/>
      <c r="BI102" s="63" t="str">
        <f t="shared" si="75"/>
        <v/>
      </c>
      <c r="BJ102" s="18" t="str">
        <f t="shared" si="76"/>
        <v/>
      </c>
      <c r="BK102" s="12"/>
      <c r="BL102" s="117"/>
      <c r="BM102" s="117"/>
      <c r="BN102" s="16"/>
      <c r="BO102" s="117"/>
      <c r="BP102" s="117"/>
      <c r="BQ102" s="117"/>
      <c r="BR102" s="117"/>
      <c r="BS102" s="117"/>
      <c r="BT102" s="117"/>
      <c r="BU102" s="117"/>
      <c r="BV102" s="117"/>
      <c r="BW102" s="14" t="str">
        <f t="shared" si="77"/>
        <v/>
      </c>
      <c r="BX102" s="14" t="str">
        <f t="shared" si="78"/>
        <v/>
      </c>
      <c r="BY102" s="14" t="str">
        <f t="shared" si="79"/>
        <v/>
      </c>
      <c r="BZ102" s="15" t="str">
        <f t="shared" si="80"/>
        <v/>
      </c>
      <c r="CA102" s="15" t="str">
        <f t="shared" si="81"/>
        <v/>
      </c>
      <c r="CB102" s="117"/>
      <c r="CC102" s="117"/>
      <c r="CD102" s="117"/>
      <c r="CE102" s="117"/>
      <c r="CF102" s="117"/>
      <c r="CG102" s="14" t="str">
        <f t="shared" si="82"/>
        <v/>
      </c>
      <c r="CH102" s="15" t="str">
        <f t="shared" si="83"/>
        <v/>
      </c>
      <c r="CI102" s="117"/>
    </row>
    <row r="103" spans="1:87">
      <c r="A103" s="115"/>
      <c r="B103" s="12"/>
      <c r="C103" s="13"/>
      <c r="D103" s="13"/>
      <c r="E103" s="12"/>
      <c r="F103" s="12"/>
      <c r="G103" s="13"/>
      <c r="H103" s="12"/>
      <c r="I103" s="13"/>
      <c r="J103" s="13"/>
      <c r="K103" s="12"/>
      <c r="L103" s="13"/>
      <c r="M103" s="12"/>
      <c r="N103" s="12"/>
      <c r="O103" s="12"/>
      <c r="P103" s="14" t="str">
        <f t="shared" si="63"/>
        <v/>
      </c>
      <c r="Q103" s="15" t="str">
        <f t="shared" si="64"/>
        <v/>
      </c>
      <c r="R103" s="13"/>
      <c r="S103" s="12"/>
      <c r="T103" s="12"/>
      <c r="U103" s="12"/>
      <c r="V103" s="14" t="str">
        <f t="shared" si="65"/>
        <v/>
      </c>
      <c r="W103" s="15" t="str">
        <f t="shared" si="66"/>
        <v/>
      </c>
      <c r="X103" s="12"/>
      <c r="Y103" s="14" t="str">
        <f t="shared" si="67"/>
        <v/>
      </c>
      <c r="Z103" s="12"/>
      <c r="AA103" s="12"/>
      <c r="AB103" s="16"/>
      <c r="AC103" s="13"/>
      <c r="AD103" s="13"/>
      <c r="AE103" s="13"/>
      <c r="AF103" s="16"/>
      <c r="AG103" s="12"/>
      <c r="AH103" s="13"/>
      <c r="AI103" s="12"/>
      <c r="AJ103" s="14" t="str">
        <f t="shared" si="68"/>
        <v/>
      </c>
      <c r="AK103" s="14" t="str">
        <f t="shared" si="69"/>
        <v/>
      </c>
      <c r="AL103" s="17" t="str">
        <f t="shared" si="70"/>
        <v/>
      </c>
      <c r="AM103" s="16"/>
      <c r="AN103" s="12"/>
      <c r="AO103" s="16"/>
      <c r="AP103" s="12"/>
      <c r="AQ103" s="12"/>
      <c r="AR103" s="14" t="str">
        <f t="shared" si="71"/>
        <v/>
      </c>
      <c r="AS103" s="15" t="str">
        <f t="shared" si="72"/>
        <v/>
      </c>
      <c r="AT103" s="12"/>
      <c r="AU103" s="13"/>
      <c r="AV103" s="12"/>
      <c r="AW103" s="16"/>
      <c r="AX103" s="13"/>
      <c r="AY103" s="17" t="str">
        <f t="shared" si="73"/>
        <v/>
      </c>
      <c r="AZ103" s="14" t="str">
        <f t="shared" ca="1" si="74"/>
        <v/>
      </c>
      <c r="BA103" s="13"/>
      <c r="BB103" s="12"/>
      <c r="BC103" s="14" t="str">
        <f>IF($V103="","",1+COUNTIF($V$5:$V$154,"&gt;"&amp;$V103)+COUNTIFS($V$5:$V$154,$V103,$U$5:$U$154,"&gt;"&amp;$U103)+COUNTIFS($V$4:$V102,$V103,$U$4:$U102,$U103))</f>
        <v/>
      </c>
      <c r="BD103" s="12"/>
      <c r="BE103" s="12"/>
      <c r="BF103" s="12"/>
      <c r="BG103" s="62"/>
      <c r="BH103" s="62"/>
      <c r="BI103" s="63" t="str">
        <f t="shared" si="75"/>
        <v/>
      </c>
      <c r="BJ103" s="18" t="str">
        <f t="shared" si="76"/>
        <v/>
      </c>
      <c r="BK103" s="12"/>
      <c r="BL103" s="117"/>
      <c r="BM103" s="117"/>
      <c r="BN103" s="16"/>
      <c r="BO103" s="117"/>
      <c r="BP103" s="117"/>
      <c r="BQ103" s="117"/>
      <c r="BR103" s="117"/>
      <c r="BS103" s="117"/>
      <c r="BT103" s="117"/>
      <c r="BU103" s="117"/>
      <c r="BV103" s="117"/>
      <c r="BW103" s="14" t="str">
        <f t="shared" si="77"/>
        <v/>
      </c>
      <c r="BX103" s="14" t="str">
        <f t="shared" si="78"/>
        <v/>
      </c>
      <c r="BY103" s="14" t="str">
        <f t="shared" si="79"/>
        <v/>
      </c>
      <c r="BZ103" s="15" t="str">
        <f t="shared" si="80"/>
        <v/>
      </c>
      <c r="CA103" s="15" t="str">
        <f t="shared" si="81"/>
        <v/>
      </c>
      <c r="CB103" s="117"/>
      <c r="CC103" s="117"/>
      <c r="CD103" s="117"/>
      <c r="CE103" s="117"/>
      <c r="CF103" s="117"/>
      <c r="CG103" s="14" t="str">
        <f t="shared" si="82"/>
        <v/>
      </c>
      <c r="CH103" s="15" t="str">
        <f t="shared" si="83"/>
        <v/>
      </c>
      <c r="CI103" s="117"/>
    </row>
    <row r="104" spans="1:87">
      <c r="A104" s="115"/>
      <c r="B104" s="12"/>
      <c r="C104" s="13"/>
      <c r="D104" s="13"/>
      <c r="E104" s="12"/>
      <c r="F104" s="12"/>
      <c r="G104" s="13"/>
      <c r="H104" s="12"/>
      <c r="I104" s="13"/>
      <c r="J104" s="13"/>
      <c r="K104" s="12"/>
      <c r="L104" s="13"/>
      <c r="M104" s="12"/>
      <c r="N104" s="12"/>
      <c r="O104" s="12"/>
      <c r="P104" s="14" t="str">
        <f t="shared" si="63"/>
        <v/>
      </c>
      <c r="Q104" s="15" t="str">
        <f t="shared" si="64"/>
        <v/>
      </c>
      <c r="R104" s="13"/>
      <c r="S104" s="12"/>
      <c r="T104" s="12"/>
      <c r="U104" s="12"/>
      <c r="V104" s="14" t="str">
        <f t="shared" si="65"/>
        <v/>
      </c>
      <c r="W104" s="15" t="str">
        <f t="shared" si="66"/>
        <v/>
      </c>
      <c r="X104" s="12"/>
      <c r="Y104" s="14" t="str">
        <f t="shared" si="67"/>
        <v/>
      </c>
      <c r="Z104" s="12"/>
      <c r="AA104" s="12"/>
      <c r="AB104" s="16"/>
      <c r="AC104" s="13"/>
      <c r="AD104" s="13"/>
      <c r="AE104" s="13"/>
      <c r="AF104" s="16"/>
      <c r="AG104" s="12"/>
      <c r="AH104" s="13"/>
      <c r="AI104" s="12"/>
      <c r="AJ104" s="14" t="str">
        <f t="shared" si="68"/>
        <v/>
      </c>
      <c r="AK104" s="14" t="str">
        <f t="shared" si="69"/>
        <v/>
      </c>
      <c r="AL104" s="17" t="str">
        <f t="shared" si="70"/>
        <v/>
      </c>
      <c r="AM104" s="16"/>
      <c r="AN104" s="12"/>
      <c r="AO104" s="16"/>
      <c r="AP104" s="12"/>
      <c r="AQ104" s="12"/>
      <c r="AR104" s="14" t="str">
        <f t="shared" si="71"/>
        <v/>
      </c>
      <c r="AS104" s="15" t="str">
        <f t="shared" si="72"/>
        <v/>
      </c>
      <c r="AT104" s="12"/>
      <c r="AU104" s="13"/>
      <c r="AV104" s="12"/>
      <c r="AW104" s="16"/>
      <c r="AX104" s="13"/>
      <c r="AY104" s="17" t="str">
        <f t="shared" si="73"/>
        <v/>
      </c>
      <c r="AZ104" s="14" t="str">
        <f t="shared" ca="1" si="74"/>
        <v/>
      </c>
      <c r="BA104" s="13"/>
      <c r="BB104" s="12"/>
      <c r="BC104" s="14" t="str">
        <f>IF($V104="","",1+COUNTIF($V$5:$V$154,"&gt;"&amp;$V104)+COUNTIFS($V$5:$V$154,$V104,$U$5:$U$154,"&gt;"&amp;$U104)+COUNTIFS($V$4:$V103,$V104,$U$4:$U103,$U104))</f>
        <v/>
      </c>
      <c r="BD104" s="12"/>
      <c r="BE104" s="12"/>
      <c r="BF104" s="12"/>
      <c r="BG104" s="62"/>
      <c r="BH104" s="62"/>
      <c r="BI104" s="63" t="str">
        <f t="shared" si="75"/>
        <v/>
      </c>
      <c r="BJ104" s="18" t="str">
        <f t="shared" si="76"/>
        <v/>
      </c>
      <c r="BK104" s="12"/>
      <c r="BL104" s="117"/>
      <c r="BM104" s="117"/>
      <c r="BN104" s="16"/>
      <c r="BO104" s="117"/>
      <c r="BP104" s="117"/>
      <c r="BQ104" s="117"/>
      <c r="BR104" s="117"/>
      <c r="BS104" s="117"/>
      <c r="BT104" s="117"/>
      <c r="BU104" s="117"/>
      <c r="BV104" s="117"/>
      <c r="BW104" s="14" t="str">
        <f t="shared" si="77"/>
        <v/>
      </c>
      <c r="BX104" s="14" t="str">
        <f t="shared" si="78"/>
        <v/>
      </c>
      <c r="BY104" s="14" t="str">
        <f t="shared" si="79"/>
        <v/>
      </c>
      <c r="BZ104" s="15" t="str">
        <f t="shared" si="80"/>
        <v/>
      </c>
      <c r="CA104" s="15" t="str">
        <f t="shared" si="81"/>
        <v/>
      </c>
      <c r="CB104" s="117"/>
      <c r="CC104" s="117"/>
      <c r="CD104" s="117"/>
      <c r="CE104" s="117"/>
      <c r="CF104" s="117"/>
      <c r="CG104" s="14" t="str">
        <f t="shared" si="82"/>
        <v/>
      </c>
      <c r="CH104" s="15" t="str">
        <f t="shared" si="83"/>
        <v/>
      </c>
      <c r="CI104" s="117"/>
    </row>
    <row r="105" spans="1:87">
      <c r="A105" s="115"/>
      <c r="B105" s="12"/>
      <c r="C105" s="13"/>
      <c r="D105" s="13"/>
      <c r="E105" s="12"/>
      <c r="F105" s="12"/>
      <c r="G105" s="13"/>
      <c r="H105" s="12"/>
      <c r="I105" s="13"/>
      <c r="J105" s="13"/>
      <c r="K105" s="12"/>
      <c r="L105" s="13"/>
      <c r="M105" s="12"/>
      <c r="N105" s="12"/>
      <c r="O105" s="12"/>
      <c r="P105" s="14" t="str">
        <f t="shared" si="63"/>
        <v/>
      </c>
      <c r="Q105" s="15" t="str">
        <f t="shared" si="64"/>
        <v/>
      </c>
      <c r="R105" s="13"/>
      <c r="S105" s="12"/>
      <c r="T105" s="12"/>
      <c r="U105" s="12"/>
      <c r="V105" s="14" t="str">
        <f t="shared" si="65"/>
        <v/>
      </c>
      <c r="W105" s="15" t="str">
        <f t="shared" si="66"/>
        <v/>
      </c>
      <c r="X105" s="12"/>
      <c r="Y105" s="14" t="str">
        <f t="shared" si="67"/>
        <v/>
      </c>
      <c r="Z105" s="12"/>
      <c r="AA105" s="12"/>
      <c r="AB105" s="16"/>
      <c r="AC105" s="13"/>
      <c r="AD105" s="13"/>
      <c r="AE105" s="13"/>
      <c r="AF105" s="16"/>
      <c r="AG105" s="12"/>
      <c r="AH105" s="13"/>
      <c r="AI105" s="12"/>
      <c r="AJ105" s="14" t="str">
        <f t="shared" si="68"/>
        <v/>
      </c>
      <c r="AK105" s="14" t="str">
        <f t="shared" si="69"/>
        <v/>
      </c>
      <c r="AL105" s="17" t="str">
        <f t="shared" si="70"/>
        <v/>
      </c>
      <c r="AM105" s="16"/>
      <c r="AN105" s="12"/>
      <c r="AO105" s="16"/>
      <c r="AP105" s="12"/>
      <c r="AQ105" s="12"/>
      <c r="AR105" s="14" t="str">
        <f t="shared" si="71"/>
        <v/>
      </c>
      <c r="AS105" s="15" t="str">
        <f t="shared" si="72"/>
        <v/>
      </c>
      <c r="AT105" s="12"/>
      <c r="AU105" s="13"/>
      <c r="AV105" s="12"/>
      <c r="AW105" s="16"/>
      <c r="AX105" s="13"/>
      <c r="AY105" s="17" t="str">
        <f t="shared" si="73"/>
        <v/>
      </c>
      <c r="AZ105" s="14" t="str">
        <f t="shared" ca="1" si="74"/>
        <v/>
      </c>
      <c r="BA105" s="13"/>
      <c r="BB105" s="12"/>
      <c r="BC105" s="14" t="str">
        <f>IF($V105="","",1+COUNTIF($V$5:$V$154,"&gt;"&amp;$V105)+COUNTIFS($V$5:$V$154,$V105,$U$5:$U$154,"&gt;"&amp;$U105)+COUNTIFS($V$4:$V104,$V105,$U$4:$U104,$U105))</f>
        <v/>
      </c>
      <c r="BD105" s="12"/>
      <c r="BE105" s="12"/>
      <c r="BF105" s="12"/>
      <c r="BG105" s="62"/>
      <c r="BH105" s="62"/>
      <c r="BI105" s="63" t="str">
        <f t="shared" si="75"/>
        <v/>
      </c>
      <c r="BJ105" s="18" t="str">
        <f t="shared" si="76"/>
        <v/>
      </c>
      <c r="BK105" s="12"/>
      <c r="BL105" s="117"/>
      <c r="BM105" s="117"/>
      <c r="BN105" s="16"/>
      <c r="BO105" s="117"/>
      <c r="BP105" s="117"/>
      <c r="BQ105" s="117"/>
      <c r="BR105" s="117"/>
      <c r="BS105" s="117"/>
      <c r="BT105" s="117"/>
      <c r="BU105" s="117"/>
      <c r="BV105" s="117"/>
      <c r="BW105" s="14" t="str">
        <f t="shared" si="77"/>
        <v/>
      </c>
      <c r="BX105" s="14" t="str">
        <f t="shared" si="78"/>
        <v/>
      </c>
      <c r="BY105" s="14" t="str">
        <f t="shared" si="79"/>
        <v/>
      </c>
      <c r="BZ105" s="15" t="str">
        <f t="shared" si="80"/>
        <v/>
      </c>
      <c r="CA105" s="15" t="str">
        <f t="shared" si="81"/>
        <v/>
      </c>
      <c r="CB105" s="117"/>
      <c r="CC105" s="117"/>
      <c r="CD105" s="117"/>
      <c r="CE105" s="117"/>
      <c r="CF105" s="117"/>
      <c r="CG105" s="14" t="str">
        <f t="shared" si="82"/>
        <v/>
      </c>
      <c r="CH105" s="15" t="str">
        <f t="shared" si="83"/>
        <v/>
      </c>
      <c r="CI105" s="117"/>
    </row>
    <row r="106" spans="1:87">
      <c r="A106" s="115"/>
      <c r="B106" s="12"/>
      <c r="C106" s="13"/>
      <c r="D106" s="13"/>
      <c r="E106" s="12"/>
      <c r="F106" s="12"/>
      <c r="G106" s="13"/>
      <c r="H106" s="12"/>
      <c r="I106" s="13"/>
      <c r="J106" s="13"/>
      <c r="K106" s="12"/>
      <c r="L106" s="13"/>
      <c r="M106" s="12"/>
      <c r="N106" s="12"/>
      <c r="O106" s="12"/>
      <c r="P106" s="14" t="str">
        <f t="shared" si="63"/>
        <v/>
      </c>
      <c r="Q106" s="15" t="str">
        <f t="shared" si="64"/>
        <v/>
      </c>
      <c r="R106" s="13"/>
      <c r="S106" s="12"/>
      <c r="T106" s="12"/>
      <c r="U106" s="12"/>
      <c r="V106" s="14" t="str">
        <f t="shared" si="65"/>
        <v/>
      </c>
      <c r="W106" s="15" t="str">
        <f t="shared" si="66"/>
        <v/>
      </c>
      <c r="X106" s="12"/>
      <c r="Y106" s="14" t="str">
        <f t="shared" si="67"/>
        <v/>
      </c>
      <c r="Z106" s="12"/>
      <c r="AA106" s="12"/>
      <c r="AB106" s="16"/>
      <c r="AC106" s="13"/>
      <c r="AD106" s="13"/>
      <c r="AE106" s="13"/>
      <c r="AF106" s="16"/>
      <c r="AG106" s="12"/>
      <c r="AH106" s="13"/>
      <c r="AI106" s="12"/>
      <c r="AJ106" s="14" t="str">
        <f t="shared" si="68"/>
        <v/>
      </c>
      <c r="AK106" s="14" t="str">
        <f t="shared" si="69"/>
        <v/>
      </c>
      <c r="AL106" s="17" t="str">
        <f t="shared" si="70"/>
        <v/>
      </c>
      <c r="AM106" s="16"/>
      <c r="AN106" s="12"/>
      <c r="AO106" s="16"/>
      <c r="AP106" s="12"/>
      <c r="AQ106" s="12"/>
      <c r="AR106" s="14" t="str">
        <f t="shared" si="71"/>
        <v/>
      </c>
      <c r="AS106" s="15" t="str">
        <f t="shared" si="72"/>
        <v/>
      </c>
      <c r="AT106" s="12"/>
      <c r="AU106" s="13"/>
      <c r="AV106" s="12"/>
      <c r="AW106" s="16"/>
      <c r="AX106" s="13"/>
      <c r="AY106" s="17" t="str">
        <f t="shared" si="73"/>
        <v/>
      </c>
      <c r="AZ106" s="14" t="str">
        <f t="shared" ca="1" si="74"/>
        <v/>
      </c>
      <c r="BA106" s="13"/>
      <c r="BB106" s="12"/>
      <c r="BC106" s="14" t="str">
        <f>IF($V106="","",1+COUNTIF($V$5:$V$154,"&gt;"&amp;$V106)+COUNTIFS($V$5:$V$154,$V106,$U$5:$U$154,"&gt;"&amp;$U106)+COUNTIFS($V$4:$V105,$V106,$U$4:$U105,$U106))</f>
        <v/>
      </c>
      <c r="BD106" s="12"/>
      <c r="BE106" s="12"/>
      <c r="BF106" s="12"/>
      <c r="BG106" s="62"/>
      <c r="BH106" s="62"/>
      <c r="BI106" s="63" t="str">
        <f t="shared" si="75"/>
        <v/>
      </c>
      <c r="BJ106" s="18" t="str">
        <f t="shared" si="76"/>
        <v/>
      </c>
      <c r="BK106" s="12"/>
      <c r="BL106" s="117"/>
      <c r="BM106" s="117"/>
      <c r="BN106" s="16"/>
      <c r="BO106" s="117"/>
      <c r="BP106" s="117"/>
      <c r="BQ106" s="117"/>
      <c r="BR106" s="117"/>
      <c r="BS106" s="117"/>
      <c r="BT106" s="117"/>
      <c r="BU106" s="117"/>
      <c r="BV106" s="117"/>
      <c r="BW106" s="14" t="str">
        <f t="shared" si="77"/>
        <v/>
      </c>
      <c r="BX106" s="14" t="str">
        <f t="shared" si="78"/>
        <v/>
      </c>
      <c r="BY106" s="14" t="str">
        <f t="shared" si="79"/>
        <v/>
      </c>
      <c r="BZ106" s="15" t="str">
        <f t="shared" si="80"/>
        <v/>
      </c>
      <c r="CA106" s="15" t="str">
        <f t="shared" si="81"/>
        <v/>
      </c>
      <c r="CB106" s="117"/>
      <c r="CC106" s="117"/>
      <c r="CD106" s="117"/>
      <c r="CE106" s="117"/>
      <c r="CF106" s="117"/>
      <c r="CG106" s="14" t="str">
        <f t="shared" si="82"/>
        <v/>
      </c>
      <c r="CH106" s="15" t="str">
        <f t="shared" si="83"/>
        <v/>
      </c>
      <c r="CI106" s="117"/>
    </row>
    <row r="107" spans="1:87">
      <c r="A107" s="115"/>
      <c r="B107" s="12"/>
      <c r="C107" s="13"/>
      <c r="D107" s="13"/>
      <c r="E107" s="12"/>
      <c r="F107" s="12"/>
      <c r="G107" s="13"/>
      <c r="H107" s="12"/>
      <c r="I107" s="13"/>
      <c r="J107" s="13"/>
      <c r="K107" s="12"/>
      <c r="L107" s="13"/>
      <c r="M107" s="12"/>
      <c r="N107" s="12"/>
      <c r="O107" s="12"/>
      <c r="P107" s="14" t="str">
        <f t="shared" si="63"/>
        <v/>
      </c>
      <c r="Q107" s="15" t="str">
        <f t="shared" si="64"/>
        <v/>
      </c>
      <c r="R107" s="13"/>
      <c r="S107" s="12"/>
      <c r="T107" s="12"/>
      <c r="U107" s="12"/>
      <c r="V107" s="14" t="str">
        <f t="shared" si="65"/>
        <v/>
      </c>
      <c r="W107" s="15" t="str">
        <f t="shared" si="66"/>
        <v/>
      </c>
      <c r="X107" s="12"/>
      <c r="Y107" s="14" t="str">
        <f t="shared" si="67"/>
        <v/>
      </c>
      <c r="Z107" s="12"/>
      <c r="AA107" s="12"/>
      <c r="AB107" s="16"/>
      <c r="AC107" s="13"/>
      <c r="AD107" s="13"/>
      <c r="AE107" s="13"/>
      <c r="AF107" s="16"/>
      <c r="AG107" s="12"/>
      <c r="AH107" s="13"/>
      <c r="AI107" s="12"/>
      <c r="AJ107" s="14" t="str">
        <f t="shared" si="68"/>
        <v/>
      </c>
      <c r="AK107" s="14" t="str">
        <f t="shared" si="69"/>
        <v/>
      </c>
      <c r="AL107" s="17" t="str">
        <f t="shared" si="70"/>
        <v/>
      </c>
      <c r="AM107" s="16"/>
      <c r="AN107" s="12"/>
      <c r="AO107" s="16"/>
      <c r="AP107" s="12"/>
      <c r="AQ107" s="12"/>
      <c r="AR107" s="14" t="str">
        <f t="shared" si="71"/>
        <v/>
      </c>
      <c r="AS107" s="15" t="str">
        <f t="shared" si="72"/>
        <v/>
      </c>
      <c r="AT107" s="12"/>
      <c r="AU107" s="13"/>
      <c r="AV107" s="12"/>
      <c r="AW107" s="16"/>
      <c r="AX107" s="13"/>
      <c r="AY107" s="17" t="str">
        <f t="shared" si="73"/>
        <v/>
      </c>
      <c r="AZ107" s="14" t="str">
        <f t="shared" ca="1" si="74"/>
        <v/>
      </c>
      <c r="BA107" s="13"/>
      <c r="BB107" s="12"/>
      <c r="BC107" s="14" t="str">
        <f>IF($V107="","",1+COUNTIF($V$5:$V$154,"&gt;"&amp;$V107)+COUNTIFS($V$5:$V$154,$V107,$U$5:$U$154,"&gt;"&amp;$U107)+COUNTIFS($V$4:$V106,$V107,$U$4:$U106,$U107))</f>
        <v/>
      </c>
      <c r="BD107" s="12"/>
      <c r="BE107" s="12"/>
      <c r="BF107" s="12"/>
      <c r="BG107" s="62"/>
      <c r="BH107" s="62"/>
      <c r="BI107" s="63" t="str">
        <f t="shared" si="75"/>
        <v/>
      </c>
      <c r="BJ107" s="18" t="str">
        <f t="shared" si="76"/>
        <v/>
      </c>
      <c r="BK107" s="12"/>
      <c r="BL107" s="117"/>
      <c r="BM107" s="117"/>
      <c r="BN107" s="16"/>
      <c r="BO107" s="117"/>
      <c r="BP107" s="117"/>
      <c r="BQ107" s="117"/>
      <c r="BR107" s="117"/>
      <c r="BS107" s="117"/>
      <c r="BT107" s="117"/>
      <c r="BU107" s="117"/>
      <c r="BV107" s="117"/>
      <c r="BW107" s="14" t="str">
        <f t="shared" si="77"/>
        <v/>
      </c>
      <c r="BX107" s="14" t="str">
        <f t="shared" si="78"/>
        <v/>
      </c>
      <c r="BY107" s="14" t="str">
        <f t="shared" si="79"/>
        <v/>
      </c>
      <c r="BZ107" s="15" t="str">
        <f t="shared" si="80"/>
        <v/>
      </c>
      <c r="CA107" s="15" t="str">
        <f t="shared" si="81"/>
        <v/>
      </c>
      <c r="CB107" s="117"/>
      <c r="CC107" s="117"/>
      <c r="CD107" s="117"/>
      <c r="CE107" s="117"/>
      <c r="CF107" s="117"/>
      <c r="CG107" s="14" t="str">
        <f t="shared" si="82"/>
        <v/>
      </c>
      <c r="CH107" s="15" t="str">
        <f t="shared" si="83"/>
        <v/>
      </c>
      <c r="CI107" s="117"/>
    </row>
    <row r="108" spans="1:87">
      <c r="A108" s="115"/>
      <c r="B108" s="12"/>
      <c r="C108" s="13"/>
      <c r="D108" s="13"/>
      <c r="E108" s="12"/>
      <c r="F108" s="12"/>
      <c r="G108" s="13"/>
      <c r="H108" s="12"/>
      <c r="I108" s="13"/>
      <c r="J108" s="13"/>
      <c r="K108" s="12"/>
      <c r="L108" s="13"/>
      <c r="M108" s="12"/>
      <c r="N108" s="12"/>
      <c r="O108" s="12"/>
      <c r="P108" s="14" t="str">
        <f t="shared" si="63"/>
        <v/>
      </c>
      <c r="Q108" s="15" t="str">
        <f t="shared" si="64"/>
        <v/>
      </c>
      <c r="R108" s="13"/>
      <c r="S108" s="12"/>
      <c r="T108" s="12"/>
      <c r="U108" s="12"/>
      <c r="V108" s="14" t="str">
        <f t="shared" si="65"/>
        <v/>
      </c>
      <c r="W108" s="15" t="str">
        <f t="shared" si="66"/>
        <v/>
      </c>
      <c r="X108" s="12"/>
      <c r="Y108" s="14" t="str">
        <f t="shared" si="67"/>
        <v/>
      </c>
      <c r="Z108" s="12"/>
      <c r="AA108" s="12"/>
      <c r="AB108" s="16"/>
      <c r="AC108" s="13"/>
      <c r="AD108" s="13"/>
      <c r="AE108" s="13"/>
      <c r="AF108" s="16"/>
      <c r="AG108" s="12"/>
      <c r="AH108" s="13"/>
      <c r="AI108" s="12"/>
      <c r="AJ108" s="14" t="str">
        <f t="shared" si="68"/>
        <v/>
      </c>
      <c r="AK108" s="14" t="str">
        <f t="shared" si="69"/>
        <v/>
      </c>
      <c r="AL108" s="17" t="str">
        <f t="shared" si="70"/>
        <v/>
      </c>
      <c r="AM108" s="16"/>
      <c r="AN108" s="12"/>
      <c r="AO108" s="16"/>
      <c r="AP108" s="12"/>
      <c r="AQ108" s="12"/>
      <c r="AR108" s="14" t="str">
        <f t="shared" si="71"/>
        <v/>
      </c>
      <c r="AS108" s="15" t="str">
        <f t="shared" si="72"/>
        <v/>
      </c>
      <c r="AT108" s="12"/>
      <c r="AU108" s="13"/>
      <c r="AV108" s="12"/>
      <c r="AW108" s="16"/>
      <c r="AX108" s="13"/>
      <c r="AY108" s="17" t="str">
        <f t="shared" si="73"/>
        <v/>
      </c>
      <c r="AZ108" s="14" t="str">
        <f t="shared" ca="1" si="74"/>
        <v/>
      </c>
      <c r="BA108" s="13"/>
      <c r="BB108" s="12"/>
      <c r="BC108" s="14" t="str">
        <f>IF($V108="","",1+COUNTIF($V$5:$V$154,"&gt;"&amp;$V108)+COUNTIFS($V$5:$V$154,$V108,$U$5:$U$154,"&gt;"&amp;$U108)+COUNTIFS($V$4:$V107,$V108,$U$4:$U107,$U108))</f>
        <v/>
      </c>
      <c r="BD108" s="12"/>
      <c r="BE108" s="12"/>
      <c r="BF108" s="12"/>
      <c r="BG108" s="62"/>
      <c r="BH108" s="62"/>
      <c r="BI108" s="63" t="str">
        <f t="shared" si="75"/>
        <v/>
      </c>
      <c r="BJ108" s="18" t="str">
        <f t="shared" si="76"/>
        <v/>
      </c>
      <c r="BK108" s="12"/>
      <c r="BL108" s="117"/>
      <c r="BM108" s="117"/>
      <c r="BN108" s="16"/>
      <c r="BO108" s="117"/>
      <c r="BP108" s="117"/>
      <c r="BQ108" s="117"/>
      <c r="BR108" s="117"/>
      <c r="BS108" s="117"/>
      <c r="BT108" s="117"/>
      <c r="BU108" s="117"/>
      <c r="BV108" s="117"/>
      <c r="BW108" s="14" t="str">
        <f t="shared" si="77"/>
        <v/>
      </c>
      <c r="BX108" s="14" t="str">
        <f t="shared" si="78"/>
        <v/>
      </c>
      <c r="BY108" s="14" t="str">
        <f t="shared" si="79"/>
        <v/>
      </c>
      <c r="BZ108" s="15" t="str">
        <f t="shared" si="80"/>
        <v/>
      </c>
      <c r="CA108" s="15" t="str">
        <f t="shared" si="81"/>
        <v/>
      </c>
      <c r="CB108" s="117"/>
      <c r="CC108" s="117"/>
      <c r="CD108" s="117"/>
      <c r="CE108" s="117"/>
      <c r="CF108" s="117"/>
      <c r="CG108" s="14" t="str">
        <f t="shared" si="82"/>
        <v/>
      </c>
      <c r="CH108" s="15" t="str">
        <f t="shared" si="83"/>
        <v/>
      </c>
      <c r="CI108" s="117"/>
    </row>
    <row r="109" spans="1:87">
      <c r="A109" s="115"/>
      <c r="B109" s="12"/>
      <c r="C109" s="13"/>
      <c r="D109" s="13"/>
      <c r="E109" s="12"/>
      <c r="F109" s="12"/>
      <c r="G109" s="13"/>
      <c r="H109" s="12"/>
      <c r="I109" s="13"/>
      <c r="J109" s="13"/>
      <c r="K109" s="12"/>
      <c r="L109" s="13"/>
      <c r="M109" s="12"/>
      <c r="N109" s="12"/>
      <c r="O109" s="12"/>
      <c r="P109" s="14" t="str">
        <f t="shared" si="63"/>
        <v/>
      </c>
      <c r="Q109" s="15" t="str">
        <f t="shared" si="64"/>
        <v/>
      </c>
      <c r="R109" s="13"/>
      <c r="S109" s="12"/>
      <c r="T109" s="12"/>
      <c r="U109" s="12"/>
      <c r="V109" s="14" t="str">
        <f t="shared" si="65"/>
        <v/>
      </c>
      <c r="W109" s="15" t="str">
        <f t="shared" si="66"/>
        <v/>
      </c>
      <c r="X109" s="12"/>
      <c r="Y109" s="14" t="str">
        <f t="shared" si="67"/>
        <v/>
      </c>
      <c r="Z109" s="12"/>
      <c r="AA109" s="12"/>
      <c r="AB109" s="16"/>
      <c r="AC109" s="13"/>
      <c r="AD109" s="13"/>
      <c r="AE109" s="13"/>
      <c r="AF109" s="16"/>
      <c r="AG109" s="12"/>
      <c r="AH109" s="13"/>
      <c r="AI109" s="12"/>
      <c r="AJ109" s="14" t="str">
        <f t="shared" si="68"/>
        <v/>
      </c>
      <c r="AK109" s="14" t="str">
        <f t="shared" si="69"/>
        <v/>
      </c>
      <c r="AL109" s="17" t="str">
        <f t="shared" si="70"/>
        <v/>
      </c>
      <c r="AM109" s="16"/>
      <c r="AN109" s="12"/>
      <c r="AO109" s="16"/>
      <c r="AP109" s="12"/>
      <c r="AQ109" s="12"/>
      <c r="AR109" s="14" t="str">
        <f t="shared" si="71"/>
        <v/>
      </c>
      <c r="AS109" s="15" t="str">
        <f t="shared" si="72"/>
        <v/>
      </c>
      <c r="AT109" s="12"/>
      <c r="AU109" s="13"/>
      <c r="AV109" s="12"/>
      <c r="AW109" s="16"/>
      <c r="AX109" s="13"/>
      <c r="AY109" s="17" t="str">
        <f t="shared" si="73"/>
        <v/>
      </c>
      <c r="AZ109" s="14" t="str">
        <f t="shared" ca="1" si="74"/>
        <v/>
      </c>
      <c r="BA109" s="13"/>
      <c r="BB109" s="12"/>
      <c r="BC109" s="14" t="str">
        <f>IF($V109="","",1+COUNTIF($V$5:$V$154,"&gt;"&amp;$V109)+COUNTIFS($V$5:$V$154,$V109,$U$5:$U$154,"&gt;"&amp;$U109)+COUNTIFS($V$4:$V108,$V109,$U$4:$U108,$U109))</f>
        <v/>
      </c>
      <c r="BD109" s="12"/>
      <c r="BE109" s="12"/>
      <c r="BF109" s="12"/>
      <c r="BG109" s="62"/>
      <c r="BH109" s="62"/>
      <c r="BI109" s="63" t="str">
        <f t="shared" si="75"/>
        <v/>
      </c>
      <c r="BJ109" s="18" t="str">
        <f t="shared" si="76"/>
        <v/>
      </c>
      <c r="BK109" s="12"/>
      <c r="BL109" s="117"/>
      <c r="BM109" s="117"/>
      <c r="BN109" s="16"/>
      <c r="BO109" s="117"/>
      <c r="BP109" s="117"/>
      <c r="BQ109" s="117"/>
      <c r="BR109" s="117"/>
      <c r="BS109" s="117"/>
      <c r="BT109" s="117"/>
      <c r="BU109" s="117"/>
      <c r="BV109" s="117"/>
      <c r="BW109" s="14" t="str">
        <f t="shared" si="77"/>
        <v/>
      </c>
      <c r="BX109" s="14" t="str">
        <f t="shared" si="78"/>
        <v/>
      </c>
      <c r="BY109" s="14" t="str">
        <f t="shared" si="79"/>
        <v/>
      </c>
      <c r="BZ109" s="15" t="str">
        <f t="shared" si="80"/>
        <v/>
      </c>
      <c r="CA109" s="15" t="str">
        <f t="shared" si="81"/>
        <v/>
      </c>
      <c r="CB109" s="117"/>
      <c r="CC109" s="117"/>
      <c r="CD109" s="117"/>
      <c r="CE109" s="117"/>
      <c r="CF109" s="117"/>
      <c r="CG109" s="14" t="str">
        <f t="shared" si="82"/>
        <v/>
      </c>
      <c r="CH109" s="15" t="str">
        <f t="shared" si="83"/>
        <v/>
      </c>
      <c r="CI109" s="117"/>
    </row>
    <row r="110" spans="1:87">
      <c r="A110" s="115"/>
      <c r="B110" s="12"/>
      <c r="C110" s="13"/>
      <c r="D110" s="13"/>
      <c r="E110" s="12"/>
      <c r="F110" s="12"/>
      <c r="G110" s="13"/>
      <c r="H110" s="12"/>
      <c r="I110" s="13"/>
      <c r="J110" s="13"/>
      <c r="K110" s="12"/>
      <c r="L110" s="13"/>
      <c r="M110" s="12"/>
      <c r="N110" s="12"/>
      <c r="O110" s="12"/>
      <c r="P110" s="14" t="str">
        <f t="shared" si="63"/>
        <v/>
      </c>
      <c r="Q110" s="15" t="str">
        <f t="shared" si="64"/>
        <v/>
      </c>
      <c r="R110" s="13"/>
      <c r="S110" s="12"/>
      <c r="T110" s="12"/>
      <c r="U110" s="12"/>
      <c r="V110" s="14" t="str">
        <f t="shared" si="65"/>
        <v/>
      </c>
      <c r="W110" s="15" t="str">
        <f t="shared" si="66"/>
        <v/>
      </c>
      <c r="X110" s="12"/>
      <c r="Y110" s="14" t="str">
        <f t="shared" si="67"/>
        <v/>
      </c>
      <c r="Z110" s="12"/>
      <c r="AA110" s="12"/>
      <c r="AB110" s="16"/>
      <c r="AC110" s="13"/>
      <c r="AD110" s="13"/>
      <c r="AE110" s="13"/>
      <c r="AF110" s="16"/>
      <c r="AG110" s="12"/>
      <c r="AH110" s="13"/>
      <c r="AI110" s="12"/>
      <c r="AJ110" s="14" t="str">
        <f t="shared" si="68"/>
        <v/>
      </c>
      <c r="AK110" s="14" t="str">
        <f t="shared" si="69"/>
        <v/>
      </c>
      <c r="AL110" s="17" t="str">
        <f t="shared" si="70"/>
        <v/>
      </c>
      <c r="AM110" s="16"/>
      <c r="AN110" s="12"/>
      <c r="AO110" s="16"/>
      <c r="AP110" s="12"/>
      <c r="AQ110" s="12"/>
      <c r="AR110" s="14" t="str">
        <f t="shared" si="71"/>
        <v/>
      </c>
      <c r="AS110" s="15" t="str">
        <f t="shared" si="72"/>
        <v/>
      </c>
      <c r="AT110" s="12"/>
      <c r="AU110" s="13"/>
      <c r="AV110" s="12"/>
      <c r="AW110" s="16"/>
      <c r="AX110" s="13"/>
      <c r="AY110" s="17" t="str">
        <f t="shared" si="73"/>
        <v/>
      </c>
      <c r="AZ110" s="14" t="str">
        <f t="shared" ca="1" si="74"/>
        <v/>
      </c>
      <c r="BA110" s="13"/>
      <c r="BB110" s="12"/>
      <c r="BC110" s="14" t="str">
        <f>IF($V110="","",1+COUNTIF($V$5:$V$154,"&gt;"&amp;$V110)+COUNTIFS($V$5:$V$154,$V110,$U$5:$U$154,"&gt;"&amp;$U110)+COUNTIFS($V$4:$V109,$V110,$U$4:$U109,$U110))</f>
        <v/>
      </c>
      <c r="BD110" s="12"/>
      <c r="BE110" s="12"/>
      <c r="BF110" s="12"/>
      <c r="BG110" s="62"/>
      <c r="BH110" s="62"/>
      <c r="BI110" s="63" t="str">
        <f t="shared" si="75"/>
        <v/>
      </c>
      <c r="BJ110" s="18" t="str">
        <f t="shared" si="76"/>
        <v/>
      </c>
      <c r="BK110" s="12"/>
      <c r="BL110" s="117"/>
      <c r="BM110" s="117"/>
      <c r="BN110" s="16"/>
      <c r="BO110" s="117"/>
      <c r="BP110" s="117"/>
      <c r="BQ110" s="117"/>
      <c r="BR110" s="117"/>
      <c r="BS110" s="117"/>
      <c r="BT110" s="117"/>
      <c r="BU110" s="117"/>
      <c r="BV110" s="117"/>
      <c r="BW110" s="14" t="str">
        <f t="shared" si="77"/>
        <v/>
      </c>
      <c r="BX110" s="14" t="str">
        <f t="shared" si="78"/>
        <v/>
      </c>
      <c r="BY110" s="14" t="str">
        <f t="shared" si="79"/>
        <v/>
      </c>
      <c r="BZ110" s="15" t="str">
        <f t="shared" si="80"/>
        <v/>
      </c>
      <c r="CA110" s="15" t="str">
        <f t="shared" si="81"/>
        <v/>
      </c>
      <c r="CB110" s="117"/>
      <c r="CC110" s="117"/>
      <c r="CD110" s="117"/>
      <c r="CE110" s="117"/>
      <c r="CF110" s="117"/>
      <c r="CG110" s="14" t="str">
        <f t="shared" si="82"/>
        <v/>
      </c>
      <c r="CH110" s="15" t="str">
        <f t="shared" si="83"/>
        <v/>
      </c>
      <c r="CI110" s="117"/>
    </row>
    <row r="111" spans="1:87">
      <c r="A111" s="115"/>
      <c r="B111" s="12"/>
      <c r="C111" s="13"/>
      <c r="D111" s="13"/>
      <c r="E111" s="12"/>
      <c r="F111" s="12"/>
      <c r="G111" s="13"/>
      <c r="H111" s="12"/>
      <c r="I111" s="13"/>
      <c r="J111" s="13"/>
      <c r="K111" s="12"/>
      <c r="L111" s="13"/>
      <c r="M111" s="12"/>
      <c r="N111" s="12"/>
      <c r="O111" s="12"/>
      <c r="P111" s="14" t="str">
        <f t="shared" si="63"/>
        <v/>
      </c>
      <c r="Q111" s="15" t="str">
        <f t="shared" si="64"/>
        <v/>
      </c>
      <c r="R111" s="13"/>
      <c r="S111" s="12"/>
      <c r="T111" s="12"/>
      <c r="U111" s="12"/>
      <c r="V111" s="14" t="str">
        <f t="shared" si="65"/>
        <v/>
      </c>
      <c r="W111" s="15" t="str">
        <f t="shared" si="66"/>
        <v/>
      </c>
      <c r="X111" s="12"/>
      <c r="Y111" s="14" t="str">
        <f t="shared" si="67"/>
        <v/>
      </c>
      <c r="Z111" s="12"/>
      <c r="AA111" s="12"/>
      <c r="AB111" s="16"/>
      <c r="AC111" s="13"/>
      <c r="AD111" s="13"/>
      <c r="AE111" s="13"/>
      <c r="AF111" s="16"/>
      <c r="AG111" s="12"/>
      <c r="AH111" s="13"/>
      <c r="AI111" s="12"/>
      <c r="AJ111" s="14" t="str">
        <f t="shared" si="68"/>
        <v/>
      </c>
      <c r="AK111" s="14" t="str">
        <f t="shared" si="69"/>
        <v/>
      </c>
      <c r="AL111" s="17" t="str">
        <f t="shared" si="70"/>
        <v/>
      </c>
      <c r="AM111" s="16"/>
      <c r="AN111" s="12"/>
      <c r="AO111" s="16"/>
      <c r="AP111" s="12"/>
      <c r="AQ111" s="12"/>
      <c r="AR111" s="14" t="str">
        <f t="shared" si="71"/>
        <v/>
      </c>
      <c r="AS111" s="15" t="str">
        <f t="shared" si="72"/>
        <v/>
      </c>
      <c r="AT111" s="12"/>
      <c r="AU111" s="13"/>
      <c r="AV111" s="12"/>
      <c r="AW111" s="16"/>
      <c r="AX111" s="13"/>
      <c r="AY111" s="17" t="str">
        <f t="shared" si="73"/>
        <v/>
      </c>
      <c r="AZ111" s="14" t="str">
        <f t="shared" ca="1" si="74"/>
        <v/>
      </c>
      <c r="BA111" s="13"/>
      <c r="BB111" s="12"/>
      <c r="BC111" s="14" t="str">
        <f>IF($V111="","",1+COUNTIF($V$5:$V$154,"&gt;"&amp;$V111)+COUNTIFS($V$5:$V$154,$V111,$U$5:$U$154,"&gt;"&amp;$U111)+COUNTIFS($V$4:$V110,$V111,$U$4:$U110,$U111))</f>
        <v/>
      </c>
      <c r="BD111" s="12"/>
      <c r="BE111" s="12"/>
      <c r="BF111" s="12"/>
      <c r="BG111" s="62"/>
      <c r="BH111" s="62"/>
      <c r="BI111" s="63" t="str">
        <f t="shared" si="75"/>
        <v/>
      </c>
      <c r="BJ111" s="18" t="str">
        <f t="shared" si="76"/>
        <v/>
      </c>
      <c r="BK111" s="12"/>
      <c r="BL111" s="117"/>
      <c r="BM111" s="117"/>
      <c r="BN111" s="16"/>
      <c r="BO111" s="117"/>
      <c r="BP111" s="117"/>
      <c r="BQ111" s="117"/>
      <c r="BR111" s="117"/>
      <c r="BS111" s="117"/>
      <c r="BT111" s="117"/>
      <c r="BU111" s="117"/>
      <c r="BV111" s="117"/>
      <c r="BW111" s="14" t="str">
        <f t="shared" si="77"/>
        <v/>
      </c>
      <c r="BX111" s="14" t="str">
        <f t="shared" si="78"/>
        <v/>
      </c>
      <c r="BY111" s="14" t="str">
        <f t="shared" si="79"/>
        <v/>
      </c>
      <c r="BZ111" s="15" t="str">
        <f t="shared" si="80"/>
        <v/>
      </c>
      <c r="CA111" s="15" t="str">
        <f t="shared" si="81"/>
        <v/>
      </c>
      <c r="CB111" s="117"/>
      <c r="CC111" s="117"/>
      <c r="CD111" s="117"/>
      <c r="CE111" s="117"/>
      <c r="CF111" s="117"/>
      <c r="CG111" s="14" t="str">
        <f t="shared" si="82"/>
        <v/>
      </c>
      <c r="CH111" s="15" t="str">
        <f t="shared" si="83"/>
        <v/>
      </c>
      <c r="CI111" s="117"/>
    </row>
    <row r="112" spans="1:87">
      <c r="A112" s="115"/>
      <c r="B112" s="12"/>
      <c r="C112" s="13"/>
      <c r="D112" s="13"/>
      <c r="E112" s="12"/>
      <c r="F112" s="12"/>
      <c r="G112" s="13"/>
      <c r="H112" s="12"/>
      <c r="I112" s="13"/>
      <c r="J112" s="13"/>
      <c r="K112" s="12"/>
      <c r="L112" s="13"/>
      <c r="M112" s="12"/>
      <c r="N112" s="12"/>
      <c r="O112" s="12"/>
      <c r="P112" s="14" t="str">
        <f t="shared" si="63"/>
        <v/>
      </c>
      <c r="Q112" s="15" t="str">
        <f t="shared" si="64"/>
        <v/>
      </c>
      <c r="R112" s="13"/>
      <c r="S112" s="12"/>
      <c r="T112" s="12"/>
      <c r="U112" s="12"/>
      <c r="V112" s="14" t="str">
        <f t="shared" si="65"/>
        <v/>
      </c>
      <c r="W112" s="15" t="str">
        <f t="shared" si="66"/>
        <v/>
      </c>
      <c r="X112" s="12"/>
      <c r="Y112" s="14" t="str">
        <f t="shared" si="67"/>
        <v/>
      </c>
      <c r="Z112" s="12"/>
      <c r="AA112" s="12"/>
      <c r="AB112" s="16"/>
      <c r="AC112" s="13"/>
      <c r="AD112" s="13"/>
      <c r="AE112" s="13"/>
      <c r="AF112" s="16"/>
      <c r="AG112" s="12"/>
      <c r="AH112" s="13"/>
      <c r="AI112" s="12"/>
      <c r="AJ112" s="14" t="str">
        <f t="shared" si="68"/>
        <v/>
      </c>
      <c r="AK112" s="14" t="str">
        <f t="shared" si="69"/>
        <v/>
      </c>
      <c r="AL112" s="17" t="str">
        <f t="shared" si="70"/>
        <v/>
      </c>
      <c r="AM112" s="16"/>
      <c r="AN112" s="12"/>
      <c r="AO112" s="16"/>
      <c r="AP112" s="12"/>
      <c r="AQ112" s="12"/>
      <c r="AR112" s="14" t="str">
        <f t="shared" si="71"/>
        <v/>
      </c>
      <c r="AS112" s="15" t="str">
        <f t="shared" si="72"/>
        <v/>
      </c>
      <c r="AT112" s="12"/>
      <c r="AU112" s="13"/>
      <c r="AV112" s="12"/>
      <c r="AW112" s="16"/>
      <c r="AX112" s="13"/>
      <c r="AY112" s="17" t="str">
        <f t="shared" si="73"/>
        <v/>
      </c>
      <c r="AZ112" s="14" t="str">
        <f t="shared" ca="1" si="74"/>
        <v/>
      </c>
      <c r="BA112" s="13"/>
      <c r="BB112" s="12"/>
      <c r="BC112" s="14" t="str">
        <f>IF($V112="","",1+COUNTIF($V$5:$V$154,"&gt;"&amp;$V112)+COUNTIFS($V$5:$V$154,$V112,$U$5:$U$154,"&gt;"&amp;$U112)+COUNTIFS($V$4:$V111,$V112,$U$4:$U111,$U112))</f>
        <v/>
      </c>
      <c r="BD112" s="12"/>
      <c r="BE112" s="12"/>
      <c r="BF112" s="12"/>
      <c r="BG112" s="62"/>
      <c r="BH112" s="62"/>
      <c r="BI112" s="63" t="str">
        <f t="shared" si="75"/>
        <v/>
      </c>
      <c r="BJ112" s="18" t="str">
        <f t="shared" si="76"/>
        <v/>
      </c>
      <c r="BK112" s="12"/>
      <c r="BL112" s="117"/>
      <c r="BM112" s="117"/>
      <c r="BN112" s="16"/>
      <c r="BO112" s="117"/>
      <c r="BP112" s="117"/>
      <c r="BQ112" s="117"/>
      <c r="BR112" s="117"/>
      <c r="BS112" s="117"/>
      <c r="BT112" s="117"/>
      <c r="BU112" s="117"/>
      <c r="BV112" s="117"/>
      <c r="BW112" s="14" t="str">
        <f t="shared" si="77"/>
        <v/>
      </c>
      <c r="BX112" s="14" t="str">
        <f t="shared" si="78"/>
        <v/>
      </c>
      <c r="BY112" s="14" t="str">
        <f t="shared" si="79"/>
        <v/>
      </c>
      <c r="BZ112" s="15" t="str">
        <f t="shared" si="80"/>
        <v/>
      </c>
      <c r="CA112" s="15" t="str">
        <f t="shared" si="81"/>
        <v/>
      </c>
      <c r="CB112" s="117"/>
      <c r="CC112" s="117"/>
      <c r="CD112" s="117"/>
      <c r="CE112" s="117"/>
      <c r="CF112" s="117"/>
      <c r="CG112" s="14" t="str">
        <f t="shared" si="82"/>
        <v/>
      </c>
      <c r="CH112" s="15" t="str">
        <f t="shared" si="83"/>
        <v/>
      </c>
      <c r="CI112" s="117"/>
    </row>
    <row r="113" spans="1:87">
      <c r="A113" s="115"/>
      <c r="B113" s="12"/>
      <c r="C113" s="13"/>
      <c r="D113" s="13"/>
      <c r="E113" s="12"/>
      <c r="F113" s="12"/>
      <c r="G113" s="13"/>
      <c r="H113" s="12"/>
      <c r="I113" s="13"/>
      <c r="J113" s="13"/>
      <c r="K113" s="12"/>
      <c r="L113" s="13"/>
      <c r="M113" s="12"/>
      <c r="N113" s="12"/>
      <c r="O113" s="12"/>
      <c r="P113" s="14" t="str">
        <f t="shared" si="63"/>
        <v/>
      </c>
      <c r="Q113" s="15" t="str">
        <f t="shared" si="64"/>
        <v/>
      </c>
      <c r="R113" s="13"/>
      <c r="S113" s="12"/>
      <c r="T113" s="12"/>
      <c r="U113" s="12"/>
      <c r="V113" s="14" t="str">
        <f t="shared" si="65"/>
        <v/>
      </c>
      <c r="W113" s="15" t="str">
        <f t="shared" si="66"/>
        <v/>
      </c>
      <c r="X113" s="12"/>
      <c r="Y113" s="14" t="str">
        <f t="shared" si="67"/>
        <v/>
      </c>
      <c r="Z113" s="12"/>
      <c r="AA113" s="12"/>
      <c r="AB113" s="16"/>
      <c r="AC113" s="13"/>
      <c r="AD113" s="13"/>
      <c r="AE113" s="13"/>
      <c r="AF113" s="16"/>
      <c r="AG113" s="12"/>
      <c r="AH113" s="13"/>
      <c r="AI113" s="12"/>
      <c r="AJ113" s="14" t="str">
        <f t="shared" si="68"/>
        <v/>
      </c>
      <c r="AK113" s="14" t="str">
        <f t="shared" si="69"/>
        <v/>
      </c>
      <c r="AL113" s="17" t="str">
        <f t="shared" si="70"/>
        <v/>
      </c>
      <c r="AM113" s="16"/>
      <c r="AN113" s="12"/>
      <c r="AO113" s="16"/>
      <c r="AP113" s="12"/>
      <c r="AQ113" s="12"/>
      <c r="AR113" s="14" t="str">
        <f t="shared" si="71"/>
        <v/>
      </c>
      <c r="AS113" s="15" t="str">
        <f t="shared" si="72"/>
        <v/>
      </c>
      <c r="AT113" s="12"/>
      <c r="AU113" s="13"/>
      <c r="AV113" s="12"/>
      <c r="AW113" s="16"/>
      <c r="AX113" s="13"/>
      <c r="AY113" s="17" t="str">
        <f t="shared" si="73"/>
        <v/>
      </c>
      <c r="AZ113" s="14" t="str">
        <f t="shared" ca="1" si="74"/>
        <v/>
      </c>
      <c r="BA113" s="13"/>
      <c r="BB113" s="12"/>
      <c r="BC113" s="14" t="str">
        <f>IF($V113="","",1+COUNTIF($V$5:$V$154,"&gt;"&amp;$V113)+COUNTIFS($V$5:$V$154,$V113,$U$5:$U$154,"&gt;"&amp;$U113)+COUNTIFS($V$4:$V112,$V113,$U$4:$U112,$U113))</f>
        <v/>
      </c>
      <c r="BD113" s="12"/>
      <c r="BE113" s="12"/>
      <c r="BF113" s="12"/>
      <c r="BG113" s="62"/>
      <c r="BH113" s="62"/>
      <c r="BI113" s="63" t="str">
        <f t="shared" si="75"/>
        <v/>
      </c>
      <c r="BJ113" s="18" t="str">
        <f t="shared" si="76"/>
        <v/>
      </c>
      <c r="BK113" s="12"/>
      <c r="BL113" s="117"/>
      <c r="BM113" s="117"/>
      <c r="BN113" s="16"/>
      <c r="BO113" s="117"/>
      <c r="BP113" s="117"/>
      <c r="BQ113" s="117"/>
      <c r="BR113" s="117"/>
      <c r="BS113" s="117"/>
      <c r="BT113" s="117"/>
      <c r="BU113" s="117"/>
      <c r="BV113" s="117"/>
      <c r="BW113" s="14" t="str">
        <f t="shared" si="77"/>
        <v/>
      </c>
      <c r="BX113" s="14" t="str">
        <f t="shared" si="78"/>
        <v/>
      </c>
      <c r="BY113" s="14" t="str">
        <f t="shared" si="79"/>
        <v/>
      </c>
      <c r="BZ113" s="15" t="str">
        <f t="shared" si="80"/>
        <v/>
      </c>
      <c r="CA113" s="15" t="str">
        <f t="shared" si="81"/>
        <v/>
      </c>
      <c r="CB113" s="117"/>
      <c r="CC113" s="117"/>
      <c r="CD113" s="117"/>
      <c r="CE113" s="117"/>
      <c r="CF113" s="117"/>
      <c r="CG113" s="14" t="str">
        <f t="shared" si="82"/>
        <v/>
      </c>
      <c r="CH113" s="15" t="str">
        <f t="shared" si="83"/>
        <v/>
      </c>
      <c r="CI113" s="117"/>
    </row>
    <row r="114" spans="1:87">
      <c r="A114" s="115"/>
      <c r="B114" s="12"/>
      <c r="C114" s="13"/>
      <c r="D114" s="13"/>
      <c r="E114" s="12"/>
      <c r="F114" s="12"/>
      <c r="G114" s="13"/>
      <c r="H114" s="12"/>
      <c r="I114" s="13"/>
      <c r="J114" s="13"/>
      <c r="K114" s="12"/>
      <c r="L114" s="13"/>
      <c r="M114" s="12"/>
      <c r="N114" s="12"/>
      <c r="O114" s="12"/>
      <c r="P114" s="14" t="str">
        <f t="shared" si="63"/>
        <v/>
      </c>
      <c r="Q114" s="15" t="str">
        <f t="shared" si="64"/>
        <v/>
      </c>
      <c r="R114" s="13"/>
      <c r="S114" s="12"/>
      <c r="T114" s="12"/>
      <c r="U114" s="12"/>
      <c r="V114" s="14" t="str">
        <f t="shared" si="65"/>
        <v/>
      </c>
      <c r="W114" s="15" t="str">
        <f t="shared" si="66"/>
        <v/>
      </c>
      <c r="X114" s="12"/>
      <c r="Y114" s="14" t="str">
        <f t="shared" si="67"/>
        <v/>
      </c>
      <c r="Z114" s="12"/>
      <c r="AA114" s="12"/>
      <c r="AB114" s="16"/>
      <c r="AC114" s="13"/>
      <c r="AD114" s="13"/>
      <c r="AE114" s="13"/>
      <c r="AF114" s="16"/>
      <c r="AG114" s="12"/>
      <c r="AH114" s="13"/>
      <c r="AI114" s="12"/>
      <c r="AJ114" s="14" t="str">
        <f t="shared" si="68"/>
        <v/>
      </c>
      <c r="AK114" s="14" t="str">
        <f t="shared" si="69"/>
        <v/>
      </c>
      <c r="AL114" s="17" t="str">
        <f t="shared" si="70"/>
        <v/>
      </c>
      <c r="AM114" s="16"/>
      <c r="AN114" s="12"/>
      <c r="AO114" s="16"/>
      <c r="AP114" s="12"/>
      <c r="AQ114" s="12"/>
      <c r="AR114" s="14" t="str">
        <f t="shared" si="71"/>
        <v/>
      </c>
      <c r="AS114" s="15" t="str">
        <f t="shared" si="72"/>
        <v/>
      </c>
      <c r="AT114" s="12"/>
      <c r="AU114" s="13"/>
      <c r="AV114" s="12"/>
      <c r="AW114" s="16"/>
      <c r="AX114" s="13"/>
      <c r="AY114" s="17" t="str">
        <f t="shared" si="73"/>
        <v/>
      </c>
      <c r="AZ114" s="14" t="str">
        <f t="shared" ca="1" si="74"/>
        <v/>
      </c>
      <c r="BA114" s="13"/>
      <c r="BB114" s="12"/>
      <c r="BC114" s="14" t="str">
        <f>IF($V114="","",1+COUNTIF($V$5:$V$154,"&gt;"&amp;$V114)+COUNTIFS($V$5:$V$154,$V114,$U$5:$U$154,"&gt;"&amp;$U114)+COUNTIFS($V$4:$V113,$V114,$U$4:$U113,$U114))</f>
        <v/>
      </c>
      <c r="BD114" s="12"/>
      <c r="BE114" s="12"/>
      <c r="BF114" s="12"/>
      <c r="BG114" s="62"/>
      <c r="BH114" s="62"/>
      <c r="BI114" s="63" t="str">
        <f t="shared" si="75"/>
        <v/>
      </c>
      <c r="BJ114" s="18" t="str">
        <f t="shared" si="76"/>
        <v/>
      </c>
      <c r="BK114" s="12"/>
      <c r="BL114" s="117"/>
      <c r="BM114" s="117"/>
      <c r="BN114" s="16"/>
      <c r="BO114" s="117"/>
      <c r="BP114" s="117"/>
      <c r="BQ114" s="117"/>
      <c r="BR114" s="117"/>
      <c r="BS114" s="117"/>
      <c r="BT114" s="117"/>
      <c r="BU114" s="117"/>
      <c r="BV114" s="117"/>
      <c r="BW114" s="14" t="str">
        <f t="shared" si="77"/>
        <v/>
      </c>
      <c r="BX114" s="14" t="str">
        <f t="shared" si="78"/>
        <v/>
      </c>
      <c r="BY114" s="14" t="str">
        <f t="shared" si="79"/>
        <v/>
      </c>
      <c r="BZ114" s="15" t="str">
        <f t="shared" si="80"/>
        <v/>
      </c>
      <c r="CA114" s="15" t="str">
        <f t="shared" si="81"/>
        <v/>
      </c>
      <c r="CB114" s="117"/>
      <c r="CC114" s="117"/>
      <c r="CD114" s="117"/>
      <c r="CE114" s="117"/>
      <c r="CF114" s="117"/>
      <c r="CG114" s="14" t="str">
        <f t="shared" si="82"/>
        <v/>
      </c>
      <c r="CH114" s="15" t="str">
        <f t="shared" si="83"/>
        <v/>
      </c>
      <c r="CI114" s="117"/>
    </row>
    <row r="115" spans="1:87">
      <c r="A115" s="115"/>
      <c r="B115" s="12"/>
      <c r="C115" s="13"/>
      <c r="D115" s="13"/>
      <c r="E115" s="12"/>
      <c r="F115" s="12"/>
      <c r="G115" s="13"/>
      <c r="H115" s="12"/>
      <c r="I115" s="13"/>
      <c r="J115" s="13"/>
      <c r="K115" s="12"/>
      <c r="L115" s="13"/>
      <c r="M115" s="12"/>
      <c r="N115" s="12"/>
      <c r="O115" s="12"/>
      <c r="P115" s="14" t="str">
        <f t="shared" si="63"/>
        <v/>
      </c>
      <c r="Q115" s="15" t="str">
        <f t="shared" si="64"/>
        <v/>
      </c>
      <c r="R115" s="13"/>
      <c r="S115" s="12"/>
      <c r="T115" s="12"/>
      <c r="U115" s="12"/>
      <c r="V115" s="14" t="str">
        <f t="shared" si="65"/>
        <v/>
      </c>
      <c r="W115" s="15" t="str">
        <f t="shared" si="66"/>
        <v/>
      </c>
      <c r="X115" s="12"/>
      <c r="Y115" s="14" t="str">
        <f t="shared" si="67"/>
        <v/>
      </c>
      <c r="Z115" s="12"/>
      <c r="AA115" s="12"/>
      <c r="AB115" s="16"/>
      <c r="AC115" s="13"/>
      <c r="AD115" s="13"/>
      <c r="AE115" s="13"/>
      <c r="AF115" s="16"/>
      <c r="AG115" s="12"/>
      <c r="AH115" s="13"/>
      <c r="AI115" s="12"/>
      <c r="AJ115" s="14" t="str">
        <f t="shared" si="68"/>
        <v/>
      </c>
      <c r="AK115" s="14" t="str">
        <f t="shared" si="69"/>
        <v/>
      </c>
      <c r="AL115" s="17" t="str">
        <f t="shared" si="70"/>
        <v/>
      </c>
      <c r="AM115" s="16"/>
      <c r="AN115" s="12"/>
      <c r="AO115" s="16"/>
      <c r="AP115" s="12"/>
      <c r="AQ115" s="12"/>
      <c r="AR115" s="14" t="str">
        <f t="shared" si="71"/>
        <v/>
      </c>
      <c r="AS115" s="15" t="str">
        <f t="shared" si="72"/>
        <v/>
      </c>
      <c r="AT115" s="12"/>
      <c r="AU115" s="13"/>
      <c r="AV115" s="12"/>
      <c r="AW115" s="16"/>
      <c r="AX115" s="13"/>
      <c r="AY115" s="17" t="str">
        <f t="shared" si="73"/>
        <v/>
      </c>
      <c r="AZ115" s="14" t="str">
        <f t="shared" ca="1" si="74"/>
        <v/>
      </c>
      <c r="BA115" s="13"/>
      <c r="BB115" s="12"/>
      <c r="BC115" s="14" t="str">
        <f>IF($V115="","",1+COUNTIF($V$5:$V$154,"&gt;"&amp;$V115)+COUNTIFS($V$5:$V$154,$V115,$U$5:$U$154,"&gt;"&amp;$U115)+COUNTIFS($V$4:$V114,$V115,$U$4:$U114,$U115))</f>
        <v/>
      </c>
      <c r="BD115" s="12"/>
      <c r="BE115" s="12"/>
      <c r="BF115" s="12"/>
      <c r="BG115" s="62"/>
      <c r="BH115" s="62"/>
      <c r="BI115" s="63" t="str">
        <f t="shared" si="75"/>
        <v/>
      </c>
      <c r="BJ115" s="18" t="str">
        <f t="shared" si="76"/>
        <v/>
      </c>
      <c r="BK115" s="12"/>
      <c r="BL115" s="117"/>
      <c r="BM115" s="117"/>
      <c r="BN115" s="16"/>
      <c r="BO115" s="117"/>
      <c r="BP115" s="117"/>
      <c r="BQ115" s="117"/>
      <c r="BR115" s="117"/>
      <c r="BS115" s="117"/>
      <c r="BT115" s="117"/>
      <c r="BU115" s="117"/>
      <c r="BV115" s="117"/>
      <c r="BW115" s="14" t="str">
        <f t="shared" si="77"/>
        <v/>
      </c>
      <c r="BX115" s="14" t="str">
        <f t="shared" si="78"/>
        <v/>
      </c>
      <c r="BY115" s="14" t="str">
        <f t="shared" si="79"/>
        <v/>
      </c>
      <c r="BZ115" s="15" t="str">
        <f t="shared" si="80"/>
        <v/>
      </c>
      <c r="CA115" s="15" t="str">
        <f t="shared" si="81"/>
        <v/>
      </c>
      <c r="CB115" s="117"/>
      <c r="CC115" s="117"/>
      <c r="CD115" s="117"/>
      <c r="CE115" s="117"/>
      <c r="CF115" s="117"/>
      <c r="CG115" s="14" t="str">
        <f t="shared" si="82"/>
        <v/>
      </c>
      <c r="CH115" s="15" t="str">
        <f t="shared" si="83"/>
        <v/>
      </c>
      <c r="CI115" s="117"/>
    </row>
    <row r="116" spans="1:87">
      <c r="A116" s="115"/>
      <c r="B116" s="12"/>
      <c r="C116" s="13"/>
      <c r="D116" s="13"/>
      <c r="E116" s="12"/>
      <c r="F116" s="12"/>
      <c r="G116" s="13"/>
      <c r="H116" s="12"/>
      <c r="I116" s="13"/>
      <c r="J116" s="13"/>
      <c r="K116" s="12"/>
      <c r="L116" s="13"/>
      <c r="M116" s="12"/>
      <c r="N116" s="12"/>
      <c r="O116" s="12"/>
      <c r="P116" s="14" t="str">
        <f t="shared" si="63"/>
        <v/>
      </c>
      <c r="Q116" s="15" t="str">
        <f t="shared" si="64"/>
        <v/>
      </c>
      <c r="R116" s="13"/>
      <c r="S116" s="12"/>
      <c r="T116" s="12"/>
      <c r="U116" s="12"/>
      <c r="V116" s="14" t="str">
        <f t="shared" si="65"/>
        <v/>
      </c>
      <c r="W116" s="15" t="str">
        <f t="shared" si="66"/>
        <v/>
      </c>
      <c r="X116" s="12"/>
      <c r="Y116" s="14" t="str">
        <f t="shared" si="67"/>
        <v/>
      </c>
      <c r="Z116" s="12"/>
      <c r="AA116" s="12"/>
      <c r="AB116" s="16"/>
      <c r="AC116" s="13"/>
      <c r="AD116" s="13"/>
      <c r="AE116" s="13"/>
      <c r="AF116" s="16"/>
      <c r="AG116" s="12"/>
      <c r="AH116" s="13"/>
      <c r="AI116" s="12"/>
      <c r="AJ116" s="14" t="str">
        <f t="shared" si="68"/>
        <v/>
      </c>
      <c r="AK116" s="14" t="str">
        <f t="shared" si="69"/>
        <v/>
      </c>
      <c r="AL116" s="17" t="str">
        <f t="shared" si="70"/>
        <v/>
      </c>
      <c r="AM116" s="16"/>
      <c r="AN116" s="12"/>
      <c r="AO116" s="16"/>
      <c r="AP116" s="12"/>
      <c r="AQ116" s="12"/>
      <c r="AR116" s="14" t="str">
        <f t="shared" si="71"/>
        <v/>
      </c>
      <c r="AS116" s="15" t="str">
        <f t="shared" si="72"/>
        <v/>
      </c>
      <c r="AT116" s="12"/>
      <c r="AU116" s="13"/>
      <c r="AV116" s="12"/>
      <c r="AW116" s="16"/>
      <c r="AX116" s="13"/>
      <c r="AY116" s="17" t="str">
        <f t="shared" si="73"/>
        <v/>
      </c>
      <c r="AZ116" s="14" t="str">
        <f t="shared" ca="1" si="74"/>
        <v/>
      </c>
      <c r="BA116" s="13"/>
      <c r="BB116" s="12"/>
      <c r="BC116" s="14" t="str">
        <f>IF($V116="","",1+COUNTIF($V$5:$V$154,"&gt;"&amp;$V116)+COUNTIFS($V$5:$V$154,$V116,$U$5:$U$154,"&gt;"&amp;$U116)+COUNTIFS($V$4:$V115,$V116,$U$4:$U115,$U116))</f>
        <v/>
      </c>
      <c r="BD116" s="12"/>
      <c r="BE116" s="12"/>
      <c r="BF116" s="12"/>
      <c r="BG116" s="62"/>
      <c r="BH116" s="62"/>
      <c r="BI116" s="63" t="str">
        <f t="shared" si="75"/>
        <v/>
      </c>
      <c r="BJ116" s="18" t="str">
        <f t="shared" si="76"/>
        <v/>
      </c>
      <c r="BK116" s="12"/>
      <c r="BL116" s="117"/>
      <c r="BM116" s="117"/>
      <c r="BN116" s="16"/>
      <c r="BO116" s="117"/>
      <c r="BP116" s="117"/>
      <c r="BQ116" s="117"/>
      <c r="BR116" s="117"/>
      <c r="BS116" s="117"/>
      <c r="BT116" s="117"/>
      <c r="BU116" s="117"/>
      <c r="BV116" s="117"/>
      <c r="BW116" s="14" t="str">
        <f t="shared" si="77"/>
        <v/>
      </c>
      <c r="BX116" s="14" t="str">
        <f t="shared" si="78"/>
        <v/>
      </c>
      <c r="BY116" s="14" t="str">
        <f t="shared" si="79"/>
        <v/>
      </c>
      <c r="BZ116" s="15" t="str">
        <f t="shared" si="80"/>
        <v/>
      </c>
      <c r="CA116" s="15" t="str">
        <f t="shared" si="81"/>
        <v/>
      </c>
      <c r="CB116" s="117"/>
      <c r="CC116" s="117"/>
      <c r="CD116" s="117"/>
      <c r="CE116" s="117"/>
      <c r="CF116" s="117"/>
      <c r="CG116" s="14" t="str">
        <f t="shared" si="82"/>
        <v/>
      </c>
      <c r="CH116" s="15" t="str">
        <f t="shared" si="83"/>
        <v/>
      </c>
      <c r="CI116" s="117"/>
    </row>
    <row r="117" spans="1:87">
      <c r="A117" s="115"/>
      <c r="B117" s="12"/>
      <c r="C117" s="13"/>
      <c r="D117" s="13"/>
      <c r="E117" s="12"/>
      <c r="F117" s="12"/>
      <c r="G117" s="13"/>
      <c r="H117" s="12"/>
      <c r="I117" s="13"/>
      <c r="J117" s="13"/>
      <c r="K117" s="12"/>
      <c r="L117" s="13"/>
      <c r="M117" s="12"/>
      <c r="N117" s="12"/>
      <c r="O117" s="12"/>
      <c r="P117" s="14" t="str">
        <f t="shared" si="63"/>
        <v/>
      </c>
      <c r="Q117" s="15" t="str">
        <f t="shared" si="64"/>
        <v/>
      </c>
      <c r="R117" s="13"/>
      <c r="S117" s="12"/>
      <c r="T117" s="12"/>
      <c r="U117" s="12"/>
      <c r="V117" s="14" t="str">
        <f t="shared" si="65"/>
        <v/>
      </c>
      <c r="W117" s="15" t="str">
        <f t="shared" si="66"/>
        <v/>
      </c>
      <c r="X117" s="12"/>
      <c r="Y117" s="14" t="str">
        <f t="shared" si="67"/>
        <v/>
      </c>
      <c r="Z117" s="12"/>
      <c r="AA117" s="12"/>
      <c r="AB117" s="16"/>
      <c r="AC117" s="13"/>
      <c r="AD117" s="13"/>
      <c r="AE117" s="13"/>
      <c r="AF117" s="16"/>
      <c r="AG117" s="12"/>
      <c r="AH117" s="13"/>
      <c r="AI117" s="12"/>
      <c r="AJ117" s="14" t="str">
        <f t="shared" si="68"/>
        <v/>
      </c>
      <c r="AK117" s="14" t="str">
        <f t="shared" si="69"/>
        <v/>
      </c>
      <c r="AL117" s="17" t="str">
        <f t="shared" si="70"/>
        <v/>
      </c>
      <c r="AM117" s="16"/>
      <c r="AN117" s="12"/>
      <c r="AO117" s="16"/>
      <c r="AP117" s="12"/>
      <c r="AQ117" s="12"/>
      <c r="AR117" s="14" t="str">
        <f t="shared" si="71"/>
        <v/>
      </c>
      <c r="AS117" s="15" t="str">
        <f t="shared" si="72"/>
        <v/>
      </c>
      <c r="AT117" s="12"/>
      <c r="AU117" s="13"/>
      <c r="AV117" s="12"/>
      <c r="AW117" s="16"/>
      <c r="AX117" s="13"/>
      <c r="AY117" s="17" t="str">
        <f t="shared" si="73"/>
        <v/>
      </c>
      <c r="AZ117" s="14" t="str">
        <f t="shared" ca="1" si="74"/>
        <v/>
      </c>
      <c r="BA117" s="13"/>
      <c r="BB117" s="12"/>
      <c r="BC117" s="14" t="str">
        <f>IF($V117="","",1+COUNTIF($V$5:$V$154,"&gt;"&amp;$V117)+COUNTIFS($V$5:$V$154,$V117,$U$5:$U$154,"&gt;"&amp;$U117)+COUNTIFS($V$4:$V116,$V117,$U$4:$U116,$U117))</f>
        <v/>
      </c>
      <c r="BD117" s="12"/>
      <c r="BE117" s="12"/>
      <c r="BF117" s="12"/>
      <c r="BG117" s="62"/>
      <c r="BH117" s="62"/>
      <c r="BI117" s="63" t="str">
        <f t="shared" si="75"/>
        <v/>
      </c>
      <c r="BJ117" s="18" t="str">
        <f t="shared" si="76"/>
        <v/>
      </c>
      <c r="BK117" s="12"/>
      <c r="BL117" s="117"/>
      <c r="BM117" s="117"/>
      <c r="BN117" s="16"/>
      <c r="BO117" s="117"/>
      <c r="BP117" s="117"/>
      <c r="BQ117" s="117"/>
      <c r="BR117" s="117"/>
      <c r="BS117" s="117"/>
      <c r="BT117" s="117"/>
      <c r="BU117" s="117"/>
      <c r="BV117" s="117"/>
      <c r="BW117" s="14" t="str">
        <f t="shared" si="77"/>
        <v/>
      </c>
      <c r="BX117" s="14" t="str">
        <f t="shared" si="78"/>
        <v/>
      </c>
      <c r="BY117" s="14" t="str">
        <f t="shared" si="79"/>
        <v/>
      </c>
      <c r="BZ117" s="15" t="str">
        <f t="shared" si="80"/>
        <v/>
      </c>
      <c r="CA117" s="15" t="str">
        <f t="shared" si="81"/>
        <v/>
      </c>
      <c r="CB117" s="117"/>
      <c r="CC117" s="117"/>
      <c r="CD117" s="117"/>
      <c r="CE117" s="117"/>
      <c r="CF117" s="117"/>
      <c r="CG117" s="14" t="str">
        <f t="shared" si="82"/>
        <v/>
      </c>
      <c r="CH117" s="15" t="str">
        <f t="shared" si="83"/>
        <v/>
      </c>
      <c r="CI117" s="117"/>
    </row>
    <row r="118" spans="1:87">
      <c r="A118" s="115"/>
      <c r="B118" s="12"/>
      <c r="C118" s="13"/>
      <c r="D118" s="13"/>
      <c r="E118" s="12"/>
      <c r="F118" s="12"/>
      <c r="G118" s="13"/>
      <c r="H118" s="12"/>
      <c r="I118" s="13"/>
      <c r="J118" s="13"/>
      <c r="K118" s="12"/>
      <c r="L118" s="13"/>
      <c r="M118" s="12"/>
      <c r="N118" s="12"/>
      <c r="O118" s="12"/>
      <c r="P118" s="14" t="str">
        <f t="shared" si="63"/>
        <v/>
      </c>
      <c r="Q118" s="15" t="str">
        <f t="shared" si="64"/>
        <v/>
      </c>
      <c r="R118" s="13"/>
      <c r="S118" s="12"/>
      <c r="T118" s="12"/>
      <c r="U118" s="12"/>
      <c r="V118" s="14" t="str">
        <f t="shared" si="65"/>
        <v/>
      </c>
      <c r="W118" s="15" t="str">
        <f t="shared" si="66"/>
        <v/>
      </c>
      <c r="X118" s="12"/>
      <c r="Y118" s="14" t="str">
        <f t="shared" si="67"/>
        <v/>
      </c>
      <c r="Z118" s="12"/>
      <c r="AA118" s="12"/>
      <c r="AB118" s="16"/>
      <c r="AC118" s="13"/>
      <c r="AD118" s="13"/>
      <c r="AE118" s="13"/>
      <c r="AF118" s="16"/>
      <c r="AG118" s="12"/>
      <c r="AH118" s="13"/>
      <c r="AI118" s="12"/>
      <c r="AJ118" s="14" t="str">
        <f t="shared" si="68"/>
        <v/>
      </c>
      <c r="AK118" s="14" t="str">
        <f t="shared" si="69"/>
        <v/>
      </c>
      <c r="AL118" s="17" t="str">
        <f t="shared" si="70"/>
        <v/>
      </c>
      <c r="AM118" s="16"/>
      <c r="AN118" s="12"/>
      <c r="AO118" s="16"/>
      <c r="AP118" s="12"/>
      <c r="AQ118" s="12"/>
      <c r="AR118" s="14" t="str">
        <f t="shared" si="71"/>
        <v/>
      </c>
      <c r="AS118" s="15" t="str">
        <f t="shared" si="72"/>
        <v/>
      </c>
      <c r="AT118" s="12"/>
      <c r="AU118" s="13"/>
      <c r="AV118" s="12"/>
      <c r="AW118" s="16"/>
      <c r="AX118" s="13"/>
      <c r="AY118" s="17" t="str">
        <f t="shared" si="73"/>
        <v/>
      </c>
      <c r="AZ118" s="14" t="str">
        <f t="shared" ca="1" si="74"/>
        <v/>
      </c>
      <c r="BA118" s="13"/>
      <c r="BB118" s="12"/>
      <c r="BC118" s="14" t="str">
        <f>IF($V118="","",1+COUNTIF($V$5:$V$154,"&gt;"&amp;$V118)+COUNTIFS($V$5:$V$154,$V118,$U$5:$U$154,"&gt;"&amp;$U118)+COUNTIFS($V$4:$V117,$V118,$U$4:$U117,$U118))</f>
        <v/>
      </c>
      <c r="BD118" s="12"/>
      <c r="BE118" s="12"/>
      <c r="BF118" s="12"/>
      <c r="BG118" s="62"/>
      <c r="BH118" s="62"/>
      <c r="BI118" s="63" t="str">
        <f t="shared" si="75"/>
        <v/>
      </c>
      <c r="BJ118" s="18" t="str">
        <f t="shared" si="76"/>
        <v/>
      </c>
      <c r="BK118" s="12"/>
      <c r="BL118" s="117"/>
      <c r="BM118" s="117"/>
      <c r="BN118" s="16"/>
      <c r="BO118" s="117"/>
      <c r="BP118" s="117"/>
      <c r="BQ118" s="117"/>
      <c r="BR118" s="117"/>
      <c r="BS118" s="117"/>
      <c r="BT118" s="117"/>
      <c r="BU118" s="117"/>
      <c r="BV118" s="117"/>
      <c r="BW118" s="14" t="str">
        <f t="shared" si="77"/>
        <v/>
      </c>
      <c r="BX118" s="14" t="str">
        <f t="shared" si="78"/>
        <v/>
      </c>
      <c r="BY118" s="14" t="str">
        <f t="shared" si="79"/>
        <v/>
      </c>
      <c r="BZ118" s="15" t="str">
        <f t="shared" si="80"/>
        <v/>
      </c>
      <c r="CA118" s="15" t="str">
        <f t="shared" si="81"/>
        <v/>
      </c>
      <c r="CB118" s="117"/>
      <c r="CC118" s="117"/>
      <c r="CD118" s="117"/>
      <c r="CE118" s="117"/>
      <c r="CF118" s="117"/>
      <c r="CG118" s="14" t="str">
        <f t="shared" si="82"/>
        <v/>
      </c>
      <c r="CH118" s="15" t="str">
        <f t="shared" si="83"/>
        <v/>
      </c>
      <c r="CI118" s="117"/>
    </row>
    <row r="119" spans="1:87">
      <c r="A119" s="115"/>
      <c r="B119" s="12"/>
      <c r="C119" s="13"/>
      <c r="D119" s="13"/>
      <c r="E119" s="12"/>
      <c r="F119" s="12"/>
      <c r="G119" s="13"/>
      <c r="H119" s="12"/>
      <c r="I119" s="13"/>
      <c r="J119" s="13"/>
      <c r="K119" s="12"/>
      <c r="L119" s="13"/>
      <c r="M119" s="12"/>
      <c r="N119" s="12"/>
      <c r="O119" s="12"/>
      <c r="P119" s="14" t="str">
        <f t="shared" si="63"/>
        <v/>
      </c>
      <c r="Q119" s="15" t="str">
        <f t="shared" si="64"/>
        <v/>
      </c>
      <c r="R119" s="13"/>
      <c r="S119" s="12"/>
      <c r="T119" s="12"/>
      <c r="U119" s="12"/>
      <c r="V119" s="14" t="str">
        <f t="shared" si="65"/>
        <v/>
      </c>
      <c r="W119" s="15" t="str">
        <f t="shared" si="66"/>
        <v/>
      </c>
      <c r="X119" s="12"/>
      <c r="Y119" s="14" t="str">
        <f t="shared" si="67"/>
        <v/>
      </c>
      <c r="Z119" s="12"/>
      <c r="AA119" s="12"/>
      <c r="AB119" s="16"/>
      <c r="AC119" s="13"/>
      <c r="AD119" s="13"/>
      <c r="AE119" s="13"/>
      <c r="AF119" s="16"/>
      <c r="AG119" s="12"/>
      <c r="AH119" s="13"/>
      <c r="AI119" s="12"/>
      <c r="AJ119" s="14" t="str">
        <f t="shared" si="68"/>
        <v/>
      </c>
      <c r="AK119" s="14" t="str">
        <f t="shared" si="69"/>
        <v/>
      </c>
      <c r="AL119" s="17" t="str">
        <f t="shared" si="70"/>
        <v/>
      </c>
      <c r="AM119" s="16"/>
      <c r="AN119" s="12"/>
      <c r="AO119" s="16"/>
      <c r="AP119" s="12"/>
      <c r="AQ119" s="12"/>
      <c r="AR119" s="14" t="str">
        <f t="shared" si="71"/>
        <v/>
      </c>
      <c r="AS119" s="15" t="str">
        <f t="shared" si="72"/>
        <v/>
      </c>
      <c r="AT119" s="12"/>
      <c r="AU119" s="13"/>
      <c r="AV119" s="12"/>
      <c r="AW119" s="16"/>
      <c r="AX119" s="13"/>
      <c r="AY119" s="17" t="str">
        <f t="shared" si="73"/>
        <v/>
      </c>
      <c r="AZ119" s="14" t="str">
        <f t="shared" ca="1" si="74"/>
        <v/>
      </c>
      <c r="BA119" s="13"/>
      <c r="BB119" s="12"/>
      <c r="BC119" s="14" t="str">
        <f>IF($V119="","",1+COUNTIF($V$5:$V$154,"&gt;"&amp;$V119)+COUNTIFS($V$5:$V$154,$V119,$U$5:$U$154,"&gt;"&amp;$U119)+COUNTIFS($V$4:$V118,$V119,$U$4:$U118,$U119))</f>
        <v/>
      </c>
      <c r="BD119" s="12"/>
      <c r="BE119" s="12"/>
      <c r="BF119" s="12"/>
      <c r="BG119" s="62"/>
      <c r="BH119" s="62"/>
      <c r="BI119" s="63" t="str">
        <f t="shared" si="75"/>
        <v/>
      </c>
      <c r="BJ119" s="18" t="str">
        <f t="shared" si="76"/>
        <v/>
      </c>
      <c r="BK119" s="12"/>
      <c r="BL119" s="117"/>
      <c r="BM119" s="117"/>
      <c r="BN119" s="16"/>
      <c r="BO119" s="117"/>
      <c r="BP119" s="117"/>
      <c r="BQ119" s="117"/>
      <c r="BR119" s="117"/>
      <c r="BS119" s="117"/>
      <c r="BT119" s="117"/>
      <c r="BU119" s="117"/>
      <c r="BV119" s="117"/>
      <c r="BW119" s="14" t="str">
        <f t="shared" si="77"/>
        <v/>
      </c>
      <c r="BX119" s="14" t="str">
        <f t="shared" si="78"/>
        <v/>
      </c>
      <c r="BY119" s="14" t="str">
        <f t="shared" si="79"/>
        <v/>
      </c>
      <c r="BZ119" s="15" t="str">
        <f t="shared" si="80"/>
        <v/>
      </c>
      <c r="CA119" s="15" t="str">
        <f t="shared" si="81"/>
        <v/>
      </c>
      <c r="CB119" s="117"/>
      <c r="CC119" s="117"/>
      <c r="CD119" s="117"/>
      <c r="CE119" s="117"/>
      <c r="CF119" s="117"/>
      <c r="CG119" s="14" t="str">
        <f t="shared" si="82"/>
        <v/>
      </c>
      <c r="CH119" s="15" t="str">
        <f t="shared" si="83"/>
        <v/>
      </c>
      <c r="CI119" s="117"/>
    </row>
    <row r="120" spans="1:87">
      <c r="A120" s="115"/>
      <c r="B120" s="12"/>
      <c r="C120" s="13"/>
      <c r="D120" s="13"/>
      <c r="E120" s="12"/>
      <c r="F120" s="12"/>
      <c r="G120" s="13"/>
      <c r="H120" s="12"/>
      <c r="I120" s="13"/>
      <c r="J120" s="13"/>
      <c r="K120" s="12"/>
      <c r="L120" s="13"/>
      <c r="M120" s="12"/>
      <c r="N120" s="12"/>
      <c r="O120" s="12"/>
      <c r="P120" s="14" t="str">
        <f t="shared" si="63"/>
        <v/>
      </c>
      <c r="Q120" s="15" t="str">
        <f t="shared" si="64"/>
        <v/>
      </c>
      <c r="R120" s="13"/>
      <c r="S120" s="12"/>
      <c r="T120" s="12"/>
      <c r="U120" s="12"/>
      <c r="V120" s="14" t="str">
        <f t="shared" si="65"/>
        <v/>
      </c>
      <c r="W120" s="15" t="str">
        <f t="shared" si="66"/>
        <v/>
      </c>
      <c r="X120" s="12"/>
      <c r="Y120" s="14" t="str">
        <f t="shared" si="67"/>
        <v/>
      </c>
      <c r="Z120" s="12"/>
      <c r="AA120" s="12"/>
      <c r="AB120" s="16"/>
      <c r="AC120" s="13"/>
      <c r="AD120" s="13"/>
      <c r="AE120" s="13"/>
      <c r="AF120" s="16"/>
      <c r="AG120" s="12"/>
      <c r="AH120" s="13"/>
      <c r="AI120" s="12"/>
      <c r="AJ120" s="14" t="str">
        <f t="shared" si="68"/>
        <v/>
      </c>
      <c r="AK120" s="14" t="str">
        <f t="shared" si="69"/>
        <v/>
      </c>
      <c r="AL120" s="17" t="str">
        <f t="shared" si="70"/>
        <v/>
      </c>
      <c r="AM120" s="16"/>
      <c r="AN120" s="12"/>
      <c r="AO120" s="16"/>
      <c r="AP120" s="12"/>
      <c r="AQ120" s="12"/>
      <c r="AR120" s="14" t="str">
        <f t="shared" si="71"/>
        <v/>
      </c>
      <c r="AS120" s="15" t="str">
        <f t="shared" si="72"/>
        <v/>
      </c>
      <c r="AT120" s="12"/>
      <c r="AU120" s="13"/>
      <c r="AV120" s="12"/>
      <c r="AW120" s="16"/>
      <c r="AX120" s="13"/>
      <c r="AY120" s="17" t="str">
        <f t="shared" si="73"/>
        <v/>
      </c>
      <c r="AZ120" s="14" t="str">
        <f t="shared" ca="1" si="74"/>
        <v/>
      </c>
      <c r="BA120" s="13"/>
      <c r="BB120" s="12"/>
      <c r="BC120" s="14" t="str">
        <f>IF($V120="","",1+COUNTIF($V$5:$V$154,"&gt;"&amp;$V120)+COUNTIFS($V$5:$V$154,$V120,$U$5:$U$154,"&gt;"&amp;$U120)+COUNTIFS($V$4:$V119,$V120,$U$4:$U119,$U120))</f>
        <v/>
      </c>
      <c r="BD120" s="12"/>
      <c r="BE120" s="12"/>
      <c r="BF120" s="12"/>
      <c r="BG120" s="62"/>
      <c r="BH120" s="62"/>
      <c r="BI120" s="63" t="str">
        <f t="shared" si="75"/>
        <v/>
      </c>
      <c r="BJ120" s="18" t="str">
        <f t="shared" si="76"/>
        <v/>
      </c>
      <c r="BK120" s="12"/>
      <c r="BL120" s="117"/>
      <c r="BM120" s="117"/>
      <c r="BN120" s="16"/>
      <c r="BO120" s="117"/>
      <c r="BP120" s="117"/>
      <c r="BQ120" s="117"/>
      <c r="BR120" s="117"/>
      <c r="BS120" s="117"/>
      <c r="BT120" s="117"/>
      <c r="BU120" s="117"/>
      <c r="BV120" s="117"/>
      <c r="BW120" s="14" t="str">
        <f t="shared" si="77"/>
        <v/>
      </c>
      <c r="BX120" s="14" t="str">
        <f t="shared" si="78"/>
        <v/>
      </c>
      <c r="BY120" s="14" t="str">
        <f t="shared" si="79"/>
        <v/>
      </c>
      <c r="BZ120" s="15" t="str">
        <f t="shared" si="80"/>
        <v/>
      </c>
      <c r="CA120" s="15" t="str">
        <f t="shared" si="81"/>
        <v/>
      </c>
      <c r="CB120" s="117"/>
      <c r="CC120" s="117"/>
      <c r="CD120" s="117"/>
      <c r="CE120" s="117"/>
      <c r="CF120" s="117"/>
      <c r="CG120" s="14" t="str">
        <f t="shared" si="82"/>
        <v/>
      </c>
      <c r="CH120" s="15" t="str">
        <f t="shared" si="83"/>
        <v/>
      </c>
      <c r="CI120" s="117"/>
    </row>
    <row r="121" spans="1:87">
      <c r="A121" s="115"/>
      <c r="B121" s="12"/>
      <c r="C121" s="13"/>
      <c r="D121" s="13"/>
      <c r="E121" s="12"/>
      <c r="F121" s="12"/>
      <c r="G121" s="13"/>
      <c r="H121" s="12"/>
      <c r="I121" s="13"/>
      <c r="J121" s="13"/>
      <c r="K121" s="12"/>
      <c r="L121" s="13"/>
      <c r="M121" s="12"/>
      <c r="N121" s="12"/>
      <c r="O121" s="12"/>
      <c r="P121" s="14" t="str">
        <f t="shared" si="63"/>
        <v/>
      </c>
      <c r="Q121" s="15" t="str">
        <f t="shared" si="64"/>
        <v/>
      </c>
      <c r="R121" s="13"/>
      <c r="S121" s="12"/>
      <c r="T121" s="12"/>
      <c r="U121" s="12"/>
      <c r="V121" s="14" t="str">
        <f t="shared" si="65"/>
        <v/>
      </c>
      <c r="W121" s="15" t="str">
        <f t="shared" si="66"/>
        <v/>
      </c>
      <c r="X121" s="12"/>
      <c r="Y121" s="14" t="str">
        <f t="shared" si="67"/>
        <v/>
      </c>
      <c r="Z121" s="12"/>
      <c r="AA121" s="12"/>
      <c r="AB121" s="16"/>
      <c r="AC121" s="13"/>
      <c r="AD121" s="13"/>
      <c r="AE121" s="13"/>
      <c r="AF121" s="16"/>
      <c r="AG121" s="12"/>
      <c r="AH121" s="13"/>
      <c r="AI121" s="12"/>
      <c r="AJ121" s="14" t="str">
        <f t="shared" si="68"/>
        <v/>
      </c>
      <c r="AK121" s="14" t="str">
        <f t="shared" si="69"/>
        <v/>
      </c>
      <c r="AL121" s="17" t="str">
        <f t="shared" si="70"/>
        <v/>
      </c>
      <c r="AM121" s="16"/>
      <c r="AN121" s="12"/>
      <c r="AO121" s="16"/>
      <c r="AP121" s="12"/>
      <c r="AQ121" s="12"/>
      <c r="AR121" s="14" t="str">
        <f t="shared" si="71"/>
        <v/>
      </c>
      <c r="AS121" s="15" t="str">
        <f t="shared" si="72"/>
        <v/>
      </c>
      <c r="AT121" s="12"/>
      <c r="AU121" s="13"/>
      <c r="AV121" s="12"/>
      <c r="AW121" s="16"/>
      <c r="AX121" s="13"/>
      <c r="AY121" s="17" t="str">
        <f t="shared" si="73"/>
        <v/>
      </c>
      <c r="AZ121" s="14" t="str">
        <f t="shared" ca="1" si="74"/>
        <v/>
      </c>
      <c r="BA121" s="13"/>
      <c r="BB121" s="12"/>
      <c r="BC121" s="14" t="str">
        <f>IF($V121="","",1+COUNTIF($V$5:$V$154,"&gt;"&amp;$V121)+COUNTIFS($V$5:$V$154,$V121,$U$5:$U$154,"&gt;"&amp;$U121)+COUNTIFS($V$4:$V120,$V121,$U$4:$U120,$U121))</f>
        <v/>
      </c>
      <c r="BD121" s="12"/>
      <c r="BE121" s="12"/>
      <c r="BF121" s="12"/>
      <c r="BG121" s="62"/>
      <c r="BH121" s="62"/>
      <c r="BI121" s="63" t="str">
        <f t="shared" si="75"/>
        <v/>
      </c>
      <c r="BJ121" s="18" t="str">
        <f t="shared" si="76"/>
        <v/>
      </c>
      <c r="BK121" s="12"/>
      <c r="BL121" s="117"/>
      <c r="BM121" s="117"/>
      <c r="BN121" s="16"/>
      <c r="BO121" s="117"/>
      <c r="BP121" s="117"/>
      <c r="BQ121" s="117"/>
      <c r="BR121" s="117"/>
      <c r="BS121" s="117"/>
      <c r="BT121" s="117"/>
      <c r="BU121" s="117"/>
      <c r="BV121" s="117"/>
      <c r="BW121" s="14" t="str">
        <f t="shared" si="77"/>
        <v/>
      </c>
      <c r="BX121" s="14" t="str">
        <f t="shared" si="78"/>
        <v/>
      </c>
      <c r="BY121" s="14" t="str">
        <f t="shared" si="79"/>
        <v/>
      </c>
      <c r="BZ121" s="15" t="str">
        <f t="shared" si="80"/>
        <v/>
      </c>
      <c r="CA121" s="15" t="str">
        <f t="shared" si="81"/>
        <v/>
      </c>
      <c r="CB121" s="117"/>
      <c r="CC121" s="117"/>
      <c r="CD121" s="117"/>
      <c r="CE121" s="117"/>
      <c r="CF121" s="117"/>
      <c r="CG121" s="14" t="str">
        <f t="shared" si="82"/>
        <v/>
      </c>
      <c r="CH121" s="15" t="str">
        <f t="shared" si="83"/>
        <v/>
      </c>
      <c r="CI121" s="117"/>
    </row>
    <row r="122" spans="1:87">
      <c r="A122" s="115"/>
      <c r="B122" s="12"/>
      <c r="C122" s="13"/>
      <c r="D122" s="13"/>
      <c r="E122" s="12"/>
      <c r="F122" s="12"/>
      <c r="G122" s="13"/>
      <c r="H122" s="12"/>
      <c r="I122" s="13"/>
      <c r="J122" s="13"/>
      <c r="K122" s="12"/>
      <c r="L122" s="13"/>
      <c r="M122" s="12"/>
      <c r="N122" s="12"/>
      <c r="O122" s="12"/>
      <c r="P122" s="14" t="str">
        <f t="shared" si="63"/>
        <v/>
      </c>
      <c r="Q122" s="15" t="str">
        <f t="shared" si="64"/>
        <v/>
      </c>
      <c r="R122" s="13"/>
      <c r="S122" s="12"/>
      <c r="T122" s="12"/>
      <c r="U122" s="12"/>
      <c r="V122" s="14" t="str">
        <f t="shared" si="65"/>
        <v/>
      </c>
      <c r="W122" s="15" t="str">
        <f t="shared" si="66"/>
        <v/>
      </c>
      <c r="X122" s="12"/>
      <c r="Y122" s="14" t="str">
        <f t="shared" si="67"/>
        <v/>
      </c>
      <c r="Z122" s="12"/>
      <c r="AA122" s="12"/>
      <c r="AB122" s="16"/>
      <c r="AC122" s="13"/>
      <c r="AD122" s="13"/>
      <c r="AE122" s="13"/>
      <c r="AF122" s="16"/>
      <c r="AG122" s="12"/>
      <c r="AH122" s="13"/>
      <c r="AI122" s="12"/>
      <c r="AJ122" s="14" t="str">
        <f t="shared" si="68"/>
        <v/>
      </c>
      <c r="AK122" s="14" t="str">
        <f t="shared" si="69"/>
        <v/>
      </c>
      <c r="AL122" s="17" t="str">
        <f t="shared" si="70"/>
        <v/>
      </c>
      <c r="AM122" s="16"/>
      <c r="AN122" s="12"/>
      <c r="AO122" s="16"/>
      <c r="AP122" s="12"/>
      <c r="AQ122" s="12"/>
      <c r="AR122" s="14" t="str">
        <f t="shared" si="71"/>
        <v/>
      </c>
      <c r="AS122" s="15" t="str">
        <f t="shared" si="72"/>
        <v/>
      </c>
      <c r="AT122" s="12"/>
      <c r="AU122" s="13"/>
      <c r="AV122" s="12"/>
      <c r="AW122" s="16"/>
      <c r="AX122" s="13"/>
      <c r="AY122" s="17" t="str">
        <f t="shared" si="73"/>
        <v/>
      </c>
      <c r="AZ122" s="14" t="str">
        <f t="shared" ca="1" si="74"/>
        <v/>
      </c>
      <c r="BA122" s="13"/>
      <c r="BB122" s="12"/>
      <c r="BC122" s="14" t="str">
        <f>IF($V122="","",1+COUNTIF($V$5:$V$154,"&gt;"&amp;$V122)+COUNTIFS($V$5:$V$154,$V122,$U$5:$U$154,"&gt;"&amp;$U122)+COUNTIFS($V$4:$V121,$V122,$U$4:$U121,$U122))</f>
        <v/>
      </c>
      <c r="BD122" s="12"/>
      <c r="BE122" s="12"/>
      <c r="BF122" s="12"/>
      <c r="BG122" s="62"/>
      <c r="BH122" s="62"/>
      <c r="BI122" s="63" t="str">
        <f t="shared" si="75"/>
        <v/>
      </c>
      <c r="BJ122" s="18" t="str">
        <f t="shared" si="76"/>
        <v/>
      </c>
      <c r="BK122" s="12"/>
      <c r="BL122" s="117"/>
      <c r="BM122" s="117"/>
      <c r="BN122" s="16"/>
      <c r="BO122" s="117"/>
      <c r="BP122" s="117"/>
      <c r="BQ122" s="117"/>
      <c r="BR122" s="117"/>
      <c r="BS122" s="117"/>
      <c r="BT122" s="117"/>
      <c r="BU122" s="117"/>
      <c r="BV122" s="117"/>
      <c r="BW122" s="14" t="str">
        <f t="shared" si="77"/>
        <v/>
      </c>
      <c r="BX122" s="14" t="str">
        <f t="shared" si="78"/>
        <v/>
      </c>
      <c r="BY122" s="14" t="str">
        <f t="shared" si="79"/>
        <v/>
      </c>
      <c r="BZ122" s="15" t="str">
        <f t="shared" si="80"/>
        <v/>
      </c>
      <c r="CA122" s="15" t="str">
        <f t="shared" si="81"/>
        <v/>
      </c>
      <c r="CB122" s="117"/>
      <c r="CC122" s="117"/>
      <c r="CD122" s="117"/>
      <c r="CE122" s="117"/>
      <c r="CF122" s="117"/>
      <c r="CG122" s="14" t="str">
        <f t="shared" si="82"/>
        <v/>
      </c>
      <c r="CH122" s="15" t="str">
        <f t="shared" si="83"/>
        <v/>
      </c>
      <c r="CI122" s="117"/>
    </row>
    <row r="123" spans="1:87">
      <c r="A123" s="115"/>
      <c r="B123" s="12"/>
      <c r="C123" s="13"/>
      <c r="D123" s="13"/>
      <c r="E123" s="12"/>
      <c r="F123" s="12"/>
      <c r="G123" s="13"/>
      <c r="H123" s="12"/>
      <c r="I123" s="13"/>
      <c r="J123" s="13"/>
      <c r="K123" s="12"/>
      <c r="L123" s="13"/>
      <c r="M123" s="12"/>
      <c r="N123" s="12"/>
      <c r="O123" s="12"/>
      <c r="P123" s="14" t="str">
        <f t="shared" si="63"/>
        <v/>
      </c>
      <c r="Q123" s="15" t="str">
        <f t="shared" si="64"/>
        <v/>
      </c>
      <c r="R123" s="13"/>
      <c r="S123" s="12"/>
      <c r="T123" s="12"/>
      <c r="U123" s="12"/>
      <c r="V123" s="14" t="str">
        <f t="shared" si="65"/>
        <v/>
      </c>
      <c r="W123" s="15" t="str">
        <f t="shared" si="66"/>
        <v/>
      </c>
      <c r="X123" s="12"/>
      <c r="Y123" s="14" t="str">
        <f t="shared" si="67"/>
        <v/>
      </c>
      <c r="Z123" s="12"/>
      <c r="AA123" s="12"/>
      <c r="AB123" s="16"/>
      <c r="AC123" s="13"/>
      <c r="AD123" s="13"/>
      <c r="AE123" s="13"/>
      <c r="AF123" s="16"/>
      <c r="AG123" s="12"/>
      <c r="AH123" s="13"/>
      <c r="AI123" s="12"/>
      <c r="AJ123" s="14" t="str">
        <f t="shared" si="68"/>
        <v/>
      </c>
      <c r="AK123" s="14" t="str">
        <f t="shared" si="69"/>
        <v/>
      </c>
      <c r="AL123" s="17" t="str">
        <f t="shared" si="70"/>
        <v/>
      </c>
      <c r="AM123" s="16"/>
      <c r="AN123" s="12"/>
      <c r="AO123" s="16"/>
      <c r="AP123" s="12"/>
      <c r="AQ123" s="12"/>
      <c r="AR123" s="14" t="str">
        <f t="shared" si="71"/>
        <v/>
      </c>
      <c r="AS123" s="15" t="str">
        <f t="shared" si="72"/>
        <v/>
      </c>
      <c r="AT123" s="12"/>
      <c r="AU123" s="13"/>
      <c r="AV123" s="12"/>
      <c r="AW123" s="16"/>
      <c r="AX123" s="13"/>
      <c r="AY123" s="17" t="str">
        <f t="shared" si="73"/>
        <v/>
      </c>
      <c r="AZ123" s="14" t="str">
        <f t="shared" ca="1" si="74"/>
        <v/>
      </c>
      <c r="BA123" s="13"/>
      <c r="BB123" s="12"/>
      <c r="BC123" s="14" t="str">
        <f>IF($V123="","",1+COUNTIF($V$5:$V$154,"&gt;"&amp;$V123)+COUNTIFS($V$5:$V$154,$V123,$U$5:$U$154,"&gt;"&amp;$U123)+COUNTIFS($V$4:$V122,$V123,$U$4:$U122,$U123))</f>
        <v/>
      </c>
      <c r="BD123" s="12"/>
      <c r="BE123" s="12"/>
      <c r="BF123" s="12"/>
      <c r="BG123" s="62"/>
      <c r="BH123" s="62"/>
      <c r="BI123" s="63" t="str">
        <f t="shared" si="75"/>
        <v/>
      </c>
      <c r="BJ123" s="18" t="str">
        <f t="shared" si="76"/>
        <v/>
      </c>
      <c r="BK123" s="12"/>
      <c r="BL123" s="117"/>
      <c r="BM123" s="117"/>
      <c r="BN123" s="16"/>
      <c r="BO123" s="117"/>
      <c r="BP123" s="117"/>
      <c r="BQ123" s="117"/>
      <c r="BR123" s="117"/>
      <c r="BS123" s="117"/>
      <c r="BT123" s="117"/>
      <c r="BU123" s="117"/>
      <c r="BV123" s="117"/>
      <c r="BW123" s="14" t="str">
        <f t="shared" si="77"/>
        <v/>
      </c>
      <c r="BX123" s="14" t="str">
        <f t="shared" si="78"/>
        <v/>
      </c>
      <c r="BY123" s="14" t="str">
        <f t="shared" si="79"/>
        <v/>
      </c>
      <c r="BZ123" s="15" t="str">
        <f t="shared" si="80"/>
        <v/>
      </c>
      <c r="CA123" s="15" t="str">
        <f t="shared" si="81"/>
        <v/>
      </c>
      <c r="CB123" s="117"/>
      <c r="CC123" s="117"/>
      <c r="CD123" s="117"/>
      <c r="CE123" s="117"/>
      <c r="CF123" s="117"/>
      <c r="CG123" s="14" t="str">
        <f t="shared" si="82"/>
        <v/>
      </c>
      <c r="CH123" s="15" t="str">
        <f t="shared" si="83"/>
        <v/>
      </c>
      <c r="CI123" s="117"/>
    </row>
    <row r="124" spans="1:87">
      <c r="A124" s="115"/>
      <c r="B124" s="12"/>
      <c r="C124" s="13"/>
      <c r="D124" s="13"/>
      <c r="E124" s="12"/>
      <c r="F124" s="12"/>
      <c r="G124" s="13"/>
      <c r="H124" s="12"/>
      <c r="I124" s="13"/>
      <c r="J124" s="13"/>
      <c r="K124" s="12"/>
      <c r="L124" s="13"/>
      <c r="M124" s="12"/>
      <c r="N124" s="12"/>
      <c r="O124" s="12"/>
      <c r="P124" s="14" t="str">
        <f t="shared" si="63"/>
        <v/>
      </c>
      <c r="Q124" s="15" t="str">
        <f t="shared" si="64"/>
        <v/>
      </c>
      <c r="R124" s="13"/>
      <c r="S124" s="12"/>
      <c r="T124" s="12"/>
      <c r="U124" s="12"/>
      <c r="V124" s="14" t="str">
        <f t="shared" si="65"/>
        <v/>
      </c>
      <c r="W124" s="15" t="str">
        <f t="shared" si="66"/>
        <v/>
      </c>
      <c r="X124" s="12"/>
      <c r="Y124" s="14" t="str">
        <f t="shared" si="67"/>
        <v/>
      </c>
      <c r="Z124" s="12"/>
      <c r="AA124" s="12"/>
      <c r="AB124" s="16"/>
      <c r="AC124" s="13"/>
      <c r="AD124" s="13"/>
      <c r="AE124" s="13"/>
      <c r="AF124" s="16"/>
      <c r="AG124" s="12"/>
      <c r="AH124" s="13"/>
      <c r="AI124" s="12"/>
      <c r="AJ124" s="14" t="str">
        <f t="shared" si="68"/>
        <v/>
      </c>
      <c r="AK124" s="14" t="str">
        <f t="shared" si="69"/>
        <v/>
      </c>
      <c r="AL124" s="17" t="str">
        <f t="shared" si="70"/>
        <v/>
      </c>
      <c r="AM124" s="16"/>
      <c r="AN124" s="12"/>
      <c r="AO124" s="16"/>
      <c r="AP124" s="12"/>
      <c r="AQ124" s="12"/>
      <c r="AR124" s="14" t="str">
        <f t="shared" si="71"/>
        <v/>
      </c>
      <c r="AS124" s="15" t="str">
        <f t="shared" si="72"/>
        <v/>
      </c>
      <c r="AT124" s="12"/>
      <c r="AU124" s="13"/>
      <c r="AV124" s="12"/>
      <c r="AW124" s="16"/>
      <c r="AX124" s="13"/>
      <c r="AY124" s="17" t="str">
        <f t="shared" si="73"/>
        <v/>
      </c>
      <c r="AZ124" s="14" t="str">
        <f t="shared" ca="1" si="74"/>
        <v/>
      </c>
      <c r="BA124" s="13"/>
      <c r="BB124" s="12"/>
      <c r="BC124" s="14" t="str">
        <f>IF($V124="","",1+COUNTIF($V$5:$V$154,"&gt;"&amp;$V124)+COUNTIFS($V$5:$V$154,$V124,$U$5:$U$154,"&gt;"&amp;$U124)+COUNTIFS($V$4:$V123,$V124,$U$4:$U123,$U124))</f>
        <v/>
      </c>
      <c r="BD124" s="12"/>
      <c r="BE124" s="12"/>
      <c r="BF124" s="12"/>
      <c r="BG124" s="62"/>
      <c r="BH124" s="62"/>
      <c r="BI124" s="63" t="str">
        <f t="shared" si="75"/>
        <v/>
      </c>
      <c r="BJ124" s="18" t="str">
        <f t="shared" si="76"/>
        <v/>
      </c>
      <c r="BK124" s="12"/>
      <c r="BL124" s="117"/>
      <c r="BM124" s="117"/>
      <c r="BN124" s="16"/>
      <c r="BO124" s="117"/>
      <c r="BP124" s="117"/>
      <c r="BQ124" s="117"/>
      <c r="BR124" s="117"/>
      <c r="BS124" s="117"/>
      <c r="BT124" s="117"/>
      <c r="BU124" s="117"/>
      <c r="BV124" s="117"/>
      <c r="BW124" s="14" t="str">
        <f t="shared" si="77"/>
        <v/>
      </c>
      <c r="BX124" s="14" t="str">
        <f t="shared" si="78"/>
        <v/>
      </c>
      <c r="BY124" s="14" t="str">
        <f t="shared" si="79"/>
        <v/>
      </c>
      <c r="BZ124" s="15" t="str">
        <f t="shared" si="80"/>
        <v/>
      </c>
      <c r="CA124" s="15" t="str">
        <f t="shared" si="81"/>
        <v/>
      </c>
      <c r="CB124" s="117"/>
      <c r="CC124" s="117"/>
      <c r="CD124" s="117"/>
      <c r="CE124" s="117"/>
      <c r="CF124" s="117"/>
      <c r="CG124" s="14" t="str">
        <f t="shared" si="82"/>
        <v/>
      </c>
      <c r="CH124" s="15" t="str">
        <f t="shared" si="83"/>
        <v/>
      </c>
      <c r="CI124" s="117"/>
    </row>
    <row r="125" spans="1:87">
      <c r="A125" s="115"/>
      <c r="B125" s="12"/>
      <c r="C125" s="13"/>
      <c r="D125" s="13"/>
      <c r="E125" s="12"/>
      <c r="F125" s="12"/>
      <c r="G125" s="13"/>
      <c r="H125" s="12"/>
      <c r="I125" s="13"/>
      <c r="J125" s="13"/>
      <c r="K125" s="12"/>
      <c r="L125" s="13"/>
      <c r="M125" s="12"/>
      <c r="N125" s="12"/>
      <c r="O125" s="12"/>
      <c r="P125" s="14" t="str">
        <f t="shared" si="63"/>
        <v/>
      </c>
      <c r="Q125" s="15" t="str">
        <f t="shared" si="64"/>
        <v/>
      </c>
      <c r="R125" s="13"/>
      <c r="S125" s="12"/>
      <c r="T125" s="12"/>
      <c r="U125" s="12"/>
      <c r="V125" s="14" t="str">
        <f t="shared" si="65"/>
        <v/>
      </c>
      <c r="W125" s="15" t="str">
        <f t="shared" si="66"/>
        <v/>
      </c>
      <c r="X125" s="12"/>
      <c r="Y125" s="14" t="str">
        <f t="shared" si="67"/>
        <v/>
      </c>
      <c r="Z125" s="12"/>
      <c r="AA125" s="12"/>
      <c r="AB125" s="16"/>
      <c r="AC125" s="13"/>
      <c r="AD125" s="13"/>
      <c r="AE125" s="13"/>
      <c r="AF125" s="16"/>
      <c r="AG125" s="12"/>
      <c r="AH125" s="13"/>
      <c r="AI125" s="12"/>
      <c r="AJ125" s="14" t="str">
        <f t="shared" si="68"/>
        <v/>
      </c>
      <c r="AK125" s="14" t="str">
        <f t="shared" si="69"/>
        <v/>
      </c>
      <c r="AL125" s="17" t="str">
        <f t="shared" si="70"/>
        <v/>
      </c>
      <c r="AM125" s="16"/>
      <c r="AN125" s="12"/>
      <c r="AO125" s="16"/>
      <c r="AP125" s="12"/>
      <c r="AQ125" s="12"/>
      <c r="AR125" s="14" t="str">
        <f t="shared" si="71"/>
        <v/>
      </c>
      <c r="AS125" s="15" t="str">
        <f t="shared" si="72"/>
        <v/>
      </c>
      <c r="AT125" s="12"/>
      <c r="AU125" s="13"/>
      <c r="AV125" s="12"/>
      <c r="AW125" s="16"/>
      <c r="AX125" s="13"/>
      <c r="AY125" s="17" t="str">
        <f t="shared" si="73"/>
        <v/>
      </c>
      <c r="AZ125" s="14" t="str">
        <f t="shared" ca="1" si="74"/>
        <v/>
      </c>
      <c r="BA125" s="13"/>
      <c r="BB125" s="12"/>
      <c r="BC125" s="14" t="str">
        <f>IF($V125="","",1+COUNTIF($V$5:$V$154,"&gt;"&amp;$V125)+COUNTIFS($V$5:$V$154,$V125,$U$5:$U$154,"&gt;"&amp;$U125)+COUNTIFS($V$4:$V124,$V125,$U$4:$U124,$U125))</f>
        <v/>
      </c>
      <c r="BD125" s="12"/>
      <c r="BE125" s="12"/>
      <c r="BF125" s="12"/>
      <c r="BG125" s="62"/>
      <c r="BH125" s="62"/>
      <c r="BI125" s="63" t="str">
        <f t="shared" si="75"/>
        <v/>
      </c>
      <c r="BJ125" s="18" t="str">
        <f t="shared" si="76"/>
        <v/>
      </c>
      <c r="BK125" s="12"/>
      <c r="BL125" s="117"/>
      <c r="BM125" s="117"/>
      <c r="BN125" s="16"/>
      <c r="BO125" s="117"/>
      <c r="BP125" s="117"/>
      <c r="BQ125" s="117"/>
      <c r="BR125" s="117"/>
      <c r="BS125" s="117"/>
      <c r="BT125" s="117"/>
      <c r="BU125" s="117"/>
      <c r="BV125" s="117"/>
      <c r="BW125" s="14" t="str">
        <f t="shared" si="77"/>
        <v/>
      </c>
      <c r="BX125" s="14" t="str">
        <f t="shared" si="78"/>
        <v/>
      </c>
      <c r="BY125" s="14" t="str">
        <f t="shared" si="79"/>
        <v/>
      </c>
      <c r="BZ125" s="15" t="str">
        <f t="shared" si="80"/>
        <v/>
      </c>
      <c r="CA125" s="15" t="str">
        <f t="shared" si="81"/>
        <v/>
      </c>
      <c r="CB125" s="117"/>
      <c r="CC125" s="117"/>
      <c r="CD125" s="117"/>
      <c r="CE125" s="117"/>
      <c r="CF125" s="117"/>
      <c r="CG125" s="14" t="str">
        <f t="shared" si="82"/>
        <v/>
      </c>
      <c r="CH125" s="15" t="str">
        <f t="shared" si="83"/>
        <v/>
      </c>
      <c r="CI125" s="117"/>
    </row>
    <row r="126" spans="1:87">
      <c r="A126" s="115"/>
      <c r="B126" s="12"/>
      <c r="C126" s="13"/>
      <c r="D126" s="13"/>
      <c r="E126" s="12"/>
      <c r="F126" s="12"/>
      <c r="G126" s="13"/>
      <c r="H126" s="12"/>
      <c r="I126" s="13"/>
      <c r="J126" s="13"/>
      <c r="K126" s="12"/>
      <c r="L126" s="13"/>
      <c r="M126" s="12"/>
      <c r="N126" s="12"/>
      <c r="O126" s="12"/>
      <c r="P126" s="14" t="str">
        <f t="shared" si="63"/>
        <v/>
      </c>
      <c r="Q126" s="15" t="str">
        <f t="shared" si="64"/>
        <v/>
      </c>
      <c r="R126" s="13"/>
      <c r="S126" s="12"/>
      <c r="T126" s="12"/>
      <c r="U126" s="12"/>
      <c r="V126" s="14" t="str">
        <f t="shared" si="65"/>
        <v/>
      </c>
      <c r="W126" s="15" t="str">
        <f t="shared" si="66"/>
        <v/>
      </c>
      <c r="X126" s="12"/>
      <c r="Y126" s="14" t="str">
        <f t="shared" si="67"/>
        <v/>
      </c>
      <c r="Z126" s="12"/>
      <c r="AA126" s="12"/>
      <c r="AB126" s="16"/>
      <c r="AC126" s="13"/>
      <c r="AD126" s="13"/>
      <c r="AE126" s="13"/>
      <c r="AF126" s="16"/>
      <c r="AG126" s="12"/>
      <c r="AH126" s="13"/>
      <c r="AI126" s="12"/>
      <c r="AJ126" s="14" t="str">
        <f t="shared" si="68"/>
        <v/>
      </c>
      <c r="AK126" s="14" t="str">
        <f t="shared" si="69"/>
        <v/>
      </c>
      <c r="AL126" s="17" t="str">
        <f t="shared" si="70"/>
        <v/>
      </c>
      <c r="AM126" s="16"/>
      <c r="AN126" s="12"/>
      <c r="AO126" s="16"/>
      <c r="AP126" s="12"/>
      <c r="AQ126" s="12"/>
      <c r="AR126" s="14" t="str">
        <f t="shared" si="71"/>
        <v/>
      </c>
      <c r="AS126" s="15" t="str">
        <f t="shared" si="72"/>
        <v/>
      </c>
      <c r="AT126" s="12"/>
      <c r="AU126" s="13"/>
      <c r="AV126" s="12"/>
      <c r="AW126" s="16"/>
      <c r="AX126" s="13"/>
      <c r="AY126" s="17" t="str">
        <f t="shared" si="73"/>
        <v/>
      </c>
      <c r="AZ126" s="14" t="str">
        <f t="shared" ca="1" si="74"/>
        <v/>
      </c>
      <c r="BA126" s="13"/>
      <c r="BB126" s="12"/>
      <c r="BC126" s="14" t="str">
        <f>IF($V126="","",1+COUNTIF($V$5:$V$154,"&gt;"&amp;$V126)+COUNTIFS($V$5:$V$154,$V126,$U$5:$U$154,"&gt;"&amp;$U126)+COUNTIFS($V$4:$V125,$V126,$U$4:$U125,$U126))</f>
        <v/>
      </c>
      <c r="BD126" s="12"/>
      <c r="BE126" s="12"/>
      <c r="BF126" s="12"/>
      <c r="BG126" s="62"/>
      <c r="BH126" s="62"/>
      <c r="BI126" s="63" t="str">
        <f t="shared" si="75"/>
        <v/>
      </c>
      <c r="BJ126" s="18" t="str">
        <f t="shared" si="76"/>
        <v/>
      </c>
      <c r="BK126" s="12"/>
      <c r="BL126" s="117"/>
      <c r="BM126" s="117"/>
      <c r="BN126" s="16"/>
      <c r="BO126" s="117"/>
      <c r="BP126" s="117"/>
      <c r="BQ126" s="117"/>
      <c r="BR126" s="117"/>
      <c r="BS126" s="117"/>
      <c r="BT126" s="117"/>
      <c r="BU126" s="117"/>
      <c r="BV126" s="117"/>
      <c r="BW126" s="14" t="str">
        <f t="shared" si="77"/>
        <v/>
      </c>
      <c r="BX126" s="14" t="str">
        <f t="shared" si="78"/>
        <v/>
      </c>
      <c r="BY126" s="14" t="str">
        <f t="shared" si="79"/>
        <v/>
      </c>
      <c r="BZ126" s="15" t="str">
        <f t="shared" si="80"/>
        <v/>
      </c>
      <c r="CA126" s="15" t="str">
        <f t="shared" si="81"/>
        <v/>
      </c>
      <c r="CB126" s="117"/>
      <c r="CC126" s="117"/>
      <c r="CD126" s="117"/>
      <c r="CE126" s="117"/>
      <c r="CF126" s="117"/>
      <c r="CG126" s="14" t="str">
        <f t="shared" si="82"/>
        <v/>
      </c>
      <c r="CH126" s="15" t="str">
        <f t="shared" si="83"/>
        <v/>
      </c>
      <c r="CI126" s="117"/>
    </row>
    <row r="127" spans="1:87">
      <c r="A127" s="115"/>
      <c r="B127" s="12"/>
      <c r="C127" s="13"/>
      <c r="D127" s="13"/>
      <c r="E127" s="12"/>
      <c r="F127" s="12"/>
      <c r="G127" s="13"/>
      <c r="H127" s="12"/>
      <c r="I127" s="13"/>
      <c r="J127" s="13"/>
      <c r="K127" s="12"/>
      <c r="L127" s="13"/>
      <c r="M127" s="12"/>
      <c r="N127" s="12"/>
      <c r="O127" s="12"/>
      <c r="P127" s="14" t="str">
        <f t="shared" si="63"/>
        <v/>
      </c>
      <c r="Q127" s="15" t="str">
        <f t="shared" si="64"/>
        <v/>
      </c>
      <c r="R127" s="13"/>
      <c r="S127" s="12"/>
      <c r="T127" s="12"/>
      <c r="U127" s="12"/>
      <c r="V127" s="14" t="str">
        <f t="shared" si="65"/>
        <v/>
      </c>
      <c r="W127" s="15" t="str">
        <f t="shared" si="66"/>
        <v/>
      </c>
      <c r="X127" s="12"/>
      <c r="Y127" s="14" t="str">
        <f t="shared" si="67"/>
        <v/>
      </c>
      <c r="Z127" s="12"/>
      <c r="AA127" s="12"/>
      <c r="AB127" s="16"/>
      <c r="AC127" s="13"/>
      <c r="AD127" s="13"/>
      <c r="AE127" s="13"/>
      <c r="AF127" s="16"/>
      <c r="AG127" s="12"/>
      <c r="AH127" s="13"/>
      <c r="AI127" s="12"/>
      <c r="AJ127" s="14" t="str">
        <f t="shared" si="68"/>
        <v/>
      </c>
      <c r="AK127" s="14" t="str">
        <f t="shared" si="69"/>
        <v/>
      </c>
      <c r="AL127" s="17" t="str">
        <f t="shared" si="70"/>
        <v/>
      </c>
      <c r="AM127" s="16"/>
      <c r="AN127" s="12"/>
      <c r="AO127" s="16"/>
      <c r="AP127" s="12"/>
      <c r="AQ127" s="12"/>
      <c r="AR127" s="14" t="str">
        <f t="shared" si="71"/>
        <v/>
      </c>
      <c r="AS127" s="15" t="str">
        <f t="shared" si="72"/>
        <v/>
      </c>
      <c r="AT127" s="12"/>
      <c r="AU127" s="13"/>
      <c r="AV127" s="12"/>
      <c r="AW127" s="16"/>
      <c r="AX127" s="13"/>
      <c r="AY127" s="17" t="str">
        <f t="shared" si="73"/>
        <v/>
      </c>
      <c r="AZ127" s="14" t="str">
        <f t="shared" ca="1" si="74"/>
        <v/>
      </c>
      <c r="BA127" s="13"/>
      <c r="BB127" s="12"/>
      <c r="BC127" s="14" t="str">
        <f>IF($V127="","",1+COUNTIF($V$5:$V$154,"&gt;"&amp;$V127)+COUNTIFS($V$5:$V$154,$V127,$U$5:$U$154,"&gt;"&amp;$U127)+COUNTIFS($V$4:$V126,$V127,$U$4:$U126,$U127))</f>
        <v/>
      </c>
      <c r="BD127" s="12"/>
      <c r="BE127" s="12"/>
      <c r="BF127" s="12"/>
      <c r="BG127" s="62"/>
      <c r="BH127" s="62"/>
      <c r="BI127" s="63" t="str">
        <f t="shared" si="75"/>
        <v/>
      </c>
      <c r="BJ127" s="18" t="str">
        <f t="shared" si="76"/>
        <v/>
      </c>
      <c r="BK127" s="12"/>
      <c r="BL127" s="117"/>
      <c r="BM127" s="117"/>
      <c r="BN127" s="16"/>
      <c r="BO127" s="117"/>
      <c r="BP127" s="117"/>
      <c r="BQ127" s="117"/>
      <c r="BR127" s="117"/>
      <c r="BS127" s="117"/>
      <c r="BT127" s="117"/>
      <c r="BU127" s="117"/>
      <c r="BV127" s="117"/>
      <c r="BW127" s="14" t="str">
        <f t="shared" si="77"/>
        <v/>
      </c>
      <c r="BX127" s="14" t="str">
        <f t="shared" si="78"/>
        <v/>
      </c>
      <c r="BY127" s="14" t="str">
        <f t="shared" si="79"/>
        <v/>
      </c>
      <c r="BZ127" s="15" t="str">
        <f t="shared" si="80"/>
        <v/>
      </c>
      <c r="CA127" s="15" t="str">
        <f t="shared" si="81"/>
        <v/>
      </c>
      <c r="CB127" s="117"/>
      <c r="CC127" s="117"/>
      <c r="CD127" s="117"/>
      <c r="CE127" s="117"/>
      <c r="CF127" s="117"/>
      <c r="CG127" s="14" t="str">
        <f t="shared" si="82"/>
        <v/>
      </c>
      <c r="CH127" s="15" t="str">
        <f t="shared" si="83"/>
        <v/>
      </c>
      <c r="CI127" s="117"/>
    </row>
    <row r="128" spans="1:87">
      <c r="A128" s="115"/>
      <c r="B128" s="12"/>
      <c r="C128" s="13"/>
      <c r="D128" s="13"/>
      <c r="E128" s="12"/>
      <c r="F128" s="12"/>
      <c r="G128" s="13"/>
      <c r="H128" s="12"/>
      <c r="I128" s="13"/>
      <c r="J128" s="13"/>
      <c r="K128" s="12"/>
      <c r="L128" s="13"/>
      <c r="M128" s="12"/>
      <c r="N128" s="12"/>
      <c r="O128" s="12"/>
      <c r="P128" s="14" t="str">
        <f t="shared" si="63"/>
        <v/>
      </c>
      <c r="Q128" s="15" t="str">
        <f t="shared" si="64"/>
        <v/>
      </c>
      <c r="R128" s="13"/>
      <c r="S128" s="12"/>
      <c r="T128" s="12"/>
      <c r="U128" s="12"/>
      <c r="V128" s="14" t="str">
        <f t="shared" si="65"/>
        <v/>
      </c>
      <c r="W128" s="15" t="str">
        <f t="shared" si="66"/>
        <v/>
      </c>
      <c r="X128" s="12"/>
      <c r="Y128" s="14" t="str">
        <f t="shared" si="67"/>
        <v/>
      </c>
      <c r="Z128" s="12"/>
      <c r="AA128" s="12"/>
      <c r="AB128" s="16"/>
      <c r="AC128" s="13"/>
      <c r="AD128" s="13"/>
      <c r="AE128" s="13"/>
      <c r="AF128" s="16"/>
      <c r="AG128" s="12"/>
      <c r="AH128" s="13"/>
      <c r="AI128" s="12"/>
      <c r="AJ128" s="14" t="str">
        <f t="shared" si="68"/>
        <v/>
      </c>
      <c r="AK128" s="14" t="str">
        <f t="shared" si="69"/>
        <v/>
      </c>
      <c r="AL128" s="17" t="str">
        <f t="shared" si="70"/>
        <v/>
      </c>
      <c r="AM128" s="16"/>
      <c r="AN128" s="12"/>
      <c r="AO128" s="16"/>
      <c r="AP128" s="12"/>
      <c r="AQ128" s="12"/>
      <c r="AR128" s="14" t="str">
        <f t="shared" si="71"/>
        <v/>
      </c>
      <c r="AS128" s="15" t="str">
        <f t="shared" si="72"/>
        <v/>
      </c>
      <c r="AT128" s="12"/>
      <c r="AU128" s="13"/>
      <c r="AV128" s="12"/>
      <c r="AW128" s="16"/>
      <c r="AX128" s="13"/>
      <c r="AY128" s="17" t="str">
        <f t="shared" si="73"/>
        <v/>
      </c>
      <c r="AZ128" s="14" t="str">
        <f t="shared" ca="1" si="74"/>
        <v/>
      </c>
      <c r="BA128" s="13"/>
      <c r="BB128" s="12"/>
      <c r="BC128" s="14" t="str">
        <f>IF($V128="","",1+COUNTIF($V$5:$V$154,"&gt;"&amp;$V128)+COUNTIFS($V$5:$V$154,$V128,$U$5:$U$154,"&gt;"&amp;$U128)+COUNTIFS($V$4:$V127,$V128,$U$4:$U127,$U128))</f>
        <v/>
      </c>
      <c r="BD128" s="12"/>
      <c r="BE128" s="12"/>
      <c r="BF128" s="12"/>
      <c r="BG128" s="62"/>
      <c r="BH128" s="62"/>
      <c r="BI128" s="63" t="str">
        <f t="shared" si="75"/>
        <v/>
      </c>
      <c r="BJ128" s="18" t="str">
        <f t="shared" si="76"/>
        <v/>
      </c>
      <c r="BK128" s="12"/>
      <c r="BL128" s="117"/>
      <c r="BM128" s="117"/>
      <c r="BN128" s="16"/>
      <c r="BO128" s="117"/>
      <c r="BP128" s="117"/>
      <c r="BQ128" s="117"/>
      <c r="BR128" s="117"/>
      <c r="BS128" s="117"/>
      <c r="BT128" s="117"/>
      <c r="BU128" s="117"/>
      <c r="BV128" s="117"/>
      <c r="BW128" s="14" t="str">
        <f t="shared" si="77"/>
        <v/>
      </c>
      <c r="BX128" s="14" t="str">
        <f t="shared" si="78"/>
        <v/>
      </c>
      <c r="BY128" s="14" t="str">
        <f t="shared" si="79"/>
        <v/>
      </c>
      <c r="BZ128" s="15" t="str">
        <f t="shared" si="80"/>
        <v/>
      </c>
      <c r="CA128" s="15" t="str">
        <f t="shared" si="81"/>
        <v/>
      </c>
      <c r="CB128" s="117"/>
      <c r="CC128" s="117"/>
      <c r="CD128" s="117"/>
      <c r="CE128" s="117"/>
      <c r="CF128" s="117"/>
      <c r="CG128" s="14" t="str">
        <f t="shared" si="82"/>
        <v/>
      </c>
      <c r="CH128" s="15" t="str">
        <f t="shared" si="83"/>
        <v/>
      </c>
      <c r="CI128" s="117"/>
    </row>
    <row r="129" spans="1:87">
      <c r="A129" s="115"/>
      <c r="B129" s="12"/>
      <c r="C129" s="13"/>
      <c r="D129" s="13"/>
      <c r="E129" s="12"/>
      <c r="F129" s="12"/>
      <c r="G129" s="13"/>
      <c r="H129" s="12"/>
      <c r="I129" s="13"/>
      <c r="J129" s="13"/>
      <c r="K129" s="12"/>
      <c r="L129" s="13"/>
      <c r="M129" s="12"/>
      <c r="N129" s="12"/>
      <c r="O129" s="12"/>
      <c r="P129" s="14" t="str">
        <f t="shared" si="63"/>
        <v/>
      </c>
      <c r="Q129" s="15" t="str">
        <f t="shared" si="64"/>
        <v/>
      </c>
      <c r="R129" s="13"/>
      <c r="S129" s="12"/>
      <c r="T129" s="12"/>
      <c r="U129" s="12"/>
      <c r="V129" s="14" t="str">
        <f t="shared" si="65"/>
        <v/>
      </c>
      <c r="W129" s="15" t="str">
        <f t="shared" si="66"/>
        <v/>
      </c>
      <c r="X129" s="12"/>
      <c r="Y129" s="14" t="str">
        <f t="shared" si="67"/>
        <v/>
      </c>
      <c r="Z129" s="12"/>
      <c r="AA129" s="12"/>
      <c r="AB129" s="16"/>
      <c r="AC129" s="13"/>
      <c r="AD129" s="13"/>
      <c r="AE129" s="13"/>
      <c r="AF129" s="16"/>
      <c r="AG129" s="12"/>
      <c r="AH129" s="13"/>
      <c r="AI129" s="12"/>
      <c r="AJ129" s="14" t="str">
        <f t="shared" si="68"/>
        <v/>
      </c>
      <c r="AK129" s="14" t="str">
        <f t="shared" si="69"/>
        <v/>
      </c>
      <c r="AL129" s="17" t="str">
        <f t="shared" si="70"/>
        <v/>
      </c>
      <c r="AM129" s="16"/>
      <c r="AN129" s="12"/>
      <c r="AO129" s="16"/>
      <c r="AP129" s="12"/>
      <c r="AQ129" s="12"/>
      <c r="AR129" s="14" t="str">
        <f t="shared" si="71"/>
        <v/>
      </c>
      <c r="AS129" s="15" t="str">
        <f t="shared" si="72"/>
        <v/>
      </c>
      <c r="AT129" s="12"/>
      <c r="AU129" s="13"/>
      <c r="AV129" s="12"/>
      <c r="AW129" s="16"/>
      <c r="AX129" s="13"/>
      <c r="AY129" s="17" t="str">
        <f t="shared" si="73"/>
        <v/>
      </c>
      <c r="AZ129" s="14" t="str">
        <f t="shared" ca="1" si="74"/>
        <v/>
      </c>
      <c r="BA129" s="13"/>
      <c r="BB129" s="12"/>
      <c r="BC129" s="14" t="str">
        <f>IF($V129="","",1+COUNTIF($V$5:$V$154,"&gt;"&amp;$V129)+COUNTIFS($V$5:$V$154,$V129,$U$5:$U$154,"&gt;"&amp;$U129)+COUNTIFS($V$4:$V128,$V129,$U$4:$U128,$U129))</f>
        <v/>
      </c>
      <c r="BD129" s="12"/>
      <c r="BE129" s="12"/>
      <c r="BF129" s="12"/>
      <c r="BG129" s="62"/>
      <c r="BH129" s="62"/>
      <c r="BI129" s="63" t="str">
        <f t="shared" si="75"/>
        <v/>
      </c>
      <c r="BJ129" s="18" t="str">
        <f t="shared" si="76"/>
        <v/>
      </c>
      <c r="BK129" s="12"/>
      <c r="BL129" s="117"/>
      <c r="BM129" s="117"/>
      <c r="BN129" s="16"/>
      <c r="BO129" s="117"/>
      <c r="BP129" s="117"/>
      <c r="BQ129" s="117"/>
      <c r="BR129" s="117"/>
      <c r="BS129" s="117"/>
      <c r="BT129" s="117"/>
      <c r="BU129" s="117"/>
      <c r="BV129" s="117"/>
      <c r="BW129" s="14" t="str">
        <f t="shared" si="77"/>
        <v/>
      </c>
      <c r="BX129" s="14" t="str">
        <f t="shared" si="78"/>
        <v/>
      </c>
      <c r="BY129" s="14" t="str">
        <f t="shared" si="79"/>
        <v/>
      </c>
      <c r="BZ129" s="15" t="str">
        <f t="shared" si="80"/>
        <v/>
      </c>
      <c r="CA129" s="15" t="str">
        <f t="shared" si="81"/>
        <v/>
      </c>
      <c r="CB129" s="117"/>
      <c r="CC129" s="117"/>
      <c r="CD129" s="117"/>
      <c r="CE129" s="117"/>
      <c r="CF129" s="117"/>
      <c r="CG129" s="14" t="str">
        <f t="shared" si="82"/>
        <v/>
      </c>
      <c r="CH129" s="15" t="str">
        <f t="shared" si="83"/>
        <v/>
      </c>
      <c r="CI129" s="117"/>
    </row>
    <row r="130" spans="1:87">
      <c r="A130" s="115"/>
      <c r="B130" s="12"/>
      <c r="C130" s="13"/>
      <c r="D130" s="13"/>
      <c r="E130" s="12"/>
      <c r="F130" s="12"/>
      <c r="G130" s="13"/>
      <c r="H130" s="12"/>
      <c r="I130" s="13"/>
      <c r="J130" s="13"/>
      <c r="K130" s="12"/>
      <c r="L130" s="13"/>
      <c r="M130" s="12"/>
      <c r="N130" s="12"/>
      <c r="O130" s="12"/>
      <c r="P130" s="14" t="str">
        <f t="shared" si="63"/>
        <v/>
      </c>
      <c r="Q130" s="15" t="str">
        <f t="shared" si="64"/>
        <v/>
      </c>
      <c r="R130" s="13"/>
      <c r="S130" s="12"/>
      <c r="T130" s="12"/>
      <c r="U130" s="12"/>
      <c r="V130" s="14" t="str">
        <f t="shared" si="65"/>
        <v/>
      </c>
      <c r="W130" s="15" t="str">
        <f t="shared" si="66"/>
        <v/>
      </c>
      <c r="X130" s="12"/>
      <c r="Y130" s="14" t="str">
        <f t="shared" si="67"/>
        <v/>
      </c>
      <c r="Z130" s="12"/>
      <c r="AA130" s="12"/>
      <c r="AB130" s="16"/>
      <c r="AC130" s="13"/>
      <c r="AD130" s="13"/>
      <c r="AE130" s="13"/>
      <c r="AF130" s="16"/>
      <c r="AG130" s="12"/>
      <c r="AH130" s="13"/>
      <c r="AI130" s="12"/>
      <c r="AJ130" s="14" t="str">
        <f t="shared" si="68"/>
        <v/>
      </c>
      <c r="AK130" s="14" t="str">
        <f t="shared" si="69"/>
        <v/>
      </c>
      <c r="AL130" s="17" t="str">
        <f t="shared" si="70"/>
        <v/>
      </c>
      <c r="AM130" s="16"/>
      <c r="AN130" s="12"/>
      <c r="AO130" s="16"/>
      <c r="AP130" s="12"/>
      <c r="AQ130" s="12"/>
      <c r="AR130" s="14" t="str">
        <f t="shared" si="71"/>
        <v/>
      </c>
      <c r="AS130" s="15" t="str">
        <f t="shared" si="72"/>
        <v/>
      </c>
      <c r="AT130" s="12"/>
      <c r="AU130" s="13"/>
      <c r="AV130" s="12"/>
      <c r="AW130" s="16"/>
      <c r="AX130" s="13"/>
      <c r="AY130" s="17" t="str">
        <f t="shared" si="73"/>
        <v/>
      </c>
      <c r="AZ130" s="14" t="str">
        <f t="shared" ca="1" si="74"/>
        <v/>
      </c>
      <c r="BA130" s="13"/>
      <c r="BB130" s="12"/>
      <c r="BC130" s="14" t="str">
        <f>IF($V130="","",1+COUNTIF($V$5:$V$154,"&gt;"&amp;$V130)+COUNTIFS($V$5:$V$154,$V130,$U$5:$U$154,"&gt;"&amp;$U130)+COUNTIFS($V$4:$V129,$V130,$U$4:$U129,$U130))</f>
        <v/>
      </c>
      <c r="BD130" s="12"/>
      <c r="BE130" s="12"/>
      <c r="BF130" s="12"/>
      <c r="BG130" s="62"/>
      <c r="BH130" s="62"/>
      <c r="BI130" s="63" t="str">
        <f t="shared" si="75"/>
        <v/>
      </c>
      <c r="BJ130" s="18" t="str">
        <f t="shared" si="76"/>
        <v/>
      </c>
      <c r="BK130" s="12"/>
      <c r="BL130" s="117"/>
      <c r="BM130" s="117"/>
      <c r="BN130" s="16"/>
      <c r="BO130" s="117"/>
      <c r="BP130" s="117"/>
      <c r="BQ130" s="117"/>
      <c r="BR130" s="117"/>
      <c r="BS130" s="117"/>
      <c r="BT130" s="117"/>
      <c r="BU130" s="117"/>
      <c r="BV130" s="117"/>
      <c r="BW130" s="14" t="str">
        <f t="shared" si="77"/>
        <v/>
      </c>
      <c r="BX130" s="14" t="str">
        <f t="shared" si="78"/>
        <v/>
      </c>
      <c r="BY130" s="14" t="str">
        <f t="shared" si="79"/>
        <v/>
      </c>
      <c r="BZ130" s="15" t="str">
        <f t="shared" si="80"/>
        <v/>
      </c>
      <c r="CA130" s="15" t="str">
        <f t="shared" si="81"/>
        <v/>
      </c>
      <c r="CB130" s="117"/>
      <c r="CC130" s="117"/>
      <c r="CD130" s="117"/>
      <c r="CE130" s="117"/>
      <c r="CF130" s="117"/>
      <c r="CG130" s="14" t="str">
        <f t="shared" si="82"/>
        <v/>
      </c>
      <c r="CH130" s="15" t="str">
        <f t="shared" si="83"/>
        <v/>
      </c>
      <c r="CI130" s="117"/>
    </row>
    <row r="131" spans="1:87">
      <c r="A131" s="115"/>
      <c r="B131" s="12"/>
      <c r="C131" s="13"/>
      <c r="D131" s="13"/>
      <c r="E131" s="12"/>
      <c r="F131" s="12"/>
      <c r="G131" s="13"/>
      <c r="H131" s="12"/>
      <c r="I131" s="13"/>
      <c r="J131" s="13"/>
      <c r="K131" s="12"/>
      <c r="L131" s="13"/>
      <c r="M131" s="12"/>
      <c r="N131" s="12"/>
      <c r="O131" s="12"/>
      <c r="P131" s="14" t="str">
        <f t="shared" si="63"/>
        <v/>
      </c>
      <c r="Q131" s="15" t="str">
        <f t="shared" si="64"/>
        <v/>
      </c>
      <c r="R131" s="13"/>
      <c r="S131" s="12"/>
      <c r="T131" s="12"/>
      <c r="U131" s="12"/>
      <c r="V131" s="14" t="str">
        <f t="shared" si="65"/>
        <v/>
      </c>
      <c r="W131" s="15" t="str">
        <f t="shared" si="66"/>
        <v/>
      </c>
      <c r="X131" s="12"/>
      <c r="Y131" s="14" t="str">
        <f t="shared" si="67"/>
        <v/>
      </c>
      <c r="Z131" s="12"/>
      <c r="AA131" s="12"/>
      <c r="AB131" s="16"/>
      <c r="AC131" s="13"/>
      <c r="AD131" s="13"/>
      <c r="AE131" s="13"/>
      <c r="AF131" s="16"/>
      <c r="AG131" s="12"/>
      <c r="AH131" s="13"/>
      <c r="AI131" s="12"/>
      <c r="AJ131" s="14" t="str">
        <f t="shared" si="68"/>
        <v/>
      </c>
      <c r="AK131" s="14" t="str">
        <f t="shared" si="69"/>
        <v/>
      </c>
      <c r="AL131" s="17" t="str">
        <f t="shared" si="70"/>
        <v/>
      </c>
      <c r="AM131" s="16"/>
      <c r="AN131" s="12"/>
      <c r="AO131" s="16"/>
      <c r="AP131" s="12"/>
      <c r="AQ131" s="12"/>
      <c r="AR131" s="14" t="str">
        <f t="shared" si="71"/>
        <v/>
      </c>
      <c r="AS131" s="15" t="str">
        <f t="shared" si="72"/>
        <v/>
      </c>
      <c r="AT131" s="12"/>
      <c r="AU131" s="13"/>
      <c r="AV131" s="12"/>
      <c r="AW131" s="16"/>
      <c r="AX131" s="13"/>
      <c r="AY131" s="17" t="str">
        <f t="shared" si="73"/>
        <v/>
      </c>
      <c r="AZ131" s="14" t="str">
        <f t="shared" ca="1" si="74"/>
        <v/>
      </c>
      <c r="BA131" s="13"/>
      <c r="BB131" s="12"/>
      <c r="BC131" s="14" t="str">
        <f>IF($V131="","",1+COUNTIF($V$5:$V$154,"&gt;"&amp;$V131)+COUNTIFS($V$5:$V$154,$V131,$U$5:$U$154,"&gt;"&amp;$U131)+COUNTIFS($V$4:$V130,$V131,$U$4:$U130,$U131))</f>
        <v/>
      </c>
      <c r="BD131" s="12"/>
      <c r="BE131" s="12"/>
      <c r="BF131" s="12"/>
      <c r="BG131" s="62"/>
      <c r="BH131" s="62"/>
      <c r="BI131" s="63" t="str">
        <f t="shared" si="75"/>
        <v/>
      </c>
      <c r="BJ131" s="18" t="str">
        <f t="shared" si="76"/>
        <v/>
      </c>
      <c r="BK131" s="12"/>
      <c r="BL131" s="117"/>
      <c r="BM131" s="117"/>
      <c r="BN131" s="16"/>
      <c r="BO131" s="117"/>
      <c r="BP131" s="117"/>
      <c r="BQ131" s="117"/>
      <c r="BR131" s="117"/>
      <c r="BS131" s="117"/>
      <c r="BT131" s="117"/>
      <c r="BU131" s="117"/>
      <c r="BV131" s="117"/>
      <c r="BW131" s="14" t="str">
        <f t="shared" si="77"/>
        <v/>
      </c>
      <c r="BX131" s="14" t="str">
        <f t="shared" si="78"/>
        <v/>
      </c>
      <c r="BY131" s="14" t="str">
        <f t="shared" si="79"/>
        <v/>
      </c>
      <c r="BZ131" s="15" t="str">
        <f t="shared" si="80"/>
        <v/>
      </c>
      <c r="CA131" s="15" t="str">
        <f t="shared" si="81"/>
        <v/>
      </c>
      <c r="CB131" s="117"/>
      <c r="CC131" s="117"/>
      <c r="CD131" s="117"/>
      <c r="CE131" s="117"/>
      <c r="CF131" s="117"/>
      <c r="CG131" s="14" t="str">
        <f t="shared" si="82"/>
        <v/>
      </c>
      <c r="CH131" s="15" t="str">
        <f t="shared" si="83"/>
        <v/>
      </c>
      <c r="CI131" s="117"/>
    </row>
    <row r="132" spans="1:87">
      <c r="A132" s="115"/>
      <c r="B132" s="12"/>
      <c r="C132" s="13"/>
      <c r="D132" s="13"/>
      <c r="E132" s="12"/>
      <c r="F132" s="12"/>
      <c r="G132" s="13"/>
      <c r="H132" s="12"/>
      <c r="I132" s="13"/>
      <c r="J132" s="13"/>
      <c r="K132" s="12"/>
      <c r="L132" s="13"/>
      <c r="M132" s="12"/>
      <c r="N132" s="12"/>
      <c r="O132" s="12"/>
      <c r="P132" s="14" t="str">
        <f t="shared" si="63"/>
        <v/>
      </c>
      <c r="Q132" s="15" t="str">
        <f t="shared" si="64"/>
        <v/>
      </c>
      <c r="R132" s="13"/>
      <c r="S132" s="12"/>
      <c r="T132" s="12"/>
      <c r="U132" s="12"/>
      <c r="V132" s="14" t="str">
        <f t="shared" si="65"/>
        <v/>
      </c>
      <c r="W132" s="15" t="str">
        <f t="shared" si="66"/>
        <v/>
      </c>
      <c r="X132" s="12"/>
      <c r="Y132" s="14" t="str">
        <f t="shared" si="67"/>
        <v/>
      </c>
      <c r="Z132" s="12"/>
      <c r="AA132" s="12"/>
      <c r="AB132" s="16"/>
      <c r="AC132" s="13"/>
      <c r="AD132" s="13"/>
      <c r="AE132" s="13"/>
      <c r="AF132" s="16"/>
      <c r="AG132" s="12"/>
      <c r="AH132" s="13"/>
      <c r="AI132" s="12"/>
      <c r="AJ132" s="14" t="str">
        <f t="shared" si="68"/>
        <v/>
      </c>
      <c r="AK132" s="14" t="str">
        <f t="shared" si="69"/>
        <v/>
      </c>
      <c r="AL132" s="17" t="str">
        <f t="shared" si="70"/>
        <v/>
      </c>
      <c r="AM132" s="16"/>
      <c r="AN132" s="12"/>
      <c r="AO132" s="16"/>
      <c r="AP132" s="12"/>
      <c r="AQ132" s="12"/>
      <c r="AR132" s="14" t="str">
        <f t="shared" si="71"/>
        <v/>
      </c>
      <c r="AS132" s="15" t="str">
        <f t="shared" si="72"/>
        <v/>
      </c>
      <c r="AT132" s="12"/>
      <c r="AU132" s="13"/>
      <c r="AV132" s="12"/>
      <c r="AW132" s="16"/>
      <c r="AX132" s="13"/>
      <c r="AY132" s="17" t="str">
        <f t="shared" si="73"/>
        <v/>
      </c>
      <c r="AZ132" s="14" t="str">
        <f t="shared" ca="1" si="74"/>
        <v/>
      </c>
      <c r="BA132" s="13"/>
      <c r="BB132" s="12"/>
      <c r="BC132" s="14" t="str">
        <f>IF($V132="","",1+COUNTIF($V$5:$V$154,"&gt;"&amp;$V132)+COUNTIFS($V$5:$V$154,$V132,$U$5:$U$154,"&gt;"&amp;$U132)+COUNTIFS($V$4:$V131,$V132,$U$4:$U131,$U132))</f>
        <v/>
      </c>
      <c r="BD132" s="12"/>
      <c r="BE132" s="12"/>
      <c r="BF132" s="12"/>
      <c r="BG132" s="62"/>
      <c r="BH132" s="62"/>
      <c r="BI132" s="63" t="str">
        <f t="shared" si="75"/>
        <v/>
      </c>
      <c r="BJ132" s="18" t="str">
        <f t="shared" si="76"/>
        <v/>
      </c>
      <c r="BK132" s="12"/>
      <c r="BL132" s="117"/>
      <c r="BM132" s="117"/>
      <c r="BN132" s="16"/>
      <c r="BO132" s="117"/>
      <c r="BP132" s="117"/>
      <c r="BQ132" s="117"/>
      <c r="BR132" s="117"/>
      <c r="BS132" s="117"/>
      <c r="BT132" s="117"/>
      <c r="BU132" s="117"/>
      <c r="BV132" s="117"/>
      <c r="BW132" s="14" t="str">
        <f t="shared" si="77"/>
        <v/>
      </c>
      <c r="BX132" s="14" t="str">
        <f t="shared" si="78"/>
        <v/>
      </c>
      <c r="BY132" s="14" t="str">
        <f t="shared" si="79"/>
        <v/>
      </c>
      <c r="BZ132" s="15" t="str">
        <f t="shared" si="80"/>
        <v/>
      </c>
      <c r="CA132" s="15" t="str">
        <f t="shared" si="81"/>
        <v/>
      </c>
      <c r="CB132" s="117"/>
      <c r="CC132" s="117"/>
      <c r="CD132" s="117"/>
      <c r="CE132" s="117"/>
      <c r="CF132" s="117"/>
      <c r="CG132" s="14" t="str">
        <f t="shared" si="82"/>
        <v/>
      </c>
      <c r="CH132" s="15" t="str">
        <f t="shared" si="83"/>
        <v/>
      </c>
      <c r="CI132" s="117"/>
    </row>
    <row r="133" spans="1:87">
      <c r="A133" s="115"/>
      <c r="B133" s="12"/>
      <c r="C133" s="13"/>
      <c r="D133" s="13"/>
      <c r="E133" s="12"/>
      <c r="F133" s="12"/>
      <c r="G133" s="13"/>
      <c r="H133" s="12"/>
      <c r="I133" s="13"/>
      <c r="J133" s="13"/>
      <c r="K133" s="12"/>
      <c r="L133" s="13"/>
      <c r="M133" s="12"/>
      <c r="N133" s="12"/>
      <c r="O133" s="12"/>
      <c r="P133" s="14" t="str">
        <f t="shared" ref="P133:P154" si="84">IF(COUNT($N133:$O133)=2,$N133*$O133,"")</f>
        <v/>
      </c>
      <c r="Q133" s="15" t="str">
        <f t="shared" ref="Q133:Q154" si="85">IF($P133="","",INDEX(Niveis,MAX(IFERROR(MATCH($P133,Limites,1),1),IF($O133=5,MinIdx,1))))</f>
        <v/>
      </c>
      <c r="R133" s="13"/>
      <c r="S133" s="12"/>
      <c r="T133" s="12"/>
      <c r="U133" s="12"/>
      <c r="V133" s="14" t="str">
        <f t="shared" ref="V133:V154" si="86">IF(COUNT($T133:$U133)=2,$T133*$U133,"")</f>
        <v/>
      </c>
      <c r="W133" s="15" t="str">
        <f t="shared" ref="W133:W154" si="87">IF($V133="","",INDEX(Niveis,MAX(IFERROR(MATCH($V133,Limites,1),1),IF($U133=5,MinIdx,1))))</f>
        <v/>
      </c>
      <c r="X133" s="12"/>
      <c r="Y133" s="14" t="str">
        <f t="shared" ref="Y133:Y154" si="88">IF(IF($W133&lt;&gt;"",$W133,$Q133)="","",INDEX(AcaoRisco,MATCH(IF($W133&lt;&gt;"",$W133,$Q133),Niveis,0)))</f>
        <v/>
      </c>
      <c r="Z133" s="12"/>
      <c r="AA133" s="12"/>
      <c r="AB133" s="16"/>
      <c r="AC133" s="13"/>
      <c r="AD133" s="13"/>
      <c r="AE133" s="13"/>
      <c r="AF133" s="16"/>
      <c r="AG133" s="12"/>
      <c r="AH133" s="13"/>
      <c r="AI133" s="12"/>
      <c r="AJ133" s="14" t="str">
        <f t="shared" ref="AJ133:AJ154" si="89">IF(OR($AI133="",PlanoUrl=""),"",HYPERLINK(SUBSTITUTE(PlanoUrl,"{COD}",SUBSTITUTE($AI133," ","%20")),"↗"))</f>
        <v/>
      </c>
      <c r="AK133" s="14" t="str">
        <f t="shared" ref="AK133:AK154" si="90">IF($C133="","",IF($AI133="",$AG133&amp;"",IFERROR(IF(INDEX(PlanosStatus,MATCH($AI133,PlanosCod,0))="",$AG133&amp;"",INDEX(PlanosStatus,MATCH($AI133,PlanosCod,0))),$AG133&amp;"")))</f>
        <v/>
      </c>
      <c r="AL133" s="17" t="str">
        <f t="shared" ref="AL133:AL154" si="91">IF($C133="","",IF($AI133="",IF($AF133="","",$AF133),IFERROR(IF(INDEX(PlanosPrazo,MATCH($AI133,PlanosCod,0))="",IF($AF133="","",$AF133),INDEX(PlanosPrazo,MATCH($AI133,PlanosCod,0))),IF($AF133="","",$AF133))))</f>
        <v/>
      </c>
      <c r="AM133" s="16"/>
      <c r="AN133" s="12"/>
      <c r="AO133" s="16"/>
      <c r="AP133" s="12"/>
      <c r="AQ133" s="12"/>
      <c r="AR133" s="14" t="str">
        <f t="shared" ref="AR133:AR154" si="92">IF(COUNT($AP133:$AQ133)=2,$AP133*$AQ133,"")</f>
        <v/>
      </c>
      <c r="AS133" s="15" t="str">
        <f t="shared" ref="AS133:AS154" si="93">IF($AR133="","",INDEX(Niveis,MAX(IFERROR(MATCH($AR133,Limites,1),1),IF($AQ133=5,MinIdx,1))))</f>
        <v/>
      </c>
      <c r="AT133" s="12"/>
      <c r="AU133" s="13"/>
      <c r="AV133" s="12"/>
      <c r="AW133" s="16"/>
      <c r="AX133" s="13"/>
      <c r="AY133" s="17" t="str">
        <f t="shared" ref="AY133:AY154" si="94">IF(OR($AW133="",IF(AND($AN133="Eficaz",$AS133&lt;&gt;""),$AS133,IF($W133&lt;&gt;"",$W133,$Q133))=""),"",EDATE($AW133,INDEX(MesesRev,MATCH(IF(AND($AN133="Eficaz",$AS133&lt;&gt;""),$AS133,IF($W133&lt;&gt;"",$W133,$Q133)),Niveis,0))))</f>
        <v/>
      </c>
      <c r="AZ133" s="14" t="str">
        <f t="shared" ref="AZ133:AZ154" ca="1" si="95">IF($C133="","",IF($AD133="","Sem dono",IF($W133="","Falta avaliação",IF(AND($AI133&lt;&gt;"",COUNTIF(PlanosCod,$AI133)=0),"Código não encontrado",IF(AND($AI133&lt;&gt;"",IFERROR(INDEX(PlanosIdRef,MATCH($AI133,PlanosCod,0))&amp;"","")&lt;&gt;"",ISERROR(SEARCH(";"&amp;$A133&amp;";",";"&amp;SUBSTITUTE(SUBSTITUTE(IFERROR(INDEX(PlanosIdRef,MATCH($AI133,PlanosCod,0))&amp;"","")," ",""),",",";")&amp;";"))),"Vínculo divergente",IF(AND(ISNUMBER($P133),ISNUMBER($V133),$V133&lt;$P133,OR($S133="",$S133="Inexistente")),"Redução s/ controle",IF(AND(ISNUMBER($AR133),ISNUMBER($V133),$AR133&lt;$V133,NOT(OR($Z133="Prevenir",$Z133="Mitigar",$Z133="Transferir / compartilhar")),$AC133="",$AI133=""),"Residual s/ tratamento",IF(AND(LEFT($AI133,3)="RNC",N(IFERROR(INDEX(PlanosAbertura,MATCH($AI133,PlanosCod,0)),0))&gt;N($AW133)),"Reavaliar após RNC",IF(AND(N($AV133)&gt;=1,ISNUMBER($T133),$T133&lt;=2),"Recalibrar probabilidade",IF(AND($Z133="Aceitar",$BA133=""),"Aceite sem justificativa",IF(AND($Z133="Aceitar",ISNUMBER($AB133),$AB133&lt;TODAY()),"Aceite vencido",IF(AND(OR($Z133="Aceitar",$Z133="Monitorar"),$Y133&lt;&gt;"Monitorar",$Y133&lt;&gt;""),"Aprovar aceite",IF(AND($Z133&lt;&gt;"Aceitar",$Z133&lt;&gt;"Monitorar",$Z133&lt;&gt;"Aprofundar análise",$AC133="",$AI133="",IFERROR(MATCH(IF($W133&lt;&gt;"",$W133,$Q133),Niveis,0),0)&gt;IF(N(IFERROR(INDEX(ApetIdx,MATCH($M133,ListaCatRisco,0)),0))=0,IdxExige-1,INDEX(ApetIdx,MATCH($M133,ListaCatRisco,0)))),"Sem ação",IF($Z133="Aprofundar análise","Aprofundar análise",IF(AND(OR($Z133="Prevenir",$Z133="Mitigar",$Z133="Transferir / compartilhar"),$AH133=""),"Definir critério de eficácia",IF(AND(OR($Z133="Prevenir",$Z133="Mitigar",$Z133="Transferir / compartilhar"),OR($AA133="Controle administrativo",$AA133="EPI"),IFERROR(MATCH(IF($W133&lt;&gt;"",$W133,$Q133),Niveis,0),0)&gt;=3),"Rever hierarquia de controle",IF(COUNTIFS(KriId,$A133,KriSit,"Estourou")+COUNTIFS(KriId,$A133,KriSit,"Atenção")&gt;0,"KRI em alerta",IF(COUNTIFS(BtId,$A133,BtEf,"Baixa")+COUNTIFS(BtId,$A133,BtEf,"Inexistente")&gt;0,"Barreira fraca",IF($AN133="Não eficaz","Ação ineficaz",IF(AND($AL133&lt;&gt;"",$AL133&lt;TODAY(),$AK133&lt;&gt;"Concluído",$AK133&lt;&gt;"Cancelado"),"Ação vencida",IF(AND($AN133&lt;&gt;"Eficaz",OR($AK133="Concluído",AND(ISNUMBER($AM133),$AM133&lt;TODAY()))),"Avaliar eficácia",IF(AND($AN133="Eficaz",OR($AS133="",$AT133="")),"Concluir residual",IF($AT133="Não","Tratamento adicional",IF(AND($AT133="Sim",$AS133&lt;&gt;"",IFERROR(MATCH($AS133,Niveis,0),0)&gt;IF(N(IFERROR(INDEX(ApetIdx,MATCH($M133,ListaCatRisco,0)),0))=0,IdxExige-1,INDEX(ApetIdx,MATCH($M133,ListaCatRisco,0)))),"Aceite fora do apetite",IF(AND(COUNTIF(BtId,$A133)=0,OR(IFERROR(MATCH(IF($W133&lt;&gt;"",$W133,$Q133),Niveis,0),0)&gt;=3,AND(OR($S133="Baixa",$S133="Inexistente"),IFERROR(MATCH(IF($W133&lt;&gt;"",$W133,$Q133),Niveis,0),0)&gt;=2))),"Sem BowTie",IF(AND($AY133&lt;&gt;"",$AY133&lt;TODAY()),"Revisão vencida",IF(AND($AL133&lt;&gt;"",N($AL133)-TODAY()&lt;=DiasAlerta,$AK133&lt;&gt;"Concluído",$AK133&lt;&gt;"Cancelado"),"Vence em breve","OK")))))))))))))))))))))))))))</f>
        <v/>
      </c>
      <c r="BA133" s="13"/>
      <c r="BB133" s="12"/>
      <c r="BC133" s="14" t="str">
        <f>IF($V133="","",1+COUNTIF($V$5:$V$154,"&gt;"&amp;$V133)+COUNTIFS($V$5:$V$154,$V133,$U$5:$U$154,"&gt;"&amp;$U133)+COUNTIFS($V$4:$V132,$V133,$U$4:$U132,$U133))</f>
        <v/>
      </c>
      <c r="BD133" s="12"/>
      <c r="BE133" s="12"/>
      <c r="BF133" s="12"/>
      <c r="BG133" s="62"/>
      <c r="BH133" s="62"/>
      <c r="BI133" s="63" t="str">
        <f t="shared" ref="BI133:BI154" si="96">IF(OR($BH133="",$T133=""),"",IFERROR($BH133*INDEX(ProbMedia,$T133),""))</f>
        <v/>
      </c>
      <c r="BJ133" s="18" t="str">
        <f t="shared" ref="BJ133:BJ154" si="97">IF(OR($BG133="",$BI133=""),"",IF(OR(LEFT($M133,3)="SST",LEFT($M133,5)="Legal",LEFT($M133,8)="Ambienta"),"SST/Ambiental/Legal: custo não justifica aceitar (apetite e ALARP)",IF($BG133&gt;$BI133,"Custo maior que a perda esperada: reter/aceitar é defensável, com justificativa","Custo menor ou igual à perda esperada: tratar compensa")))</f>
        <v/>
      </c>
      <c r="BK133" s="12"/>
      <c r="BL133" s="117"/>
      <c r="BM133" s="117"/>
      <c r="BN133" s="16"/>
      <c r="BO133" s="117"/>
      <c r="BP133" s="117"/>
      <c r="BQ133" s="117"/>
      <c r="BR133" s="117"/>
      <c r="BS133" s="117"/>
      <c r="BT133" s="117"/>
      <c r="BU133" s="117"/>
      <c r="BV133" s="117"/>
      <c r="BW133" s="14" t="str">
        <f t="shared" ref="BW133:BW154" si="98">IF($BU133="","",IFERROR(INDEX(SgaProbValor,MATCH($BU133,SgaProbNivel,0)),""))</f>
        <v/>
      </c>
      <c r="BX133" s="14" t="str">
        <f t="shared" ref="BX133:BX154" si="99">IF($BV133="","",IFERROR(INDEX(SgaSevRiValor,MATCH($BV133,SgaSevRiNivel,0)),""))</f>
        <v/>
      </c>
      <c r="BY133" s="14" t="str">
        <f t="shared" ref="BY133:BY154" si="100">IF(COUNT($BW133:$BX133)=2,$BW133*$BX133,"")</f>
        <v/>
      </c>
      <c r="BZ133" s="15" t="str">
        <f t="shared" ref="BZ133:BZ154" si="101">IF($BY133="","",IF($BY133&lt;=SgaLimRiSig,"SIGNIFICATIVO",IF($BY133&lt;=SgaLimRiTol,"TOLERÁVEL","BAIXO")))</f>
        <v/>
      </c>
      <c r="CA133" s="15" t="str">
        <f t="shared" ref="CA133:CA154" si="102">IF($BZ133="","",IF($BZ133="SIGNIFICATIVO","NÃO ACEITÁVEL","ACEITÁVEL"))</f>
        <v/>
      </c>
      <c r="CB133" s="117"/>
      <c r="CC133" s="117"/>
      <c r="CD133" s="117"/>
      <c r="CE133" s="117"/>
      <c r="CF133" s="117"/>
      <c r="CG133" s="14" t="str">
        <f t="shared" ref="CG133:CG154" si="103">IF(OR($CE133="",$CF133=""),"",IFERROR(INDEX(SgaProbValor,MATCH($CE133,SgaProbNivel,0))*INDEX(SgaSevRiValor,MATCH($CF133,SgaSevRiNivel,0)),""))</f>
        <v/>
      </c>
      <c r="CH133" s="15" t="str">
        <f t="shared" ref="CH133:CH154" si="104">IF($CG133="","",IF($CG133&lt;=SgaLimRiSig,"SIGNIFICATIVO",IF($CG133&lt;=SgaLimRiTol,"TOLERÁVEL","BAIXO")))</f>
        <v/>
      </c>
      <c r="CI133" s="117"/>
    </row>
    <row r="134" spans="1:87">
      <c r="A134" s="115"/>
      <c r="B134" s="12"/>
      <c r="C134" s="13"/>
      <c r="D134" s="13"/>
      <c r="E134" s="12"/>
      <c r="F134" s="12"/>
      <c r="G134" s="13"/>
      <c r="H134" s="12"/>
      <c r="I134" s="13"/>
      <c r="J134" s="13"/>
      <c r="K134" s="12"/>
      <c r="L134" s="13"/>
      <c r="M134" s="12"/>
      <c r="N134" s="12"/>
      <c r="O134" s="12"/>
      <c r="P134" s="14" t="str">
        <f t="shared" si="84"/>
        <v/>
      </c>
      <c r="Q134" s="15" t="str">
        <f t="shared" si="85"/>
        <v/>
      </c>
      <c r="R134" s="13"/>
      <c r="S134" s="12"/>
      <c r="T134" s="12"/>
      <c r="U134" s="12"/>
      <c r="V134" s="14" t="str">
        <f t="shared" si="86"/>
        <v/>
      </c>
      <c r="W134" s="15" t="str">
        <f t="shared" si="87"/>
        <v/>
      </c>
      <c r="X134" s="12"/>
      <c r="Y134" s="14" t="str">
        <f t="shared" si="88"/>
        <v/>
      </c>
      <c r="Z134" s="12"/>
      <c r="AA134" s="12"/>
      <c r="AB134" s="16"/>
      <c r="AC134" s="13"/>
      <c r="AD134" s="13"/>
      <c r="AE134" s="13"/>
      <c r="AF134" s="16"/>
      <c r="AG134" s="12"/>
      <c r="AH134" s="13"/>
      <c r="AI134" s="12"/>
      <c r="AJ134" s="14" t="str">
        <f t="shared" si="89"/>
        <v/>
      </c>
      <c r="AK134" s="14" t="str">
        <f t="shared" si="90"/>
        <v/>
      </c>
      <c r="AL134" s="17" t="str">
        <f t="shared" si="91"/>
        <v/>
      </c>
      <c r="AM134" s="16"/>
      <c r="AN134" s="12"/>
      <c r="AO134" s="16"/>
      <c r="AP134" s="12"/>
      <c r="AQ134" s="12"/>
      <c r="AR134" s="14" t="str">
        <f t="shared" si="92"/>
        <v/>
      </c>
      <c r="AS134" s="15" t="str">
        <f t="shared" si="93"/>
        <v/>
      </c>
      <c r="AT134" s="12"/>
      <c r="AU134" s="13"/>
      <c r="AV134" s="12"/>
      <c r="AW134" s="16"/>
      <c r="AX134" s="13"/>
      <c r="AY134" s="17" t="str">
        <f t="shared" si="94"/>
        <v/>
      </c>
      <c r="AZ134" s="14" t="str">
        <f t="shared" ca="1" si="95"/>
        <v/>
      </c>
      <c r="BA134" s="13"/>
      <c r="BB134" s="12"/>
      <c r="BC134" s="14" t="str">
        <f>IF($V134="","",1+COUNTIF($V$5:$V$154,"&gt;"&amp;$V134)+COUNTIFS($V$5:$V$154,$V134,$U$5:$U$154,"&gt;"&amp;$U134)+COUNTIFS($V$4:$V133,$V134,$U$4:$U133,$U134))</f>
        <v/>
      </c>
      <c r="BD134" s="12"/>
      <c r="BE134" s="12"/>
      <c r="BF134" s="12"/>
      <c r="BG134" s="62"/>
      <c r="BH134" s="62"/>
      <c r="BI134" s="63" t="str">
        <f t="shared" si="96"/>
        <v/>
      </c>
      <c r="BJ134" s="18" t="str">
        <f t="shared" si="97"/>
        <v/>
      </c>
      <c r="BK134" s="12"/>
      <c r="BL134" s="117"/>
      <c r="BM134" s="117"/>
      <c r="BN134" s="16"/>
      <c r="BO134" s="117"/>
      <c r="BP134" s="117"/>
      <c r="BQ134" s="117"/>
      <c r="BR134" s="117"/>
      <c r="BS134" s="117"/>
      <c r="BT134" s="117"/>
      <c r="BU134" s="117"/>
      <c r="BV134" s="117"/>
      <c r="BW134" s="14" t="str">
        <f t="shared" si="98"/>
        <v/>
      </c>
      <c r="BX134" s="14" t="str">
        <f t="shared" si="99"/>
        <v/>
      </c>
      <c r="BY134" s="14" t="str">
        <f t="shared" si="100"/>
        <v/>
      </c>
      <c r="BZ134" s="15" t="str">
        <f t="shared" si="101"/>
        <v/>
      </c>
      <c r="CA134" s="15" t="str">
        <f t="shared" si="102"/>
        <v/>
      </c>
      <c r="CB134" s="117"/>
      <c r="CC134" s="117"/>
      <c r="CD134" s="117"/>
      <c r="CE134" s="117"/>
      <c r="CF134" s="117"/>
      <c r="CG134" s="14" t="str">
        <f t="shared" si="103"/>
        <v/>
      </c>
      <c r="CH134" s="15" t="str">
        <f t="shared" si="104"/>
        <v/>
      </c>
      <c r="CI134" s="117"/>
    </row>
    <row r="135" spans="1:87">
      <c r="A135" s="115"/>
      <c r="B135" s="12"/>
      <c r="C135" s="13"/>
      <c r="D135" s="13"/>
      <c r="E135" s="12"/>
      <c r="F135" s="12"/>
      <c r="G135" s="13"/>
      <c r="H135" s="12"/>
      <c r="I135" s="13"/>
      <c r="J135" s="13"/>
      <c r="K135" s="12"/>
      <c r="L135" s="13"/>
      <c r="M135" s="12"/>
      <c r="N135" s="12"/>
      <c r="O135" s="12"/>
      <c r="P135" s="14" t="str">
        <f t="shared" si="84"/>
        <v/>
      </c>
      <c r="Q135" s="15" t="str">
        <f t="shared" si="85"/>
        <v/>
      </c>
      <c r="R135" s="13"/>
      <c r="S135" s="12"/>
      <c r="T135" s="12"/>
      <c r="U135" s="12"/>
      <c r="V135" s="14" t="str">
        <f t="shared" si="86"/>
        <v/>
      </c>
      <c r="W135" s="15" t="str">
        <f t="shared" si="87"/>
        <v/>
      </c>
      <c r="X135" s="12"/>
      <c r="Y135" s="14" t="str">
        <f t="shared" si="88"/>
        <v/>
      </c>
      <c r="Z135" s="12"/>
      <c r="AA135" s="12"/>
      <c r="AB135" s="16"/>
      <c r="AC135" s="13"/>
      <c r="AD135" s="13"/>
      <c r="AE135" s="13"/>
      <c r="AF135" s="16"/>
      <c r="AG135" s="12"/>
      <c r="AH135" s="13"/>
      <c r="AI135" s="12"/>
      <c r="AJ135" s="14" t="str">
        <f t="shared" si="89"/>
        <v/>
      </c>
      <c r="AK135" s="14" t="str">
        <f t="shared" si="90"/>
        <v/>
      </c>
      <c r="AL135" s="17" t="str">
        <f t="shared" si="91"/>
        <v/>
      </c>
      <c r="AM135" s="16"/>
      <c r="AN135" s="12"/>
      <c r="AO135" s="16"/>
      <c r="AP135" s="12"/>
      <c r="AQ135" s="12"/>
      <c r="AR135" s="14" t="str">
        <f t="shared" si="92"/>
        <v/>
      </c>
      <c r="AS135" s="15" t="str">
        <f t="shared" si="93"/>
        <v/>
      </c>
      <c r="AT135" s="12"/>
      <c r="AU135" s="13"/>
      <c r="AV135" s="12"/>
      <c r="AW135" s="16"/>
      <c r="AX135" s="13"/>
      <c r="AY135" s="17" t="str">
        <f t="shared" si="94"/>
        <v/>
      </c>
      <c r="AZ135" s="14" t="str">
        <f t="shared" ca="1" si="95"/>
        <v/>
      </c>
      <c r="BA135" s="13"/>
      <c r="BB135" s="12"/>
      <c r="BC135" s="14" t="str">
        <f>IF($V135="","",1+COUNTIF($V$5:$V$154,"&gt;"&amp;$V135)+COUNTIFS($V$5:$V$154,$V135,$U$5:$U$154,"&gt;"&amp;$U135)+COUNTIFS($V$4:$V134,$V135,$U$4:$U134,$U135))</f>
        <v/>
      </c>
      <c r="BD135" s="12"/>
      <c r="BE135" s="12"/>
      <c r="BF135" s="12"/>
      <c r="BG135" s="62"/>
      <c r="BH135" s="62"/>
      <c r="BI135" s="63" t="str">
        <f t="shared" si="96"/>
        <v/>
      </c>
      <c r="BJ135" s="18" t="str">
        <f t="shared" si="97"/>
        <v/>
      </c>
      <c r="BK135" s="12"/>
      <c r="BL135" s="117"/>
      <c r="BM135" s="117"/>
      <c r="BN135" s="16"/>
      <c r="BO135" s="117"/>
      <c r="BP135" s="117"/>
      <c r="BQ135" s="117"/>
      <c r="BR135" s="117"/>
      <c r="BS135" s="117"/>
      <c r="BT135" s="117"/>
      <c r="BU135" s="117"/>
      <c r="BV135" s="117"/>
      <c r="BW135" s="14" t="str">
        <f t="shared" si="98"/>
        <v/>
      </c>
      <c r="BX135" s="14" t="str">
        <f t="shared" si="99"/>
        <v/>
      </c>
      <c r="BY135" s="14" t="str">
        <f t="shared" si="100"/>
        <v/>
      </c>
      <c r="BZ135" s="15" t="str">
        <f t="shared" si="101"/>
        <v/>
      </c>
      <c r="CA135" s="15" t="str">
        <f t="shared" si="102"/>
        <v/>
      </c>
      <c r="CB135" s="117"/>
      <c r="CC135" s="117"/>
      <c r="CD135" s="117"/>
      <c r="CE135" s="117"/>
      <c r="CF135" s="117"/>
      <c r="CG135" s="14" t="str">
        <f t="shared" si="103"/>
        <v/>
      </c>
      <c r="CH135" s="15" t="str">
        <f t="shared" si="104"/>
        <v/>
      </c>
      <c r="CI135" s="117"/>
    </row>
    <row r="136" spans="1:87">
      <c r="A136" s="115"/>
      <c r="B136" s="12"/>
      <c r="C136" s="13"/>
      <c r="D136" s="13"/>
      <c r="E136" s="12"/>
      <c r="F136" s="12"/>
      <c r="G136" s="13"/>
      <c r="H136" s="12"/>
      <c r="I136" s="13"/>
      <c r="J136" s="13"/>
      <c r="K136" s="12"/>
      <c r="L136" s="13"/>
      <c r="M136" s="12"/>
      <c r="N136" s="12"/>
      <c r="O136" s="12"/>
      <c r="P136" s="14" t="str">
        <f t="shared" si="84"/>
        <v/>
      </c>
      <c r="Q136" s="15" t="str">
        <f t="shared" si="85"/>
        <v/>
      </c>
      <c r="R136" s="13"/>
      <c r="S136" s="12"/>
      <c r="T136" s="12"/>
      <c r="U136" s="12"/>
      <c r="V136" s="14" t="str">
        <f t="shared" si="86"/>
        <v/>
      </c>
      <c r="W136" s="15" t="str">
        <f t="shared" si="87"/>
        <v/>
      </c>
      <c r="X136" s="12"/>
      <c r="Y136" s="14" t="str">
        <f t="shared" si="88"/>
        <v/>
      </c>
      <c r="Z136" s="12"/>
      <c r="AA136" s="12"/>
      <c r="AB136" s="16"/>
      <c r="AC136" s="13"/>
      <c r="AD136" s="13"/>
      <c r="AE136" s="13"/>
      <c r="AF136" s="16"/>
      <c r="AG136" s="12"/>
      <c r="AH136" s="13"/>
      <c r="AI136" s="12"/>
      <c r="AJ136" s="14" t="str">
        <f t="shared" si="89"/>
        <v/>
      </c>
      <c r="AK136" s="14" t="str">
        <f t="shared" si="90"/>
        <v/>
      </c>
      <c r="AL136" s="17" t="str">
        <f t="shared" si="91"/>
        <v/>
      </c>
      <c r="AM136" s="16"/>
      <c r="AN136" s="12"/>
      <c r="AO136" s="16"/>
      <c r="AP136" s="12"/>
      <c r="AQ136" s="12"/>
      <c r="AR136" s="14" t="str">
        <f t="shared" si="92"/>
        <v/>
      </c>
      <c r="AS136" s="15" t="str">
        <f t="shared" si="93"/>
        <v/>
      </c>
      <c r="AT136" s="12"/>
      <c r="AU136" s="13"/>
      <c r="AV136" s="12"/>
      <c r="AW136" s="16"/>
      <c r="AX136" s="13"/>
      <c r="AY136" s="17" t="str">
        <f t="shared" si="94"/>
        <v/>
      </c>
      <c r="AZ136" s="14" t="str">
        <f t="shared" ca="1" si="95"/>
        <v/>
      </c>
      <c r="BA136" s="13"/>
      <c r="BB136" s="12"/>
      <c r="BC136" s="14" t="str">
        <f>IF($V136="","",1+COUNTIF($V$5:$V$154,"&gt;"&amp;$V136)+COUNTIFS($V$5:$V$154,$V136,$U$5:$U$154,"&gt;"&amp;$U136)+COUNTIFS($V$4:$V135,$V136,$U$4:$U135,$U136))</f>
        <v/>
      </c>
      <c r="BD136" s="12"/>
      <c r="BE136" s="12"/>
      <c r="BF136" s="12"/>
      <c r="BG136" s="62"/>
      <c r="BH136" s="62"/>
      <c r="BI136" s="63" t="str">
        <f t="shared" si="96"/>
        <v/>
      </c>
      <c r="BJ136" s="18" t="str">
        <f t="shared" si="97"/>
        <v/>
      </c>
      <c r="BK136" s="12"/>
      <c r="BL136" s="117"/>
      <c r="BM136" s="117"/>
      <c r="BN136" s="16"/>
      <c r="BO136" s="117"/>
      <c r="BP136" s="117"/>
      <c r="BQ136" s="117"/>
      <c r="BR136" s="117"/>
      <c r="BS136" s="117"/>
      <c r="BT136" s="117"/>
      <c r="BU136" s="117"/>
      <c r="BV136" s="117"/>
      <c r="BW136" s="14" t="str">
        <f t="shared" si="98"/>
        <v/>
      </c>
      <c r="BX136" s="14" t="str">
        <f t="shared" si="99"/>
        <v/>
      </c>
      <c r="BY136" s="14" t="str">
        <f t="shared" si="100"/>
        <v/>
      </c>
      <c r="BZ136" s="15" t="str">
        <f t="shared" si="101"/>
        <v/>
      </c>
      <c r="CA136" s="15" t="str">
        <f t="shared" si="102"/>
        <v/>
      </c>
      <c r="CB136" s="117"/>
      <c r="CC136" s="117"/>
      <c r="CD136" s="117"/>
      <c r="CE136" s="117"/>
      <c r="CF136" s="117"/>
      <c r="CG136" s="14" t="str">
        <f t="shared" si="103"/>
        <v/>
      </c>
      <c r="CH136" s="15" t="str">
        <f t="shared" si="104"/>
        <v/>
      </c>
      <c r="CI136" s="117"/>
    </row>
    <row r="137" spans="1:87">
      <c r="A137" s="115"/>
      <c r="B137" s="12"/>
      <c r="C137" s="13"/>
      <c r="D137" s="13"/>
      <c r="E137" s="12"/>
      <c r="F137" s="12"/>
      <c r="G137" s="13"/>
      <c r="H137" s="12"/>
      <c r="I137" s="13"/>
      <c r="J137" s="13"/>
      <c r="K137" s="12"/>
      <c r="L137" s="13"/>
      <c r="M137" s="12"/>
      <c r="N137" s="12"/>
      <c r="O137" s="12"/>
      <c r="P137" s="14" t="str">
        <f t="shared" si="84"/>
        <v/>
      </c>
      <c r="Q137" s="15" t="str">
        <f t="shared" si="85"/>
        <v/>
      </c>
      <c r="R137" s="13"/>
      <c r="S137" s="12"/>
      <c r="T137" s="12"/>
      <c r="U137" s="12"/>
      <c r="V137" s="14" t="str">
        <f t="shared" si="86"/>
        <v/>
      </c>
      <c r="W137" s="15" t="str">
        <f t="shared" si="87"/>
        <v/>
      </c>
      <c r="X137" s="12"/>
      <c r="Y137" s="14" t="str">
        <f t="shared" si="88"/>
        <v/>
      </c>
      <c r="Z137" s="12"/>
      <c r="AA137" s="12"/>
      <c r="AB137" s="16"/>
      <c r="AC137" s="13"/>
      <c r="AD137" s="13"/>
      <c r="AE137" s="13"/>
      <c r="AF137" s="16"/>
      <c r="AG137" s="12"/>
      <c r="AH137" s="13"/>
      <c r="AI137" s="12"/>
      <c r="AJ137" s="14" t="str">
        <f t="shared" si="89"/>
        <v/>
      </c>
      <c r="AK137" s="14" t="str">
        <f t="shared" si="90"/>
        <v/>
      </c>
      <c r="AL137" s="17" t="str">
        <f t="shared" si="91"/>
        <v/>
      </c>
      <c r="AM137" s="16"/>
      <c r="AN137" s="12"/>
      <c r="AO137" s="16"/>
      <c r="AP137" s="12"/>
      <c r="AQ137" s="12"/>
      <c r="AR137" s="14" t="str">
        <f t="shared" si="92"/>
        <v/>
      </c>
      <c r="AS137" s="15" t="str">
        <f t="shared" si="93"/>
        <v/>
      </c>
      <c r="AT137" s="12"/>
      <c r="AU137" s="13"/>
      <c r="AV137" s="12"/>
      <c r="AW137" s="16"/>
      <c r="AX137" s="13"/>
      <c r="AY137" s="17" t="str">
        <f t="shared" si="94"/>
        <v/>
      </c>
      <c r="AZ137" s="14" t="str">
        <f t="shared" ca="1" si="95"/>
        <v/>
      </c>
      <c r="BA137" s="13"/>
      <c r="BB137" s="12"/>
      <c r="BC137" s="14" t="str">
        <f>IF($V137="","",1+COUNTIF($V$5:$V$154,"&gt;"&amp;$V137)+COUNTIFS($V$5:$V$154,$V137,$U$5:$U$154,"&gt;"&amp;$U137)+COUNTIFS($V$4:$V136,$V137,$U$4:$U136,$U137))</f>
        <v/>
      </c>
      <c r="BD137" s="12"/>
      <c r="BE137" s="12"/>
      <c r="BF137" s="12"/>
      <c r="BG137" s="62"/>
      <c r="BH137" s="62"/>
      <c r="BI137" s="63" t="str">
        <f t="shared" si="96"/>
        <v/>
      </c>
      <c r="BJ137" s="18" t="str">
        <f t="shared" si="97"/>
        <v/>
      </c>
      <c r="BK137" s="12"/>
      <c r="BL137" s="117"/>
      <c r="BM137" s="117"/>
      <c r="BN137" s="16"/>
      <c r="BO137" s="117"/>
      <c r="BP137" s="117"/>
      <c r="BQ137" s="117"/>
      <c r="BR137" s="117"/>
      <c r="BS137" s="117"/>
      <c r="BT137" s="117"/>
      <c r="BU137" s="117"/>
      <c r="BV137" s="117"/>
      <c r="BW137" s="14" t="str">
        <f t="shared" si="98"/>
        <v/>
      </c>
      <c r="BX137" s="14" t="str">
        <f t="shared" si="99"/>
        <v/>
      </c>
      <c r="BY137" s="14" t="str">
        <f t="shared" si="100"/>
        <v/>
      </c>
      <c r="BZ137" s="15" t="str">
        <f t="shared" si="101"/>
        <v/>
      </c>
      <c r="CA137" s="15" t="str">
        <f t="shared" si="102"/>
        <v/>
      </c>
      <c r="CB137" s="117"/>
      <c r="CC137" s="117"/>
      <c r="CD137" s="117"/>
      <c r="CE137" s="117"/>
      <c r="CF137" s="117"/>
      <c r="CG137" s="14" t="str">
        <f t="shared" si="103"/>
        <v/>
      </c>
      <c r="CH137" s="15" t="str">
        <f t="shared" si="104"/>
        <v/>
      </c>
      <c r="CI137" s="117"/>
    </row>
    <row r="138" spans="1:87">
      <c r="A138" s="115"/>
      <c r="B138" s="12"/>
      <c r="C138" s="13"/>
      <c r="D138" s="13"/>
      <c r="E138" s="12"/>
      <c r="F138" s="12"/>
      <c r="G138" s="13"/>
      <c r="H138" s="12"/>
      <c r="I138" s="13"/>
      <c r="J138" s="13"/>
      <c r="K138" s="12"/>
      <c r="L138" s="13"/>
      <c r="M138" s="12"/>
      <c r="N138" s="12"/>
      <c r="O138" s="12"/>
      <c r="P138" s="14" t="str">
        <f t="shared" si="84"/>
        <v/>
      </c>
      <c r="Q138" s="15" t="str">
        <f t="shared" si="85"/>
        <v/>
      </c>
      <c r="R138" s="13"/>
      <c r="S138" s="12"/>
      <c r="T138" s="12"/>
      <c r="U138" s="12"/>
      <c r="V138" s="14" t="str">
        <f t="shared" si="86"/>
        <v/>
      </c>
      <c r="W138" s="15" t="str">
        <f t="shared" si="87"/>
        <v/>
      </c>
      <c r="X138" s="12"/>
      <c r="Y138" s="14" t="str">
        <f t="shared" si="88"/>
        <v/>
      </c>
      <c r="Z138" s="12"/>
      <c r="AA138" s="12"/>
      <c r="AB138" s="16"/>
      <c r="AC138" s="13"/>
      <c r="AD138" s="13"/>
      <c r="AE138" s="13"/>
      <c r="AF138" s="16"/>
      <c r="AG138" s="12"/>
      <c r="AH138" s="13"/>
      <c r="AI138" s="12"/>
      <c r="AJ138" s="14" t="str">
        <f t="shared" si="89"/>
        <v/>
      </c>
      <c r="AK138" s="14" t="str">
        <f t="shared" si="90"/>
        <v/>
      </c>
      <c r="AL138" s="17" t="str">
        <f t="shared" si="91"/>
        <v/>
      </c>
      <c r="AM138" s="16"/>
      <c r="AN138" s="12"/>
      <c r="AO138" s="16"/>
      <c r="AP138" s="12"/>
      <c r="AQ138" s="12"/>
      <c r="AR138" s="14" t="str">
        <f t="shared" si="92"/>
        <v/>
      </c>
      <c r="AS138" s="15" t="str">
        <f t="shared" si="93"/>
        <v/>
      </c>
      <c r="AT138" s="12"/>
      <c r="AU138" s="13"/>
      <c r="AV138" s="12"/>
      <c r="AW138" s="16"/>
      <c r="AX138" s="13"/>
      <c r="AY138" s="17" t="str">
        <f t="shared" si="94"/>
        <v/>
      </c>
      <c r="AZ138" s="14" t="str">
        <f t="shared" ca="1" si="95"/>
        <v/>
      </c>
      <c r="BA138" s="13"/>
      <c r="BB138" s="12"/>
      <c r="BC138" s="14" t="str">
        <f>IF($V138="","",1+COUNTIF($V$5:$V$154,"&gt;"&amp;$V138)+COUNTIFS($V$5:$V$154,$V138,$U$5:$U$154,"&gt;"&amp;$U138)+COUNTIFS($V$4:$V137,$V138,$U$4:$U137,$U138))</f>
        <v/>
      </c>
      <c r="BD138" s="12"/>
      <c r="BE138" s="12"/>
      <c r="BF138" s="12"/>
      <c r="BG138" s="62"/>
      <c r="BH138" s="62"/>
      <c r="BI138" s="63" t="str">
        <f t="shared" si="96"/>
        <v/>
      </c>
      <c r="BJ138" s="18" t="str">
        <f t="shared" si="97"/>
        <v/>
      </c>
      <c r="BK138" s="12"/>
      <c r="BL138" s="117"/>
      <c r="BM138" s="117"/>
      <c r="BN138" s="16"/>
      <c r="BO138" s="117"/>
      <c r="BP138" s="117"/>
      <c r="BQ138" s="117"/>
      <c r="BR138" s="117"/>
      <c r="BS138" s="117"/>
      <c r="BT138" s="117"/>
      <c r="BU138" s="117"/>
      <c r="BV138" s="117"/>
      <c r="BW138" s="14" t="str">
        <f t="shared" si="98"/>
        <v/>
      </c>
      <c r="BX138" s="14" t="str">
        <f t="shared" si="99"/>
        <v/>
      </c>
      <c r="BY138" s="14" t="str">
        <f t="shared" si="100"/>
        <v/>
      </c>
      <c r="BZ138" s="15" t="str">
        <f t="shared" si="101"/>
        <v/>
      </c>
      <c r="CA138" s="15" t="str">
        <f t="shared" si="102"/>
        <v/>
      </c>
      <c r="CB138" s="117"/>
      <c r="CC138" s="117"/>
      <c r="CD138" s="117"/>
      <c r="CE138" s="117"/>
      <c r="CF138" s="117"/>
      <c r="CG138" s="14" t="str">
        <f t="shared" si="103"/>
        <v/>
      </c>
      <c r="CH138" s="15" t="str">
        <f t="shared" si="104"/>
        <v/>
      </c>
      <c r="CI138" s="117"/>
    </row>
    <row r="139" spans="1:87">
      <c r="A139" s="115"/>
      <c r="B139" s="12"/>
      <c r="C139" s="13"/>
      <c r="D139" s="13"/>
      <c r="E139" s="12"/>
      <c r="F139" s="12"/>
      <c r="G139" s="13"/>
      <c r="H139" s="12"/>
      <c r="I139" s="13"/>
      <c r="J139" s="13"/>
      <c r="K139" s="12"/>
      <c r="L139" s="13"/>
      <c r="M139" s="12"/>
      <c r="N139" s="12"/>
      <c r="O139" s="12"/>
      <c r="P139" s="14" t="str">
        <f t="shared" si="84"/>
        <v/>
      </c>
      <c r="Q139" s="15" t="str">
        <f t="shared" si="85"/>
        <v/>
      </c>
      <c r="R139" s="13"/>
      <c r="S139" s="12"/>
      <c r="T139" s="12"/>
      <c r="U139" s="12"/>
      <c r="V139" s="14" t="str">
        <f t="shared" si="86"/>
        <v/>
      </c>
      <c r="W139" s="15" t="str">
        <f t="shared" si="87"/>
        <v/>
      </c>
      <c r="X139" s="12"/>
      <c r="Y139" s="14" t="str">
        <f t="shared" si="88"/>
        <v/>
      </c>
      <c r="Z139" s="12"/>
      <c r="AA139" s="12"/>
      <c r="AB139" s="16"/>
      <c r="AC139" s="13"/>
      <c r="AD139" s="13"/>
      <c r="AE139" s="13"/>
      <c r="AF139" s="16"/>
      <c r="AG139" s="12"/>
      <c r="AH139" s="13"/>
      <c r="AI139" s="12"/>
      <c r="AJ139" s="14" t="str">
        <f t="shared" si="89"/>
        <v/>
      </c>
      <c r="AK139" s="14" t="str">
        <f t="shared" si="90"/>
        <v/>
      </c>
      <c r="AL139" s="17" t="str">
        <f t="shared" si="91"/>
        <v/>
      </c>
      <c r="AM139" s="16"/>
      <c r="AN139" s="12"/>
      <c r="AO139" s="16"/>
      <c r="AP139" s="12"/>
      <c r="AQ139" s="12"/>
      <c r="AR139" s="14" t="str">
        <f t="shared" si="92"/>
        <v/>
      </c>
      <c r="AS139" s="15" t="str">
        <f t="shared" si="93"/>
        <v/>
      </c>
      <c r="AT139" s="12"/>
      <c r="AU139" s="13"/>
      <c r="AV139" s="12"/>
      <c r="AW139" s="16"/>
      <c r="AX139" s="13"/>
      <c r="AY139" s="17" t="str">
        <f t="shared" si="94"/>
        <v/>
      </c>
      <c r="AZ139" s="14" t="str">
        <f t="shared" ca="1" si="95"/>
        <v/>
      </c>
      <c r="BA139" s="13"/>
      <c r="BB139" s="12"/>
      <c r="BC139" s="14" t="str">
        <f>IF($V139="","",1+COUNTIF($V$5:$V$154,"&gt;"&amp;$V139)+COUNTIFS($V$5:$V$154,$V139,$U$5:$U$154,"&gt;"&amp;$U139)+COUNTIFS($V$4:$V138,$V139,$U$4:$U138,$U139))</f>
        <v/>
      </c>
      <c r="BD139" s="12"/>
      <c r="BE139" s="12"/>
      <c r="BF139" s="12"/>
      <c r="BG139" s="62"/>
      <c r="BH139" s="62"/>
      <c r="BI139" s="63" t="str">
        <f t="shared" si="96"/>
        <v/>
      </c>
      <c r="BJ139" s="18" t="str">
        <f t="shared" si="97"/>
        <v/>
      </c>
      <c r="BK139" s="12"/>
      <c r="BL139" s="117"/>
      <c r="BM139" s="117"/>
      <c r="BN139" s="16"/>
      <c r="BO139" s="117"/>
      <c r="BP139" s="117"/>
      <c r="BQ139" s="117"/>
      <c r="BR139" s="117"/>
      <c r="BS139" s="117"/>
      <c r="BT139" s="117"/>
      <c r="BU139" s="117"/>
      <c r="BV139" s="117"/>
      <c r="BW139" s="14" t="str">
        <f t="shared" si="98"/>
        <v/>
      </c>
      <c r="BX139" s="14" t="str">
        <f t="shared" si="99"/>
        <v/>
      </c>
      <c r="BY139" s="14" t="str">
        <f t="shared" si="100"/>
        <v/>
      </c>
      <c r="BZ139" s="15" t="str">
        <f t="shared" si="101"/>
        <v/>
      </c>
      <c r="CA139" s="15" t="str">
        <f t="shared" si="102"/>
        <v/>
      </c>
      <c r="CB139" s="117"/>
      <c r="CC139" s="117"/>
      <c r="CD139" s="117"/>
      <c r="CE139" s="117"/>
      <c r="CF139" s="117"/>
      <c r="CG139" s="14" t="str">
        <f t="shared" si="103"/>
        <v/>
      </c>
      <c r="CH139" s="15" t="str">
        <f t="shared" si="104"/>
        <v/>
      </c>
      <c r="CI139" s="117"/>
    </row>
    <row r="140" spans="1:87">
      <c r="A140" s="115"/>
      <c r="B140" s="12"/>
      <c r="C140" s="13"/>
      <c r="D140" s="13"/>
      <c r="E140" s="12"/>
      <c r="F140" s="12"/>
      <c r="G140" s="13"/>
      <c r="H140" s="12"/>
      <c r="I140" s="13"/>
      <c r="J140" s="13"/>
      <c r="K140" s="12"/>
      <c r="L140" s="13"/>
      <c r="M140" s="12"/>
      <c r="N140" s="12"/>
      <c r="O140" s="12"/>
      <c r="P140" s="14" t="str">
        <f t="shared" si="84"/>
        <v/>
      </c>
      <c r="Q140" s="15" t="str">
        <f t="shared" si="85"/>
        <v/>
      </c>
      <c r="R140" s="13"/>
      <c r="S140" s="12"/>
      <c r="T140" s="12"/>
      <c r="U140" s="12"/>
      <c r="V140" s="14" t="str">
        <f t="shared" si="86"/>
        <v/>
      </c>
      <c r="W140" s="15" t="str">
        <f t="shared" si="87"/>
        <v/>
      </c>
      <c r="X140" s="12"/>
      <c r="Y140" s="14" t="str">
        <f t="shared" si="88"/>
        <v/>
      </c>
      <c r="Z140" s="12"/>
      <c r="AA140" s="12"/>
      <c r="AB140" s="16"/>
      <c r="AC140" s="13"/>
      <c r="AD140" s="13"/>
      <c r="AE140" s="13"/>
      <c r="AF140" s="16"/>
      <c r="AG140" s="12"/>
      <c r="AH140" s="13"/>
      <c r="AI140" s="12"/>
      <c r="AJ140" s="14" t="str">
        <f t="shared" si="89"/>
        <v/>
      </c>
      <c r="AK140" s="14" t="str">
        <f t="shared" si="90"/>
        <v/>
      </c>
      <c r="AL140" s="17" t="str">
        <f t="shared" si="91"/>
        <v/>
      </c>
      <c r="AM140" s="16"/>
      <c r="AN140" s="12"/>
      <c r="AO140" s="16"/>
      <c r="AP140" s="12"/>
      <c r="AQ140" s="12"/>
      <c r="AR140" s="14" t="str">
        <f t="shared" si="92"/>
        <v/>
      </c>
      <c r="AS140" s="15" t="str">
        <f t="shared" si="93"/>
        <v/>
      </c>
      <c r="AT140" s="12"/>
      <c r="AU140" s="13"/>
      <c r="AV140" s="12"/>
      <c r="AW140" s="16"/>
      <c r="AX140" s="13"/>
      <c r="AY140" s="17" t="str">
        <f t="shared" si="94"/>
        <v/>
      </c>
      <c r="AZ140" s="14" t="str">
        <f t="shared" ca="1" si="95"/>
        <v/>
      </c>
      <c r="BA140" s="13"/>
      <c r="BB140" s="12"/>
      <c r="BC140" s="14" t="str">
        <f>IF($V140="","",1+COUNTIF($V$5:$V$154,"&gt;"&amp;$V140)+COUNTIFS($V$5:$V$154,$V140,$U$5:$U$154,"&gt;"&amp;$U140)+COUNTIFS($V$4:$V139,$V140,$U$4:$U139,$U140))</f>
        <v/>
      </c>
      <c r="BD140" s="12"/>
      <c r="BE140" s="12"/>
      <c r="BF140" s="12"/>
      <c r="BG140" s="62"/>
      <c r="BH140" s="62"/>
      <c r="BI140" s="63" t="str">
        <f t="shared" si="96"/>
        <v/>
      </c>
      <c r="BJ140" s="18" t="str">
        <f t="shared" si="97"/>
        <v/>
      </c>
      <c r="BK140" s="12"/>
      <c r="BL140" s="117"/>
      <c r="BM140" s="117"/>
      <c r="BN140" s="16"/>
      <c r="BO140" s="117"/>
      <c r="BP140" s="117"/>
      <c r="BQ140" s="117"/>
      <c r="BR140" s="117"/>
      <c r="BS140" s="117"/>
      <c r="BT140" s="117"/>
      <c r="BU140" s="117"/>
      <c r="BV140" s="117"/>
      <c r="BW140" s="14" t="str">
        <f t="shared" si="98"/>
        <v/>
      </c>
      <c r="BX140" s="14" t="str">
        <f t="shared" si="99"/>
        <v/>
      </c>
      <c r="BY140" s="14" t="str">
        <f t="shared" si="100"/>
        <v/>
      </c>
      <c r="BZ140" s="15" t="str">
        <f t="shared" si="101"/>
        <v/>
      </c>
      <c r="CA140" s="15" t="str">
        <f t="shared" si="102"/>
        <v/>
      </c>
      <c r="CB140" s="117"/>
      <c r="CC140" s="117"/>
      <c r="CD140" s="117"/>
      <c r="CE140" s="117"/>
      <c r="CF140" s="117"/>
      <c r="CG140" s="14" t="str">
        <f t="shared" si="103"/>
        <v/>
      </c>
      <c r="CH140" s="15" t="str">
        <f t="shared" si="104"/>
        <v/>
      </c>
      <c r="CI140" s="117"/>
    </row>
    <row r="141" spans="1:87">
      <c r="A141" s="115"/>
      <c r="B141" s="12"/>
      <c r="C141" s="13"/>
      <c r="D141" s="13"/>
      <c r="E141" s="12"/>
      <c r="F141" s="12"/>
      <c r="G141" s="13"/>
      <c r="H141" s="12"/>
      <c r="I141" s="13"/>
      <c r="J141" s="13"/>
      <c r="K141" s="12"/>
      <c r="L141" s="13"/>
      <c r="M141" s="12"/>
      <c r="N141" s="12"/>
      <c r="O141" s="12"/>
      <c r="P141" s="14" t="str">
        <f t="shared" si="84"/>
        <v/>
      </c>
      <c r="Q141" s="15" t="str">
        <f t="shared" si="85"/>
        <v/>
      </c>
      <c r="R141" s="13"/>
      <c r="S141" s="12"/>
      <c r="T141" s="12"/>
      <c r="U141" s="12"/>
      <c r="V141" s="14" t="str">
        <f t="shared" si="86"/>
        <v/>
      </c>
      <c r="W141" s="15" t="str">
        <f t="shared" si="87"/>
        <v/>
      </c>
      <c r="X141" s="12"/>
      <c r="Y141" s="14" t="str">
        <f t="shared" si="88"/>
        <v/>
      </c>
      <c r="Z141" s="12"/>
      <c r="AA141" s="12"/>
      <c r="AB141" s="16"/>
      <c r="AC141" s="13"/>
      <c r="AD141" s="13"/>
      <c r="AE141" s="13"/>
      <c r="AF141" s="16"/>
      <c r="AG141" s="12"/>
      <c r="AH141" s="13"/>
      <c r="AI141" s="12"/>
      <c r="AJ141" s="14" t="str">
        <f t="shared" si="89"/>
        <v/>
      </c>
      <c r="AK141" s="14" t="str">
        <f t="shared" si="90"/>
        <v/>
      </c>
      <c r="AL141" s="17" t="str">
        <f t="shared" si="91"/>
        <v/>
      </c>
      <c r="AM141" s="16"/>
      <c r="AN141" s="12"/>
      <c r="AO141" s="16"/>
      <c r="AP141" s="12"/>
      <c r="AQ141" s="12"/>
      <c r="AR141" s="14" t="str">
        <f t="shared" si="92"/>
        <v/>
      </c>
      <c r="AS141" s="15" t="str">
        <f t="shared" si="93"/>
        <v/>
      </c>
      <c r="AT141" s="12"/>
      <c r="AU141" s="13"/>
      <c r="AV141" s="12"/>
      <c r="AW141" s="16"/>
      <c r="AX141" s="13"/>
      <c r="AY141" s="17" t="str">
        <f t="shared" si="94"/>
        <v/>
      </c>
      <c r="AZ141" s="14" t="str">
        <f t="shared" ca="1" si="95"/>
        <v/>
      </c>
      <c r="BA141" s="13"/>
      <c r="BB141" s="12"/>
      <c r="BC141" s="14" t="str">
        <f>IF($V141="","",1+COUNTIF($V$5:$V$154,"&gt;"&amp;$V141)+COUNTIFS($V$5:$V$154,$V141,$U$5:$U$154,"&gt;"&amp;$U141)+COUNTIFS($V$4:$V140,$V141,$U$4:$U140,$U141))</f>
        <v/>
      </c>
      <c r="BD141" s="12"/>
      <c r="BE141" s="12"/>
      <c r="BF141" s="12"/>
      <c r="BG141" s="62"/>
      <c r="BH141" s="62"/>
      <c r="BI141" s="63" t="str">
        <f t="shared" si="96"/>
        <v/>
      </c>
      <c r="BJ141" s="18" t="str">
        <f t="shared" si="97"/>
        <v/>
      </c>
      <c r="BK141" s="12"/>
      <c r="BL141" s="117"/>
      <c r="BM141" s="117"/>
      <c r="BN141" s="16"/>
      <c r="BO141" s="117"/>
      <c r="BP141" s="117"/>
      <c r="BQ141" s="117"/>
      <c r="BR141" s="117"/>
      <c r="BS141" s="117"/>
      <c r="BT141" s="117"/>
      <c r="BU141" s="117"/>
      <c r="BV141" s="117"/>
      <c r="BW141" s="14" t="str">
        <f t="shared" si="98"/>
        <v/>
      </c>
      <c r="BX141" s="14" t="str">
        <f t="shared" si="99"/>
        <v/>
      </c>
      <c r="BY141" s="14" t="str">
        <f t="shared" si="100"/>
        <v/>
      </c>
      <c r="BZ141" s="15" t="str">
        <f t="shared" si="101"/>
        <v/>
      </c>
      <c r="CA141" s="15" t="str">
        <f t="shared" si="102"/>
        <v/>
      </c>
      <c r="CB141" s="117"/>
      <c r="CC141" s="117"/>
      <c r="CD141" s="117"/>
      <c r="CE141" s="117"/>
      <c r="CF141" s="117"/>
      <c r="CG141" s="14" t="str">
        <f t="shared" si="103"/>
        <v/>
      </c>
      <c r="CH141" s="15" t="str">
        <f t="shared" si="104"/>
        <v/>
      </c>
      <c r="CI141" s="117"/>
    </row>
    <row r="142" spans="1:87">
      <c r="A142" s="115"/>
      <c r="B142" s="12"/>
      <c r="C142" s="13"/>
      <c r="D142" s="13"/>
      <c r="E142" s="12"/>
      <c r="F142" s="12"/>
      <c r="G142" s="13"/>
      <c r="H142" s="12"/>
      <c r="I142" s="13"/>
      <c r="J142" s="13"/>
      <c r="K142" s="12"/>
      <c r="L142" s="13"/>
      <c r="M142" s="12"/>
      <c r="N142" s="12"/>
      <c r="O142" s="12"/>
      <c r="P142" s="14" t="str">
        <f t="shared" si="84"/>
        <v/>
      </c>
      <c r="Q142" s="15" t="str">
        <f t="shared" si="85"/>
        <v/>
      </c>
      <c r="R142" s="13"/>
      <c r="S142" s="12"/>
      <c r="T142" s="12"/>
      <c r="U142" s="12"/>
      <c r="V142" s="14" t="str">
        <f t="shared" si="86"/>
        <v/>
      </c>
      <c r="W142" s="15" t="str">
        <f t="shared" si="87"/>
        <v/>
      </c>
      <c r="X142" s="12"/>
      <c r="Y142" s="14" t="str">
        <f t="shared" si="88"/>
        <v/>
      </c>
      <c r="Z142" s="12"/>
      <c r="AA142" s="12"/>
      <c r="AB142" s="16"/>
      <c r="AC142" s="13"/>
      <c r="AD142" s="13"/>
      <c r="AE142" s="13"/>
      <c r="AF142" s="16"/>
      <c r="AG142" s="12"/>
      <c r="AH142" s="13"/>
      <c r="AI142" s="12"/>
      <c r="AJ142" s="14" t="str">
        <f t="shared" si="89"/>
        <v/>
      </c>
      <c r="AK142" s="14" t="str">
        <f t="shared" si="90"/>
        <v/>
      </c>
      <c r="AL142" s="17" t="str">
        <f t="shared" si="91"/>
        <v/>
      </c>
      <c r="AM142" s="16"/>
      <c r="AN142" s="12"/>
      <c r="AO142" s="16"/>
      <c r="AP142" s="12"/>
      <c r="AQ142" s="12"/>
      <c r="AR142" s="14" t="str">
        <f t="shared" si="92"/>
        <v/>
      </c>
      <c r="AS142" s="15" t="str">
        <f t="shared" si="93"/>
        <v/>
      </c>
      <c r="AT142" s="12"/>
      <c r="AU142" s="13"/>
      <c r="AV142" s="12"/>
      <c r="AW142" s="16"/>
      <c r="AX142" s="13"/>
      <c r="AY142" s="17" t="str">
        <f t="shared" si="94"/>
        <v/>
      </c>
      <c r="AZ142" s="14" t="str">
        <f t="shared" ca="1" si="95"/>
        <v/>
      </c>
      <c r="BA142" s="13"/>
      <c r="BB142" s="12"/>
      <c r="BC142" s="14" t="str">
        <f>IF($V142="","",1+COUNTIF($V$5:$V$154,"&gt;"&amp;$V142)+COUNTIFS($V$5:$V$154,$V142,$U$5:$U$154,"&gt;"&amp;$U142)+COUNTIFS($V$4:$V141,$V142,$U$4:$U141,$U142))</f>
        <v/>
      </c>
      <c r="BD142" s="12"/>
      <c r="BE142" s="12"/>
      <c r="BF142" s="12"/>
      <c r="BG142" s="62"/>
      <c r="BH142" s="62"/>
      <c r="BI142" s="63" t="str">
        <f t="shared" si="96"/>
        <v/>
      </c>
      <c r="BJ142" s="18" t="str">
        <f t="shared" si="97"/>
        <v/>
      </c>
      <c r="BK142" s="12"/>
      <c r="BL142" s="117"/>
      <c r="BM142" s="117"/>
      <c r="BN142" s="16"/>
      <c r="BO142" s="117"/>
      <c r="BP142" s="117"/>
      <c r="BQ142" s="117"/>
      <c r="BR142" s="117"/>
      <c r="BS142" s="117"/>
      <c r="BT142" s="117"/>
      <c r="BU142" s="117"/>
      <c r="BV142" s="117"/>
      <c r="BW142" s="14" t="str">
        <f t="shared" si="98"/>
        <v/>
      </c>
      <c r="BX142" s="14" t="str">
        <f t="shared" si="99"/>
        <v/>
      </c>
      <c r="BY142" s="14" t="str">
        <f t="shared" si="100"/>
        <v/>
      </c>
      <c r="BZ142" s="15" t="str">
        <f t="shared" si="101"/>
        <v/>
      </c>
      <c r="CA142" s="15" t="str">
        <f t="shared" si="102"/>
        <v/>
      </c>
      <c r="CB142" s="117"/>
      <c r="CC142" s="117"/>
      <c r="CD142" s="117"/>
      <c r="CE142" s="117"/>
      <c r="CF142" s="117"/>
      <c r="CG142" s="14" t="str">
        <f t="shared" si="103"/>
        <v/>
      </c>
      <c r="CH142" s="15" t="str">
        <f t="shared" si="104"/>
        <v/>
      </c>
      <c r="CI142" s="117"/>
    </row>
    <row r="143" spans="1:87">
      <c r="A143" s="115"/>
      <c r="B143" s="12"/>
      <c r="C143" s="13"/>
      <c r="D143" s="13"/>
      <c r="E143" s="12"/>
      <c r="F143" s="12"/>
      <c r="G143" s="13"/>
      <c r="H143" s="12"/>
      <c r="I143" s="13"/>
      <c r="J143" s="13"/>
      <c r="K143" s="12"/>
      <c r="L143" s="13"/>
      <c r="M143" s="12"/>
      <c r="N143" s="12"/>
      <c r="O143" s="12"/>
      <c r="P143" s="14" t="str">
        <f t="shared" si="84"/>
        <v/>
      </c>
      <c r="Q143" s="15" t="str">
        <f t="shared" si="85"/>
        <v/>
      </c>
      <c r="R143" s="13"/>
      <c r="S143" s="12"/>
      <c r="T143" s="12"/>
      <c r="U143" s="12"/>
      <c r="V143" s="14" t="str">
        <f t="shared" si="86"/>
        <v/>
      </c>
      <c r="W143" s="15" t="str">
        <f t="shared" si="87"/>
        <v/>
      </c>
      <c r="X143" s="12"/>
      <c r="Y143" s="14" t="str">
        <f t="shared" si="88"/>
        <v/>
      </c>
      <c r="Z143" s="12"/>
      <c r="AA143" s="12"/>
      <c r="AB143" s="16"/>
      <c r="AC143" s="13"/>
      <c r="AD143" s="13"/>
      <c r="AE143" s="13"/>
      <c r="AF143" s="16"/>
      <c r="AG143" s="12"/>
      <c r="AH143" s="13"/>
      <c r="AI143" s="12"/>
      <c r="AJ143" s="14" t="str">
        <f t="shared" si="89"/>
        <v/>
      </c>
      <c r="AK143" s="14" t="str">
        <f t="shared" si="90"/>
        <v/>
      </c>
      <c r="AL143" s="17" t="str">
        <f t="shared" si="91"/>
        <v/>
      </c>
      <c r="AM143" s="16"/>
      <c r="AN143" s="12"/>
      <c r="AO143" s="16"/>
      <c r="AP143" s="12"/>
      <c r="AQ143" s="12"/>
      <c r="AR143" s="14" t="str">
        <f t="shared" si="92"/>
        <v/>
      </c>
      <c r="AS143" s="15" t="str">
        <f t="shared" si="93"/>
        <v/>
      </c>
      <c r="AT143" s="12"/>
      <c r="AU143" s="13"/>
      <c r="AV143" s="12"/>
      <c r="AW143" s="16"/>
      <c r="AX143" s="13"/>
      <c r="AY143" s="17" t="str">
        <f t="shared" si="94"/>
        <v/>
      </c>
      <c r="AZ143" s="14" t="str">
        <f t="shared" ca="1" si="95"/>
        <v/>
      </c>
      <c r="BA143" s="13"/>
      <c r="BB143" s="12"/>
      <c r="BC143" s="14" t="str">
        <f>IF($V143="","",1+COUNTIF($V$5:$V$154,"&gt;"&amp;$V143)+COUNTIFS($V$5:$V$154,$V143,$U$5:$U$154,"&gt;"&amp;$U143)+COUNTIFS($V$4:$V142,$V143,$U$4:$U142,$U143))</f>
        <v/>
      </c>
      <c r="BD143" s="12"/>
      <c r="BE143" s="12"/>
      <c r="BF143" s="12"/>
      <c r="BG143" s="62"/>
      <c r="BH143" s="62"/>
      <c r="BI143" s="63" t="str">
        <f t="shared" si="96"/>
        <v/>
      </c>
      <c r="BJ143" s="18" t="str">
        <f t="shared" si="97"/>
        <v/>
      </c>
      <c r="BK143" s="12"/>
      <c r="BL143" s="117"/>
      <c r="BM143" s="117"/>
      <c r="BN143" s="16"/>
      <c r="BO143" s="117"/>
      <c r="BP143" s="117"/>
      <c r="BQ143" s="117"/>
      <c r="BR143" s="117"/>
      <c r="BS143" s="117"/>
      <c r="BT143" s="117"/>
      <c r="BU143" s="117"/>
      <c r="BV143" s="117"/>
      <c r="BW143" s="14" t="str">
        <f t="shared" si="98"/>
        <v/>
      </c>
      <c r="BX143" s="14" t="str">
        <f t="shared" si="99"/>
        <v/>
      </c>
      <c r="BY143" s="14" t="str">
        <f t="shared" si="100"/>
        <v/>
      </c>
      <c r="BZ143" s="15" t="str">
        <f t="shared" si="101"/>
        <v/>
      </c>
      <c r="CA143" s="15" t="str">
        <f t="shared" si="102"/>
        <v/>
      </c>
      <c r="CB143" s="117"/>
      <c r="CC143" s="117"/>
      <c r="CD143" s="117"/>
      <c r="CE143" s="117"/>
      <c r="CF143" s="117"/>
      <c r="CG143" s="14" t="str">
        <f t="shared" si="103"/>
        <v/>
      </c>
      <c r="CH143" s="15" t="str">
        <f t="shared" si="104"/>
        <v/>
      </c>
      <c r="CI143" s="117"/>
    </row>
    <row r="144" spans="1:87">
      <c r="A144" s="115"/>
      <c r="B144" s="12"/>
      <c r="C144" s="13"/>
      <c r="D144" s="13"/>
      <c r="E144" s="12"/>
      <c r="F144" s="12"/>
      <c r="G144" s="13"/>
      <c r="H144" s="12"/>
      <c r="I144" s="13"/>
      <c r="J144" s="13"/>
      <c r="K144" s="12"/>
      <c r="L144" s="13"/>
      <c r="M144" s="12"/>
      <c r="N144" s="12"/>
      <c r="O144" s="12"/>
      <c r="P144" s="14" t="str">
        <f t="shared" si="84"/>
        <v/>
      </c>
      <c r="Q144" s="15" t="str">
        <f t="shared" si="85"/>
        <v/>
      </c>
      <c r="R144" s="13"/>
      <c r="S144" s="12"/>
      <c r="T144" s="12"/>
      <c r="U144" s="12"/>
      <c r="V144" s="14" t="str">
        <f t="shared" si="86"/>
        <v/>
      </c>
      <c r="W144" s="15" t="str">
        <f t="shared" si="87"/>
        <v/>
      </c>
      <c r="X144" s="12"/>
      <c r="Y144" s="14" t="str">
        <f t="shared" si="88"/>
        <v/>
      </c>
      <c r="Z144" s="12"/>
      <c r="AA144" s="12"/>
      <c r="AB144" s="16"/>
      <c r="AC144" s="13"/>
      <c r="AD144" s="13"/>
      <c r="AE144" s="13"/>
      <c r="AF144" s="16"/>
      <c r="AG144" s="12"/>
      <c r="AH144" s="13"/>
      <c r="AI144" s="12"/>
      <c r="AJ144" s="14" t="str">
        <f t="shared" si="89"/>
        <v/>
      </c>
      <c r="AK144" s="14" t="str">
        <f t="shared" si="90"/>
        <v/>
      </c>
      <c r="AL144" s="17" t="str">
        <f t="shared" si="91"/>
        <v/>
      </c>
      <c r="AM144" s="16"/>
      <c r="AN144" s="12"/>
      <c r="AO144" s="16"/>
      <c r="AP144" s="12"/>
      <c r="AQ144" s="12"/>
      <c r="AR144" s="14" t="str">
        <f t="shared" si="92"/>
        <v/>
      </c>
      <c r="AS144" s="15" t="str">
        <f t="shared" si="93"/>
        <v/>
      </c>
      <c r="AT144" s="12"/>
      <c r="AU144" s="13"/>
      <c r="AV144" s="12"/>
      <c r="AW144" s="16"/>
      <c r="AX144" s="13"/>
      <c r="AY144" s="17" t="str">
        <f t="shared" si="94"/>
        <v/>
      </c>
      <c r="AZ144" s="14" t="str">
        <f t="shared" ca="1" si="95"/>
        <v/>
      </c>
      <c r="BA144" s="13"/>
      <c r="BB144" s="12"/>
      <c r="BC144" s="14" t="str">
        <f>IF($V144="","",1+COUNTIF($V$5:$V$154,"&gt;"&amp;$V144)+COUNTIFS($V$5:$V$154,$V144,$U$5:$U$154,"&gt;"&amp;$U144)+COUNTIFS($V$4:$V143,$V144,$U$4:$U143,$U144))</f>
        <v/>
      </c>
      <c r="BD144" s="12"/>
      <c r="BE144" s="12"/>
      <c r="BF144" s="12"/>
      <c r="BG144" s="62"/>
      <c r="BH144" s="62"/>
      <c r="BI144" s="63" t="str">
        <f t="shared" si="96"/>
        <v/>
      </c>
      <c r="BJ144" s="18" t="str">
        <f t="shared" si="97"/>
        <v/>
      </c>
      <c r="BK144" s="12"/>
      <c r="BL144" s="117"/>
      <c r="BM144" s="117"/>
      <c r="BN144" s="16"/>
      <c r="BO144" s="117"/>
      <c r="BP144" s="117"/>
      <c r="BQ144" s="117"/>
      <c r="BR144" s="117"/>
      <c r="BS144" s="117"/>
      <c r="BT144" s="117"/>
      <c r="BU144" s="117"/>
      <c r="BV144" s="117"/>
      <c r="BW144" s="14" t="str">
        <f t="shared" si="98"/>
        <v/>
      </c>
      <c r="BX144" s="14" t="str">
        <f t="shared" si="99"/>
        <v/>
      </c>
      <c r="BY144" s="14" t="str">
        <f t="shared" si="100"/>
        <v/>
      </c>
      <c r="BZ144" s="15" t="str">
        <f t="shared" si="101"/>
        <v/>
      </c>
      <c r="CA144" s="15" t="str">
        <f t="shared" si="102"/>
        <v/>
      </c>
      <c r="CB144" s="117"/>
      <c r="CC144" s="117"/>
      <c r="CD144" s="117"/>
      <c r="CE144" s="117"/>
      <c r="CF144" s="117"/>
      <c r="CG144" s="14" t="str">
        <f t="shared" si="103"/>
        <v/>
      </c>
      <c r="CH144" s="15" t="str">
        <f t="shared" si="104"/>
        <v/>
      </c>
      <c r="CI144" s="117"/>
    </row>
    <row r="145" spans="1:87">
      <c r="A145" s="115"/>
      <c r="B145" s="12"/>
      <c r="C145" s="13"/>
      <c r="D145" s="13"/>
      <c r="E145" s="12"/>
      <c r="F145" s="12"/>
      <c r="G145" s="13"/>
      <c r="H145" s="12"/>
      <c r="I145" s="13"/>
      <c r="J145" s="13"/>
      <c r="K145" s="12"/>
      <c r="L145" s="13"/>
      <c r="M145" s="12"/>
      <c r="N145" s="12"/>
      <c r="O145" s="12"/>
      <c r="P145" s="14" t="str">
        <f t="shared" si="84"/>
        <v/>
      </c>
      <c r="Q145" s="15" t="str">
        <f t="shared" si="85"/>
        <v/>
      </c>
      <c r="R145" s="13"/>
      <c r="S145" s="12"/>
      <c r="T145" s="12"/>
      <c r="U145" s="12"/>
      <c r="V145" s="14" t="str">
        <f t="shared" si="86"/>
        <v/>
      </c>
      <c r="W145" s="15" t="str">
        <f t="shared" si="87"/>
        <v/>
      </c>
      <c r="X145" s="12"/>
      <c r="Y145" s="14" t="str">
        <f t="shared" si="88"/>
        <v/>
      </c>
      <c r="Z145" s="12"/>
      <c r="AA145" s="12"/>
      <c r="AB145" s="16"/>
      <c r="AC145" s="13"/>
      <c r="AD145" s="13"/>
      <c r="AE145" s="13"/>
      <c r="AF145" s="16"/>
      <c r="AG145" s="12"/>
      <c r="AH145" s="13"/>
      <c r="AI145" s="12"/>
      <c r="AJ145" s="14" t="str">
        <f t="shared" si="89"/>
        <v/>
      </c>
      <c r="AK145" s="14" t="str">
        <f t="shared" si="90"/>
        <v/>
      </c>
      <c r="AL145" s="17" t="str">
        <f t="shared" si="91"/>
        <v/>
      </c>
      <c r="AM145" s="16"/>
      <c r="AN145" s="12"/>
      <c r="AO145" s="16"/>
      <c r="AP145" s="12"/>
      <c r="AQ145" s="12"/>
      <c r="AR145" s="14" t="str">
        <f t="shared" si="92"/>
        <v/>
      </c>
      <c r="AS145" s="15" t="str">
        <f t="shared" si="93"/>
        <v/>
      </c>
      <c r="AT145" s="12"/>
      <c r="AU145" s="13"/>
      <c r="AV145" s="12"/>
      <c r="AW145" s="16"/>
      <c r="AX145" s="13"/>
      <c r="AY145" s="17" t="str">
        <f t="shared" si="94"/>
        <v/>
      </c>
      <c r="AZ145" s="14" t="str">
        <f t="shared" ca="1" si="95"/>
        <v/>
      </c>
      <c r="BA145" s="13"/>
      <c r="BB145" s="12"/>
      <c r="BC145" s="14" t="str">
        <f>IF($V145="","",1+COUNTIF($V$5:$V$154,"&gt;"&amp;$V145)+COUNTIFS($V$5:$V$154,$V145,$U$5:$U$154,"&gt;"&amp;$U145)+COUNTIFS($V$4:$V144,$V145,$U$4:$U144,$U145))</f>
        <v/>
      </c>
      <c r="BD145" s="12"/>
      <c r="BE145" s="12"/>
      <c r="BF145" s="12"/>
      <c r="BG145" s="62"/>
      <c r="BH145" s="62"/>
      <c r="BI145" s="63" t="str">
        <f t="shared" si="96"/>
        <v/>
      </c>
      <c r="BJ145" s="18" t="str">
        <f t="shared" si="97"/>
        <v/>
      </c>
      <c r="BK145" s="12"/>
      <c r="BL145" s="117"/>
      <c r="BM145" s="117"/>
      <c r="BN145" s="16"/>
      <c r="BO145" s="117"/>
      <c r="BP145" s="117"/>
      <c r="BQ145" s="117"/>
      <c r="BR145" s="117"/>
      <c r="BS145" s="117"/>
      <c r="BT145" s="117"/>
      <c r="BU145" s="117"/>
      <c r="BV145" s="117"/>
      <c r="BW145" s="14" t="str">
        <f t="shared" si="98"/>
        <v/>
      </c>
      <c r="BX145" s="14" t="str">
        <f t="shared" si="99"/>
        <v/>
      </c>
      <c r="BY145" s="14" t="str">
        <f t="shared" si="100"/>
        <v/>
      </c>
      <c r="BZ145" s="15" t="str">
        <f t="shared" si="101"/>
        <v/>
      </c>
      <c r="CA145" s="15" t="str">
        <f t="shared" si="102"/>
        <v/>
      </c>
      <c r="CB145" s="117"/>
      <c r="CC145" s="117"/>
      <c r="CD145" s="117"/>
      <c r="CE145" s="117"/>
      <c r="CF145" s="117"/>
      <c r="CG145" s="14" t="str">
        <f t="shared" si="103"/>
        <v/>
      </c>
      <c r="CH145" s="15" t="str">
        <f t="shared" si="104"/>
        <v/>
      </c>
      <c r="CI145" s="117"/>
    </row>
    <row r="146" spans="1:87">
      <c r="A146" s="115"/>
      <c r="B146" s="12"/>
      <c r="C146" s="13"/>
      <c r="D146" s="13"/>
      <c r="E146" s="12"/>
      <c r="F146" s="12"/>
      <c r="G146" s="13"/>
      <c r="H146" s="12"/>
      <c r="I146" s="13"/>
      <c r="J146" s="13"/>
      <c r="K146" s="12"/>
      <c r="L146" s="13"/>
      <c r="M146" s="12"/>
      <c r="N146" s="12"/>
      <c r="O146" s="12"/>
      <c r="P146" s="14" t="str">
        <f t="shared" si="84"/>
        <v/>
      </c>
      <c r="Q146" s="15" t="str">
        <f t="shared" si="85"/>
        <v/>
      </c>
      <c r="R146" s="13"/>
      <c r="S146" s="12"/>
      <c r="T146" s="12"/>
      <c r="U146" s="12"/>
      <c r="V146" s="14" t="str">
        <f t="shared" si="86"/>
        <v/>
      </c>
      <c r="W146" s="15" t="str">
        <f t="shared" si="87"/>
        <v/>
      </c>
      <c r="X146" s="12"/>
      <c r="Y146" s="14" t="str">
        <f t="shared" si="88"/>
        <v/>
      </c>
      <c r="Z146" s="12"/>
      <c r="AA146" s="12"/>
      <c r="AB146" s="16"/>
      <c r="AC146" s="13"/>
      <c r="AD146" s="13"/>
      <c r="AE146" s="13"/>
      <c r="AF146" s="16"/>
      <c r="AG146" s="12"/>
      <c r="AH146" s="13"/>
      <c r="AI146" s="12"/>
      <c r="AJ146" s="14" t="str">
        <f t="shared" si="89"/>
        <v/>
      </c>
      <c r="AK146" s="14" t="str">
        <f t="shared" si="90"/>
        <v/>
      </c>
      <c r="AL146" s="17" t="str">
        <f t="shared" si="91"/>
        <v/>
      </c>
      <c r="AM146" s="16"/>
      <c r="AN146" s="12"/>
      <c r="AO146" s="16"/>
      <c r="AP146" s="12"/>
      <c r="AQ146" s="12"/>
      <c r="AR146" s="14" t="str">
        <f t="shared" si="92"/>
        <v/>
      </c>
      <c r="AS146" s="15" t="str">
        <f t="shared" si="93"/>
        <v/>
      </c>
      <c r="AT146" s="12"/>
      <c r="AU146" s="13"/>
      <c r="AV146" s="12"/>
      <c r="AW146" s="16"/>
      <c r="AX146" s="13"/>
      <c r="AY146" s="17" t="str">
        <f t="shared" si="94"/>
        <v/>
      </c>
      <c r="AZ146" s="14" t="str">
        <f t="shared" ca="1" si="95"/>
        <v/>
      </c>
      <c r="BA146" s="13"/>
      <c r="BB146" s="12"/>
      <c r="BC146" s="14" t="str">
        <f>IF($V146="","",1+COUNTIF($V$5:$V$154,"&gt;"&amp;$V146)+COUNTIFS($V$5:$V$154,$V146,$U$5:$U$154,"&gt;"&amp;$U146)+COUNTIFS($V$4:$V145,$V146,$U$4:$U145,$U146))</f>
        <v/>
      </c>
      <c r="BD146" s="12"/>
      <c r="BE146" s="12"/>
      <c r="BF146" s="12"/>
      <c r="BG146" s="62"/>
      <c r="BH146" s="62"/>
      <c r="BI146" s="63" t="str">
        <f t="shared" si="96"/>
        <v/>
      </c>
      <c r="BJ146" s="18" t="str">
        <f t="shared" si="97"/>
        <v/>
      </c>
      <c r="BK146" s="12"/>
      <c r="BL146" s="117"/>
      <c r="BM146" s="117"/>
      <c r="BN146" s="16"/>
      <c r="BO146" s="117"/>
      <c r="BP146" s="117"/>
      <c r="BQ146" s="117"/>
      <c r="BR146" s="117"/>
      <c r="BS146" s="117"/>
      <c r="BT146" s="117"/>
      <c r="BU146" s="117"/>
      <c r="BV146" s="117"/>
      <c r="BW146" s="14" t="str">
        <f t="shared" si="98"/>
        <v/>
      </c>
      <c r="BX146" s="14" t="str">
        <f t="shared" si="99"/>
        <v/>
      </c>
      <c r="BY146" s="14" t="str">
        <f t="shared" si="100"/>
        <v/>
      </c>
      <c r="BZ146" s="15" t="str">
        <f t="shared" si="101"/>
        <v/>
      </c>
      <c r="CA146" s="15" t="str">
        <f t="shared" si="102"/>
        <v/>
      </c>
      <c r="CB146" s="117"/>
      <c r="CC146" s="117"/>
      <c r="CD146" s="117"/>
      <c r="CE146" s="117"/>
      <c r="CF146" s="117"/>
      <c r="CG146" s="14" t="str">
        <f t="shared" si="103"/>
        <v/>
      </c>
      <c r="CH146" s="15" t="str">
        <f t="shared" si="104"/>
        <v/>
      </c>
      <c r="CI146" s="117"/>
    </row>
    <row r="147" spans="1:87">
      <c r="A147" s="115"/>
      <c r="B147" s="12"/>
      <c r="C147" s="13"/>
      <c r="D147" s="13"/>
      <c r="E147" s="12"/>
      <c r="F147" s="12"/>
      <c r="G147" s="13"/>
      <c r="H147" s="12"/>
      <c r="I147" s="13"/>
      <c r="J147" s="13"/>
      <c r="K147" s="12"/>
      <c r="L147" s="13"/>
      <c r="M147" s="12"/>
      <c r="N147" s="12"/>
      <c r="O147" s="12"/>
      <c r="P147" s="14" t="str">
        <f t="shared" si="84"/>
        <v/>
      </c>
      <c r="Q147" s="15" t="str">
        <f t="shared" si="85"/>
        <v/>
      </c>
      <c r="R147" s="13"/>
      <c r="S147" s="12"/>
      <c r="T147" s="12"/>
      <c r="U147" s="12"/>
      <c r="V147" s="14" t="str">
        <f t="shared" si="86"/>
        <v/>
      </c>
      <c r="W147" s="15" t="str">
        <f t="shared" si="87"/>
        <v/>
      </c>
      <c r="X147" s="12"/>
      <c r="Y147" s="14" t="str">
        <f t="shared" si="88"/>
        <v/>
      </c>
      <c r="Z147" s="12"/>
      <c r="AA147" s="12"/>
      <c r="AB147" s="16"/>
      <c r="AC147" s="13"/>
      <c r="AD147" s="13"/>
      <c r="AE147" s="13"/>
      <c r="AF147" s="16"/>
      <c r="AG147" s="12"/>
      <c r="AH147" s="13"/>
      <c r="AI147" s="12"/>
      <c r="AJ147" s="14" t="str">
        <f t="shared" si="89"/>
        <v/>
      </c>
      <c r="AK147" s="14" t="str">
        <f t="shared" si="90"/>
        <v/>
      </c>
      <c r="AL147" s="17" t="str">
        <f t="shared" si="91"/>
        <v/>
      </c>
      <c r="AM147" s="16"/>
      <c r="AN147" s="12"/>
      <c r="AO147" s="16"/>
      <c r="AP147" s="12"/>
      <c r="AQ147" s="12"/>
      <c r="AR147" s="14" t="str">
        <f t="shared" si="92"/>
        <v/>
      </c>
      <c r="AS147" s="15" t="str">
        <f t="shared" si="93"/>
        <v/>
      </c>
      <c r="AT147" s="12"/>
      <c r="AU147" s="13"/>
      <c r="AV147" s="12"/>
      <c r="AW147" s="16"/>
      <c r="AX147" s="13"/>
      <c r="AY147" s="17" t="str">
        <f t="shared" si="94"/>
        <v/>
      </c>
      <c r="AZ147" s="14" t="str">
        <f t="shared" ca="1" si="95"/>
        <v/>
      </c>
      <c r="BA147" s="13"/>
      <c r="BB147" s="12"/>
      <c r="BC147" s="14" t="str">
        <f>IF($V147="","",1+COUNTIF($V$5:$V$154,"&gt;"&amp;$V147)+COUNTIFS($V$5:$V$154,$V147,$U$5:$U$154,"&gt;"&amp;$U147)+COUNTIFS($V$4:$V146,$V147,$U$4:$U146,$U147))</f>
        <v/>
      </c>
      <c r="BD147" s="12"/>
      <c r="BE147" s="12"/>
      <c r="BF147" s="12"/>
      <c r="BG147" s="62"/>
      <c r="BH147" s="62"/>
      <c r="BI147" s="63" t="str">
        <f t="shared" si="96"/>
        <v/>
      </c>
      <c r="BJ147" s="18" t="str">
        <f t="shared" si="97"/>
        <v/>
      </c>
      <c r="BK147" s="12"/>
      <c r="BL147" s="117"/>
      <c r="BM147" s="117"/>
      <c r="BN147" s="16"/>
      <c r="BO147" s="117"/>
      <c r="BP147" s="117"/>
      <c r="BQ147" s="117"/>
      <c r="BR147" s="117"/>
      <c r="BS147" s="117"/>
      <c r="BT147" s="117"/>
      <c r="BU147" s="117"/>
      <c r="BV147" s="117"/>
      <c r="BW147" s="14" t="str">
        <f t="shared" si="98"/>
        <v/>
      </c>
      <c r="BX147" s="14" t="str">
        <f t="shared" si="99"/>
        <v/>
      </c>
      <c r="BY147" s="14" t="str">
        <f t="shared" si="100"/>
        <v/>
      </c>
      <c r="BZ147" s="15" t="str">
        <f t="shared" si="101"/>
        <v/>
      </c>
      <c r="CA147" s="15" t="str">
        <f t="shared" si="102"/>
        <v/>
      </c>
      <c r="CB147" s="117"/>
      <c r="CC147" s="117"/>
      <c r="CD147" s="117"/>
      <c r="CE147" s="117"/>
      <c r="CF147" s="117"/>
      <c r="CG147" s="14" t="str">
        <f t="shared" si="103"/>
        <v/>
      </c>
      <c r="CH147" s="15" t="str">
        <f t="shared" si="104"/>
        <v/>
      </c>
      <c r="CI147" s="117"/>
    </row>
    <row r="148" spans="1:87">
      <c r="A148" s="115"/>
      <c r="B148" s="12"/>
      <c r="C148" s="13"/>
      <c r="D148" s="13"/>
      <c r="E148" s="12"/>
      <c r="F148" s="12"/>
      <c r="G148" s="13"/>
      <c r="H148" s="12"/>
      <c r="I148" s="13"/>
      <c r="J148" s="13"/>
      <c r="K148" s="12"/>
      <c r="L148" s="13"/>
      <c r="M148" s="12"/>
      <c r="N148" s="12"/>
      <c r="O148" s="12"/>
      <c r="P148" s="14" t="str">
        <f t="shared" si="84"/>
        <v/>
      </c>
      <c r="Q148" s="15" t="str">
        <f t="shared" si="85"/>
        <v/>
      </c>
      <c r="R148" s="13"/>
      <c r="S148" s="12"/>
      <c r="T148" s="12"/>
      <c r="U148" s="12"/>
      <c r="V148" s="14" t="str">
        <f t="shared" si="86"/>
        <v/>
      </c>
      <c r="W148" s="15" t="str">
        <f t="shared" si="87"/>
        <v/>
      </c>
      <c r="X148" s="12"/>
      <c r="Y148" s="14" t="str">
        <f t="shared" si="88"/>
        <v/>
      </c>
      <c r="Z148" s="12"/>
      <c r="AA148" s="12"/>
      <c r="AB148" s="16"/>
      <c r="AC148" s="13"/>
      <c r="AD148" s="13"/>
      <c r="AE148" s="13"/>
      <c r="AF148" s="16"/>
      <c r="AG148" s="12"/>
      <c r="AH148" s="13"/>
      <c r="AI148" s="12"/>
      <c r="AJ148" s="14" t="str">
        <f t="shared" si="89"/>
        <v/>
      </c>
      <c r="AK148" s="14" t="str">
        <f t="shared" si="90"/>
        <v/>
      </c>
      <c r="AL148" s="17" t="str">
        <f t="shared" si="91"/>
        <v/>
      </c>
      <c r="AM148" s="16"/>
      <c r="AN148" s="12"/>
      <c r="AO148" s="16"/>
      <c r="AP148" s="12"/>
      <c r="AQ148" s="12"/>
      <c r="AR148" s="14" t="str">
        <f t="shared" si="92"/>
        <v/>
      </c>
      <c r="AS148" s="15" t="str">
        <f t="shared" si="93"/>
        <v/>
      </c>
      <c r="AT148" s="12"/>
      <c r="AU148" s="13"/>
      <c r="AV148" s="12"/>
      <c r="AW148" s="16"/>
      <c r="AX148" s="13"/>
      <c r="AY148" s="17" t="str">
        <f t="shared" si="94"/>
        <v/>
      </c>
      <c r="AZ148" s="14" t="str">
        <f t="shared" ca="1" si="95"/>
        <v/>
      </c>
      <c r="BA148" s="13"/>
      <c r="BB148" s="12"/>
      <c r="BC148" s="14" t="str">
        <f>IF($V148="","",1+COUNTIF($V$5:$V$154,"&gt;"&amp;$V148)+COUNTIFS($V$5:$V$154,$V148,$U$5:$U$154,"&gt;"&amp;$U148)+COUNTIFS($V$4:$V147,$V148,$U$4:$U147,$U148))</f>
        <v/>
      </c>
      <c r="BD148" s="12"/>
      <c r="BE148" s="12"/>
      <c r="BF148" s="12"/>
      <c r="BG148" s="62"/>
      <c r="BH148" s="62"/>
      <c r="BI148" s="63" t="str">
        <f t="shared" si="96"/>
        <v/>
      </c>
      <c r="BJ148" s="18" t="str">
        <f t="shared" si="97"/>
        <v/>
      </c>
      <c r="BK148" s="12"/>
      <c r="BL148" s="117"/>
      <c r="BM148" s="117"/>
      <c r="BN148" s="16"/>
      <c r="BO148" s="117"/>
      <c r="BP148" s="117"/>
      <c r="BQ148" s="117"/>
      <c r="BR148" s="117"/>
      <c r="BS148" s="117"/>
      <c r="BT148" s="117"/>
      <c r="BU148" s="117"/>
      <c r="BV148" s="117"/>
      <c r="BW148" s="14" t="str">
        <f t="shared" si="98"/>
        <v/>
      </c>
      <c r="BX148" s="14" t="str">
        <f t="shared" si="99"/>
        <v/>
      </c>
      <c r="BY148" s="14" t="str">
        <f t="shared" si="100"/>
        <v/>
      </c>
      <c r="BZ148" s="15" t="str">
        <f t="shared" si="101"/>
        <v/>
      </c>
      <c r="CA148" s="15" t="str">
        <f t="shared" si="102"/>
        <v/>
      </c>
      <c r="CB148" s="117"/>
      <c r="CC148" s="117"/>
      <c r="CD148" s="117"/>
      <c r="CE148" s="117"/>
      <c r="CF148" s="117"/>
      <c r="CG148" s="14" t="str">
        <f t="shared" si="103"/>
        <v/>
      </c>
      <c r="CH148" s="15" t="str">
        <f t="shared" si="104"/>
        <v/>
      </c>
      <c r="CI148" s="117"/>
    </row>
    <row r="149" spans="1:87">
      <c r="A149" s="115"/>
      <c r="B149" s="12"/>
      <c r="C149" s="13"/>
      <c r="D149" s="13"/>
      <c r="E149" s="12"/>
      <c r="F149" s="12"/>
      <c r="G149" s="13"/>
      <c r="H149" s="12"/>
      <c r="I149" s="13"/>
      <c r="J149" s="13"/>
      <c r="K149" s="12"/>
      <c r="L149" s="13"/>
      <c r="M149" s="12"/>
      <c r="N149" s="12"/>
      <c r="O149" s="12"/>
      <c r="P149" s="14" t="str">
        <f t="shared" si="84"/>
        <v/>
      </c>
      <c r="Q149" s="15" t="str">
        <f t="shared" si="85"/>
        <v/>
      </c>
      <c r="R149" s="13"/>
      <c r="S149" s="12"/>
      <c r="T149" s="12"/>
      <c r="U149" s="12"/>
      <c r="V149" s="14" t="str">
        <f t="shared" si="86"/>
        <v/>
      </c>
      <c r="W149" s="15" t="str">
        <f t="shared" si="87"/>
        <v/>
      </c>
      <c r="X149" s="12"/>
      <c r="Y149" s="14" t="str">
        <f t="shared" si="88"/>
        <v/>
      </c>
      <c r="Z149" s="12"/>
      <c r="AA149" s="12"/>
      <c r="AB149" s="16"/>
      <c r="AC149" s="13"/>
      <c r="AD149" s="13"/>
      <c r="AE149" s="13"/>
      <c r="AF149" s="16"/>
      <c r="AG149" s="12"/>
      <c r="AH149" s="13"/>
      <c r="AI149" s="12"/>
      <c r="AJ149" s="14" t="str">
        <f t="shared" si="89"/>
        <v/>
      </c>
      <c r="AK149" s="14" t="str">
        <f t="shared" si="90"/>
        <v/>
      </c>
      <c r="AL149" s="17" t="str">
        <f t="shared" si="91"/>
        <v/>
      </c>
      <c r="AM149" s="16"/>
      <c r="AN149" s="12"/>
      <c r="AO149" s="16"/>
      <c r="AP149" s="12"/>
      <c r="AQ149" s="12"/>
      <c r="AR149" s="14" t="str">
        <f t="shared" si="92"/>
        <v/>
      </c>
      <c r="AS149" s="15" t="str">
        <f t="shared" si="93"/>
        <v/>
      </c>
      <c r="AT149" s="12"/>
      <c r="AU149" s="13"/>
      <c r="AV149" s="12"/>
      <c r="AW149" s="16"/>
      <c r="AX149" s="13"/>
      <c r="AY149" s="17" t="str">
        <f t="shared" si="94"/>
        <v/>
      </c>
      <c r="AZ149" s="14" t="str">
        <f t="shared" ca="1" si="95"/>
        <v/>
      </c>
      <c r="BA149" s="13"/>
      <c r="BB149" s="12"/>
      <c r="BC149" s="14" t="str">
        <f>IF($V149="","",1+COUNTIF($V$5:$V$154,"&gt;"&amp;$V149)+COUNTIFS($V$5:$V$154,$V149,$U$5:$U$154,"&gt;"&amp;$U149)+COUNTIFS($V$4:$V148,$V149,$U$4:$U148,$U149))</f>
        <v/>
      </c>
      <c r="BD149" s="12"/>
      <c r="BE149" s="12"/>
      <c r="BF149" s="12"/>
      <c r="BG149" s="62"/>
      <c r="BH149" s="62"/>
      <c r="BI149" s="63" t="str">
        <f t="shared" si="96"/>
        <v/>
      </c>
      <c r="BJ149" s="18" t="str">
        <f t="shared" si="97"/>
        <v/>
      </c>
      <c r="BK149" s="12"/>
      <c r="BL149" s="117"/>
      <c r="BM149" s="117"/>
      <c r="BN149" s="16"/>
      <c r="BO149" s="117"/>
      <c r="BP149" s="117"/>
      <c r="BQ149" s="117"/>
      <c r="BR149" s="117"/>
      <c r="BS149" s="117"/>
      <c r="BT149" s="117"/>
      <c r="BU149" s="117"/>
      <c r="BV149" s="117"/>
      <c r="BW149" s="14" t="str">
        <f t="shared" si="98"/>
        <v/>
      </c>
      <c r="BX149" s="14" t="str">
        <f t="shared" si="99"/>
        <v/>
      </c>
      <c r="BY149" s="14" t="str">
        <f t="shared" si="100"/>
        <v/>
      </c>
      <c r="BZ149" s="15" t="str">
        <f t="shared" si="101"/>
        <v/>
      </c>
      <c r="CA149" s="15" t="str">
        <f t="shared" si="102"/>
        <v/>
      </c>
      <c r="CB149" s="117"/>
      <c r="CC149" s="117"/>
      <c r="CD149" s="117"/>
      <c r="CE149" s="117"/>
      <c r="CF149" s="117"/>
      <c r="CG149" s="14" t="str">
        <f t="shared" si="103"/>
        <v/>
      </c>
      <c r="CH149" s="15" t="str">
        <f t="shared" si="104"/>
        <v/>
      </c>
      <c r="CI149" s="117"/>
    </row>
    <row r="150" spans="1:87">
      <c r="A150" s="115"/>
      <c r="B150" s="12"/>
      <c r="C150" s="13"/>
      <c r="D150" s="13"/>
      <c r="E150" s="12"/>
      <c r="F150" s="12"/>
      <c r="G150" s="13"/>
      <c r="H150" s="12"/>
      <c r="I150" s="13"/>
      <c r="J150" s="13"/>
      <c r="K150" s="12"/>
      <c r="L150" s="13"/>
      <c r="M150" s="12"/>
      <c r="N150" s="12"/>
      <c r="O150" s="12"/>
      <c r="P150" s="14" t="str">
        <f t="shared" si="84"/>
        <v/>
      </c>
      <c r="Q150" s="15" t="str">
        <f t="shared" si="85"/>
        <v/>
      </c>
      <c r="R150" s="13"/>
      <c r="S150" s="12"/>
      <c r="T150" s="12"/>
      <c r="U150" s="12"/>
      <c r="V150" s="14" t="str">
        <f t="shared" si="86"/>
        <v/>
      </c>
      <c r="W150" s="15" t="str">
        <f t="shared" si="87"/>
        <v/>
      </c>
      <c r="X150" s="12"/>
      <c r="Y150" s="14" t="str">
        <f t="shared" si="88"/>
        <v/>
      </c>
      <c r="Z150" s="12"/>
      <c r="AA150" s="12"/>
      <c r="AB150" s="16"/>
      <c r="AC150" s="13"/>
      <c r="AD150" s="13"/>
      <c r="AE150" s="13"/>
      <c r="AF150" s="16"/>
      <c r="AG150" s="12"/>
      <c r="AH150" s="13"/>
      <c r="AI150" s="12"/>
      <c r="AJ150" s="14" t="str">
        <f t="shared" si="89"/>
        <v/>
      </c>
      <c r="AK150" s="14" t="str">
        <f t="shared" si="90"/>
        <v/>
      </c>
      <c r="AL150" s="17" t="str">
        <f t="shared" si="91"/>
        <v/>
      </c>
      <c r="AM150" s="16"/>
      <c r="AN150" s="12"/>
      <c r="AO150" s="16"/>
      <c r="AP150" s="12"/>
      <c r="AQ150" s="12"/>
      <c r="AR150" s="14" t="str">
        <f t="shared" si="92"/>
        <v/>
      </c>
      <c r="AS150" s="15" t="str">
        <f t="shared" si="93"/>
        <v/>
      </c>
      <c r="AT150" s="12"/>
      <c r="AU150" s="13"/>
      <c r="AV150" s="12"/>
      <c r="AW150" s="16"/>
      <c r="AX150" s="13"/>
      <c r="AY150" s="17" t="str">
        <f t="shared" si="94"/>
        <v/>
      </c>
      <c r="AZ150" s="14" t="str">
        <f t="shared" ca="1" si="95"/>
        <v/>
      </c>
      <c r="BA150" s="13"/>
      <c r="BB150" s="12"/>
      <c r="BC150" s="14" t="str">
        <f>IF($V150="","",1+COUNTIF($V$5:$V$154,"&gt;"&amp;$V150)+COUNTIFS($V$5:$V$154,$V150,$U$5:$U$154,"&gt;"&amp;$U150)+COUNTIFS($V$4:$V149,$V150,$U$4:$U149,$U150))</f>
        <v/>
      </c>
      <c r="BD150" s="12"/>
      <c r="BE150" s="12"/>
      <c r="BF150" s="12"/>
      <c r="BG150" s="62"/>
      <c r="BH150" s="62"/>
      <c r="BI150" s="63" t="str">
        <f t="shared" si="96"/>
        <v/>
      </c>
      <c r="BJ150" s="18" t="str">
        <f t="shared" si="97"/>
        <v/>
      </c>
      <c r="BK150" s="12"/>
      <c r="BL150" s="117"/>
      <c r="BM150" s="117"/>
      <c r="BN150" s="16"/>
      <c r="BO150" s="117"/>
      <c r="BP150" s="117"/>
      <c r="BQ150" s="117"/>
      <c r="BR150" s="117"/>
      <c r="BS150" s="117"/>
      <c r="BT150" s="117"/>
      <c r="BU150" s="117"/>
      <c r="BV150" s="117"/>
      <c r="BW150" s="14" t="str">
        <f t="shared" si="98"/>
        <v/>
      </c>
      <c r="BX150" s="14" t="str">
        <f t="shared" si="99"/>
        <v/>
      </c>
      <c r="BY150" s="14" t="str">
        <f t="shared" si="100"/>
        <v/>
      </c>
      <c r="BZ150" s="15" t="str">
        <f t="shared" si="101"/>
        <v/>
      </c>
      <c r="CA150" s="15" t="str">
        <f t="shared" si="102"/>
        <v/>
      </c>
      <c r="CB150" s="117"/>
      <c r="CC150" s="117"/>
      <c r="CD150" s="117"/>
      <c r="CE150" s="117"/>
      <c r="CF150" s="117"/>
      <c r="CG150" s="14" t="str">
        <f t="shared" si="103"/>
        <v/>
      </c>
      <c r="CH150" s="15" t="str">
        <f t="shared" si="104"/>
        <v/>
      </c>
      <c r="CI150" s="117"/>
    </row>
    <row r="151" spans="1:87">
      <c r="A151" s="115"/>
      <c r="B151" s="12"/>
      <c r="C151" s="13"/>
      <c r="D151" s="13"/>
      <c r="E151" s="12"/>
      <c r="F151" s="12"/>
      <c r="G151" s="13"/>
      <c r="H151" s="12"/>
      <c r="I151" s="13"/>
      <c r="J151" s="13"/>
      <c r="K151" s="12"/>
      <c r="L151" s="13"/>
      <c r="M151" s="12"/>
      <c r="N151" s="12"/>
      <c r="O151" s="12"/>
      <c r="P151" s="14" t="str">
        <f t="shared" si="84"/>
        <v/>
      </c>
      <c r="Q151" s="15" t="str">
        <f t="shared" si="85"/>
        <v/>
      </c>
      <c r="R151" s="13"/>
      <c r="S151" s="12"/>
      <c r="T151" s="12"/>
      <c r="U151" s="12"/>
      <c r="V151" s="14" t="str">
        <f t="shared" si="86"/>
        <v/>
      </c>
      <c r="W151" s="15" t="str">
        <f t="shared" si="87"/>
        <v/>
      </c>
      <c r="X151" s="12"/>
      <c r="Y151" s="14" t="str">
        <f t="shared" si="88"/>
        <v/>
      </c>
      <c r="Z151" s="12"/>
      <c r="AA151" s="12"/>
      <c r="AB151" s="16"/>
      <c r="AC151" s="13"/>
      <c r="AD151" s="13"/>
      <c r="AE151" s="13"/>
      <c r="AF151" s="16"/>
      <c r="AG151" s="12"/>
      <c r="AH151" s="13"/>
      <c r="AI151" s="12"/>
      <c r="AJ151" s="14" t="str">
        <f t="shared" si="89"/>
        <v/>
      </c>
      <c r="AK151" s="14" t="str">
        <f t="shared" si="90"/>
        <v/>
      </c>
      <c r="AL151" s="17" t="str">
        <f t="shared" si="91"/>
        <v/>
      </c>
      <c r="AM151" s="16"/>
      <c r="AN151" s="12"/>
      <c r="AO151" s="16"/>
      <c r="AP151" s="12"/>
      <c r="AQ151" s="12"/>
      <c r="AR151" s="14" t="str">
        <f t="shared" si="92"/>
        <v/>
      </c>
      <c r="AS151" s="15" t="str">
        <f t="shared" si="93"/>
        <v/>
      </c>
      <c r="AT151" s="12"/>
      <c r="AU151" s="13"/>
      <c r="AV151" s="12"/>
      <c r="AW151" s="16"/>
      <c r="AX151" s="13"/>
      <c r="AY151" s="17" t="str">
        <f t="shared" si="94"/>
        <v/>
      </c>
      <c r="AZ151" s="14" t="str">
        <f t="shared" ca="1" si="95"/>
        <v/>
      </c>
      <c r="BA151" s="13"/>
      <c r="BB151" s="12"/>
      <c r="BC151" s="14" t="str">
        <f>IF($V151="","",1+COUNTIF($V$5:$V$154,"&gt;"&amp;$V151)+COUNTIFS($V$5:$V$154,$V151,$U$5:$U$154,"&gt;"&amp;$U151)+COUNTIFS($V$4:$V150,$V151,$U$4:$U150,$U151))</f>
        <v/>
      </c>
      <c r="BD151" s="12"/>
      <c r="BE151" s="12"/>
      <c r="BF151" s="12"/>
      <c r="BG151" s="62"/>
      <c r="BH151" s="62"/>
      <c r="BI151" s="63" t="str">
        <f t="shared" si="96"/>
        <v/>
      </c>
      <c r="BJ151" s="18" t="str">
        <f t="shared" si="97"/>
        <v/>
      </c>
      <c r="BK151" s="12"/>
      <c r="BL151" s="117"/>
      <c r="BM151" s="117"/>
      <c r="BN151" s="16"/>
      <c r="BO151" s="117"/>
      <c r="BP151" s="117"/>
      <c r="BQ151" s="117"/>
      <c r="BR151" s="117"/>
      <c r="BS151" s="117"/>
      <c r="BT151" s="117"/>
      <c r="BU151" s="117"/>
      <c r="BV151" s="117"/>
      <c r="BW151" s="14" t="str">
        <f t="shared" si="98"/>
        <v/>
      </c>
      <c r="BX151" s="14" t="str">
        <f t="shared" si="99"/>
        <v/>
      </c>
      <c r="BY151" s="14" t="str">
        <f t="shared" si="100"/>
        <v/>
      </c>
      <c r="BZ151" s="15" t="str">
        <f t="shared" si="101"/>
        <v/>
      </c>
      <c r="CA151" s="15" t="str">
        <f t="shared" si="102"/>
        <v/>
      </c>
      <c r="CB151" s="117"/>
      <c r="CC151" s="117"/>
      <c r="CD151" s="117"/>
      <c r="CE151" s="117"/>
      <c r="CF151" s="117"/>
      <c r="CG151" s="14" t="str">
        <f t="shared" si="103"/>
        <v/>
      </c>
      <c r="CH151" s="15" t="str">
        <f t="shared" si="104"/>
        <v/>
      </c>
      <c r="CI151" s="117"/>
    </row>
    <row r="152" spans="1:87">
      <c r="A152" s="115"/>
      <c r="B152" s="12"/>
      <c r="C152" s="13"/>
      <c r="D152" s="13"/>
      <c r="E152" s="12"/>
      <c r="F152" s="12"/>
      <c r="G152" s="13"/>
      <c r="H152" s="12"/>
      <c r="I152" s="13"/>
      <c r="J152" s="13"/>
      <c r="K152" s="12"/>
      <c r="L152" s="13"/>
      <c r="M152" s="12"/>
      <c r="N152" s="12"/>
      <c r="O152" s="12"/>
      <c r="P152" s="14" t="str">
        <f t="shared" si="84"/>
        <v/>
      </c>
      <c r="Q152" s="15" t="str">
        <f t="shared" si="85"/>
        <v/>
      </c>
      <c r="R152" s="13"/>
      <c r="S152" s="12"/>
      <c r="T152" s="12"/>
      <c r="U152" s="12"/>
      <c r="V152" s="14" t="str">
        <f t="shared" si="86"/>
        <v/>
      </c>
      <c r="W152" s="15" t="str">
        <f t="shared" si="87"/>
        <v/>
      </c>
      <c r="X152" s="12"/>
      <c r="Y152" s="14" t="str">
        <f t="shared" si="88"/>
        <v/>
      </c>
      <c r="Z152" s="12"/>
      <c r="AA152" s="12"/>
      <c r="AB152" s="16"/>
      <c r="AC152" s="13"/>
      <c r="AD152" s="13"/>
      <c r="AE152" s="13"/>
      <c r="AF152" s="16"/>
      <c r="AG152" s="12"/>
      <c r="AH152" s="13"/>
      <c r="AI152" s="12"/>
      <c r="AJ152" s="14" t="str">
        <f t="shared" si="89"/>
        <v/>
      </c>
      <c r="AK152" s="14" t="str">
        <f t="shared" si="90"/>
        <v/>
      </c>
      <c r="AL152" s="17" t="str">
        <f t="shared" si="91"/>
        <v/>
      </c>
      <c r="AM152" s="16"/>
      <c r="AN152" s="12"/>
      <c r="AO152" s="16"/>
      <c r="AP152" s="12"/>
      <c r="AQ152" s="12"/>
      <c r="AR152" s="14" t="str">
        <f t="shared" si="92"/>
        <v/>
      </c>
      <c r="AS152" s="15" t="str">
        <f t="shared" si="93"/>
        <v/>
      </c>
      <c r="AT152" s="12"/>
      <c r="AU152" s="13"/>
      <c r="AV152" s="12"/>
      <c r="AW152" s="16"/>
      <c r="AX152" s="13"/>
      <c r="AY152" s="17" t="str">
        <f t="shared" si="94"/>
        <v/>
      </c>
      <c r="AZ152" s="14" t="str">
        <f t="shared" ca="1" si="95"/>
        <v/>
      </c>
      <c r="BA152" s="13"/>
      <c r="BB152" s="12"/>
      <c r="BC152" s="14" t="str">
        <f>IF($V152="","",1+COUNTIF($V$5:$V$154,"&gt;"&amp;$V152)+COUNTIFS($V$5:$V$154,$V152,$U$5:$U$154,"&gt;"&amp;$U152)+COUNTIFS($V$4:$V151,$V152,$U$4:$U151,$U152))</f>
        <v/>
      </c>
      <c r="BD152" s="12"/>
      <c r="BE152" s="12"/>
      <c r="BF152" s="12"/>
      <c r="BG152" s="62"/>
      <c r="BH152" s="62"/>
      <c r="BI152" s="63" t="str">
        <f t="shared" si="96"/>
        <v/>
      </c>
      <c r="BJ152" s="18" t="str">
        <f t="shared" si="97"/>
        <v/>
      </c>
      <c r="BK152" s="12"/>
      <c r="BL152" s="117"/>
      <c r="BM152" s="117"/>
      <c r="BN152" s="16"/>
      <c r="BO152" s="117"/>
      <c r="BP152" s="117"/>
      <c r="BQ152" s="117"/>
      <c r="BR152" s="117"/>
      <c r="BS152" s="117"/>
      <c r="BT152" s="117"/>
      <c r="BU152" s="117"/>
      <c r="BV152" s="117"/>
      <c r="BW152" s="14" t="str">
        <f t="shared" si="98"/>
        <v/>
      </c>
      <c r="BX152" s="14" t="str">
        <f t="shared" si="99"/>
        <v/>
      </c>
      <c r="BY152" s="14" t="str">
        <f t="shared" si="100"/>
        <v/>
      </c>
      <c r="BZ152" s="15" t="str">
        <f t="shared" si="101"/>
        <v/>
      </c>
      <c r="CA152" s="15" t="str">
        <f t="shared" si="102"/>
        <v/>
      </c>
      <c r="CB152" s="117"/>
      <c r="CC152" s="117"/>
      <c r="CD152" s="117"/>
      <c r="CE152" s="117"/>
      <c r="CF152" s="117"/>
      <c r="CG152" s="14" t="str">
        <f t="shared" si="103"/>
        <v/>
      </c>
      <c r="CH152" s="15" t="str">
        <f t="shared" si="104"/>
        <v/>
      </c>
      <c r="CI152" s="117"/>
    </row>
    <row r="153" spans="1:87">
      <c r="A153" s="115"/>
      <c r="B153" s="12"/>
      <c r="C153" s="13"/>
      <c r="D153" s="13"/>
      <c r="E153" s="12"/>
      <c r="F153" s="12"/>
      <c r="G153" s="13"/>
      <c r="H153" s="12"/>
      <c r="I153" s="13"/>
      <c r="J153" s="13"/>
      <c r="K153" s="12"/>
      <c r="L153" s="13"/>
      <c r="M153" s="12"/>
      <c r="N153" s="12"/>
      <c r="O153" s="12"/>
      <c r="P153" s="14" t="str">
        <f t="shared" si="84"/>
        <v/>
      </c>
      <c r="Q153" s="15" t="str">
        <f t="shared" si="85"/>
        <v/>
      </c>
      <c r="R153" s="13"/>
      <c r="S153" s="12"/>
      <c r="T153" s="12"/>
      <c r="U153" s="12"/>
      <c r="V153" s="14" t="str">
        <f t="shared" si="86"/>
        <v/>
      </c>
      <c r="W153" s="15" t="str">
        <f t="shared" si="87"/>
        <v/>
      </c>
      <c r="X153" s="12"/>
      <c r="Y153" s="14" t="str">
        <f t="shared" si="88"/>
        <v/>
      </c>
      <c r="Z153" s="12"/>
      <c r="AA153" s="12"/>
      <c r="AB153" s="16"/>
      <c r="AC153" s="13"/>
      <c r="AD153" s="13"/>
      <c r="AE153" s="13"/>
      <c r="AF153" s="16"/>
      <c r="AG153" s="12"/>
      <c r="AH153" s="13"/>
      <c r="AI153" s="12"/>
      <c r="AJ153" s="14" t="str">
        <f t="shared" si="89"/>
        <v/>
      </c>
      <c r="AK153" s="14" t="str">
        <f t="shared" si="90"/>
        <v/>
      </c>
      <c r="AL153" s="17" t="str">
        <f t="shared" si="91"/>
        <v/>
      </c>
      <c r="AM153" s="16"/>
      <c r="AN153" s="12"/>
      <c r="AO153" s="16"/>
      <c r="AP153" s="12"/>
      <c r="AQ153" s="12"/>
      <c r="AR153" s="14" t="str">
        <f t="shared" si="92"/>
        <v/>
      </c>
      <c r="AS153" s="15" t="str">
        <f t="shared" si="93"/>
        <v/>
      </c>
      <c r="AT153" s="12"/>
      <c r="AU153" s="13"/>
      <c r="AV153" s="12"/>
      <c r="AW153" s="16"/>
      <c r="AX153" s="13"/>
      <c r="AY153" s="17" t="str">
        <f t="shared" si="94"/>
        <v/>
      </c>
      <c r="AZ153" s="14" t="str">
        <f t="shared" ca="1" si="95"/>
        <v/>
      </c>
      <c r="BA153" s="13"/>
      <c r="BB153" s="12"/>
      <c r="BC153" s="14" t="str">
        <f>IF($V153="","",1+COUNTIF($V$5:$V$154,"&gt;"&amp;$V153)+COUNTIFS($V$5:$V$154,$V153,$U$5:$U$154,"&gt;"&amp;$U153)+COUNTIFS($V$4:$V152,$V153,$U$4:$U152,$U153))</f>
        <v/>
      </c>
      <c r="BD153" s="12"/>
      <c r="BE153" s="12"/>
      <c r="BF153" s="12"/>
      <c r="BG153" s="62"/>
      <c r="BH153" s="62"/>
      <c r="BI153" s="63" t="str">
        <f t="shared" si="96"/>
        <v/>
      </c>
      <c r="BJ153" s="18" t="str">
        <f t="shared" si="97"/>
        <v/>
      </c>
      <c r="BK153" s="12"/>
      <c r="BL153" s="117"/>
      <c r="BM153" s="117"/>
      <c r="BN153" s="16"/>
      <c r="BO153" s="117"/>
      <c r="BP153" s="117"/>
      <c r="BQ153" s="117"/>
      <c r="BR153" s="117"/>
      <c r="BS153" s="117"/>
      <c r="BT153" s="117"/>
      <c r="BU153" s="117"/>
      <c r="BV153" s="117"/>
      <c r="BW153" s="14" t="str">
        <f t="shared" si="98"/>
        <v/>
      </c>
      <c r="BX153" s="14" t="str">
        <f t="shared" si="99"/>
        <v/>
      </c>
      <c r="BY153" s="14" t="str">
        <f t="shared" si="100"/>
        <v/>
      </c>
      <c r="BZ153" s="15" t="str">
        <f t="shared" si="101"/>
        <v/>
      </c>
      <c r="CA153" s="15" t="str">
        <f t="shared" si="102"/>
        <v/>
      </c>
      <c r="CB153" s="117"/>
      <c r="CC153" s="117"/>
      <c r="CD153" s="117"/>
      <c r="CE153" s="117"/>
      <c r="CF153" s="117"/>
      <c r="CG153" s="14" t="str">
        <f t="shared" si="103"/>
        <v/>
      </c>
      <c r="CH153" s="15" t="str">
        <f t="shared" si="104"/>
        <v/>
      </c>
      <c r="CI153" s="117"/>
    </row>
    <row r="154" spans="1:87">
      <c r="A154" s="118"/>
      <c r="B154" s="119"/>
      <c r="C154" s="120"/>
      <c r="D154" s="120"/>
      <c r="E154" s="119"/>
      <c r="F154" s="119"/>
      <c r="G154" s="120"/>
      <c r="H154" s="119"/>
      <c r="I154" s="120"/>
      <c r="J154" s="120"/>
      <c r="K154" s="119"/>
      <c r="L154" s="120"/>
      <c r="M154" s="119"/>
      <c r="N154" s="119"/>
      <c r="O154" s="119"/>
      <c r="P154" s="121" t="str">
        <f t="shared" si="84"/>
        <v/>
      </c>
      <c r="Q154" s="122" t="str">
        <f t="shared" si="85"/>
        <v/>
      </c>
      <c r="R154" s="120"/>
      <c r="S154" s="119"/>
      <c r="T154" s="119"/>
      <c r="U154" s="119"/>
      <c r="V154" s="121" t="str">
        <f t="shared" si="86"/>
        <v/>
      </c>
      <c r="W154" s="122" t="str">
        <f t="shared" si="87"/>
        <v/>
      </c>
      <c r="X154" s="119"/>
      <c r="Y154" s="121" t="str">
        <f t="shared" si="88"/>
        <v/>
      </c>
      <c r="Z154" s="119"/>
      <c r="AA154" s="119"/>
      <c r="AB154" s="123"/>
      <c r="AC154" s="120"/>
      <c r="AD154" s="120"/>
      <c r="AE154" s="120"/>
      <c r="AF154" s="123"/>
      <c r="AG154" s="119"/>
      <c r="AH154" s="120"/>
      <c r="AI154" s="119"/>
      <c r="AJ154" s="121" t="str">
        <f t="shared" si="89"/>
        <v/>
      </c>
      <c r="AK154" s="121" t="str">
        <f t="shared" si="90"/>
        <v/>
      </c>
      <c r="AL154" s="124" t="str">
        <f t="shared" si="91"/>
        <v/>
      </c>
      <c r="AM154" s="123"/>
      <c r="AN154" s="119"/>
      <c r="AO154" s="123"/>
      <c r="AP154" s="119"/>
      <c r="AQ154" s="119"/>
      <c r="AR154" s="121" t="str">
        <f t="shared" si="92"/>
        <v/>
      </c>
      <c r="AS154" s="122" t="str">
        <f t="shared" si="93"/>
        <v/>
      </c>
      <c r="AT154" s="119"/>
      <c r="AU154" s="120"/>
      <c r="AV154" s="119"/>
      <c r="AW154" s="123"/>
      <c r="AX154" s="120"/>
      <c r="AY154" s="124" t="str">
        <f t="shared" si="94"/>
        <v/>
      </c>
      <c r="AZ154" s="121" t="str">
        <f t="shared" ca="1" si="95"/>
        <v/>
      </c>
      <c r="BA154" s="120"/>
      <c r="BB154" s="119"/>
      <c r="BC154" s="121" t="str">
        <f>IF($V154="","",1+COUNTIF($V$5:$V$154,"&gt;"&amp;$V154)+COUNTIFS($V$5:$V$154,$V154,$U$5:$U$154,"&gt;"&amp;$U154)+COUNTIFS($V$4:$V153,$V154,$U$4:$U153,$U154))</f>
        <v/>
      </c>
      <c r="BD154" s="119"/>
      <c r="BE154" s="119"/>
      <c r="BF154" s="119"/>
      <c r="BG154" s="125"/>
      <c r="BH154" s="125"/>
      <c r="BI154" s="126" t="str">
        <f t="shared" si="96"/>
        <v/>
      </c>
      <c r="BJ154" s="127" t="str">
        <f t="shared" si="97"/>
        <v/>
      </c>
      <c r="BK154" s="119"/>
      <c r="BL154" s="128"/>
      <c r="BM154" s="128"/>
      <c r="BN154" s="123"/>
      <c r="BO154" s="128"/>
      <c r="BP154" s="128"/>
      <c r="BQ154" s="128"/>
      <c r="BR154" s="128"/>
      <c r="BS154" s="128"/>
      <c r="BT154" s="128"/>
      <c r="BU154" s="128"/>
      <c r="BV154" s="128"/>
      <c r="BW154" s="121" t="str">
        <f t="shared" si="98"/>
        <v/>
      </c>
      <c r="BX154" s="121" t="str">
        <f t="shared" si="99"/>
        <v/>
      </c>
      <c r="BY154" s="121" t="str">
        <f t="shared" si="100"/>
        <v/>
      </c>
      <c r="BZ154" s="122" t="str">
        <f t="shared" si="101"/>
        <v/>
      </c>
      <c r="CA154" s="122" t="str">
        <f t="shared" si="102"/>
        <v/>
      </c>
      <c r="CB154" s="128"/>
      <c r="CC154" s="128"/>
      <c r="CD154" s="128"/>
      <c r="CE154" s="128"/>
      <c r="CF154" s="128"/>
      <c r="CG154" s="121" t="str">
        <f t="shared" si="103"/>
        <v/>
      </c>
      <c r="CH154" s="122" t="str">
        <f t="shared" si="104"/>
        <v/>
      </c>
      <c r="CI154" s="128"/>
    </row>
  </sheetData>
  <mergeCells count="26">
    <mergeCell ref="N3:Q3"/>
    <mergeCell ref="R3:S3"/>
    <mergeCell ref="T3:X3"/>
    <mergeCell ref="Y3:AH3"/>
    <mergeCell ref="BD3:BL3"/>
    <mergeCell ref="AI3:AL3"/>
    <mergeCell ref="AM3:AO3"/>
    <mergeCell ref="AP3:AT3"/>
    <mergeCell ref="AU3:AZ3"/>
    <mergeCell ref="BA3:BC3"/>
    <mergeCell ref="BM3:CI3"/>
    <mergeCell ref="A1:K1"/>
    <mergeCell ref="L1:BC1"/>
    <mergeCell ref="A2:C2"/>
    <mergeCell ref="E2:F2"/>
    <mergeCell ref="G2:H2"/>
    <mergeCell ref="J2:K2"/>
    <mergeCell ref="L2:M2"/>
    <mergeCell ref="N2:O2"/>
    <mergeCell ref="P2:Q2"/>
    <mergeCell ref="R2:T2"/>
    <mergeCell ref="U2:V2"/>
    <mergeCell ref="W2:X2"/>
    <mergeCell ref="Y2:Z2"/>
    <mergeCell ref="AA2:AC2"/>
    <mergeCell ref="A3:M3"/>
  </mergeCells>
  <phoneticPr fontId="32" type="noConversion"/>
  <conditionalFormatting sqref="O5:O154">
    <cfRule type="cellIs" dxfId="143" priority="29" operator="equal">
      <formula>5</formula>
    </cfRule>
  </conditionalFormatting>
  <conditionalFormatting sqref="Q5:Q154">
    <cfRule type="cellIs" dxfId="142" priority="17" operator="equal">
      <formula>"Baixo"</formula>
    </cfRule>
    <cfRule type="cellIs" dxfId="141" priority="18" operator="equal">
      <formula>"Médio"</formula>
    </cfRule>
    <cfRule type="cellIs" dxfId="140" priority="19" operator="equal">
      <formula>"Alto"</formula>
    </cfRule>
    <cfRule type="cellIs" dxfId="139" priority="20" operator="equal">
      <formula>"Crítico"</formula>
    </cfRule>
  </conditionalFormatting>
  <conditionalFormatting sqref="U5:U154">
    <cfRule type="cellIs" dxfId="138" priority="30" operator="equal">
      <formula>5</formula>
    </cfRule>
  </conditionalFormatting>
  <conditionalFormatting sqref="W5:W154">
    <cfRule type="cellIs" dxfId="137" priority="21" operator="equal">
      <formula>"Baixo"</formula>
    </cfRule>
    <cfRule type="cellIs" dxfId="136" priority="22" operator="equal">
      <formula>"Médio"</formula>
    </cfRule>
    <cfRule type="cellIs" dxfId="135" priority="23" operator="equal">
      <formula>"Alto"</formula>
    </cfRule>
    <cfRule type="cellIs" dxfId="134" priority="24" operator="equal">
      <formula>"Crítico"</formula>
    </cfRule>
  </conditionalFormatting>
  <conditionalFormatting sqref="X5:X154">
    <cfRule type="cellIs" dxfId="133" priority="42" operator="equal">
      <formula>"Baixa"</formula>
    </cfRule>
  </conditionalFormatting>
  <conditionalFormatting sqref="Y5:Y154">
    <cfRule type="cellIs" dxfId="132" priority="32" operator="equal">
      <formula>"Prevenir"</formula>
    </cfRule>
    <cfRule type="cellIs" dxfId="131" priority="33" operator="equal">
      <formula>"Mitigar"</formula>
    </cfRule>
    <cfRule type="cellIs" dxfId="130" priority="34" operator="equal">
      <formula>"Monitorar"</formula>
    </cfRule>
  </conditionalFormatting>
  <conditionalFormatting sqref="Z5:Z154">
    <cfRule type="expression" dxfId="129" priority="40">
      <formula>AND($Z5&lt;&gt;"",$Y5&lt;&gt;"",OR($Z5="Aceitar",$Z5="Monitorar"),$Y5&lt;&gt;"Monitorar")</formula>
    </cfRule>
  </conditionalFormatting>
  <conditionalFormatting sqref="AI5:AI154">
    <cfRule type="expression" dxfId="128" priority="39">
      <formula>AND($AI5&lt;&gt;"",COUNTIF(PlanosCod,$AI5)=0)</formula>
    </cfRule>
  </conditionalFormatting>
  <conditionalFormatting sqref="AL5:AL154">
    <cfRule type="expression" dxfId="127" priority="37">
      <formula>AND(ISNUMBER($AL5),$AL5&lt;TODAY(),$AK5&lt;&gt;"Concluído",$AK5&lt;&gt;"Cancelado")</formula>
    </cfRule>
  </conditionalFormatting>
  <conditionalFormatting sqref="AQ5:AQ154">
    <cfRule type="cellIs" dxfId="126" priority="31" operator="equal">
      <formula>5</formula>
    </cfRule>
  </conditionalFormatting>
  <conditionalFormatting sqref="AS5:AS154">
    <cfRule type="cellIs" dxfId="125" priority="25" operator="equal">
      <formula>"Baixo"</formula>
    </cfRule>
    <cfRule type="cellIs" dxfId="124" priority="26" operator="equal">
      <formula>"Médio"</formula>
    </cfRule>
    <cfRule type="cellIs" dxfId="123" priority="27" operator="equal">
      <formula>"Alto"</formula>
    </cfRule>
    <cfRule type="cellIs" dxfId="122" priority="28" operator="equal">
      <formula>"Crítico"</formula>
    </cfRule>
  </conditionalFormatting>
  <conditionalFormatting sqref="AT5:AT154">
    <cfRule type="expression" dxfId="121" priority="41">
      <formula>$AT5="Não"</formula>
    </cfRule>
  </conditionalFormatting>
  <conditionalFormatting sqref="AY5:AY154">
    <cfRule type="expression" dxfId="120" priority="38">
      <formula>AND(ISNUMBER($AY5),$AY5&lt;TODAY())</formula>
    </cfRule>
  </conditionalFormatting>
  <conditionalFormatting sqref="AZ5:AZ154">
    <cfRule type="expression" dxfId="119" priority="35">
      <formula>AND($AZ5&lt;&gt;"",$AZ5&lt;&gt;"OK")</formula>
    </cfRule>
    <cfRule type="expression" dxfId="118" priority="36">
      <formula>$AZ5="OK"</formula>
    </cfRule>
  </conditionalFormatting>
  <conditionalFormatting sqref="BD5:BD154">
    <cfRule type="expression" dxfId="117" priority="43" stopIfTrue="1">
      <formula>Y(O(IZQUIERDA($BD5,6)="Rápida",IZQUIERDA($BD5,8)="Imediata"),O($W5="Alto",$W5="Crítico"))</formula>
    </cfRule>
  </conditionalFormatting>
  <conditionalFormatting sqref="BE5:BE154">
    <cfRule type="expression" dxfId="116" priority="44" stopIfTrue="1">
      <formula>Y(IZQUIERDA($BE5,4)="Alta",O($W5="Alto",$W5="Crítico"))</formula>
    </cfRule>
  </conditionalFormatting>
  <conditionalFormatting sqref="BJ5:BJ154">
    <cfRule type="expression" dxfId="115" priority="45" stopIfTrue="1">
      <formula>IZQUIERDA($BJ5,11)="Custo maior"</formula>
    </cfRule>
  </conditionalFormatting>
  <conditionalFormatting sqref="BZ5:BZ154">
    <cfRule type="cellIs" dxfId="114" priority="46" stopIfTrue="1" operator="equal">
      <formula>"SIGNIFICATIVO"</formula>
    </cfRule>
  </conditionalFormatting>
  <conditionalFormatting sqref="CH5:CH154">
    <cfRule type="cellIs" dxfId="113" priority="47" stopIfTrue="1" operator="equal">
      <formula>"SIGNIFICATIVO"</formula>
    </cfRule>
  </conditionalFormatting>
  <dataValidations count="30">
    <dataValidation type="list" allowBlank="1" showErrorMessage="1" errorTitle="Área" error="Escolha uma área da lista (edite em 'Critérios')." sqref="B5:B154" xr:uid="{00000000-0002-0000-0000-000000000000}">
      <formula1>ListaAreas</formula1>
      <formula2>0</formula2>
    </dataValidation>
    <dataValidation type="list" errorStyle="information" allowBlank="1" showErrorMessage="1" errorTitle="Origem" error="Valor fora da lista (ex.: SWOT_2026). Confirmar mantém o texto digitado." sqref="D5:D154" xr:uid="{00000000-0002-0000-0000-000001000000}">
      <formula1>ListaOrigem</formula1>
      <formula2>0</formula2>
    </dataValidation>
    <dataValidation type="list" allowBlank="1" showErrorMessage="1" errorTitle="Tipo de risco" error="Escolha um tipo da lista." sqref="E5:E154" xr:uid="{00000000-0002-0000-0000-000002000000}">
      <formula1>ListaTipoRisco</formula1>
      <formula2>0</formula2>
    </dataValidation>
    <dataValidation type="list" allowBlank="1" showErrorMessage="1" sqref="H5:H154" xr:uid="{00000000-0002-0000-0000-000003000000}">
      <formula1>"Novo,Mantido,Alterado"</formula1>
      <formula2>0</formula2>
    </dataValidation>
    <dataValidation type="list" allowBlank="1" showErrorMessage="1" sqref="F5:F154" xr:uid="{00000000-0002-0000-0000-000004000000}">
      <formula1>"Estratégico,Gerencial (processo),Operacional,Projeto"</formula1>
      <formula2>0</formula2>
    </dataValidation>
    <dataValidation type="list" allowBlank="1" showErrorMessage="1" sqref="AA5:AA154" xr:uid="{00000000-0002-0000-0000-000005000000}">
      <formula1>"Eliminação,Substituição,Controle de engenharia,Controle administrativo,EPI,Não se aplica"</formula1>
      <formula2>0</formula2>
    </dataValidation>
    <dataValidation type="list" errorStyle="information" allowBlank="1" showErrorMessage="1" errorTitle="Parte interessada" error="Valor fora da lista (cadastre na aba Contexto). Confirmar mantém o texto digitado." sqref="I5:I154" xr:uid="{00000000-0002-0000-0000-000006000000}">
      <formula1>ListaPartes</formula1>
      <formula2>0</formula2>
    </dataValidation>
    <dataValidation type="list" allowBlank="1" showErrorMessage="1" sqref="K5:K154" xr:uid="{00000000-0002-0000-0000-000007000000}">
      <formula1>"Método,Máquina,Mão de obra,Material,Meio ambiente,Medida"</formula1>
      <formula2>0</formula2>
    </dataValidation>
    <dataValidation type="list" allowBlank="1" showErrorMessage="1" errorTitle="Categoria" error="Escolha uma categoria da lista." sqref="M5:M154" xr:uid="{00000000-0002-0000-0000-000008000000}">
      <formula1>ListaCatRisco</formula1>
      <formula2>0</formula2>
    </dataValidation>
    <dataValidation type="whole" allowBlank="1" showErrorMessage="1" errorTitle="Escala 1 a 5" error="Informe um inteiro de 1 a 5 (veja 'Critérios')." sqref="N5:O154 T5:U154 AP5:AQ154" xr:uid="{00000000-0002-0000-0000-000009000000}">
      <formula1>1</formula1>
      <formula2>5</formula2>
    </dataValidation>
    <dataValidation type="list" allowBlank="1" showErrorMessage="1" sqref="S5:S154" xr:uid="{00000000-0002-0000-0000-00000A000000}">
      <formula1>ListaEficacia</formula1>
      <formula2>0</formula2>
    </dataValidation>
    <dataValidation type="list" allowBlank="1" showErrorMessage="1" sqref="X5:X154" xr:uid="{00000000-0002-0000-0000-00000B000000}">
      <formula1>ListaConf</formula1>
      <formula2>0</formula2>
    </dataValidation>
    <dataValidation type="list" allowBlank="1" showErrorMessage="1" sqref="Z5:Z154" xr:uid="{00000000-0002-0000-0000-00000C000000}">
      <formula1>ListaAcaoRisco</formula1>
      <formula2>0</formula2>
    </dataValidation>
    <dataValidation type="list" allowBlank="1" showErrorMessage="1" sqref="AG5:AG154" xr:uid="{00000000-0002-0000-0000-00000D000000}">
      <formula1>ListaStatus</formula1>
      <formula2>0</formula2>
    </dataValidation>
    <dataValidation type="list" allowBlank="1" showErrorMessage="1" sqref="AN5:AN154" xr:uid="{00000000-0002-0000-0000-00000E000000}">
      <formula1>"Eficaz,Não eficaz,Pendente"</formula1>
      <formula2>0</formula2>
    </dataValidation>
    <dataValidation type="list" allowBlank="1" showErrorMessage="1" sqref="AT5:AT154" xr:uid="{00000000-0002-0000-0000-00000F000000}">
      <formula1>"Sim,Não"</formula1>
      <formula2>0</formula2>
    </dataValidation>
    <dataValidation type="whole" operator="greaterThanOrEqual" allowBlank="1" showErrorMessage="1" errorTitle="Ocorrências" error="Informe um número inteiro maior ou igual a 0." sqref="AV5:AV154" xr:uid="{00000000-0002-0000-0000-000010000000}">
      <formula1>0</formula1>
      <formula2>0</formula2>
    </dataValidation>
    <dataValidation type="date" operator="greaterThan" allowBlank="1" showErrorMessage="1" errorTitle="Data" error="Informe uma data válida." sqref="AB5:AB154 AF5:AF154 AM5:AM154 AO5:AO154 AW5:AW154" xr:uid="{00000000-0002-0000-0000-000011000000}">
      <formula1>36526</formula1>
      <formula2>0</formula2>
    </dataValidation>
    <dataValidation type="custom" errorStyle="warning" allowBlank="1" showErrorMessage="1" errorTitle="Código do plano" error="Formato esperado: PAC 202601 ou RNC 202601 (sigla, espaço e número). Confirmar mantém o texto." sqref="AI5:AI154" xr:uid="{00000000-0002-0000-0000-000012000000}">
      <formula1>AND(OR(LEFT(AI5,4)="PAC ",LEFT(AI5,4)="RNC "),LEN(AI5)&gt;=10,ISNUMBER(--MID(AI5,5,20)))</formula1>
      <formula2>0</formula2>
    </dataValidation>
    <dataValidation type="list" allowBlank="1" showInputMessage="1" showErrorMessage="1" sqref="BD5:BD154" xr:uid="{9D0273F7-A9E6-4956-8839-3EAFA83BEF46}">
      <formula1>ListaVeloc</formula1>
    </dataValidation>
    <dataValidation type="list" allowBlank="1" showInputMessage="1" showErrorMessage="1" sqref="BE5:BE154" xr:uid="{27073DCE-F9DE-4834-8FA7-11C5F6C4F1CA}">
      <formula1>ListaVolat</formula1>
    </dataValidation>
    <dataValidation type="list" allowBlank="1" showInputMessage="1" showErrorMessage="1" sqref="BF5:BF154" xr:uid="{3C76E1B5-E91C-4258-AFF2-E805CC5101AB}">
      <formula1>ListaTipoCtrl</formula1>
    </dataValidation>
    <dataValidation type="decimal" operator="greaterThanOrEqual" allowBlank="1" showInputMessage="1" showErrorMessage="1" errorTitle="Valor inválido" error="Informe um valor em R$ maior ou igual a zero." sqref="BG5:BH154" xr:uid="{A2BC5794-D3E0-4726-A37A-F1E5D916C1DA}">
      <formula1>0</formula1>
    </dataValidation>
    <dataValidation type="decimal" operator="greaterThanOrEqual" allowBlank="1" showInputMessage="1" showErrorMessage="1" errorTitle="Valor inválido" error="Informe as horas (maior ou igual a zero)." sqref="BK5:BK154" xr:uid="{5C7099B1-B511-4FAE-84F5-AD6366D72199}">
      <formula1>0</formula1>
    </dataValidation>
    <dataValidation type="date" operator="greaterThanOrEqual" allowBlank="1" showInputMessage="1" showErrorMessage="1" sqref="BN5:BN154" xr:uid="{1ECCD2F2-067D-4521-89DF-2ACB06E46DB9}">
      <formula1>36526</formula1>
    </dataValidation>
    <dataValidation type="list" allowBlank="1" showInputMessage="1" showErrorMessage="1" sqref="BP5:BP154 CI5:CI154" xr:uid="{5DB90BD4-E0BB-4B52-8067-287E7024F5E4}">
      <mc:AlternateContent xmlns:x12ac="http://schemas.microsoft.com/office/spreadsheetml/2011/1/ac" xmlns:mc="http://schemas.openxmlformats.org/markup-compatibility/2006">
        <mc:Choice Requires="x12ac">
          <x12ac:list>"Sim,Não"</x12ac:list>
        </mc:Choice>
        <mc:Fallback>
          <formula1>"Sim,Não"</formula1>
        </mc:Fallback>
      </mc:AlternateContent>
    </dataValidation>
    <dataValidation type="list" allowBlank="1" showInputMessage="1" showErrorMessage="1" sqref="BU5:BU154 CE5:CE154" xr:uid="{0BC28F34-6E20-432E-A81F-5DBA3CE50C15}">
      <formula1>SgaProbNivel</formula1>
    </dataValidation>
    <dataValidation type="list" allowBlank="1" showInputMessage="1" showErrorMessage="1" sqref="BV5:BV154 CF5:CF154" xr:uid="{F22E780C-739F-4BE6-8FD4-0F4B308F2126}">
      <formula1>SgaSevRiNivel</formula1>
    </dataValidation>
    <dataValidation type="list" allowBlank="1" showInputMessage="1" showErrorMessage="1" sqref="CB5:CB154" xr:uid="{2B33F7E8-B4A1-44C9-9018-78D5D70A1B45}">
      <formula1>SgaDecRisco</formula1>
    </dataValidation>
    <dataValidation type="list" allowBlank="1" showInputMessage="1" showErrorMessage="1" sqref="CC5:CC154" xr:uid="{36513697-F0E8-47C4-A650-8FA104A3C442}">
      <formula1>SgaTipoAcao</formula1>
    </dataValidation>
  </dataValidations>
  <pageMargins left="0.75" right="0.75" top="1" bottom="1" header="0.511811023622047" footer="0.511811023622047"/>
  <pageSetup paperSize="9" scale="13" orientation="landscape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7F79"/>
    <pageSetUpPr fitToPage="1"/>
  </sheetPr>
  <dimension ref="A1:BT154"/>
  <sheetViews>
    <sheetView zoomScale="90" zoomScaleNormal="90" workbookViewId="0">
      <pane xSplit="3" ySplit="4" topLeftCell="D12" activePane="bottomRight" state="frozen"/>
      <selection activeCell="E8" sqref="E8:H8"/>
      <selection pane="topRight" activeCell="E8" sqref="E8:H8"/>
      <selection pane="bottomLeft" activeCell="E8" sqref="E8:H8"/>
      <selection pane="bottomRight" activeCell="H5" sqref="H5"/>
    </sheetView>
  </sheetViews>
  <sheetFormatPr defaultColWidth="8.6640625" defaultRowHeight="14.4" outlineLevelCol="1"/>
  <cols>
    <col min="1" max="1" width="6" customWidth="1"/>
    <col min="2" max="2" width="28" customWidth="1"/>
    <col min="3" max="3" width="32" customWidth="1"/>
    <col min="4" max="4" width="15" customWidth="1"/>
    <col min="5" max="5" width="17.5546875" customWidth="1"/>
    <col min="6" max="6" width="16.77734375" customWidth="1"/>
    <col min="7" max="7" width="22" customWidth="1"/>
    <col min="8" max="8" width="27.5546875" customWidth="1"/>
    <col min="9" max="9" width="28.88671875" customWidth="1"/>
    <col min="10" max="10" width="26.21875" customWidth="1"/>
    <col min="11" max="11" width="24" customWidth="1"/>
    <col min="12" max="12" width="22.6640625" customWidth="1"/>
    <col min="13" max="13" width="19.21875" customWidth="1"/>
    <col min="14" max="14" width="15.5546875" customWidth="1"/>
    <col min="15" max="15" width="8" customWidth="1"/>
    <col min="16" max="16" width="18.21875" customWidth="1"/>
    <col min="17" max="17" width="32.21875" customWidth="1" outlineLevel="1"/>
    <col min="18" max="18" width="26" customWidth="1" outlineLevel="1"/>
    <col min="19" max="19" width="29.88671875" customWidth="1" outlineLevel="1"/>
    <col min="20" max="20" width="26" customWidth="1" outlineLevel="1"/>
    <col min="21" max="21" width="23.21875" customWidth="1" outlineLevel="1"/>
    <col min="22" max="22" width="19.5546875" customWidth="1"/>
    <col min="23" max="23" width="22" customWidth="1"/>
    <col min="24" max="24" width="28" customWidth="1"/>
    <col min="25" max="25" width="22.33203125" customWidth="1"/>
    <col min="26" max="26" width="16" customWidth="1"/>
    <col min="27" max="27" width="20.77734375" customWidth="1"/>
    <col min="28" max="28" width="21.33203125" customWidth="1"/>
    <col min="29" max="29" width="19.5546875" customWidth="1" outlineLevel="1"/>
    <col min="30" max="30" width="17.33203125" customWidth="1" outlineLevel="1"/>
    <col min="31" max="31" width="13.109375" customWidth="1" outlineLevel="1"/>
    <col min="32" max="32" width="12.44140625" customWidth="1" outlineLevel="1"/>
    <col min="33" max="33" width="33" customWidth="1" outlineLevel="1"/>
    <col min="34" max="34" width="20.44140625" customWidth="1" outlineLevel="1"/>
    <col min="35" max="35" width="16.77734375" customWidth="1" outlineLevel="1"/>
    <col min="36" max="36" width="18.5546875" customWidth="1" outlineLevel="1"/>
    <col min="37" max="37" width="24" customWidth="1" outlineLevel="1"/>
    <col min="38" max="38" width="13.44140625" customWidth="1"/>
    <col min="39" max="39" width="21.5546875" customWidth="1"/>
    <col min="40" max="40" width="14.44140625" customWidth="1"/>
    <col min="41" max="41" width="20" customWidth="1"/>
    <col min="42" max="42" width="26" customWidth="1"/>
    <col min="43" max="43" width="31.5546875" customWidth="1"/>
    <col min="44" max="44" width="17" customWidth="1"/>
    <col min="45" max="45" width="31.77734375" customWidth="1"/>
    <col min="46" max="46" width="21.44140625" customWidth="1"/>
    <col min="47" max="47" width="22.6640625" customWidth="1"/>
    <col min="48" max="48" width="16.77734375" customWidth="1"/>
    <col min="49" max="49" width="36.77734375" customWidth="1"/>
    <col min="50" max="50" width="22.77734375" customWidth="1"/>
    <col min="51" max="51" width="13.77734375" customWidth="1" outlineLevel="1"/>
    <col min="52" max="52" width="26.77734375" customWidth="1" outlineLevel="1"/>
    <col min="53" max="53" width="13.77734375" customWidth="1" outlineLevel="1"/>
    <col min="54" max="56" width="22.77734375" customWidth="1" outlineLevel="1"/>
    <col min="57" max="57" width="26.77734375" customWidth="1" outlineLevel="1"/>
    <col min="58" max="59" width="22.77734375" customWidth="1" outlineLevel="1"/>
    <col min="60" max="64" width="16.77734375" customWidth="1" outlineLevel="1"/>
    <col min="65" max="65" width="34.77734375" customWidth="1" outlineLevel="1"/>
    <col min="66" max="66" width="22.77734375" customWidth="1" outlineLevel="1"/>
    <col min="67" max="67" width="16.77734375" customWidth="1" outlineLevel="1"/>
    <col min="68" max="69" width="22.77734375" customWidth="1" outlineLevel="1"/>
    <col min="70" max="71" width="16.77734375" customWidth="1" outlineLevel="1"/>
    <col min="72" max="72" width="13.77734375" customWidth="1" outlineLevel="1"/>
  </cols>
  <sheetData>
    <row r="1" spans="1:72" ht="25.5" customHeight="1">
      <c r="A1" s="207" t="s">
        <v>106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188" t="s">
        <v>1058</v>
      </c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</row>
    <row r="2" spans="1:72" ht="22.35" customHeight="1">
      <c r="A2" s="189" t="s">
        <v>1</v>
      </c>
      <c r="B2" s="189"/>
      <c r="C2" s="189"/>
      <c r="D2" s="18" t="str">
        <f>IF(Riscos!$D$2="","",Riscos!$D$2)</f>
        <v>Plasticom — Unidade 1 (Portugal)</v>
      </c>
      <c r="E2" s="189" t="s">
        <v>2</v>
      </c>
      <c r="F2" s="189"/>
      <c r="G2" s="208" t="str">
        <f>IF(Riscos!$G$2="","",Riscos!$G$2)</f>
        <v>Todas as áreas — jul/2025 a dez/2026</v>
      </c>
      <c r="H2" s="208"/>
      <c r="I2" s="10" t="s">
        <v>3</v>
      </c>
      <c r="J2" s="208" t="str">
        <f>IF(Riscos!$J$2="","",Riscos!$J$2)</f>
        <v>Coordenação do SGI</v>
      </c>
      <c r="K2" s="208"/>
      <c r="L2" s="189" t="s">
        <v>4</v>
      </c>
      <c r="M2" s="189"/>
      <c r="N2" s="209" t="str">
        <f>IF(Riscos!$N$2="","",Riscos!$N$2)</f>
        <v>1/2026</v>
      </c>
      <c r="O2" s="209"/>
      <c r="P2" s="189" t="s">
        <v>6</v>
      </c>
      <c r="Q2" s="189"/>
      <c r="R2" s="210">
        <f>IF(Riscos!$R$2="","",Riscos!$R$2)</f>
        <v>46387</v>
      </c>
      <c r="S2" s="210"/>
      <c r="T2" s="210"/>
      <c r="U2" s="189" t="s">
        <v>7</v>
      </c>
      <c r="V2" s="189"/>
      <c r="W2" s="192" t="s">
        <v>107</v>
      </c>
      <c r="X2" s="192"/>
      <c r="Y2" s="189" t="s">
        <v>9</v>
      </c>
      <c r="Z2" s="189"/>
      <c r="AA2" s="209" t="str">
        <f>IF(Riscos!$AA$2="","",Riscos!$AA$2)</f>
        <v>Direção — 22/12/2026</v>
      </c>
      <c r="AB2" s="209"/>
      <c r="AC2" s="209"/>
    </row>
    <row r="3" spans="1:72" ht="15" customHeight="1">
      <c r="A3" s="194" t="s">
        <v>10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5" t="s">
        <v>108</v>
      </c>
      <c r="N3" s="195"/>
      <c r="O3" s="195"/>
      <c r="P3" s="195"/>
      <c r="Q3" s="196" t="s">
        <v>109</v>
      </c>
      <c r="R3" s="196"/>
      <c r="S3" s="196"/>
      <c r="T3" s="196"/>
      <c r="U3" s="196"/>
      <c r="V3" s="194" t="s">
        <v>110</v>
      </c>
      <c r="W3" s="194"/>
      <c r="X3" s="194"/>
      <c r="Y3" s="194"/>
      <c r="Z3" s="194"/>
      <c r="AA3" s="194"/>
      <c r="AB3" s="194"/>
      <c r="AC3" s="199" t="s">
        <v>111</v>
      </c>
      <c r="AD3" s="199"/>
      <c r="AE3" s="199"/>
      <c r="AF3" s="199"/>
      <c r="AG3" s="211" t="s">
        <v>112</v>
      </c>
      <c r="AH3" s="211"/>
      <c r="AI3" s="211"/>
      <c r="AJ3" s="211"/>
      <c r="AK3" s="211"/>
      <c r="AL3" s="202" t="s">
        <v>18</v>
      </c>
      <c r="AM3" s="202"/>
      <c r="AN3" s="202"/>
      <c r="AO3" s="202"/>
      <c r="AP3" s="196" t="s">
        <v>19</v>
      </c>
      <c r="AQ3" s="196"/>
      <c r="AR3" s="203"/>
      <c r="AS3" s="198" t="s">
        <v>605</v>
      </c>
      <c r="AT3" s="198"/>
      <c r="AU3" s="198"/>
      <c r="AV3" s="198"/>
      <c r="AW3" s="198"/>
      <c r="AX3" s="204" t="s">
        <v>2603</v>
      </c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6"/>
    </row>
    <row r="4" spans="1:72" ht="42" customHeight="1">
      <c r="A4" s="114" t="s">
        <v>20</v>
      </c>
      <c r="B4" s="8" t="s">
        <v>21</v>
      </c>
      <c r="C4" s="8" t="s">
        <v>113</v>
      </c>
      <c r="D4" s="8" t="s">
        <v>23</v>
      </c>
      <c r="E4" s="8" t="s">
        <v>114</v>
      </c>
      <c r="F4" s="8" t="s">
        <v>25</v>
      </c>
      <c r="G4" s="8" t="s">
        <v>115</v>
      </c>
      <c r="H4" s="8" t="s">
        <v>27</v>
      </c>
      <c r="I4" s="8" t="s">
        <v>116</v>
      </c>
      <c r="J4" s="8" t="s">
        <v>117</v>
      </c>
      <c r="K4" s="8" t="s">
        <v>118</v>
      </c>
      <c r="L4" s="8" t="s">
        <v>119</v>
      </c>
      <c r="M4" s="7" t="s">
        <v>2165</v>
      </c>
      <c r="N4" s="7" t="s">
        <v>2166</v>
      </c>
      <c r="O4" s="7" t="s">
        <v>32</v>
      </c>
      <c r="P4" s="7" t="s">
        <v>2167</v>
      </c>
      <c r="Q4" s="6" t="s">
        <v>120</v>
      </c>
      <c r="R4" s="6" t="s">
        <v>121</v>
      </c>
      <c r="S4" s="6" t="s">
        <v>122</v>
      </c>
      <c r="T4" s="6" t="s">
        <v>123</v>
      </c>
      <c r="U4" s="6" t="s">
        <v>124</v>
      </c>
      <c r="V4" s="8" t="s">
        <v>37</v>
      </c>
      <c r="W4" s="8" t="s">
        <v>125</v>
      </c>
      <c r="X4" s="8" t="s">
        <v>41</v>
      </c>
      <c r="Y4" s="8" t="s">
        <v>126</v>
      </c>
      <c r="Z4" s="8" t="s">
        <v>43</v>
      </c>
      <c r="AA4" s="8" t="s">
        <v>2155</v>
      </c>
      <c r="AB4" s="8" t="s">
        <v>2156</v>
      </c>
      <c r="AC4" s="4" t="s">
        <v>127</v>
      </c>
      <c r="AD4" s="4" t="s">
        <v>2157</v>
      </c>
      <c r="AE4" s="4" t="s">
        <v>46</v>
      </c>
      <c r="AF4" s="4" t="s">
        <v>47</v>
      </c>
      <c r="AG4" s="19" t="s">
        <v>128</v>
      </c>
      <c r="AH4" s="19" t="s">
        <v>48</v>
      </c>
      <c r="AI4" s="19" t="s">
        <v>129</v>
      </c>
      <c r="AJ4" s="19" t="s">
        <v>50</v>
      </c>
      <c r="AK4" s="19" t="s">
        <v>130</v>
      </c>
      <c r="AL4" s="1" t="s">
        <v>54</v>
      </c>
      <c r="AM4" s="1" t="s">
        <v>55</v>
      </c>
      <c r="AN4" s="1" t="s">
        <v>56</v>
      </c>
      <c r="AO4" s="1" t="s">
        <v>57</v>
      </c>
      <c r="AP4" s="6" t="s">
        <v>131</v>
      </c>
      <c r="AQ4" s="6" t="s">
        <v>59</v>
      </c>
      <c r="AR4" s="6" t="s">
        <v>2162</v>
      </c>
      <c r="AS4" s="66" t="s">
        <v>1059</v>
      </c>
      <c r="AT4" s="66" t="s">
        <v>1060</v>
      </c>
      <c r="AU4" s="66" t="s">
        <v>2168</v>
      </c>
      <c r="AV4" s="66" t="s">
        <v>2169</v>
      </c>
      <c r="AW4" s="116" t="s">
        <v>2170</v>
      </c>
      <c r="AX4" s="6" t="s">
        <v>2580</v>
      </c>
      <c r="AY4" s="1" t="s">
        <v>2581</v>
      </c>
      <c r="AZ4" s="6" t="s">
        <v>2582</v>
      </c>
      <c r="BA4" s="6" t="s">
        <v>2583</v>
      </c>
      <c r="BB4" s="6" t="s">
        <v>2584</v>
      </c>
      <c r="BC4" s="6" t="s">
        <v>2585</v>
      </c>
      <c r="BD4" s="6" t="s">
        <v>2586</v>
      </c>
      <c r="BE4" s="6" t="s">
        <v>2587</v>
      </c>
      <c r="BF4" s="6" t="s">
        <v>2588</v>
      </c>
      <c r="BG4" s="6" t="s">
        <v>2589</v>
      </c>
      <c r="BH4" s="7" t="s">
        <v>2590</v>
      </c>
      <c r="BI4" s="7" t="s">
        <v>2591</v>
      </c>
      <c r="BJ4" s="7" t="s">
        <v>2592</v>
      </c>
      <c r="BK4" s="7" t="s">
        <v>2593</v>
      </c>
      <c r="BL4" s="7" t="s">
        <v>2594</v>
      </c>
      <c r="BM4" s="6" t="s">
        <v>2595</v>
      </c>
      <c r="BN4" s="6" t="s">
        <v>2596</v>
      </c>
      <c r="BO4" s="6" t="s">
        <v>2597</v>
      </c>
      <c r="BP4" s="6" t="s">
        <v>2598</v>
      </c>
      <c r="BQ4" s="6" t="s">
        <v>2599</v>
      </c>
      <c r="BR4" s="7" t="s">
        <v>2600</v>
      </c>
      <c r="BS4" s="7" t="s">
        <v>2601</v>
      </c>
      <c r="BT4" s="6" t="s">
        <v>2602</v>
      </c>
    </row>
    <row r="5" spans="1:72" ht="45.6">
      <c r="A5" s="115" t="s">
        <v>87</v>
      </c>
      <c r="B5" s="12" t="s">
        <v>719</v>
      </c>
      <c r="C5" s="13" t="s">
        <v>1061</v>
      </c>
      <c r="D5" s="13" t="s">
        <v>682</v>
      </c>
      <c r="E5" s="12" t="s">
        <v>144</v>
      </c>
      <c r="F5" s="12" t="s">
        <v>65</v>
      </c>
      <c r="G5" s="13" t="s">
        <v>695</v>
      </c>
      <c r="H5" s="12" t="s">
        <v>67</v>
      </c>
      <c r="I5" s="13" t="s">
        <v>2785</v>
      </c>
      <c r="J5" s="13" t="s">
        <v>1062</v>
      </c>
      <c r="K5" s="13" t="s">
        <v>1063</v>
      </c>
      <c r="L5" s="13" t="s">
        <v>101</v>
      </c>
      <c r="M5" s="12">
        <v>4</v>
      </c>
      <c r="N5" s="12">
        <v>4</v>
      </c>
      <c r="O5" s="14">
        <f t="shared" ref="O5:O36" si="0">IF(COUNT($M5:$N5)=2,$M5*$N5,"")</f>
        <v>16</v>
      </c>
      <c r="P5" s="15" t="str">
        <f t="shared" ref="P5:P36" si="1">IF($O5="","",INDEX(Niveis,IFERROR(MATCH($O5,Limites,1),1)))</f>
        <v>Crítico</v>
      </c>
      <c r="Q5" s="13" t="s">
        <v>1064</v>
      </c>
      <c r="R5" s="13" t="s">
        <v>147</v>
      </c>
      <c r="S5" s="13" t="s">
        <v>541</v>
      </c>
      <c r="T5" s="13" t="s">
        <v>138</v>
      </c>
      <c r="U5" s="15">
        <f t="shared" ref="U5:U36" si="2">IF(COUNTA($R5:$T5)&lt;3,"",IFERROR((4-MATCH($R5,ListaFacil,0))+(4-MATCH($S5,ListaReducao,0))+(4-MATCH($T5,ListaAlinh,0)),""))</f>
        <v>9</v>
      </c>
      <c r="V5" s="14" t="str">
        <f t="shared" ref="V5:V36" si="3">IF($P5="","",INDEX(AcaoOport,MATCH($P5,Niveis,0)))</f>
        <v>Explorar</v>
      </c>
      <c r="W5" s="13" t="s">
        <v>176</v>
      </c>
      <c r="X5" s="13" t="s">
        <v>1065</v>
      </c>
      <c r="Y5" s="13" t="s">
        <v>103</v>
      </c>
      <c r="Z5" s="13" t="s">
        <v>104</v>
      </c>
      <c r="AA5" s="16"/>
      <c r="AB5" s="12"/>
      <c r="AC5" s="12" t="s">
        <v>1066</v>
      </c>
      <c r="AD5" s="14" t="str">
        <f t="shared" ref="AD5:AD36" si="4">IF(OR($AC5="",PlanoUrl=""),"",HYPERLINK(SUBSTITUTE(PlanoUrl,"{COD}",SUBSTITUTE($AC5," ","%20")),"↗"))</f>
        <v/>
      </c>
      <c r="AE5" s="14" t="str">
        <f t="shared" ref="AE5:AE36" si="5">IF($C5="","",IF($AC5="",$AB5&amp;"",IFERROR(IF(INDEX(PlanosStatus,MATCH($AC5,PlanosCod,0))="",$AB5&amp;"",INDEX(PlanosStatus,MATCH($AC5,PlanosCod,0))),$AB5&amp;"")))</f>
        <v>Aberto</v>
      </c>
      <c r="AF5" s="17">
        <f t="shared" ref="AF5:AF36" si="6">IF($C5="","",IF($AC5="",IF($AA5="","",$AA5),IFERROR(IF(INDEX(PlanosPrazo,MATCH($AC5,PlanosCod,0))="",IF($AA5="","",$AA5),INDEX(PlanosPrazo,MATCH($AC5,PlanosCod,0))),IF($AA5="","",$AA5))))</f>
        <v>46507</v>
      </c>
      <c r="AG5" s="13" t="s">
        <v>1067</v>
      </c>
      <c r="AH5" s="16">
        <v>46538</v>
      </c>
      <c r="AI5" s="12"/>
      <c r="AJ5" s="16"/>
      <c r="AK5" s="13" t="s">
        <v>1068</v>
      </c>
      <c r="AL5" s="16">
        <v>46371</v>
      </c>
      <c r="AM5" s="13" t="s">
        <v>691</v>
      </c>
      <c r="AN5" s="17">
        <f t="shared" ref="AN5:AN36" si="7">IF(OR($AL5="",$P5=""),"",EDATE($AL5,INDEX(MesesRev,MATCH($P5,Niveis,0))))</f>
        <v>46402</v>
      </c>
      <c r="AO5" s="14" t="str">
        <f t="shared" ref="AO5:AO36" ca="1" si="8">IF($C5="","",IF($Y5="","Sem dono",IF($P5="","Falta avaliação",IF(AND($AC5&lt;&gt;"",COUNTIF(PlanosCod,$AC5)=0),"Código não encontrado",IF(AND($AC5&lt;&gt;"",IFERROR(INDEX(PlanosIdRef,MATCH($AC5,PlanosCod,0))&amp;"","")&lt;&gt;"",ISERROR(SEARCH(";"&amp;$A5&amp;";",";"&amp;SUBSTITUTE(SUBSTITUTE(IFERROR(INDEX(PlanosIdRef,MATCH($AC5,PlanosCod,0))&amp;"","")," ",""),",",";")&amp;";"))),"Vínculo divergente",IF(AND($W5="",$X5="",$AC5="",MATCH($P5,Niveis,0)&gt;=IdxExige),"Sem ação",IF(AND(OR($W5="Explorar",$W5="Melhorar",$W5="Analisar viabilidade e custo-benefício",$W5="Integrar ao planejamento estratégico",$W5="Compartilhar (parceria / contrato)"),$AK5=""),"Definir KPI",IF($AI5="Não eficaz","Ação ineficaz",IF(AND($AF5&lt;&gt;"",$AF5&lt;TODAY(),$AE5&lt;&gt;"Concluído",$AE5&lt;&gt;"Cancelado"),"Ação vencida",IF(AND($AI5&lt;&gt;"Eficaz",OR($AE5="Concluído",AND(ISNUMBER($AH5),$AH5&lt;TODAY()))),"Avaliar eficácia",IF(AND($AN5&lt;&gt;"",$AN5&lt;TODAY()),"Revisão vencida",IF(AND($AF5&lt;&gt;"",N($AF5)-TODAY()&lt;=DiasAlerta,$AE5&lt;&gt;"Concluído",$AE5&lt;&gt;"Cancelado"),"Vence em breve","OK"))))))))))))</f>
        <v>OK</v>
      </c>
      <c r="AP5" s="13" t="s">
        <v>1069</v>
      </c>
      <c r="AQ5" s="12" t="s">
        <v>96</v>
      </c>
      <c r="AR5" s="14">
        <f>IF($O5="","",1+COUNTIF($O$5:$O$154,"&gt;"&amp;$O5)+COUNTIFS($O$5:$O$154,$O5,$N$5:$N$154,"&gt;"&amp;$N5)+COUNTIFS($O$4:$O4,$O5,$N$4:$N4,$N5))</f>
        <v>1</v>
      </c>
      <c r="AS5" s="62">
        <v>15000</v>
      </c>
      <c r="AT5" s="62">
        <v>42000</v>
      </c>
      <c r="AU5" s="63">
        <f t="shared" ref="AU5:AU36" si="9">IF(OR($AT5="",$M5=""),"",IFERROR($AT5*INDEX(ProbMedia,$M5),""))</f>
        <v>29399.999999999996</v>
      </c>
      <c r="AV5" s="64">
        <f t="shared" ref="AV5:AV36" si="10">IF(OR($AS5="",$AU5=""),"",IF($AS5=0,"",$AU5/$AS5))</f>
        <v>1.9599999999999997</v>
      </c>
      <c r="AW5" s="129" t="str">
        <f t="shared" ref="AW5:AW36" si="11">IF($AV5="","",IF($AV5&gt;=1.5,"Retorno cobre o custo com folga: priorizar",IF($AV5&gt;=1,"Retorno cobre o custo: viável","Retorno menor que o custo: reavaliar ou reter para avaliação futura")))</f>
        <v>Retorno cobre o custo com folga: priorizar</v>
      </c>
      <c r="AX5" s="13"/>
      <c r="AY5" s="16"/>
      <c r="AZ5" s="13"/>
      <c r="BA5" s="13"/>
      <c r="BB5" s="13"/>
      <c r="BC5" s="13"/>
      <c r="BD5" s="13"/>
      <c r="BE5" s="13"/>
      <c r="BF5" s="13"/>
      <c r="BG5" s="13"/>
      <c r="BH5" s="14" t="str">
        <f t="shared" ref="BH5:BH36" si="12">IF($BF5="","",IFERROR(INDEX(SgaProbValor,MATCH($BF5,SgaProbNivel,0)),""))</f>
        <v/>
      </c>
      <c r="BI5" s="14" t="str">
        <f t="shared" ref="BI5:BI36" si="13">IF($BG5="","",IFERROR(INDEX(SgaSevOpValor,MATCH($BG5,SgaSevOpNivel,0)),""))</f>
        <v/>
      </c>
      <c r="BJ5" s="14" t="str">
        <f t="shared" ref="BJ5:BJ36" si="14">IF(COUNT($BH5:$BI5)=2,$BH5*$BI5,"")</f>
        <v/>
      </c>
      <c r="BK5" s="15" t="str">
        <f t="shared" ref="BK5:BK36" si="15">IF($BJ5="","",IF($BJ5&gt;=SgaLimOpSig,"SIGNIFICATIVO",IF($BJ5&gt;=SgaLimOpTol,"TOLERÁVEL","BAIXO")))</f>
        <v/>
      </c>
      <c r="BL5" s="15" t="str">
        <f t="shared" ref="BL5:BL36" si="16">IF($BK5="","",IF($BK5="SIGNIFICATIVO","AÇÃO REQUERIDA","ACEITÁVEL"))</f>
        <v/>
      </c>
      <c r="BM5" s="13"/>
      <c r="BN5" s="13"/>
      <c r="BO5" s="13"/>
      <c r="BP5" s="13"/>
      <c r="BQ5" s="13"/>
      <c r="BR5" s="14" t="str">
        <f t="shared" ref="BR5:BR36" si="17">IF(OR($BP5="",$BQ5=""),"",IFERROR(INDEX(SgaProbValor,MATCH($BP5,SgaProbNivel,0))*INDEX(SgaSevOpValor,MATCH($BQ5,SgaSevOpNivel,0)),""))</f>
        <v/>
      </c>
      <c r="BS5" s="15" t="str">
        <f t="shared" ref="BS5:BS36" si="18">IF($BR5="","",IF($BR5&gt;=SgaLimOpSig,"SIGNIFICATIVO",IF($BR5&gt;=SgaLimOpTol,"TOLERÁVEL","BAIXO")))</f>
        <v/>
      </c>
      <c r="BT5" s="13"/>
    </row>
    <row r="6" spans="1:72" ht="45.6">
      <c r="A6" s="115" t="s">
        <v>142</v>
      </c>
      <c r="B6" s="12" t="s">
        <v>78</v>
      </c>
      <c r="C6" s="13" t="s">
        <v>1070</v>
      </c>
      <c r="D6" s="13" t="s">
        <v>682</v>
      </c>
      <c r="E6" s="12" t="s">
        <v>144</v>
      </c>
      <c r="F6" s="12" t="s">
        <v>91</v>
      </c>
      <c r="G6" s="13" t="s">
        <v>695</v>
      </c>
      <c r="H6" s="12" t="s">
        <v>67</v>
      </c>
      <c r="I6" s="13" t="s">
        <v>2785</v>
      </c>
      <c r="J6" s="13" t="s">
        <v>1071</v>
      </c>
      <c r="K6" s="13" t="s">
        <v>1072</v>
      </c>
      <c r="L6" s="13" t="s">
        <v>146</v>
      </c>
      <c r="M6" s="12">
        <v>4</v>
      </c>
      <c r="N6" s="12">
        <v>4</v>
      </c>
      <c r="O6" s="14">
        <f t="shared" si="0"/>
        <v>16</v>
      </c>
      <c r="P6" s="15" t="str">
        <f t="shared" si="1"/>
        <v>Crítico</v>
      </c>
      <c r="Q6" s="13" t="s">
        <v>1073</v>
      </c>
      <c r="R6" s="13" t="s">
        <v>136</v>
      </c>
      <c r="S6" s="13" t="s">
        <v>541</v>
      </c>
      <c r="T6" s="13" t="s">
        <v>138</v>
      </c>
      <c r="U6" s="15">
        <f t="shared" si="2"/>
        <v>8</v>
      </c>
      <c r="V6" s="14" t="str">
        <f t="shared" si="3"/>
        <v>Explorar</v>
      </c>
      <c r="W6" s="13" t="s">
        <v>176</v>
      </c>
      <c r="X6" s="13" t="s">
        <v>1074</v>
      </c>
      <c r="Y6" s="13" t="s">
        <v>84</v>
      </c>
      <c r="Z6" s="13" t="s">
        <v>86</v>
      </c>
      <c r="AA6" s="16"/>
      <c r="AB6" s="12"/>
      <c r="AC6" s="12" t="s">
        <v>1075</v>
      </c>
      <c r="AD6" s="14" t="str">
        <f t="shared" si="4"/>
        <v/>
      </c>
      <c r="AE6" s="14" t="str">
        <f t="shared" si="5"/>
        <v>Aberto</v>
      </c>
      <c r="AF6" s="17">
        <f t="shared" si="6"/>
        <v>46568</v>
      </c>
      <c r="AG6" s="13" t="s">
        <v>1076</v>
      </c>
      <c r="AH6" s="16">
        <v>46568</v>
      </c>
      <c r="AI6" s="12"/>
      <c r="AJ6" s="16"/>
      <c r="AK6" s="13" t="s">
        <v>1077</v>
      </c>
      <c r="AL6" s="16">
        <v>46371</v>
      </c>
      <c r="AM6" s="13" t="s">
        <v>703</v>
      </c>
      <c r="AN6" s="17">
        <f t="shared" si="7"/>
        <v>46402</v>
      </c>
      <c r="AO6" s="14" t="str">
        <f t="shared" ca="1" si="8"/>
        <v>OK</v>
      </c>
      <c r="AP6" s="13" t="s">
        <v>1078</v>
      </c>
      <c r="AQ6" s="12" t="s">
        <v>1079</v>
      </c>
      <c r="AR6" s="14">
        <f>IF($O6="","",1+COUNTIF($O$5:$O$154,"&gt;"&amp;$O6)+COUNTIFS($O$5:$O$154,$O6,$N$5:$N$154,"&gt;"&amp;$N6)+COUNTIFS($O$4:$O5,$O6,$N$4:$N5,$N6))</f>
        <v>2</v>
      </c>
      <c r="AS6" s="62">
        <v>30000</v>
      </c>
      <c r="AT6" s="62">
        <v>55000</v>
      </c>
      <c r="AU6" s="63">
        <f t="shared" si="9"/>
        <v>38500</v>
      </c>
      <c r="AV6" s="64">
        <f t="shared" si="10"/>
        <v>1.2833333333333334</v>
      </c>
      <c r="AW6" s="129" t="str">
        <f t="shared" si="11"/>
        <v>Retorno cobre o custo: viável</v>
      </c>
      <c r="AX6" s="13"/>
      <c r="AY6" s="16"/>
      <c r="AZ6" s="13"/>
      <c r="BA6" s="13"/>
      <c r="BB6" s="13"/>
      <c r="BC6" s="13"/>
      <c r="BD6" s="13"/>
      <c r="BE6" s="13"/>
      <c r="BF6" s="13"/>
      <c r="BG6" s="13"/>
      <c r="BH6" s="14" t="str">
        <f t="shared" si="12"/>
        <v/>
      </c>
      <c r="BI6" s="14" t="str">
        <f t="shared" si="13"/>
        <v/>
      </c>
      <c r="BJ6" s="14" t="str">
        <f t="shared" si="14"/>
        <v/>
      </c>
      <c r="BK6" s="15" t="str">
        <f t="shared" si="15"/>
        <v/>
      </c>
      <c r="BL6" s="15" t="str">
        <f t="shared" si="16"/>
        <v/>
      </c>
      <c r="BM6" s="13"/>
      <c r="BN6" s="13"/>
      <c r="BO6" s="13"/>
      <c r="BP6" s="13"/>
      <c r="BQ6" s="13"/>
      <c r="BR6" s="14" t="str">
        <f t="shared" si="17"/>
        <v/>
      </c>
      <c r="BS6" s="15" t="str">
        <f t="shared" si="18"/>
        <v/>
      </c>
      <c r="BT6" s="13"/>
    </row>
    <row r="7" spans="1:72" ht="159.6">
      <c r="A7" s="115" t="s">
        <v>1080</v>
      </c>
      <c r="B7" s="12" t="s">
        <v>892</v>
      </c>
      <c r="C7" s="13" t="s">
        <v>1081</v>
      </c>
      <c r="D7" s="13" t="s">
        <v>540</v>
      </c>
      <c r="E7" s="12" t="s">
        <v>144</v>
      </c>
      <c r="F7" s="12" t="s">
        <v>134</v>
      </c>
      <c r="G7" s="13" t="s">
        <v>707</v>
      </c>
      <c r="H7" s="12" t="s">
        <v>67</v>
      </c>
      <c r="I7" s="13" t="s">
        <v>145</v>
      </c>
      <c r="J7" s="13" t="s">
        <v>1082</v>
      </c>
      <c r="K7" s="13" t="s">
        <v>1083</v>
      </c>
      <c r="L7" s="13" t="s">
        <v>524</v>
      </c>
      <c r="M7" s="12">
        <v>4</v>
      </c>
      <c r="N7" s="12">
        <v>4</v>
      </c>
      <c r="O7" s="14">
        <f t="shared" si="0"/>
        <v>16</v>
      </c>
      <c r="P7" s="15" t="str">
        <f t="shared" si="1"/>
        <v>Crítico</v>
      </c>
      <c r="Q7" s="13" t="s">
        <v>1084</v>
      </c>
      <c r="R7" s="13" t="s">
        <v>147</v>
      </c>
      <c r="S7" s="13" t="s">
        <v>541</v>
      </c>
      <c r="T7" s="13" t="s">
        <v>138</v>
      </c>
      <c r="U7" s="15">
        <f t="shared" si="2"/>
        <v>9</v>
      </c>
      <c r="V7" s="14" t="str">
        <f t="shared" si="3"/>
        <v>Explorar</v>
      </c>
      <c r="W7" s="13" t="s">
        <v>552</v>
      </c>
      <c r="X7" s="13" t="s">
        <v>1085</v>
      </c>
      <c r="Y7" s="13" t="s">
        <v>898</v>
      </c>
      <c r="Z7" s="13" t="s">
        <v>886</v>
      </c>
      <c r="AA7" s="181">
        <v>46387</v>
      </c>
      <c r="AB7" s="12" t="s">
        <v>296</v>
      </c>
      <c r="AC7" s="12"/>
      <c r="AD7" s="14" t="str">
        <f t="shared" si="4"/>
        <v/>
      </c>
      <c r="AE7" s="14" t="str">
        <f t="shared" si="5"/>
        <v>Em andamento</v>
      </c>
      <c r="AF7" s="17">
        <f t="shared" si="6"/>
        <v>46387</v>
      </c>
      <c r="AG7" s="13" t="s">
        <v>1086</v>
      </c>
      <c r="AH7" s="16">
        <v>46568</v>
      </c>
      <c r="AI7" s="12"/>
      <c r="AJ7" s="16"/>
      <c r="AK7" s="13" t="s">
        <v>1087</v>
      </c>
      <c r="AL7" s="16">
        <v>46371</v>
      </c>
      <c r="AM7" s="13" t="s">
        <v>1088</v>
      </c>
      <c r="AN7" s="17">
        <f t="shared" si="7"/>
        <v>46402</v>
      </c>
      <c r="AO7" s="14" t="str">
        <f t="shared" ca="1" si="8"/>
        <v>OK</v>
      </c>
      <c r="AP7" s="13" t="s">
        <v>2711</v>
      </c>
      <c r="AQ7" s="12" t="s">
        <v>1089</v>
      </c>
      <c r="AR7" s="14">
        <f>IF($O7="","",1+COUNTIF($O$5:$O$154,"&gt;"&amp;$O7)+COUNTIFS($O$5:$O$154,$O7,$N$5:$N$154,"&gt;"&amp;$N7)+COUNTIFS($O$4:$O6,$O7,$N$4:$N6,$N7))</f>
        <v>3</v>
      </c>
      <c r="AS7" s="62">
        <v>25000</v>
      </c>
      <c r="AT7" s="62">
        <v>60000</v>
      </c>
      <c r="AU7" s="63">
        <f t="shared" si="9"/>
        <v>42000</v>
      </c>
      <c r="AV7" s="64">
        <f t="shared" si="10"/>
        <v>1.68</v>
      </c>
      <c r="AW7" s="129" t="str">
        <f t="shared" si="11"/>
        <v>Retorno cobre o custo com folga: priorizar</v>
      </c>
      <c r="AX7" s="13" t="s">
        <v>2415</v>
      </c>
      <c r="AY7" s="16">
        <v>46126</v>
      </c>
      <c r="AZ7" s="13" t="s">
        <v>2416</v>
      </c>
      <c r="BA7" s="13" t="s">
        <v>418</v>
      </c>
      <c r="BB7" s="13" t="s">
        <v>89</v>
      </c>
      <c r="BC7" s="13" t="s">
        <v>2417</v>
      </c>
      <c r="BD7" s="13" t="s">
        <v>2418</v>
      </c>
      <c r="BE7" s="13" t="s">
        <v>2419</v>
      </c>
      <c r="BF7" s="13" t="s">
        <v>2420</v>
      </c>
      <c r="BG7" s="13" t="s">
        <v>2421</v>
      </c>
      <c r="BH7" s="14">
        <f t="shared" si="12"/>
        <v>3</v>
      </c>
      <c r="BI7" s="14">
        <f t="shared" si="13"/>
        <v>3</v>
      </c>
      <c r="BJ7" s="14">
        <f t="shared" si="14"/>
        <v>9</v>
      </c>
      <c r="BK7" s="15" t="str">
        <f t="shared" si="15"/>
        <v>SIGNIFICATIVO</v>
      </c>
      <c r="BL7" s="15" t="str">
        <f t="shared" si="16"/>
        <v>AÇÃO REQUERIDA</v>
      </c>
      <c r="BM7" s="13" t="s">
        <v>2422</v>
      </c>
      <c r="BN7" s="13" t="s">
        <v>2423</v>
      </c>
      <c r="BO7" s="13" t="s">
        <v>2424</v>
      </c>
      <c r="BP7" s="13" t="s">
        <v>2420</v>
      </c>
      <c r="BQ7" s="13" t="s">
        <v>2421</v>
      </c>
      <c r="BR7" s="14">
        <f t="shared" si="17"/>
        <v>9</v>
      </c>
      <c r="BS7" s="15" t="str">
        <f t="shared" si="18"/>
        <v>SIGNIFICATIVO</v>
      </c>
      <c r="BT7" s="13" t="s">
        <v>419</v>
      </c>
    </row>
    <row r="8" spans="1:72" ht="45.6">
      <c r="A8" s="115" t="s">
        <v>1090</v>
      </c>
      <c r="B8" s="12" t="s">
        <v>777</v>
      </c>
      <c r="C8" s="13" t="s">
        <v>1091</v>
      </c>
      <c r="D8" s="13" t="s">
        <v>569</v>
      </c>
      <c r="E8" s="12" t="s">
        <v>144</v>
      </c>
      <c r="F8" s="12" t="s">
        <v>91</v>
      </c>
      <c r="G8" s="13" t="s">
        <v>707</v>
      </c>
      <c r="H8" s="12" t="s">
        <v>67</v>
      </c>
      <c r="I8" s="13" t="s">
        <v>145</v>
      </c>
      <c r="J8" s="13" t="s">
        <v>1092</v>
      </c>
      <c r="K8" s="13" t="s">
        <v>1093</v>
      </c>
      <c r="L8" s="13" t="s">
        <v>146</v>
      </c>
      <c r="M8" s="12">
        <v>3</v>
      </c>
      <c r="N8" s="12">
        <v>5</v>
      </c>
      <c r="O8" s="14">
        <f t="shared" si="0"/>
        <v>15</v>
      </c>
      <c r="P8" s="15" t="str">
        <f t="shared" si="1"/>
        <v>Alto</v>
      </c>
      <c r="Q8" s="13" t="s">
        <v>1094</v>
      </c>
      <c r="R8" s="13" t="s">
        <v>136</v>
      </c>
      <c r="S8" s="13" t="s">
        <v>137</v>
      </c>
      <c r="T8" s="13" t="s">
        <v>138</v>
      </c>
      <c r="U8" s="15">
        <f t="shared" si="2"/>
        <v>7</v>
      </c>
      <c r="V8" s="14" t="str">
        <f t="shared" si="3"/>
        <v>Melhorar</v>
      </c>
      <c r="W8" s="13" t="s">
        <v>139</v>
      </c>
      <c r="X8" s="13" t="s">
        <v>1095</v>
      </c>
      <c r="Y8" s="13" t="s">
        <v>74</v>
      </c>
      <c r="Z8" s="13" t="s">
        <v>783</v>
      </c>
      <c r="AA8" s="16"/>
      <c r="AB8" s="12"/>
      <c r="AC8" s="12" t="s">
        <v>1096</v>
      </c>
      <c r="AD8" s="14" t="str">
        <f t="shared" si="4"/>
        <v/>
      </c>
      <c r="AE8" s="14" t="str">
        <f t="shared" si="5"/>
        <v>Aberto</v>
      </c>
      <c r="AF8" s="17">
        <f t="shared" si="6"/>
        <v>46568</v>
      </c>
      <c r="AG8" s="13" t="s">
        <v>1097</v>
      </c>
      <c r="AH8" s="16">
        <v>46568</v>
      </c>
      <c r="AI8" s="12"/>
      <c r="AJ8" s="16"/>
      <c r="AK8" s="13" t="s">
        <v>1098</v>
      </c>
      <c r="AL8" s="16">
        <v>46371</v>
      </c>
      <c r="AM8" s="13" t="s">
        <v>1099</v>
      </c>
      <c r="AN8" s="17">
        <f t="shared" si="7"/>
        <v>46461</v>
      </c>
      <c r="AO8" s="14" t="str">
        <f t="shared" ca="1" si="8"/>
        <v>OK</v>
      </c>
      <c r="AP8" s="13" t="s">
        <v>1100</v>
      </c>
      <c r="AQ8" s="12" t="s">
        <v>1101</v>
      </c>
      <c r="AR8" s="14">
        <f>IF($O8="","",1+COUNTIF($O$5:$O$154,"&gt;"&amp;$O8)+COUNTIFS($O$5:$O$154,$O8,$N$5:$N$154,"&gt;"&amp;$N8)+COUNTIFS($O$4:$O7,$O8,$N$4:$N7,$N8))</f>
        <v>5</v>
      </c>
      <c r="AS8" s="62">
        <v>45000</v>
      </c>
      <c r="AT8" s="62">
        <v>180000</v>
      </c>
      <c r="AU8" s="63">
        <f t="shared" si="9"/>
        <v>90000</v>
      </c>
      <c r="AV8" s="64">
        <f t="shared" si="10"/>
        <v>2</v>
      </c>
      <c r="AW8" s="129" t="str">
        <f t="shared" si="11"/>
        <v>Retorno cobre o custo com folga: priorizar</v>
      </c>
      <c r="AX8" s="13"/>
      <c r="AY8" s="16"/>
      <c r="AZ8" s="13"/>
      <c r="BA8" s="13"/>
      <c r="BB8" s="13"/>
      <c r="BC8" s="13"/>
      <c r="BD8" s="13"/>
      <c r="BE8" s="13"/>
      <c r="BF8" s="13"/>
      <c r="BG8" s="13"/>
      <c r="BH8" s="14" t="str">
        <f t="shared" si="12"/>
        <v/>
      </c>
      <c r="BI8" s="14" t="str">
        <f t="shared" si="13"/>
        <v/>
      </c>
      <c r="BJ8" s="14" t="str">
        <f t="shared" si="14"/>
        <v/>
      </c>
      <c r="BK8" s="15" t="str">
        <f t="shared" si="15"/>
        <v/>
      </c>
      <c r="BL8" s="15" t="str">
        <f t="shared" si="16"/>
        <v/>
      </c>
      <c r="BM8" s="13"/>
      <c r="BN8" s="13"/>
      <c r="BO8" s="13"/>
      <c r="BP8" s="13"/>
      <c r="BQ8" s="13"/>
      <c r="BR8" s="14" t="str">
        <f t="shared" si="17"/>
        <v/>
      </c>
      <c r="BS8" s="15" t="str">
        <f t="shared" si="18"/>
        <v/>
      </c>
      <c r="BT8" s="13"/>
    </row>
    <row r="9" spans="1:72" ht="136.80000000000001">
      <c r="A9" s="115" t="s">
        <v>1102</v>
      </c>
      <c r="B9" s="12" t="s">
        <v>567</v>
      </c>
      <c r="C9" s="13" t="s">
        <v>1103</v>
      </c>
      <c r="D9" s="13" t="s">
        <v>132</v>
      </c>
      <c r="E9" s="12" t="s">
        <v>133</v>
      </c>
      <c r="F9" s="12" t="s">
        <v>134</v>
      </c>
      <c r="G9" s="13" t="s">
        <v>1017</v>
      </c>
      <c r="H9" s="12" t="s">
        <v>67</v>
      </c>
      <c r="I9" s="13" t="s">
        <v>2785</v>
      </c>
      <c r="J9" s="13" t="s">
        <v>1104</v>
      </c>
      <c r="K9" s="13" t="s">
        <v>1105</v>
      </c>
      <c r="L9" s="13" t="s">
        <v>518</v>
      </c>
      <c r="M9" s="12">
        <v>3</v>
      </c>
      <c r="N9" s="12">
        <v>4</v>
      </c>
      <c r="O9" s="14">
        <f t="shared" si="0"/>
        <v>12</v>
      </c>
      <c r="P9" s="15" t="str">
        <f t="shared" si="1"/>
        <v>Alto</v>
      </c>
      <c r="Q9" s="13" t="s">
        <v>1106</v>
      </c>
      <c r="R9" s="13" t="s">
        <v>136</v>
      </c>
      <c r="S9" s="13" t="s">
        <v>137</v>
      </c>
      <c r="T9" s="13" t="s">
        <v>138</v>
      </c>
      <c r="U9" s="15">
        <f t="shared" si="2"/>
        <v>7</v>
      </c>
      <c r="V9" s="14" t="str">
        <f t="shared" si="3"/>
        <v>Melhorar</v>
      </c>
      <c r="W9" s="13" t="s">
        <v>552</v>
      </c>
      <c r="X9" s="13" t="s">
        <v>1107</v>
      </c>
      <c r="Y9" s="13" t="s">
        <v>1047</v>
      </c>
      <c r="Z9" s="13" t="s">
        <v>1048</v>
      </c>
      <c r="AA9" s="181">
        <v>46934</v>
      </c>
      <c r="AB9" s="12" t="s">
        <v>296</v>
      </c>
      <c r="AC9" s="12"/>
      <c r="AD9" s="14" t="str">
        <f t="shared" si="4"/>
        <v/>
      </c>
      <c r="AE9" s="14" t="str">
        <f t="shared" si="5"/>
        <v>Em andamento</v>
      </c>
      <c r="AF9" s="17">
        <f t="shared" si="6"/>
        <v>46934</v>
      </c>
      <c r="AG9" s="13" t="s">
        <v>1108</v>
      </c>
      <c r="AH9" s="16">
        <v>46741</v>
      </c>
      <c r="AI9" s="12"/>
      <c r="AJ9" s="16"/>
      <c r="AK9" s="13" t="s">
        <v>1109</v>
      </c>
      <c r="AL9" s="16">
        <v>46371</v>
      </c>
      <c r="AM9" s="13" t="s">
        <v>1050</v>
      </c>
      <c r="AN9" s="17">
        <f t="shared" si="7"/>
        <v>46461</v>
      </c>
      <c r="AO9" s="14" t="str">
        <f t="shared" ca="1" si="8"/>
        <v>OK</v>
      </c>
      <c r="AP9" s="13" t="s">
        <v>2712</v>
      </c>
      <c r="AQ9" s="12" t="s">
        <v>1110</v>
      </c>
      <c r="AR9" s="14">
        <f>IF($O9="","",1+COUNTIF($O$5:$O$154,"&gt;"&amp;$O9)+COUNTIFS($O$5:$O$154,$O9,$N$5:$N$154,"&gt;"&amp;$N9)+COUNTIFS($O$4:$O8,$O9,$N$4:$N8,$N9))</f>
        <v>6</v>
      </c>
      <c r="AS9" s="62">
        <v>40000</v>
      </c>
      <c r="AT9" s="62">
        <v>120000</v>
      </c>
      <c r="AU9" s="63">
        <f t="shared" si="9"/>
        <v>60000</v>
      </c>
      <c r="AV9" s="64">
        <f t="shared" si="10"/>
        <v>1.5</v>
      </c>
      <c r="AW9" s="129" t="str">
        <f t="shared" si="11"/>
        <v>Retorno cobre o custo com folga: priorizar</v>
      </c>
      <c r="AX9" s="13" t="s">
        <v>2443</v>
      </c>
      <c r="AY9" s="16">
        <v>46126</v>
      </c>
      <c r="AZ9" s="13" t="s">
        <v>2444</v>
      </c>
      <c r="BA9" s="13" t="s">
        <v>418</v>
      </c>
      <c r="BB9" s="13" t="s">
        <v>567</v>
      </c>
      <c r="BC9" s="13" t="s">
        <v>2445</v>
      </c>
      <c r="BD9" s="13" t="s">
        <v>2446</v>
      </c>
      <c r="BE9" s="13" t="s">
        <v>2447</v>
      </c>
      <c r="BF9" s="13" t="s">
        <v>2448</v>
      </c>
      <c r="BG9" s="13" t="s">
        <v>2421</v>
      </c>
      <c r="BH9" s="14">
        <f t="shared" si="12"/>
        <v>2</v>
      </c>
      <c r="BI9" s="14">
        <f t="shared" si="13"/>
        <v>3</v>
      </c>
      <c r="BJ9" s="14">
        <f t="shared" si="14"/>
        <v>6</v>
      </c>
      <c r="BK9" s="15" t="str">
        <f t="shared" si="15"/>
        <v>TOLERÁVEL</v>
      </c>
      <c r="BL9" s="15" t="str">
        <f t="shared" si="16"/>
        <v>ACEITÁVEL</v>
      </c>
      <c r="BM9" s="13" t="s">
        <v>2449</v>
      </c>
      <c r="BN9" s="13" t="s">
        <v>2450</v>
      </c>
      <c r="BO9" s="13" t="s">
        <v>2815</v>
      </c>
      <c r="BP9" s="13" t="s">
        <v>2448</v>
      </c>
      <c r="BQ9" s="13" t="s">
        <v>2421</v>
      </c>
      <c r="BR9" s="14">
        <f t="shared" si="17"/>
        <v>6</v>
      </c>
      <c r="BS9" s="15" t="str">
        <f t="shared" si="18"/>
        <v>TOLERÁVEL</v>
      </c>
      <c r="BT9" s="13" t="s">
        <v>419</v>
      </c>
    </row>
    <row r="10" spans="1:72" ht="45.6">
      <c r="A10" s="115" t="s">
        <v>1111</v>
      </c>
      <c r="B10" s="12" t="s">
        <v>560</v>
      </c>
      <c r="C10" s="13" t="s">
        <v>1112</v>
      </c>
      <c r="D10" s="13" t="s">
        <v>540</v>
      </c>
      <c r="E10" s="12" t="s">
        <v>144</v>
      </c>
      <c r="F10" s="12" t="s">
        <v>91</v>
      </c>
      <c r="G10" s="13" t="s">
        <v>952</v>
      </c>
      <c r="H10" s="12" t="s">
        <v>67</v>
      </c>
      <c r="I10" s="13" t="s">
        <v>145</v>
      </c>
      <c r="J10" s="13" t="s">
        <v>1113</v>
      </c>
      <c r="K10" s="13" t="s">
        <v>1114</v>
      </c>
      <c r="L10" s="13" t="s">
        <v>135</v>
      </c>
      <c r="M10" s="12">
        <v>3</v>
      </c>
      <c r="N10" s="12">
        <v>4</v>
      </c>
      <c r="O10" s="14">
        <f t="shared" si="0"/>
        <v>12</v>
      </c>
      <c r="P10" s="15" t="str">
        <f t="shared" si="1"/>
        <v>Alto</v>
      </c>
      <c r="Q10" s="13" t="s">
        <v>1115</v>
      </c>
      <c r="R10" s="13" t="s">
        <v>136</v>
      </c>
      <c r="S10" s="13" t="s">
        <v>137</v>
      </c>
      <c r="T10" s="13" t="s">
        <v>149</v>
      </c>
      <c r="U10" s="15">
        <f t="shared" si="2"/>
        <v>6</v>
      </c>
      <c r="V10" s="14" t="str">
        <f t="shared" si="3"/>
        <v>Melhorar</v>
      </c>
      <c r="W10" s="13" t="s">
        <v>150</v>
      </c>
      <c r="X10" s="13" t="s">
        <v>1116</v>
      </c>
      <c r="Y10" s="13" t="s">
        <v>84</v>
      </c>
      <c r="Z10" s="13" t="s">
        <v>86</v>
      </c>
      <c r="AA10" s="181">
        <v>46387</v>
      </c>
      <c r="AB10" s="12" t="s">
        <v>296</v>
      </c>
      <c r="AC10" s="12"/>
      <c r="AD10" s="14" t="str">
        <f t="shared" si="4"/>
        <v/>
      </c>
      <c r="AE10" s="14" t="str">
        <f t="shared" si="5"/>
        <v>Em andamento</v>
      </c>
      <c r="AF10" s="17">
        <f t="shared" si="6"/>
        <v>46387</v>
      </c>
      <c r="AG10" s="13" t="s">
        <v>1117</v>
      </c>
      <c r="AH10" s="16">
        <v>46568</v>
      </c>
      <c r="AI10" s="12"/>
      <c r="AJ10" s="16"/>
      <c r="AK10" s="13" t="s">
        <v>1118</v>
      </c>
      <c r="AL10" s="16">
        <v>46371</v>
      </c>
      <c r="AM10" s="13" t="s">
        <v>1119</v>
      </c>
      <c r="AN10" s="17">
        <f t="shared" si="7"/>
        <v>46461</v>
      </c>
      <c r="AO10" s="14" t="str">
        <f t="shared" ca="1" si="8"/>
        <v>OK</v>
      </c>
      <c r="AP10" s="13" t="s">
        <v>1120</v>
      </c>
      <c r="AQ10" s="12" t="s">
        <v>1121</v>
      </c>
      <c r="AR10" s="14">
        <f>IF($O10="","",1+COUNTIF($O$5:$O$154,"&gt;"&amp;$O10)+COUNTIFS($O$5:$O$154,$O10,$N$5:$N$154,"&gt;"&amp;$N10)+COUNTIFS($O$4:$O9,$O10,$N$4:$N9,$N10))</f>
        <v>7</v>
      </c>
      <c r="AS10" s="62">
        <v>50000</v>
      </c>
      <c r="AT10" s="62">
        <v>110000</v>
      </c>
      <c r="AU10" s="63">
        <f t="shared" si="9"/>
        <v>55000</v>
      </c>
      <c r="AV10" s="64">
        <f t="shared" si="10"/>
        <v>1.1000000000000001</v>
      </c>
      <c r="AW10" s="129" t="str">
        <f t="shared" si="11"/>
        <v>Retorno cobre o custo: viável</v>
      </c>
      <c r="AX10" s="13"/>
      <c r="AY10" s="16"/>
      <c r="AZ10" s="13"/>
      <c r="BA10" s="13"/>
      <c r="BB10" s="13"/>
      <c r="BC10" s="13"/>
      <c r="BD10" s="13"/>
      <c r="BE10" s="13"/>
      <c r="BF10" s="13"/>
      <c r="BG10" s="13"/>
      <c r="BH10" s="14" t="str">
        <f t="shared" si="12"/>
        <v/>
      </c>
      <c r="BI10" s="14" t="str">
        <f t="shared" si="13"/>
        <v/>
      </c>
      <c r="BJ10" s="14" t="str">
        <f t="shared" si="14"/>
        <v/>
      </c>
      <c r="BK10" s="15" t="str">
        <f t="shared" si="15"/>
        <v/>
      </c>
      <c r="BL10" s="15" t="str">
        <f t="shared" si="16"/>
        <v/>
      </c>
      <c r="BM10" s="13"/>
      <c r="BN10" s="13"/>
      <c r="BO10" s="13" t="s">
        <v>2440</v>
      </c>
      <c r="BP10" s="13"/>
      <c r="BQ10" s="13"/>
      <c r="BR10" s="14" t="str">
        <f t="shared" si="17"/>
        <v/>
      </c>
      <c r="BS10" s="15" t="str">
        <f t="shared" si="18"/>
        <v/>
      </c>
      <c r="BT10" s="13"/>
    </row>
    <row r="11" spans="1:72" ht="45.6">
      <c r="A11" s="115" t="s">
        <v>1122</v>
      </c>
      <c r="B11" s="12" t="s">
        <v>557</v>
      </c>
      <c r="C11" s="13" t="s">
        <v>1123</v>
      </c>
      <c r="D11" s="13" t="s">
        <v>540</v>
      </c>
      <c r="E11" s="12" t="s">
        <v>144</v>
      </c>
      <c r="F11" s="12" t="s">
        <v>91</v>
      </c>
      <c r="G11" s="13" t="s">
        <v>820</v>
      </c>
      <c r="H11" s="12" t="s">
        <v>67</v>
      </c>
      <c r="I11" s="13" t="s">
        <v>2787</v>
      </c>
      <c r="J11" s="13" t="s">
        <v>1124</v>
      </c>
      <c r="K11" s="13" t="s">
        <v>1125</v>
      </c>
      <c r="L11" s="13" t="s">
        <v>135</v>
      </c>
      <c r="M11" s="12">
        <v>4</v>
      </c>
      <c r="N11" s="12">
        <v>3</v>
      </c>
      <c r="O11" s="14">
        <f t="shared" si="0"/>
        <v>12</v>
      </c>
      <c r="P11" s="15" t="str">
        <f t="shared" si="1"/>
        <v>Alto</v>
      </c>
      <c r="Q11" s="13" t="s">
        <v>1126</v>
      </c>
      <c r="R11" s="13" t="s">
        <v>147</v>
      </c>
      <c r="S11" s="13" t="s">
        <v>137</v>
      </c>
      <c r="T11" s="13" t="s">
        <v>149</v>
      </c>
      <c r="U11" s="15">
        <f t="shared" si="2"/>
        <v>7</v>
      </c>
      <c r="V11" s="14" t="str">
        <f t="shared" si="3"/>
        <v>Melhorar</v>
      </c>
      <c r="W11" s="13" t="s">
        <v>139</v>
      </c>
      <c r="X11" s="13" t="s">
        <v>1127</v>
      </c>
      <c r="Y11" s="13" t="s">
        <v>826</v>
      </c>
      <c r="Z11" s="13" t="s">
        <v>827</v>
      </c>
      <c r="AA11" s="181">
        <v>46387</v>
      </c>
      <c r="AB11" s="12" t="s">
        <v>296</v>
      </c>
      <c r="AC11" s="12"/>
      <c r="AD11" s="14" t="str">
        <f t="shared" si="4"/>
        <v/>
      </c>
      <c r="AE11" s="14" t="str">
        <f t="shared" si="5"/>
        <v>Em andamento</v>
      </c>
      <c r="AF11" s="17">
        <f t="shared" si="6"/>
        <v>46387</v>
      </c>
      <c r="AG11" s="13" t="s">
        <v>1128</v>
      </c>
      <c r="AH11" s="16">
        <v>46568</v>
      </c>
      <c r="AI11" s="12"/>
      <c r="AJ11" s="16"/>
      <c r="AK11" s="13" t="s">
        <v>1129</v>
      </c>
      <c r="AL11" s="16">
        <v>46371</v>
      </c>
      <c r="AM11" s="13" t="s">
        <v>831</v>
      </c>
      <c r="AN11" s="17">
        <f t="shared" si="7"/>
        <v>46461</v>
      </c>
      <c r="AO11" s="14" t="str">
        <f t="shared" ca="1" si="8"/>
        <v>OK</v>
      </c>
      <c r="AP11" s="13" t="s">
        <v>1130</v>
      </c>
      <c r="AQ11" s="12" t="s">
        <v>1131</v>
      </c>
      <c r="AR11" s="14">
        <f>IF($O11="","",1+COUNTIF($O$5:$O$154,"&gt;"&amp;$O11)+COUNTIFS($O$5:$O$154,$O11,$N$5:$N$154,"&gt;"&amp;$N11)+COUNTIFS($O$4:$O10,$O11,$N$4:$N10,$N11))</f>
        <v>10</v>
      </c>
      <c r="AS11" s="62">
        <v>12000</v>
      </c>
      <c r="AT11" s="62">
        <v>25000</v>
      </c>
      <c r="AU11" s="63">
        <f t="shared" si="9"/>
        <v>17500</v>
      </c>
      <c r="AV11" s="64">
        <f t="shared" si="10"/>
        <v>1.4583333333333333</v>
      </c>
      <c r="AW11" s="129" t="str">
        <f t="shared" si="11"/>
        <v>Retorno cobre o custo: viável</v>
      </c>
      <c r="AX11" s="13"/>
      <c r="AY11" s="16"/>
      <c r="AZ11" s="13"/>
      <c r="BA11" s="13"/>
      <c r="BB11" s="13"/>
      <c r="BC11" s="13"/>
      <c r="BD11" s="13"/>
      <c r="BE11" s="13"/>
      <c r="BF11" s="13"/>
      <c r="BG11" s="13"/>
      <c r="BH11" s="14" t="str">
        <f t="shared" si="12"/>
        <v/>
      </c>
      <c r="BI11" s="14" t="str">
        <f t="shared" si="13"/>
        <v/>
      </c>
      <c r="BJ11" s="14" t="str">
        <f t="shared" si="14"/>
        <v/>
      </c>
      <c r="BK11" s="15" t="str">
        <f t="shared" si="15"/>
        <v/>
      </c>
      <c r="BL11" s="15" t="str">
        <f t="shared" si="16"/>
        <v/>
      </c>
      <c r="BM11" s="13"/>
      <c r="BN11" s="13"/>
      <c r="BO11" s="13" t="s">
        <v>2468</v>
      </c>
      <c r="BP11" s="13"/>
      <c r="BQ11" s="13"/>
      <c r="BR11" s="14" t="str">
        <f t="shared" si="17"/>
        <v/>
      </c>
      <c r="BS11" s="15" t="str">
        <f t="shared" si="18"/>
        <v/>
      </c>
      <c r="BT11" s="13"/>
    </row>
    <row r="12" spans="1:72" ht="45.6">
      <c r="A12" s="115" t="s">
        <v>1132</v>
      </c>
      <c r="B12" s="12" t="s">
        <v>557</v>
      </c>
      <c r="C12" s="13" t="s">
        <v>1133</v>
      </c>
      <c r="D12" s="13" t="s">
        <v>682</v>
      </c>
      <c r="E12" s="12" t="s">
        <v>144</v>
      </c>
      <c r="F12" s="12" t="s">
        <v>91</v>
      </c>
      <c r="G12" s="13" t="s">
        <v>820</v>
      </c>
      <c r="H12" s="12" t="s">
        <v>67</v>
      </c>
      <c r="I12" s="13" t="s">
        <v>2787</v>
      </c>
      <c r="J12" s="13" t="s">
        <v>1134</v>
      </c>
      <c r="K12" s="13" t="s">
        <v>1135</v>
      </c>
      <c r="L12" s="13" t="s">
        <v>101</v>
      </c>
      <c r="M12" s="12">
        <v>4</v>
      </c>
      <c r="N12" s="12">
        <v>4</v>
      </c>
      <c r="O12" s="14">
        <f t="shared" si="0"/>
        <v>16</v>
      </c>
      <c r="P12" s="15" t="str">
        <f t="shared" si="1"/>
        <v>Crítico</v>
      </c>
      <c r="Q12" s="13" t="s">
        <v>1136</v>
      </c>
      <c r="R12" s="13" t="s">
        <v>147</v>
      </c>
      <c r="S12" s="13" t="s">
        <v>541</v>
      </c>
      <c r="T12" s="13" t="s">
        <v>138</v>
      </c>
      <c r="U12" s="15">
        <f t="shared" si="2"/>
        <v>9</v>
      </c>
      <c r="V12" s="14" t="str">
        <f t="shared" si="3"/>
        <v>Explorar</v>
      </c>
      <c r="W12" s="13" t="s">
        <v>176</v>
      </c>
      <c r="X12" s="13" t="s">
        <v>1137</v>
      </c>
      <c r="Y12" s="13" t="s">
        <v>826</v>
      </c>
      <c r="Z12" s="13" t="s">
        <v>827</v>
      </c>
      <c r="AA12" s="16"/>
      <c r="AB12" s="12"/>
      <c r="AC12" s="12" t="s">
        <v>1138</v>
      </c>
      <c r="AD12" s="14" t="str">
        <f t="shared" si="4"/>
        <v/>
      </c>
      <c r="AE12" s="14" t="str">
        <f t="shared" si="5"/>
        <v>Em andamento</v>
      </c>
      <c r="AF12" s="17">
        <f t="shared" si="6"/>
        <v>46507</v>
      </c>
      <c r="AG12" s="13" t="s">
        <v>1139</v>
      </c>
      <c r="AH12" s="16">
        <v>46507</v>
      </c>
      <c r="AI12" s="12"/>
      <c r="AJ12" s="16"/>
      <c r="AK12" s="13" t="s">
        <v>1140</v>
      </c>
      <c r="AL12" s="16">
        <v>46371</v>
      </c>
      <c r="AM12" s="13" t="s">
        <v>831</v>
      </c>
      <c r="AN12" s="17">
        <f t="shared" si="7"/>
        <v>46402</v>
      </c>
      <c r="AO12" s="14" t="str">
        <f t="shared" ca="1" si="8"/>
        <v>OK</v>
      </c>
      <c r="AP12" s="13" t="s">
        <v>1141</v>
      </c>
      <c r="AQ12" s="12" t="s">
        <v>750</v>
      </c>
      <c r="AR12" s="14">
        <f>IF($O12="","",1+COUNTIF($O$5:$O$154,"&gt;"&amp;$O12)+COUNTIFS($O$5:$O$154,$O12,$N$5:$N$154,"&gt;"&amp;$N12)+COUNTIFS($O$4:$O11,$O12,$N$4:$N11,$N12))</f>
        <v>4</v>
      </c>
      <c r="AS12" s="62">
        <v>10000</v>
      </c>
      <c r="AT12" s="62">
        <v>48000</v>
      </c>
      <c r="AU12" s="63">
        <f t="shared" si="9"/>
        <v>33600</v>
      </c>
      <c r="AV12" s="64">
        <f t="shared" si="10"/>
        <v>3.36</v>
      </c>
      <c r="AW12" s="129" t="str">
        <f t="shared" si="11"/>
        <v>Retorno cobre o custo com folga: priorizar</v>
      </c>
      <c r="AX12" s="13"/>
      <c r="AY12" s="16"/>
      <c r="AZ12" s="13"/>
      <c r="BA12" s="13"/>
      <c r="BB12" s="13"/>
      <c r="BC12" s="13"/>
      <c r="BD12" s="13"/>
      <c r="BE12" s="13"/>
      <c r="BF12" s="13"/>
      <c r="BG12" s="13"/>
      <c r="BH12" s="14" t="str">
        <f t="shared" si="12"/>
        <v/>
      </c>
      <c r="BI12" s="14" t="str">
        <f t="shared" si="13"/>
        <v/>
      </c>
      <c r="BJ12" s="14" t="str">
        <f t="shared" si="14"/>
        <v/>
      </c>
      <c r="BK12" s="15" t="str">
        <f t="shared" si="15"/>
        <v/>
      </c>
      <c r="BL12" s="15" t="str">
        <f t="shared" si="16"/>
        <v/>
      </c>
      <c r="BM12" s="13"/>
      <c r="BN12" s="13"/>
      <c r="BO12" s="13"/>
      <c r="BP12" s="13"/>
      <c r="BQ12" s="13"/>
      <c r="BR12" s="14" t="str">
        <f t="shared" si="17"/>
        <v/>
      </c>
      <c r="BS12" s="15" t="str">
        <f t="shared" si="18"/>
        <v/>
      </c>
      <c r="BT12" s="13"/>
    </row>
    <row r="13" spans="1:72" ht="45.6">
      <c r="A13" s="115" t="s">
        <v>1142</v>
      </c>
      <c r="B13" s="12" t="s">
        <v>811</v>
      </c>
      <c r="C13" s="13" t="s">
        <v>1143</v>
      </c>
      <c r="D13" s="13" t="s">
        <v>569</v>
      </c>
      <c r="E13" s="12" t="s">
        <v>144</v>
      </c>
      <c r="F13" s="12" t="s">
        <v>65</v>
      </c>
      <c r="G13" s="13" t="s">
        <v>707</v>
      </c>
      <c r="H13" s="12" t="s">
        <v>67</v>
      </c>
      <c r="I13" s="13" t="s">
        <v>68</v>
      </c>
      <c r="J13" s="13" t="s">
        <v>1144</v>
      </c>
      <c r="K13" s="13" t="s">
        <v>1145</v>
      </c>
      <c r="L13" s="13" t="s">
        <v>146</v>
      </c>
      <c r="M13" s="12">
        <v>3</v>
      </c>
      <c r="N13" s="12">
        <v>3</v>
      </c>
      <c r="O13" s="14">
        <f t="shared" si="0"/>
        <v>9</v>
      </c>
      <c r="P13" s="15" t="str">
        <f t="shared" si="1"/>
        <v>Médio</v>
      </c>
      <c r="Q13" s="13" t="s">
        <v>1146</v>
      </c>
      <c r="R13" s="13" t="s">
        <v>147</v>
      </c>
      <c r="S13" s="13" t="s">
        <v>137</v>
      </c>
      <c r="T13" s="13" t="s">
        <v>149</v>
      </c>
      <c r="U13" s="15">
        <f t="shared" si="2"/>
        <v>7</v>
      </c>
      <c r="V13" s="14" t="str">
        <f t="shared" si="3"/>
        <v>Melhorar</v>
      </c>
      <c r="W13" s="13" t="s">
        <v>150</v>
      </c>
      <c r="X13" s="13" t="s">
        <v>1147</v>
      </c>
      <c r="Y13" s="13" t="s">
        <v>74</v>
      </c>
      <c r="Z13" s="13" t="s">
        <v>688</v>
      </c>
      <c r="AA13" s="16">
        <v>46507</v>
      </c>
      <c r="AB13" s="12" t="s">
        <v>85</v>
      </c>
      <c r="AC13" s="12"/>
      <c r="AD13" s="14" t="str">
        <f t="shared" si="4"/>
        <v/>
      </c>
      <c r="AE13" s="14" t="str">
        <f t="shared" si="5"/>
        <v>Aberto</v>
      </c>
      <c r="AF13" s="17">
        <f t="shared" si="6"/>
        <v>46507</v>
      </c>
      <c r="AG13" s="13" t="s">
        <v>1148</v>
      </c>
      <c r="AH13" s="16">
        <v>46568</v>
      </c>
      <c r="AI13" s="12"/>
      <c r="AJ13" s="16"/>
      <c r="AK13" s="13" t="s">
        <v>1149</v>
      </c>
      <c r="AL13" s="16">
        <v>46371</v>
      </c>
      <c r="AM13" s="13" t="s">
        <v>1150</v>
      </c>
      <c r="AN13" s="17">
        <f t="shared" si="7"/>
        <v>46553</v>
      </c>
      <c r="AO13" s="14" t="str">
        <f t="shared" ca="1" si="8"/>
        <v>OK</v>
      </c>
      <c r="AP13" s="13" t="s">
        <v>1151</v>
      </c>
      <c r="AQ13" s="12" t="s">
        <v>995</v>
      </c>
      <c r="AR13" s="14">
        <f>IF($O13="","",1+COUNTIF($O$5:$O$154,"&gt;"&amp;$O13)+COUNTIFS($O$5:$O$154,$O13,$N$5:$N$154,"&gt;"&amp;$N13)+COUNTIFS($O$4:$O12,$O13,$N$4:$N12,$N13))</f>
        <v>14</v>
      </c>
      <c r="AS13" s="62">
        <v>8000</v>
      </c>
      <c r="AT13" s="62">
        <v>22000</v>
      </c>
      <c r="AU13" s="63">
        <f t="shared" si="9"/>
        <v>11000</v>
      </c>
      <c r="AV13" s="64">
        <f t="shared" si="10"/>
        <v>1.375</v>
      </c>
      <c r="AW13" s="129" t="str">
        <f t="shared" si="11"/>
        <v>Retorno cobre o custo: viável</v>
      </c>
      <c r="AX13" s="13"/>
      <c r="AY13" s="16"/>
      <c r="AZ13" s="13"/>
      <c r="BA13" s="13"/>
      <c r="BB13" s="13"/>
      <c r="BC13" s="13"/>
      <c r="BD13" s="13"/>
      <c r="BE13" s="13"/>
      <c r="BF13" s="13"/>
      <c r="BG13" s="13"/>
      <c r="BH13" s="14" t="str">
        <f t="shared" si="12"/>
        <v/>
      </c>
      <c r="BI13" s="14" t="str">
        <f t="shared" si="13"/>
        <v/>
      </c>
      <c r="BJ13" s="14" t="str">
        <f t="shared" si="14"/>
        <v/>
      </c>
      <c r="BK13" s="15" t="str">
        <f t="shared" si="15"/>
        <v/>
      </c>
      <c r="BL13" s="15" t="str">
        <f t="shared" si="16"/>
        <v/>
      </c>
      <c r="BM13" s="13"/>
      <c r="BN13" s="13"/>
      <c r="BO13" s="13"/>
      <c r="BP13" s="13"/>
      <c r="BQ13" s="13"/>
      <c r="BR13" s="14" t="str">
        <f t="shared" si="17"/>
        <v/>
      </c>
      <c r="BS13" s="15" t="str">
        <f t="shared" si="18"/>
        <v/>
      </c>
      <c r="BT13" s="13"/>
    </row>
    <row r="14" spans="1:72" ht="114">
      <c r="A14" s="115" t="s">
        <v>1033</v>
      </c>
      <c r="B14" s="12" t="s">
        <v>89</v>
      </c>
      <c r="C14" s="13" t="s">
        <v>1152</v>
      </c>
      <c r="D14" s="13" t="s">
        <v>90</v>
      </c>
      <c r="E14" s="12" t="s">
        <v>144</v>
      </c>
      <c r="F14" s="12" t="s">
        <v>65</v>
      </c>
      <c r="G14" s="13" t="s">
        <v>1017</v>
      </c>
      <c r="H14" s="12" t="s">
        <v>67</v>
      </c>
      <c r="I14" s="13" t="s">
        <v>1153</v>
      </c>
      <c r="J14" s="13" t="s">
        <v>1154</v>
      </c>
      <c r="K14" s="13" t="s">
        <v>1155</v>
      </c>
      <c r="L14" s="13" t="s">
        <v>135</v>
      </c>
      <c r="M14" s="12">
        <v>4</v>
      </c>
      <c r="N14" s="12">
        <v>3</v>
      </c>
      <c r="O14" s="14">
        <f t="shared" si="0"/>
        <v>12</v>
      </c>
      <c r="P14" s="15" t="str">
        <f t="shared" si="1"/>
        <v>Alto</v>
      </c>
      <c r="Q14" s="13" t="s">
        <v>1156</v>
      </c>
      <c r="R14" s="13" t="s">
        <v>147</v>
      </c>
      <c r="S14" s="13" t="s">
        <v>148</v>
      </c>
      <c r="T14" s="13" t="s">
        <v>149</v>
      </c>
      <c r="U14" s="15">
        <f t="shared" si="2"/>
        <v>6</v>
      </c>
      <c r="V14" s="14" t="str">
        <f t="shared" si="3"/>
        <v>Melhorar</v>
      </c>
      <c r="W14" s="13" t="s">
        <v>139</v>
      </c>
      <c r="X14" s="13" t="s">
        <v>1157</v>
      </c>
      <c r="Y14" s="13" t="s">
        <v>1001</v>
      </c>
      <c r="Z14" s="13" t="s">
        <v>1021</v>
      </c>
      <c r="AA14" s="16">
        <v>46538</v>
      </c>
      <c r="AB14" s="12" t="s">
        <v>85</v>
      </c>
      <c r="AC14" s="12"/>
      <c r="AD14" s="14" t="str">
        <f t="shared" si="4"/>
        <v/>
      </c>
      <c r="AE14" s="14" t="str">
        <f t="shared" si="5"/>
        <v>Aberto</v>
      </c>
      <c r="AF14" s="17">
        <f t="shared" si="6"/>
        <v>46538</v>
      </c>
      <c r="AG14" s="13" t="s">
        <v>1158</v>
      </c>
      <c r="AH14" s="16">
        <v>46568</v>
      </c>
      <c r="AI14" s="12"/>
      <c r="AJ14" s="16"/>
      <c r="AK14" s="13" t="s">
        <v>1159</v>
      </c>
      <c r="AL14" s="16">
        <v>46371</v>
      </c>
      <c r="AM14" s="13" t="s">
        <v>1160</v>
      </c>
      <c r="AN14" s="17">
        <f t="shared" si="7"/>
        <v>46461</v>
      </c>
      <c r="AO14" s="14" t="str">
        <f t="shared" ca="1" si="8"/>
        <v>OK</v>
      </c>
      <c r="AP14" s="13" t="s">
        <v>2713</v>
      </c>
      <c r="AQ14" s="12" t="s">
        <v>1026</v>
      </c>
      <c r="AR14" s="14">
        <f>IF($O14="","",1+COUNTIF($O$5:$O$154,"&gt;"&amp;$O14)+COUNTIFS($O$5:$O$154,$O14,$N$5:$N$154,"&gt;"&amp;$N14)+COUNTIFS($O$4:$O13,$O14,$N$4:$N13,$N14))</f>
        <v>11</v>
      </c>
      <c r="AS14" s="62">
        <v>6000</v>
      </c>
      <c r="AT14" s="62">
        <v>18000</v>
      </c>
      <c r="AU14" s="63">
        <f t="shared" si="9"/>
        <v>12600</v>
      </c>
      <c r="AV14" s="64">
        <f t="shared" si="10"/>
        <v>2.1</v>
      </c>
      <c r="AW14" s="129" t="str">
        <f t="shared" si="11"/>
        <v>Retorno cobre o custo com folga: priorizar</v>
      </c>
      <c r="AX14" s="13" t="s">
        <v>2513</v>
      </c>
      <c r="AY14" s="16">
        <v>46126</v>
      </c>
      <c r="AZ14" s="13" t="s">
        <v>2514</v>
      </c>
      <c r="BA14" s="13" t="s">
        <v>419</v>
      </c>
      <c r="BB14" s="13" t="s">
        <v>62</v>
      </c>
      <c r="BC14" s="13" t="s">
        <v>2515</v>
      </c>
      <c r="BD14" s="13" t="s">
        <v>2516</v>
      </c>
      <c r="BE14" s="13" t="s">
        <v>2517</v>
      </c>
      <c r="BF14" s="13" t="s">
        <v>2420</v>
      </c>
      <c r="BG14" s="13" t="s">
        <v>2518</v>
      </c>
      <c r="BH14" s="14">
        <f t="shared" si="12"/>
        <v>3</v>
      </c>
      <c r="BI14" s="14">
        <f t="shared" si="13"/>
        <v>2</v>
      </c>
      <c r="BJ14" s="14">
        <f t="shared" si="14"/>
        <v>6</v>
      </c>
      <c r="BK14" s="15" t="str">
        <f t="shared" si="15"/>
        <v>TOLERÁVEL</v>
      </c>
      <c r="BL14" s="15" t="str">
        <f t="shared" si="16"/>
        <v>ACEITÁVEL</v>
      </c>
      <c r="BM14" s="13" t="s">
        <v>2519</v>
      </c>
      <c r="BN14" s="13" t="s">
        <v>2450</v>
      </c>
      <c r="BO14" s="13"/>
      <c r="BP14" s="13" t="s">
        <v>2420</v>
      </c>
      <c r="BQ14" s="13" t="s">
        <v>2518</v>
      </c>
      <c r="BR14" s="14">
        <f t="shared" si="17"/>
        <v>6</v>
      </c>
      <c r="BS14" s="15" t="str">
        <f t="shared" si="18"/>
        <v>TOLERÁVEL</v>
      </c>
      <c r="BT14" s="13" t="s">
        <v>419</v>
      </c>
    </row>
    <row r="15" spans="1:72" ht="34.200000000000003">
      <c r="A15" s="115" t="s">
        <v>1161</v>
      </c>
      <c r="B15" s="12" t="s">
        <v>97</v>
      </c>
      <c r="C15" s="13" t="s">
        <v>1162</v>
      </c>
      <c r="D15" s="13" t="s">
        <v>570</v>
      </c>
      <c r="E15" s="12" t="s">
        <v>144</v>
      </c>
      <c r="F15" s="12" t="s">
        <v>91</v>
      </c>
      <c r="G15" s="13" t="s">
        <v>952</v>
      </c>
      <c r="H15" s="12" t="s">
        <v>67</v>
      </c>
      <c r="I15" s="13" t="s">
        <v>145</v>
      </c>
      <c r="J15" s="13" t="s">
        <v>1163</v>
      </c>
      <c r="K15" s="13" t="s">
        <v>1164</v>
      </c>
      <c r="L15" s="13" t="s">
        <v>367</v>
      </c>
      <c r="M15" s="12">
        <v>4</v>
      </c>
      <c r="N15" s="12">
        <v>3</v>
      </c>
      <c r="O15" s="14">
        <f t="shared" si="0"/>
        <v>12</v>
      </c>
      <c r="P15" s="15" t="str">
        <f t="shared" si="1"/>
        <v>Alto</v>
      </c>
      <c r="Q15" s="13" t="s">
        <v>1165</v>
      </c>
      <c r="R15" s="13" t="s">
        <v>147</v>
      </c>
      <c r="S15" s="13" t="s">
        <v>541</v>
      </c>
      <c r="T15" s="13" t="s">
        <v>138</v>
      </c>
      <c r="U15" s="15">
        <f t="shared" si="2"/>
        <v>9</v>
      </c>
      <c r="V15" s="14" t="str">
        <f t="shared" si="3"/>
        <v>Melhorar</v>
      </c>
      <c r="W15" s="13" t="s">
        <v>176</v>
      </c>
      <c r="X15" s="13" t="s">
        <v>1166</v>
      </c>
      <c r="Y15" s="13" t="s">
        <v>103</v>
      </c>
      <c r="Z15" s="13" t="s">
        <v>104</v>
      </c>
      <c r="AA15" s="16">
        <v>46477</v>
      </c>
      <c r="AB15" s="12" t="s">
        <v>85</v>
      </c>
      <c r="AC15" s="12"/>
      <c r="AD15" s="14" t="str">
        <f t="shared" si="4"/>
        <v/>
      </c>
      <c r="AE15" s="14" t="str">
        <f t="shared" si="5"/>
        <v>Aberto</v>
      </c>
      <c r="AF15" s="17">
        <f t="shared" si="6"/>
        <v>46477</v>
      </c>
      <c r="AG15" s="13" t="s">
        <v>1167</v>
      </c>
      <c r="AH15" s="16">
        <v>46568</v>
      </c>
      <c r="AI15" s="12"/>
      <c r="AJ15" s="16"/>
      <c r="AK15" s="13" t="s">
        <v>1168</v>
      </c>
      <c r="AL15" s="16">
        <v>46371</v>
      </c>
      <c r="AM15" s="13" t="s">
        <v>691</v>
      </c>
      <c r="AN15" s="17">
        <f t="shared" si="7"/>
        <v>46461</v>
      </c>
      <c r="AO15" s="14" t="str">
        <f t="shared" ca="1" si="8"/>
        <v>OK</v>
      </c>
      <c r="AP15" s="13" t="s">
        <v>1169</v>
      </c>
      <c r="AQ15" s="12" t="s">
        <v>1170</v>
      </c>
      <c r="AR15" s="14">
        <f>IF($O15="","",1+COUNTIF($O$5:$O$154,"&gt;"&amp;$O15)+COUNTIFS($O$5:$O$154,$O15,$N$5:$N$154,"&gt;"&amp;$N15)+COUNTIFS($O$4:$O14,$O15,$N$4:$N14,$N15))</f>
        <v>12</v>
      </c>
      <c r="AS15" s="62">
        <v>5000</v>
      </c>
      <c r="AT15" s="62">
        <v>26000</v>
      </c>
      <c r="AU15" s="63">
        <f t="shared" si="9"/>
        <v>18200</v>
      </c>
      <c r="AV15" s="64">
        <f t="shared" si="10"/>
        <v>3.64</v>
      </c>
      <c r="AW15" s="129" t="str">
        <f t="shared" si="11"/>
        <v>Retorno cobre o custo com folga: priorizar</v>
      </c>
      <c r="AX15" s="13"/>
      <c r="AY15" s="16"/>
      <c r="AZ15" s="13"/>
      <c r="BA15" s="13"/>
      <c r="BB15" s="13"/>
      <c r="BC15" s="13"/>
      <c r="BD15" s="13"/>
      <c r="BE15" s="13"/>
      <c r="BF15" s="13"/>
      <c r="BG15" s="13"/>
      <c r="BH15" s="14" t="str">
        <f t="shared" si="12"/>
        <v/>
      </c>
      <c r="BI15" s="14" t="str">
        <f t="shared" si="13"/>
        <v/>
      </c>
      <c r="BJ15" s="14" t="str">
        <f t="shared" si="14"/>
        <v/>
      </c>
      <c r="BK15" s="15" t="str">
        <f t="shared" si="15"/>
        <v/>
      </c>
      <c r="BL15" s="15" t="str">
        <f t="shared" si="16"/>
        <v/>
      </c>
      <c r="BM15" s="13"/>
      <c r="BN15" s="13"/>
      <c r="BO15" s="13"/>
      <c r="BP15" s="13"/>
      <c r="BQ15" s="13"/>
      <c r="BR15" s="14" t="str">
        <f t="shared" si="17"/>
        <v/>
      </c>
      <c r="BS15" s="15" t="str">
        <f t="shared" si="18"/>
        <v/>
      </c>
      <c r="BT15" s="13"/>
    </row>
    <row r="16" spans="1:72" ht="34.200000000000003">
      <c r="A16" s="115" t="s">
        <v>1171</v>
      </c>
      <c r="B16" s="12" t="s">
        <v>97</v>
      </c>
      <c r="C16" s="13" t="s">
        <v>1172</v>
      </c>
      <c r="D16" s="13" t="s">
        <v>143</v>
      </c>
      <c r="E16" s="12" t="s">
        <v>144</v>
      </c>
      <c r="F16" s="12" t="s">
        <v>272</v>
      </c>
      <c r="G16" s="13" t="s">
        <v>801</v>
      </c>
      <c r="H16" s="12" t="s">
        <v>67</v>
      </c>
      <c r="I16" s="13" t="s">
        <v>2785</v>
      </c>
      <c r="J16" s="13" t="s">
        <v>1173</v>
      </c>
      <c r="K16" s="13" t="s">
        <v>1174</v>
      </c>
      <c r="L16" s="13" t="s">
        <v>101</v>
      </c>
      <c r="M16" s="12">
        <v>3</v>
      </c>
      <c r="N16" s="12">
        <v>4</v>
      </c>
      <c r="O16" s="14">
        <f t="shared" si="0"/>
        <v>12</v>
      </c>
      <c r="P16" s="15" t="str">
        <f t="shared" si="1"/>
        <v>Alto</v>
      </c>
      <c r="Q16" s="13" t="s">
        <v>1175</v>
      </c>
      <c r="R16" s="13" t="s">
        <v>136</v>
      </c>
      <c r="S16" s="13" t="s">
        <v>137</v>
      </c>
      <c r="T16" s="13" t="s">
        <v>138</v>
      </c>
      <c r="U16" s="15">
        <f t="shared" si="2"/>
        <v>7</v>
      </c>
      <c r="V16" s="14" t="str">
        <f t="shared" si="3"/>
        <v>Melhorar</v>
      </c>
      <c r="W16" s="13" t="s">
        <v>150</v>
      </c>
      <c r="X16" s="13" t="s">
        <v>1176</v>
      </c>
      <c r="Y16" s="13" t="s">
        <v>103</v>
      </c>
      <c r="Z16" s="13" t="s">
        <v>886</v>
      </c>
      <c r="AA16" s="16">
        <v>46538</v>
      </c>
      <c r="AB16" s="12" t="s">
        <v>85</v>
      </c>
      <c r="AC16" s="12"/>
      <c r="AD16" s="14" t="str">
        <f t="shared" si="4"/>
        <v/>
      </c>
      <c r="AE16" s="14" t="str">
        <f t="shared" si="5"/>
        <v>Aberto</v>
      </c>
      <c r="AF16" s="17">
        <f t="shared" si="6"/>
        <v>46538</v>
      </c>
      <c r="AG16" s="13" t="s">
        <v>1177</v>
      </c>
      <c r="AH16" s="16">
        <v>46568</v>
      </c>
      <c r="AI16" s="12"/>
      <c r="AJ16" s="16"/>
      <c r="AK16" s="13" t="s">
        <v>1178</v>
      </c>
      <c r="AL16" s="16">
        <v>46371</v>
      </c>
      <c r="AM16" s="13" t="s">
        <v>889</v>
      </c>
      <c r="AN16" s="17">
        <f t="shared" si="7"/>
        <v>46461</v>
      </c>
      <c r="AO16" s="14" t="str">
        <f t="shared" ca="1" si="8"/>
        <v>OK</v>
      </c>
      <c r="AP16" s="13" t="s">
        <v>1179</v>
      </c>
      <c r="AQ16" s="12" t="s">
        <v>1180</v>
      </c>
      <c r="AR16" s="14">
        <f>IF($O16="","",1+COUNTIF($O$5:$O$154,"&gt;"&amp;$O16)+COUNTIFS($O$5:$O$154,$O16,$N$5:$N$154,"&gt;"&amp;$N16)+COUNTIFS($O$4:$O15,$O16,$N$4:$N15,$N16))</f>
        <v>8</v>
      </c>
      <c r="AS16" s="62">
        <v>20000</v>
      </c>
      <c r="AT16" s="62">
        <v>50000</v>
      </c>
      <c r="AU16" s="63">
        <f t="shared" si="9"/>
        <v>25000</v>
      </c>
      <c r="AV16" s="64">
        <f t="shared" si="10"/>
        <v>1.25</v>
      </c>
      <c r="AW16" s="129" t="str">
        <f t="shared" si="11"/>
        <v>Retorno cobre o custo: viável</v>
      </c>
      <c r="AX16" s="13"/>
      <c r="AY16" s="16"/>
      <c r="AZ16" s="13"/>
      <c r="BA16" s="13"/>
      <c r="BB16" s="13"/>
      <c r="BC16" s="13"/>
      <c r="BD16" s="13"/>
      <c r="BE16" s="13"/>
      <c r="BF16" s="13"/>
      <c r="BG16" s="13"/>
      <c r="BH16" s="14" t="str">
        <f t="shared" si="12"/>
        <v/>
      </c>
      <c r="BI16" s="14" t="str">
        <f t="shared" si="13"/>
        <v/>
      </c>
      <c r="BJ16" s="14" t="str">
        <f t="shared" si="14"/>
        <v/>
      </c>
      <c r="BK16" s="15" t="str">
        <f t="shared" si="15"/>
        <v/>
      </c>
      <c r="BL16" s="15" t="str">
        <f t="shared" si="16"/>
        <v/>
      </c>
      <c r="BM16" s="13"/>
      <c r="BN16" s="13"/>
      <c r="BO16" s="13"/>
      <c r="BP16" s="13"/>
      <c r="BQ16" s="13"/>
      <c r="BR16" s="14" t="str">
        <f t="shared" si="17"/>
        <v/>
      </c>
      <c r="BS16" s="15" t="str">
        <f t="shared" si="18"/>
        <v/>
      </c>
      <c r="BT16" s="13"/>
    </row>
    <row r="17" spans="1:72" ht="45.6">
      <c r="A17" s="115" t="s">
        <v>1181</v>
      </c>
      <c r="B17" s="12" t="s">
        <v>1182</v>
      </c>
      <c r="C17" s="13" t="s">
        <v>1183</v>
      </c>
      <c r="D17" s="13" t="s">
        <v>132</v>
      </c>
      <c r="E17" s="12" t="s">
        <v>133</v>
      </c>
      <c r="F17" s="12" t="s">
        <v>272</v>
      </c>
      <c r="G17" s="13" t="s">
        <v>801</v>
      </c>
      <c r="H17" s="12" t="s">
        <v>67</v>
      </c>
      <c r="I17" s="13" t="s">
        <v>2785</v>
      </c>
      <c r="J17" s="13" t="s">
        <v>1184</v>
      </c>
      <c r="K17" s="13" t="s">
        <v>1185</v>
      </c>
      <c r="L17" s="13" t="s">
        <v>524</v>
      </c>
      <c r="M17" s="12">
        <v>2</v>
      </c>
      <c r="N17" s="12">
        <v>4</v>
      </c>
      <c r="O17" s="14">
        <f t="shared" si="0"/>
        <v>8</v>
      </c>
      <c r="P17" s="15" t="str">
        <f t="shared" si="1"/>
        <v>Médio</v>
      </c>
      <c r="Q17" s="13" t="s">
        <v>1186</v>
      </c>
      <c r="R17" s="13" t="s">
        <v>545</v>
      </c>
      <c r="S17" s="13" t="s">
        <v>137</v>
      </c>
      <c r="T17" s="13" t="s">
        <v>149</v>
      </c>
      <c r="U17" s="15">
        <f t="shared" si="2"/>
        <v>5</v>
      </c>
      <c r="V17" s="14" t="str">
        <f t="shared" si="3"/>
        <v>Melhorar</v>
      </c>
      <c r="W17" s="13" t="s">
        <v>555</v>
      </c>
      <c r="X17" s="13" t="s">
        <v>1187</v>
      </c>
      <c r="Y17" s="13" t="s">
        <v>103</v>
      </c>
      <c r="Z17" s="13" t="s">
        <v>104</v>
      </c>
      <c r="AA17" s="16">
        <v>46660</v>
      </c>
      <c r="AB17" s="12" t="s">
        <v>85</v>
      </c>
      <c r="AC17" s="12"/>
      <c r="AD17" s="14" t="str">
        <f t="shared" si="4"/>
        <v/>
      </c>
      <c r="AE17" s="14" t="str">
        <f t="shared" si="5"/>
        <v>Aberto</v>
      </c>
      <c r="AF17" s="17">
        <f t="shared" si="6"/>
        <v>46660</v>
      </c>
      <c r="AG17" s="13" t="s">
        <v>1188</v>
      </c>
      <c r="AH17" s="16">
        <v>46741</v>
      </c>
      <c r="AI17" s="12"/>
      <c r="AJ17" s="16"/>
      <c r="AK17" s="13" t="s">
        <v>1189</v>
      </c>
      <c r="AL17" s="16">
        <v>46371</v>
      </c>
      <c r="AM17" s="13" t="s">
        <v>691</v>
      </c>
      <c r="AN17" s="17">
        <f t="shared" si="7"/>
        <v>46553</v>
      </c>
      <c r="AO17" s="14" t="str">
        <f t="shared" ca="1" si="8"/>
        <v>OK</v>
      </c>
      <c r="AP17" s="13" t="s">
        <v>1190</v>
      </c>
      <c r="AQ17" s="12" t="s">
        <v>858</v>
      </c>
      <c r="AR17" s="14">
        <f>IF($O17="","",1+COUNTIF($O$5:$O$154,"&gt;"&amp;$O17)+COUNTIFS($O$5:$O$154,$O17,$N$5:$N$154,"&gt;"&amp;$N17)+COUNTIFS($O$4:$O16,$O17,$N$4:$N16,$N17))</f>
        <v>15</v>
      </c>
      <c r="AS17" s="62">
        <v>120000</v>
      </c>
      <c r="AT17" s="62">
        <v>90000</v>
      </c>
      <c r="AU17" s="63">
        <f t="shared" si="9"/>
        <v>27000</v>
      </c>
      <c r="AV17" s="64">
        <f t="shared" si="10"/>
        <v>0.22500000000000001</v>
      </c>
      <c r="AW17" s="129" t="str">
        <f t="shared" si="11"/>
        <v>Retorno menor que o custo: reavaliar ou reter para avaliação futura</v>
      </c>
      <c r="AX17" s="13"/>
      <c r="AY17" s="16"/>
      <c r="AZ17" s="13"/>
      <c r="BA17" s="13"/>
      <c r="BB17" s="13"/>
      <c r="BC17" s="13"/>
      <c r="BD17" s="13"/>
      <c r="BE17" s="13"/>
      <c r="BF17" s="13"/>
      <c r="BG17" s="13"/>
      <c r="BH17" s="14" t="str">
        <f t="shared" si="12"/>
        <v/>
      </c>
      <c r="BI17" s="14" t="str">
        <f t="shared" si="13"/>
        <v/>
      </c>
      <c r="BJ17" s="14" t="str">
        <f t="shared" si="14"/>
        <v/>
      </c>
      <c r="BK17" s="15" t="str">
        <f t="shared" si="15"/>
        <v/>
      </c>
      <c r="BL17" s="15" t="str">
        <f t="shared" si="16"/>
        <v/>
      </c>
      <c r="BM17" s="13"/>
      <c r="BN17" s="13"/>
      <c r="BO17" s="13"/>
      <c r="BP17" s="13"/>
      <c r="BQ17" s="13"/>
      <c r="BR17" s="14" t="str">
        <f t="shared" si="17"/>
        <v/>
      </c>
      <c r="BS17" s="15" t="str">
        <f t="shared" si="18"/>
        <v/>
      </c>
      <c r="BT17" s="13"/>
    </row>
    <row r="18" spans="1:72" ht="45.6">
      <c r="A18" s="115" t="s">
        <v>1191</v>
      </c>
      <c r="B18" s="12" t="s">
        <v>846</v>
      </c>
      <c r="C18" s="13" t="s">
        <v>1192</v>
      </c>
      <c r="D18" s="13" t="s">
        <v>143</v>
      </c>
      <c r="E18" s="12" t="s">
        <v>133</v>
      </c>
      <c r="F18" s="12" t="s">
        <v>91</v>
      </c>
      <c r="G18" s="13" t="s">
        <v>848</v>
      </c>
      <c r="H18" s="12" t="s">
        <v>67</v>
      </c>
      <c r="I18" s="13" t="s">
        <v>2785</v>
      </c>
      <c r="J18" s="13" t="s">
        <v>1193</v>
      </c>
      <c r="K18" s="13" t="s">
        <v>1194</v>
      </c>
      <c r="L18" s="13" t="s">
        <v>146</v>
      </c>
      <c r="M18" s="12">
        <v>4</v>
      </c>
      <c r="N18" s="12">
        <v>3</v>
      </c>
      <c r="O18" s="14">
        <f t="shared" si="0"/>
        <v>12</v>
      </c>
      <c r="P18" s="15" t="str">
        <f t="shared" si="1"/>
        <v>Alto</v>
      </c>
      <c r="Q18" s="13" t="s">
        <v>1195</v>
      </c>
      <c r="R18" s="13" t="s">
        <v>147</v>
      </c>
      <c r="S18" s="13" t="s">
        <v>148</v>
      </c>
      <c r="T18" s="13" t="s">
        <v>149</v>
      </c>
      <c r="U18" s="15">
        <f t="shared" si="2"/>
        <v>6</v>
      </c>
      <c r="V18" s="14" t="str">
        <f t="shared" si="3"/>
        <v>Melhorar</v>
      </c>
      <c r="W18" s="13" t="s">
        <v>139</v>
      </c>
      <c r="X18" s="13" t="s">
        <v>1196</v>
      </c>
      <c r="Y18" s="13" t="s">
        <v>74</v>
      </c>
      <c r="Z18" s="13" t="s">
        <v>853</v>
      </c>
      <c r="AA18" s="16">
        <v>46630</v>
      </c>
      <c r="AB18" s="12" t="s">
        <v>85</v>
      </c>
      <c r="AC18" s="12"/>
      <c r="AD18" s="14" t="str">
        <f t="shared" si="4"/>
        <v/>
      </c>
      <c r="AE18" s="14" t="str">
        <f t="shared" si="5"/>
        <v>Aberto</v>
      </c>
      <c r="AF18" s="17">
        <f t="shared" si="6"/>
        <v>46630</v>
      </c>
      <c r="AG18" s="13" t="s">
        <v>1197</v>
      </c>
      <c r="AH18" s="16">
        <v>46741</v>
      </c>
      <c r="AI18" s="12"/>
      <c r="AJ18" s="16"/>
      <c r="AK18" s="13" t="s">
        <v>1198</v>
      </c>
      <c r="AL18" s="16">
        <v>46371</v>
      </c>
      <c r="AM18" s="13" t="s">
        <v>1199</v>
      </c>
      <c r="AN18" s="17">
        <f t="shared" si="7"/>
        <v>46461</v>
      </c>
      <c r="AO18" s="14" t="str">
        <f t="shared" ca="1" si="8"/>
        <v>OK</v>
      </c>
      <c r="AP18" s="13" t="s">
        <v>1200</v>
      </c>
      <c r="AQ18" s="12" t="s">
        <v>1201</v>
      </c>
      <c r="AR18" s="14">
        <f>IF($O18="","",1+COUNTIF($O$5:$O$154,"&gt;"&amp;$O18)+COUNTIFS($O$5:$O$154,$O18,$N$5:$N$154,"&gt;"&amp;$N18)+COUNTIFS($O$4:$O17,$O18,$N$4:$N17,$N18))</f>
        <v>13</v>
      </c>
      <c r="AS18" s="62">
        <v>5000</v>
      </c>
      <c r="AT18" s="62">
        <v>15000</v>
      </c>
      <c r="AU18" s="63">
        <f t="shared" si="9"/>
        <v>10500</v>
      </c>
      <c r="AV18" s="64">
        <f t="shared" si="10"/>
        <v>2.1</v>
      </c>
      <c r="AW18" s="129" t="str">
        <f t="shared" si="11"/>
        <v>Retorno cobre o custo com folga: priorizar</v>
      </c>
      <c r="AX18" s="13"/>
      <c r="AY18" s="16"/>
      <c r="AZ18" s="13"/>
      <c r="BA18" s="13"/>
      <c r="BB18" s="13"/>
      <c r="BC18" s="13"/>
      <c r="BD18" s="13"/>
      <c r="BE18" s="13"/>
      <c r="BF18" s="13"/>
      <c r="BG18" s="13"/>
      <c r="BH18" s="14" t="str">
        <f t="shared" si="12"/>
        <v/>
      </c>
      <c r="BI18" s="14" t="str">
        <f t="shared" si="13"/>
        <v/>
      </c>
      <c r="BJ18" s="14" t="str">
        <f t="shared" si="14"/>
        <v/>
      </c>
      <c r="BK18" s="15" t="str">
        <f t="shared" si="15"/>
        <v/>
      </c>
      <c r="BL18" s="15" t="str">
        <f t="shared" si="16"/>
        <v/>
      </c>
      <c r="BM18" s="13"/>
      <c r="BN18" s="13"/>
      <c r="BO18" s="13"/>
      <c r="BP18" s="13"/>
      <c r="BQ18" s="13"/>
      <c r="BR18" s="14" t="str">
        <f t="shared" si="17"/>
        <v/>
      </c>
      <c r="BS18" s="15" t="str">
        <f t="shared" si="18"/>
        <v/>
      </c>
      <c r="BT18" s="13"/>
    </row>
    <row r="19" spans="1:72" ht="102.6">
      <c r="A19" s="115" t="s">
        <v>2604</v>
      </c>
      <c r="B19" s="12" t="s">
        <v>566</v>
      </c>
      <c r="C19" s="13" t="s">
        <v>2501</v>
      </c>
      <c r="D19" s="13" t="s">
        <v>540</v>
      </c>
      <c r="E19" s="12" t="s">
        <v>133</v>
      </c>
      <c r="F19" s="12" t="s">
        <v>134</v>
      </c>
      <c r="G19" s="13"/>
      <c r="H19" s="12" t="s">
        <v>67</v>
      </c>
      <c r="I19" s="13" t="s">
        <v>145</v>
      </c>
      <c r="J19" s="13" t="s">
        <v>2502</v>
      </c>
      <c r="K19" s="13" t="s">
        <v>2503</v>
      </c>
      <c r="L19" s="13" t="s">
        <v>135</v>
      </c>
      <c r="M19" s="12">
        <v>3</v>
      </c>
      <c r="N19" s="12">
        <v>4</v>
      </c>
      <c r="O19" s="14">
        <f t="shared" si="0"/>
        <v>12</v>
      </c>
      <c r="P19" s="15" t="str">
        <f t="shared" si="1"/>
        <v>Alto</v>
      </c>
      <c r="Q19" s="13" t="s">
        <v>2504</v>
      </c>
      <c r="R19" s="13"/>
      <c r="S19" s="13"/>
      <c r="T19" s="13"/>
      <c r="U19" s="15" t="str">
        <f t="shared" si="2"/>
        <v/>
      </c>
      <c r="V19" s="14" t="str">
        <f t="shared" si="3"/>
        <v>Melhorar</v>
      </c>
      <c r="W19" s="13" t="s">
        <v>150</v>
      </c>
      <c r="X19" s="13" t="s">
        <v>2505</v>
      </c>
      <c r="Y19" s="13" t="s">
        <v>2506</v>
      </c>
      <c r="Z19" s="13" t="s">
        <v>2506</v>
      </c>
      <c r="AA19" s="16">
        <v>46477</v>
      </c>
      <c r="AB19" s="12" t="s">
        <v>85</v>
      </c>
      <c r="AC19" s="12"/>
      <c r="AD19" s="14" t="str">
        <f t="shared" si="4"/>
        <v/>
      </c>
      <c r="AE19" s="14" t="str">
        <f t="shared" si="5"/>
        <v>Aberto</v>
      </c>
      <c r="AF19" s="17">
        <f t="shared" si="6"/>
        <v>46477</v>
      </c>
      <c r="AG19" s="13"/>
      <c r="AH19" s="16"/>
      <c r="AI19" s="12"/>
      <c r="AJ19" s="16"/>
      <c r="AK19" s="13" t="s">
        <v>2507</v>
      </c>
      <c r="AL19" s="16">
        <v>46126</v>
      </c>
      <c r="AM19" s="13" t="s">
        <v>2605</v>
      </c>
      <c r="AN19" s="17">
        <f t="shared" si="7"/>
        <v>46217</v>
      </c>
      <c r="AO19" s="14" t="str">
        <f t="shared" ca="1" si="8"/>
        <v>Revisão vencida</v>
      </c>
      <c r="AP19" s="13" t="s">
        <v>2610</v>
      </c>
      <c r="AQ19" s="12"/>
      <c r="AR19" s="14">
        <f>IF($O19="","",1+COUNTIF($O$5:$O$154,"&gt;"&amp;$O19)+COUNTIFS($O$5:$O$154,$O19,$N$5:$N$154,"&gt;"&amp;$N19)+COUNTIFS($O$4:$O18,$O19,$N$4:$N18,$N19))</f>
        <v>9</v>
      </c>
      <c r="AS19" s="62"/>
      <c r="AT19" s="62"/>
      <c r="AU19" s="63" t="str">
        <f t="shared" si="9"/>
        <v/>
      </c>
      <c r="AV19" s="64" t="str">
        <f t="shared" si="10"/>
        <v/>
      </c>
      <c r="AW19" s="129" t="str">
        <f t="shared" si="11"/>
        <v/>
      </c>
      <c r="AX19" s="13" t="s">
        <v>2499</v>
      </c>
      <c r="AY19" s="16">
        <v>46126</v>
      </c>
      <c r="AZ19" s="13" t="s">
        <v>2500</v>
      </c>
      <c r="BA19" s="13" t="s">
        <v>419</v>
      </c>
      <c r="BB19" s="13" t="s">
        <v>566</v>
      </c>
      <c r="BC19" s="13" t="s">
        <v>2433</v>
      </c>
      <c r="BD19" s="13" t="s">
        <v>2434</v>
      </c>
      <c r="BE19" s="13" t="s">
        <v>2419</v>
      </c>
      <c r="BF19" s="13" t="s">
        <v>2448</v>
      </c>
      <c r="BG19" s="13" t="s">
        <v>2421</v>
      </c>
      <c r="BH19" s="14">
        <f t="shared" si="12"/>
        <v>2</v>
      </c>
      <c r="BI19" s="14">
        <f t="shared" si="13"/>
        <v>3</v>
      </c>
      <c r="BJ19" s="14">
        <f t="shared" si="14"/>
        <v>6</v>
      </c>
      <c r="BK19" s="15" t="str">
        <f t="shared" si="15"/>
        <v>TOLERÁVEL</v>
      </c>
      <c r="BL19" s="15" t="str">
        <f t="shared" si="16"/>
        <v>ACEITÁVEL</v>
      </c>
      <c r="BM19" s="13" t="s">
        <v>2449</v>
      </c>
      <c r="BN19" s="13" t="s">
        <v>2450</v>
      </c>
      <c r="BO19" s="13"/>
      <c r="BP19" s="13" t="s">
        <v>2448</v>
      </c>
      <c r="BQ19" s="13" t="s">
        <v>2421</v>
      </c>
      <c r="BR19" s="14">
        <f t="shared" si="17"/>
        <v>6</v>
      </c>
      <c r="BS19" s="15" t="str">
        <f t="shared" si="18"/>
        <v>TOLERÁVEL</v>
      </c>
      <c r="BT19" s="13" t="s">
        <v>419</v>
      </c>
    </row>
    <row r="20" spans="1:72">
      <c r="A20" s="115"/>
      <c r="B20" s="12"/>
      <c r="C20" s="13"/>
      <c r="D20" s="13"/>
      <c r="E20" s="12"/>
      <c r="F20" s="12"/>
      <c r="G20" s="13"/>
      <c r="H20" s="12"/>
      <c r="I20" s="13"/>
      <c r="J20" s="13"/>
      <c r="K20" s="13"/>
      <c r="L20" s="13"/>
      <c r="M20" s="12"/>
      <c r="N20" s="12"/>
      <c r="O20" s="14" t="str">
        <f t="shared" si="0"/>
        <v/>
      </c>
      <c r="P20" s="15" t="str">
        <f t="shared" si="1"/>
        <v/>
      </c>
      <c r="Q20" s="13"/>
      <c r="R20" s="13"/>
      <c r="S20" s="13"/>
      <c r="T20" s="13"/>
      <c r="U20" s="15" t="str">
        <f t="shared" si="2"/>
        <v/>
      </c>
      <c r="V20" s="14" t="str">
        <f t="shared" si="3"/>
        <v/>
      </c>
      <c r="W20" s="13"/>
      <c r="X20" s="13"/>
      <c r="Y20" s="13"/>
      <c r="Z20" s="13"/>
      <c r="AA20" s="16"/>
      <c r="AB20" s="12"/>
      <c r="AC20" s="12"/>
      <c r="AD20" s="14" t="str">
        <f t="shared" si="4"/>
        <v/>
      </c>
      <c r="AE20" s="14" t="str">
        <f t="shared" si="5"/>
        <v/>
      </c>
      <c r="AF20" s="17" t="str">
        <f t="shared" si="6"/>
        <v/>
      </c>
      <c r="AG20" s="13"/>
      <c r="AH20" s="16"/>
      <c r="AI20" s="12"/>
      <c r="AJ20" s="16"/>
      <c r="AK20" s="13"/>
      <c r="AL20" s="16"/>
      <c r="AM20" s="13"/>
      <c r="AN20" s="17" t="str">
        <f t="shared" si="7"/>
        <v/>
      </c>
      <c r="AO20" s="14" t="str">
        <f t="shared" ca="1" si="8"/>
        <v/>
      </c>
      <c r="AP20" s="13"/>
      <c r="AQ20" s="12"/>
      <c r="AR20" s="14" t="str">
        <f>IF($O20="","",1+COUNTIF($O$5:$O$154,"&gt;"&amp;$O20)+COUNTIFS($O$5:$O$154,$O20,$N$5:$N$154,"&gt;"&amp;$N20)+COUNTIFS($O$4:$O19,$O20,$N$4:$N19,$N20))</f>
        <v/>
      </c>
      <c r="AS20" s="62"/>
      <c r="AT20" s="62"/>
      <c r="AU20" s="63" t="str">
        <f t="shared" si="9"/>
        <v/>
      </c>
      <c r="AV20" s="64" t="str">
        <f t="shared" si="10"/>
        <v/>
      </c>
      <c r="AW20" s="129" t="str">
        <f t="shared" si="11"/>
        <v/>
      </c>
      <c r="AX20" s="13"/>
      <c r="AY20" s="16"/>
      <c r="AZ20" s="13"/>
      <c r="BA20" s="13"/>
      <c r="BB20" s="13"/>
      <c r="BC20" s="13"/>
      <c r="BD20" s="13"/>
      <c r="BE20" s="13"/>
      <c r="BF20" s="13"/>
      <c r="BG20" s="13"/>
      <c r="BH20" s="14" t="str">
        <f t="shared" si="12"/>
        <v/>
      </c>
      <c r="BI20" s="14" t="str">
        <f t="shared" si="13"/>
        <v/>
      </c>
      <c r="BJ20" s="14" t="str">
        <f t="shared" si="14"/>
        <v/>
      </c>
      <c r="BK20" s="15" t="str">
        <f t="shared" si="15"/>
        <v/>
      </c>
      <c r="BL20" s="15" t="str">
        <f t="shared" si="16"/>
        <v/>
      </c>
      <c r="BM20" s="13"/>
      <c r="BN20" s="13"/>
      <c r="BO20" s="13"/>
      <c r="BP20" s="13"/>
      <c r="BQ20" s="13"/>
      <c r="BR20" s="14" t="str">
        <f t="shared" si="17"/>
        <v/>
      </c>
      <c r="BS20" s="15" t="str">
        <f t="shared" si="18"/>
        <v/>
      </c>
      <c r="BT20" s="13"/>
    </row>
    <row r="21" spans="1:72">
      <c r="A21" s="115"/>
      <c r="B21" s="12"/>
      <c r="C21" s="13"/>
      <c r="D21" s="13"/>
      <c r="E21" s="12"/>
      <c r="F21" s="12"/>
      <c r="G21" s="13"/>
      <c r="H21" s="12"/>
      <c r="I21" s="13"/>
      <c r="J21" s="13"/>
      <c r="K21" s="13"/>
      <c r="L21" s="13"/>
      <c r="M21" s="12"/>
      <c r="N21" s="12"/>
      <c r="O21" s="14" t="str">
        <f t="shared" si="0"/>
        <v/>
      </c>
      <c r="P21" s="15" t="str">
        <f t="shared" si="1"/>
        <v/>
      </c>
      <c r="Q21" s="13"/>
      <c r="R21" s="13"/>
      <c r="S21" s="13"/>
      <c r="T21" s="13"/>
      <c r="U21" s="15" t="str">
        <f t="shared" si="2"/>
        <v/>
      </c>
      <c r="V21" s="14" t="str">
        <f t="shared" si="3"/>
        <v/>
      </c>
      <c r="W21" s="13"/>
      <c r="X21" s="13"/>
      <c r="Y21" s="13"/>
      <c r="Z21" s="13"/>
      <c r="AA21" s="16"/>
      <c r="AB21" s="12"/>
      <c r="AC21" s="12"/>
      <c r="AD21" s="14" t="str">
        <f t="shared" si="4"/>
        <v/>
      </c>
      <c r="AE21" s="14" t="str">
        <f t="shared" si="5"/>
        <v/>
      </c>
      <c r="AF21" s="17" t="str">
        <f t="shared" si="6"/>
        <v/>
      </c>
      <c r="AG21" s="13"/>
      <c r="AH21" s="16"/>
      <c r="AI21" s="12"/>
      <c r="AJ21" s="16"/>
      <c r="AK21" s="13"/>
      <c r="AL21" s="16"/>
      <c r="AM21" s="13"/>
      <c r="AN21" s="17" t="str">
        <f t="shared" si="7"/>
        <v/>
      </c>
      <c r="AO21" s="14" t="str">
        <f t="shared" ca="1" si="8"/>
        <v/>
      </c>
      <c r="AP21" s="13"/>
      <c r="AQ21" s="12"/>
      <c r="AR21" s="14" t="str">
        <f>IF($O21="","",1+COUNTIF($O$5:$O$154,"&gt;"&amp;$O21)+COUNTIFS($O$5:$O$154,$O21,$N$5:$N$154,"&gt;"&amp;$N21)+COUNTIFS($O$4:$O20,$O21,$N$4:$N20,$N21))</f>
        <v/>
      </c>
      <c r="AS21" s="62"/>
      <c r="AT21" s="62"/>
      <c r="AU21" s="63" t="str">
        <f t="shared" si="9"/>
        <v/>
      </c>
      <c r="AV21" s="64" t="str">
        <f t="shared" si="10"/>
        <v/>
      </c>
      <c r="AW21" s="129" t="str">
        <f t="shared" si="11"/>
        <v/>
      </c>
      <c r="AX21" s="13"/>
      <c r="AY21" s="16"/>
      <c r="AZ21" s="13"/>
      <c r="BA21" s="13"/>
      <c r="BB21" s="13"/>
      <c r="BC21" s="13"/>
      <c r="BD21" s="13"/>
      <c r="BE21" s="13"/>
      <c r="BF21" s="13"/>
      <c r="BG21" s="13"/>
      <c r="BH21" s="14" t="str">
        <f t="shared" si="12"/>
        <v/>
      </c>
      <c r="BI21" s="14" t="str">
        <f t="shared" si="13"/>
        <v/>
      </c>
      <c r="BJ21" s="14" t="str">
        <f t="shared" si="14"/>
        <v/>
      </c>
      <c r="BK21" s="15" t="str">
        <f t="shared" si="15"/>
        <v/>
      </c>
      <c r="BL21" s="15" t="str">
        <f t="shared" si="16"/>
        <v/>
      </c>
      <c r="BM21" s="13"/>
      <c r="BN21" s="13"/>
      <c r="BO21" s="13"/>
      <c r="BP21" s="13"/>
      <c r="BQ21" s="13"/>
      <c r="BR21" s="14" t="str">
        <f t="shared" si="17"/>
        <v/>
      </c>
      <c r="BS21" s="15" t="str">
        <f t="shared" si="18"/>
        <v/>
      </c>
      <c r="BT21" s="13"/>
    </row>
    <row r="22" spans="1:72">
      <c r="A22" s="115"/>
      <c r="B22" s="12"/>
      <c r="C22" s="13"/>
      <c r="D22" s="13"/>
      <c r="E22" s="12"/>
      <c r="F22" s="12"/>
      <c r="G22" s="13"/>
      <c r="H22" s="12"/>
      <c r="I22" s="13"/>
      <c r="J22" s="13"/>
      <c r="K22" s="13"/>
      <c r="L22" s="13"/>
      <c r="M22" s="12"/>
      <c r="N22" s="12"/>
      <c r="O22" s="14" t="str">
        <f t="shared" si="0"/>
        <v/>
      </c>
      <c r="P22" s="15" t="str">
        <f t="shared" si="1"/>
        <v/>
      </c>
      <c r="Q22" s="13"/>
      <c r="R22" s="13"/>
      <c r="S22" s="13"/>
      <c r="T22" s="13"/>
      <c r="U22" s="15" t="str">
        <f t="shared" si="2"/>
        <v/>
      </c>
      <c r="V22" s="14" t="str">
        <f t="shared" si="3"/>
        <v/>
      </c>
      <c r="W22" s="13"/>
      <c r="X22" s="13"/>
      <c r="Y22" s="13"/>
      <c r="Z22" s="13"/>
      <c r="AA22" s="16"/>
      <c r="AB22" s="12"/>
      <c r="AC22" s="12"/>
      <c r="AD22" s="14" t="str">
        <f t="shared" si="4"/>
        <v/>
      </c>
      <c r="AE22" s="14" t="str">
        <f t="shared" si="5"/>
        <v/>
      </c>
      <c r="AF22" s="17" t="str">
        <f t="shared" si="6"/>
        <v/>
      </c>
      <c r="AG22" s="13"/>
      <c r="AH22" s="16"/>
      <c r="AI22" s="12"/>
      <c r="AJ22" s="16"/>
      <c r="AK22" s="13"/>
      <c r="AL22" s="16"/>
      <c r="AM22" s="13"/>
      <c r="AN22" s="17" t="str">
        <f t="shared" si="7"/>
        <v/>
      </c>
      <c r="AO22" s="14" t="str">
        <f t="shared" ca="1" si="8"/>
        <v/>
      </c>
      <c r="AP22" s="13"/>
      <c r="AQ22" s="12"/>
      <c r="AR22" s="14" t="str">
        <f>IF($O22="","",1+COUNTIF($O$5:$O$154,"&gt;"&amp;$O22)+COUNTIFS($O$5:$O$154,$O22,$N$5:$N$154,"&gt;"&amp;$N22)+COUNTIFS($O$4:$O21,$O22,$N$4:$N21,$N22))</f>
        <v/>
      </c>
      <c r="AS22" s="62"/>
      <c r="AT22" s="62"/>
      <c r="AU22" s="63" t="str">
        <f t="shared" si="9"/>
        <v/>
      </c>
      <c r="AV22" s="64" t="str">
        <f t="shared" si="10"/>
        <v/>
      </c>
      <c r="AW22" s="129" t="str">
        <f t="shared" si="11"/>
        <v/>
      </c>
      <c r="AX22" s="13"/>
      <c r="AY22" s="16"/>
      <c r="AZ22" s="13"/>
      <c r="BA22" s="13"/>
      <c r="BB22" s="13"/>
      <c r="BC22" s="13"/>
      <c r="BD22" s="13"/>
      <c r="BE22" s="13"/>
      <c r="BF22" s="13"/>
      <c r="BG22" s="13"/>
      <c r="BH22" s="14" t="str">
        <f t="shared" si="12"/>
        <v/>
      </c>
      <c r="BI22" s="14" t="str">
        <f t="shared" si="13"/>
        <v/>
      </c>
      <c r="BJ22" s="14" t="str">
        <f t="shared" si="14"/>
        <v/>
      </c>
      <c r="BK22" s="15" t="str">
        <f t="shared" si="15"/>
        <v/>
      </c>
      <c r="BL22" s="15" t="str">
        <f t="shared" si="16"/>
        <v/>
      </c>
      <c r="BM22" s="13"/>
      <c r="BN22" s="13"/>
      <c r="BO22" s="13"/>
      <c r="BP22" s="13"/>
      <c r="BQ22" s="13"/>
      <c r="BR22" s="14" t="str">
        <f t="shared" si="17"/>
        <v/>
      </c>
      <c r="BS22" s="15" t="str">
        <f t="shared" si="18"/>
        <v/>
      </c>
      <c r="BT22" s="13"/>
    </row>
    <row r="23" spans="1:72">
      <c r="A23" s="115"/>
      <c r="B23" s="12"/>
      <c r="C23" s="13"/>
      <c r="D23" s="13"/>
      <c r="E23" s="12"/>
      <c r="F23" s="12"/>
      <c r="G23" s="13"/>
      <c r="H23" s="12"/>
      <c r="I23" s="13"/>
      <c r="J23" s="13"/>
      <c r="K23" s="13"/>
      <c r="L23" s="13"/>
      <c r="M23" s="12"/>
      <c r="N23" s="12"/>
      <c r="O23" s="14" t="str">
        <f t="shared" si="0"/>
        <v/>
      </c>
      <c r="P23" s="15" t="str">
        <f t="shared" si="1"/>
        <v/>
      </c>
      <c r="Q23" s="13"/>
      <c r="R23" s="13"/>
      <c r="S23" s="13"/>
      <c r="T23" s="13"/>
      <c r="U23" s="15" t="str">
        <f t="shared" si="2"/>
        <v/>
      </c>
      <c r="V23" s="14" t="str">
        <f t="shared" si="3"/>
        <v/>
      </c>
      <c r="W23" s="13"/>
      <c r="X23" s="13"/>
      <c r="Y23" s="13"/>
      <c r="Z23" s="13"/>
      <c r="AA23" s="16"/>
      <c r="AB23" s="12"/>
      <c r="AC23" s="12"/>
      <c r="AD23" s="14" t="str">
        <f t="shared" si="4"/>
        <v/>
      </c>
      <c r="AE23" s="14" t="str">
        <f t="shared" si="5"/>
        <v/>
      </c>
      <c r="AF23" s="17" t="str">
        <f t="shared" si="6"/>
        <v/>
      </c>
      <c r="AG23" s="13"/>
      <c r="AH23" s="16"/>
      <c r="AI23" s="12"/>
      <c r="AJ23" s="16"/>
      <c r="AK23" s="13"/>
      <c r="AL23" s="16"/>
      <c r="AM23" s="13"/>
      <c r="AN23" s="17" t="str">
        <f t="shared" si="7"/>
        <v/>
      </c>
      <c r="AO23" s="14" t="str">
        <f t="shared" ca="1" si="8"/>
        <v/>
      </c>
      <c r="AP23" s="13"/>
      <c r="AQ23" s="12"/>
      <c r="AR23" s="14" t="str">
        <f>IF($O23="","",1+COUNTIF($O$5:$O$154,"&gt;"&amp;$O23)+COUNTIFS($O$5:$O$154,$O23,$N$5:$N$154,"&gt;"&amp;$N23)+COUNTIFS($O$4:$O22,$O23,$N$4:$N22,$N23))</f>
        <v/>
      </c>
      <c r="AS23" s="62"/>
      <c r="AT23" s="62"/>
      <c r="AU23" s="63" t="str">
        <f t="shared" si="9"/>
        <v/>
      </c>
      <c r="AV23" s="64" t="str">
        <f t="shared" si="10"/>
        <v/>
      </c>
      <c r="AW23" s="129" t="str">
        <f t="shared" si="11"/>
        <v/>
      </c>
      <c r="AX23" s="13"/>
      <c r="AY23" s="16"/>
      <c r="AZ23" s="13"/>
      <c r="BA23" s="13"/>
      <c r="BB23" s="13"/>
      <c r="BC23" s="13"/>
      <c r="BD23" s="13"/>
      <c r="BE23" s="13"/>
      <c r="BF23" s="13"/>
      <c r="BG23" s="13"/>
      <c r="BH23" s="14" t="str">
        <f t="shared" si="12"/>
        <v/>
      </c>
      <c r="BI23" s="14" t="str">
        <f t="shared" si="13"/>
        <v/>
      </c>
      <c r="BJ23" s="14" t="str">
        <f t="shared" si="14"/>
        <v/>
      </c>
      <c r="BK23" s="15" t="str">
        <f t="shared" si="15"/>
        <v/>
      </c>
      <c r="BL23" s="15" t="str">
        <f t="shared" si="16"/>
        <v/>
      </c>
      <c r="BM23" s="13"/>
      <c r="BN23" s="13"/>
      <c r="BO23" s="13"/>
      <c r="BP23" s="13"/>
      <c r="BQ23" s="13"/>
      <c r="BR23" s="14" t="str">
        <f t="shared" si="17"/>
        <v/>
      </c>
      <c r="BS23" s="15" t="str">
        <f t="shared" si="18"/>
        <v/>
      </c>
      <c r="BT23" s="13"/>
    </row>
    <row r="24" spans="1:72">
      <c r="A24" s="115"/>
      <c r="B24" s="12"/>
      <c r="C24" s="13"/>
      <c r="D24" s="13"/>
      <c r="E24" s="12"/>
      <c r="F24" s="12"/>
      <c r="G24" s="13"/>
      <c r="H24" s="12"/>
      <c r="I24" s="13"/>
      <c r="J24" s="13"/>
      <c r="K24" s="13"/>
      <c r="L24" s="13"/>
      <c r="M24" s="12"/>
      <c r="N24" s="12"/>
      <c r="O24" s="14" t="str">
        <f t="shared" si="0"/>
        <v/>
      </c>
      <c r="P24" s="15" t="str">
        <f t="shared" si="1"/>
        <v/>
      </c>
      <c r="Q24" s="13"/>
      <c r="R24" s="13"/>
      <c r="S24" s="13"/>
      <c r="T24" s="13"/>
      <c r="U24" s="15" t="str">
        <f t="shared" si="2"/>
        <v/>
      </c>
      <c r="V24" s="14" t="str">
        <f t="shared" si="3"/>
        <v/>
      </c>
      <c r="W24" s="13"/>
      <c r="X24" s="13"/>
      <c r="Y24" s="13"/>
      <c r="Z24" s="13"/>
      <c r="AA24" s="16"/>
      <c r="AB24" s="12"/>
      <c r="AC24" s="12"/>
      <c r="AD24" s="14" t="str">
        <f t="shared" si="4"/>
        <v/>
      </c>
      <c r="AE24" s="14" t="str">
        <f t="shared" si="5"/>
        <v/>
      </c>
      <c r="AF24" s="17" t="str">
        <f t="shared" si="6"/>
        <v/>
      </c>
      <c r="AG24" s="13"/>
      <c r="AH24" s="16"/>
      <c r="AI24" s="12"/>
      <c r="AJ24" s="16"/>
      <c r="AK24" s="13"/>
      <c r="AL24" s="16"/>
      <c r="AM24" s="13"/>
      <c r="AN24" s="17" t="str">
        <f t="shared" si="7"/>
        <v/>
      </c>
      <c r="AO24" s="14" t="str">
        <f t="shared" ca="1" si="8"/>
        <v/>
      </c>
      <c r="AP24" s="13"/>
      <c r="AQ24" s="12"/>
      <c r="AR24" s="14" t="str">
        <f>IF($O24="","",1+COUNTIF($O$5:$O$154,"&gt;"&amp;$O24)+COUNTIFS($O$5:$O$154,$O24,$N$5:$N$154,"&gt;"&amp;$N24)+COUNTIFS($O$4:$O23,$O24,$N$4:$N23,$N24))</f>
        <v/>
      </c>
      <c r="AS24" s="62"/>
      <c r="AT24" s="62"/>
      <c r="AU24" s="63" t="str">
        <f t="shared" si="9"/>
        <v/>
      </c>
      <c r="AV24" s="64" t="str">
        <f t="shared" si="10"/>
        <v/>
      </c>
      <c r="AW24" s="129" t="str">
        <f t="shared" si="11"/>
        <v/>
      </c>
      <c r="AX24" s="13"/>
      <c r="AY24" s="16"/>
      <c r="AZ24" s="13"/>
      <c r="BA24" s="13"/>
      <c r="BB24" s="13"/>
      <c r="BC24" s="13"/>
      <c r="BD24" s="13"/>
      <c r="BE24" s="13"/>
      <c r="BF24" s="13"/>
      <c r="BG24" s="13"/>
      <c r="BH24" s="14" t="str">
        <f t="shared" si="12"/>
        <v/>
      </c>
      <c r="BI24" s="14" t="str">
        <f t="shared" si="13"/>
        <v/>
      </c>
      <c r="BJ24" s="14" t="str">
        <f t="shared" si="14"/>
        <v/>
      </c>
      <c r="BK24" s="15" t="str">
        <f t="shared" si="15"/>
        <v/>
      </c>
      <c r="BL24" s="15" t="str">
        <f t="shared" si="16"/>
        <v/>
      </c>
      <c r="BM24" s="13"/>
      <c r="BN24" s="13"/>
      <c r="BO24" s="13"/>
      <c r="BP24" s="13"/>
      <c r="BQ24" s="13"/>
      <c r="BR24" s="14" t="str">
        <f t="shared" si="17"/>
        <v/>
      </c>
      <c r="BS24" s="15" t="str">
        <f t="shared" si="18"/>
        <v/>
      </c>
      <c r="BT24" s="13"/>
    </row>
    <row r="25" spans="1:72">
      <c r="A25" s="115"/>
      <c r="B25" s="12"/>
      <c r="C25" s="13"/>
      <c r="D25" s="13"/>
      <c r="E25" s="12"/>
      <c r="F25" s="12"/>
      <c r="G25" s="13"/>
      <c r="H25" s="12"/>
      <c r="I25" s="13"/>
      <c r="J25" s="13"/>
      <c r="K25" s="13"/>
      <c r="L25" s="13"/>
      <c r="M25" s="12"/>
      <c r="N25" s="12"/>
      <c r="O25" s="14" t="str">
        <f t="shared" si="0"/>
        <v/>
      </c>
      <c r="P25" s="15" t="str">
        <f t="shared" si="1"/>
        <v/>
      </c>
      <c r="Q25" s="13"/>
      <c r="R25" s="13"/>
      <c r="S25" s="13"/>
      <c r="T25" s="13"/>
      <c r="U25" s="15" t="str">
        <f t="shared" si="2"/>
        <v/>
      </c>
      <c r="V25" s="14" t="str">
        <f t="shared" si="3"/>
        <v/>
      </c>
      <c r="W25" s="13"/>
      <c r="X25" s="13"/>
      <c r="Y25" s="13"/>
      <c r="Z25" s="13"/>
      <c r="AA25" s="16"/>
      <c r="AB25" s="12"/>
      <c r="AC25" s="12"/>
      <c r="AD25" s="14" t="str">
        <f t="shared" si="4"/>
        <v/>
      </c>
      <c r="AE25" s="14" t="str">
        <f t="shared" si="5"/>
        <v/>
      </c>
      <c r="AF25" s="17" t="str">
        <f t="shared" si="6"/>
        <v/>
      </c>
      <c r="AG25" s="13"/>
      <c r="AH25" s="16"/>
      <c r="AI25" s="12"/>
      <c r="AJ25" s="16"/>
      <c r="AK25" s="13"/>
      <c r="AL25" s="16"/>
      <c r="AM25" s="13"/>
      <c r="AN25" s="17" t="str">
        <f t="shared" si="7"/>
        <v/>
      </c>
      <c r="AO25" s="14" t="str">
        <f t="shared" ca="1" si="8"/>
        <v/>
      </c>
      <c r="AP25" s="13"/>
      <c r="AQ25" s="12"/>
      <c r="AR25" s="14" t="str">
        <f>IF($O25="","",1+COUNTIF($O$5:$O$154,"&gt;"&amp;$O25)+COUNTIFS($O$5:$O$154,$O25,$N$5:$N$154,"&gt;"&amp;$N25)+COUNTIFS($O$4:$O24,$O25,$N$4:$N24,$N25))</f>
        <v/>
      </c>
      <c r="AS25" s="62"/>
      <c r="AT25" s="62"/>
      <c r="AU25" s="63" t="str">
        <f t="shared" si="9"/>
        <v/>
      </c>
      <c r="AV25" s="64" t="str">
        <f t="shared" si="10"/>
        <v/>
      </c>
      <c r="AW25" s="129" t="str">
        <f t="shared" si="11"/>
        <v/>
      </c>
      <c r="AX25" s="13"/>
      <c r="AY25" s="16"/>
      <c r="AZ25" s="13"/>
      <c r="BA25" s="13"/>
      <c r="BB25" s="13"/>
      <c r="BC25" s="13"/>
      <c r="BD25" s="13"/>
      <c r="BE25" s="13"/>
      <c r="BF25" s="13"/>
      <c r="BG25" s="13"/>
      <c r="BH25" s="14" t="str">
        <f t="shared" si="12"/>
        <v/>
      </c>
      <c r="BI25" s="14" t="str">
        <f t="shared" si="13"/>
        <v/>
      </c>
      <c r="BJ25" s="14" t="str">
        <f t="shared" si="14"/>
        <v/>
      </c>
      <c r="BK25" s="15" t="str">
        <f t="shared" si="15"/>
        <v/>
      </c>
      <c r="BL25" s="15" t="str">
        <f t="shared" si="16"/>
        <v/>
      </c>
      <c r="BM25" s="13"/>
      <c r="BN25" s="13"/>
      <c r="BO25" s="13"/>
      <c r="BP25" s="13"/>
      <c r="BQ25" s="13"/>
      <c r="BR25" s="14" t="str">
        <f t="shared" si="17"/>
        <v/>
      </c>
      <c r="BS25" s="15" t="str">
        <f t="shared" si="18"/>
        <v/>
      </c>
      <c r="BT25" s="13"/>
    </row>
    <row r="26" spans="1:72">
      <c r="A26" s="115"/>
      <c r="B26" s="12"/>
      <c r="C26" s="13"/>
      <c r="D26" s="13"/>
      <c r="E26" s="12"/>
      <c r="F26" s="12"/>
      <c r="G26" s="13"/>
      <c r="H26" s="12"/>
      <c r="I26" s="13"/>
      <c r="J26" s="13"/>
      <c r="K26" s="13"/>
      <c r="L26" s="13"/>
      <c r="M26" s="12"/>
      <c r="N26" s="12"/>
      <c r="O26" s="14" t="str">
        <f t="shared" si="0"/>
        <v/>
      </c>
      <c r="P26" s="15" t="str">
        <f t="shared" si="1"/>
        <v/>
      </c>
      <c r="Q26" s="13"/>
      <c r="R26" s="13"/>
      <c r="S26" s="13"/>
      <c r="T26" s="13"/>
      <c r="U26" s="15" t="str">
        <f t="shared" si="2"/>
        <v/>
      </c>
      <c r="V26" s="14" t="str">
        <f t="shared" si="3"/>
        <v/>
      </c>
      <c r="W26" s="13"/>
      <c r="X26" s="13"/>
      <c r="Y26" s="13"/>
      <c r="Z26" s="13"/>
      <c r="AA26" s="16"/>
      <c r="AB26" s="12"/>
      <c r="AC26" s="12"/>
      <c r="AD26" s="14" t="str">
        <f t="shared" si="4"/>
        <v/>
      </c>
      <c r="AE26" s="14" t="str">
        <f t="shared" si="5"/>
        <v/>
      </c>
      <c r="AF26" s="17" t="str">
        <f t="shared" si="6"/>
        <v/>
      </c>
      <c r="AG26" s="13"/>
      <c r="AH26" s="16"/>
      <c r="AI26" s="12"/>
      <c r="AJ26" s="16"/>
      <c r="AK26" s="13"/>
      <c r="AL26" s="16"/>
      <c r="AM26" s="13"/>
      <c r="AN26" s="17" t="str">
        <f t="shared" si="7"/>
        <v/>
      </c>
      <c r="AO26" s="14" t="str">
        <f t="shared" ca="1" si="8"/>
        <v/>
      </c>
      <c r="AP26" s="13"/>
      <c r="AQ26" s="12"/>
      <c r="AR26" s="14" t="str">
        <f>IF($O26="","",1+COUNTIF($O$5:$O$154,"&gt;"&amp;$O26)+COUNTIFS($O$5:$O$154,$O26,$N$5:$N$154,"&gt;"&amp;$N26)+COUNTIFS($O$4:$O25,$O26,$N$4:$N25,$N26))</f>
        <v/>
      </c>
      <c r="AS26" s="62"/>
      <c r="AT26" s="62"/>
      <c r="AU26" s="63" t="str">
        <f t="shared" si="9"/>
        <v/>
      </c>
      <c r="AV26" s="64" t="str">
        <f t="shared" si="10"/>
        <v/>
      </c>
      <c r="AW26" s="129" t="str">
        <f t="shared" si="11"/>
        <v/>
      </c>
      <c r="AX26" s="13"/>
      <c r="AY26" s="16"/>
      <c r="AZ26" s="13"/>
      <c r="BA26" s="13"/>
      <c r="BB26" s="13"/>
      <c r="BC26" s="13"/>
      <c r="BD26" s="13"/>
      <c r="BE26" s="13"/>
      <c r="BF26" s="13"/>
      <c r="BG26" s="13"/>
      <c r="BH26" s="14" t="str">
        <f t="shared" si="12"/>
        <v/>
      </c>
      <c r="BI26" s="14" t="str">
        <f t="shared" si="13"/>
        <v/>
      </c>
      <c r="BJ26" s="14" t="str">
        <f t="shared" si="14"/>
        <v/>
      </c>
      <c r="BK26" s="15" t="str">
        <f t="shared" si="15"/>
        <v/>
      </c>
      <c r="BL26" s="15" t="str">
        <f t="shared" si="16"/>
        <v/>
      </c>
      <c r="BM26" s="13"/>
      <c r="BN26" s="13"/>
      <c r="BO26" s="13"/>
      <c r="BP26" s="13"/>
      <c r="BQ26" s="13"/>
      <c r="BR26" s="14" t="str">
        <f t="shared" si="17"/>
        <v/>
      </c>
      <c r="BS26" s="15" t="str">
        <f t="shared" si="18"/>
        <v/>
      </c>
      <c r="BT26" s="13"/>
    </row>
    <row r="27" spans="1:72">
      <c r="A27" s="115"/>
      <c r="B27" s="12"/>
      <c r="C27" s="13"/>
      <c r="D27" s="13"/>
      <c r="E27" s="12"/>
      <c r="F27" s="12"/>
      <c r="G27" s="13"/>
      <c r="H27" s="12"/>
      <c r="I27" s="13"/>
      <c r="J27" s="13"/>
      <c r="K27" s="13"/>
      <c r="L27" s="13"/>
      <c r="M27" s="12"/>
      <c r="N27" s="12"/>
      <c r="O27" s="14" t="str">
        <f t="shared" si="0"/>
        <v/>
      </c>
      <c r="P27" s="15" t="str">
        <f t="shared" si="1"/>
        <v/>
      </c>
      <c r="Q27" s="13"/>
      <c r="R27" s="13"/>
      <c r="S27" s="13"/>
      <c r="T27" s="13"/>
      <c r="U27" s="15" t="str">
        <f t="shared" si="2"/>
        <v/>
      </c>
      <c r="V27" s="14" t="str">
        <f t="shared" si="3"/>
        <v/>
      </c>
      <c r="W27" s="13"/>
      <c r="X27" s="13"/>
      <c r="Y27" s="13"/>
      <c r="Z27" s="13"/>
      <c r="AA27" s="16"/>
      <c r="AB27" s="12"/>
      <c r="AC27" s="12"/>
      <c r="AD27" s="14" t="str">
        <f t="shared" si="4"/>
        <v/>
      </c>
      <c r="AE27" s="14" t="str">
        <f t="shared" si="5"/>
        <v/>
      </c>
      <c r="AF27" s="17" t="str">
        <f t="shared" si="6"/>
        <v/>
      </c>
      <c r="AG27" s="13"/>
      <c r="AH27" s="16"/>
      <c r="AI27" s="12"/>
      <c r="AJ27" s="16"/>
      <c r="AK27" s="13"/>
      <c r="AL27" s="16"/>
      <c r="AM27" s="13"/>
      <c r="AN27" s="17" t="str">
        <f t="shared" si="7"/>
        <v/>
      </c>
      <c r="AO27" s="14" t="str">
        <f t="shared" ca="1" si="8"/>
        <v/>
      </c>
      <c r="AP27" s="13"/>
      <c r="AQ27" s="12"/>
      <c r="AR27" s="14" t="str">
        <f>IF($O27="","",1+COUNTIF($O$5:$O$154,"&gt;"&amp;$O27)+COUNTIFS($O$5:$O$154,$O27,$N$5:$N$154,"&gt;"&amp;$N27)+COUNTIFS($O$4:$O26,$O27,$N$4:$N26,$N27))</f>
        <v/>
      </c>
      <c r="AS27" s="62"/>
      <c r="AT27" s="62"/>
      <c r="AU27" s="63" t="str">
        <f t="shared" si="9"/>
        <v/>
      </c>
      <c r="AV27" s="64" t="str">
        <f t="shared" si="10"/>
        <v/>
      </c>
      <c r="AW27" s="129" t="str">
        <f t="shared" si="11"/>
        <v/>
      </c>
      <c r="AX27" s="13"/>
      <c r="AY27" s="16"/>
      <c r="AZ27" s="13"/>
      <c r="BA27" s="13"/>
      <c r="BB27" s="13"/>
      <c r="BC27" s="13"/>
      <c r="BD27" s="13"/>
      <c r="BE27" s="13"/>
      <c r="BF27" s="13"/>
      <c r="BG27" s="13"/>
      <c r="BH27" s="14" t="str">
        <f t="shared" si="12"/>
        <v/>
      </c>
      <c r="BI27" s="14" t="str">
        <f t="shared" si="13"/>
        <v/>
      </c>
      <c r="BJ27" s="14" t="str">
        <f t="shared" si="14"/>
        <v/>
      </c>
      <c r="BK27" s="15" t="str">
        <f t="shared" si="15"/>
        <v/>
      </c>
      <c r="BL27" s="15" t="str">
        <f t="shared" si="16"/>
        <v/>
      </c>
      <c r="BM27" s="13"/>
      <c r="BN27" s="13"/>
      <c r="BO27" s="13"/>
      <c r="BP27" s="13"/>
      <c r="BQ27" s="13"/>
      <c r="BR27" s="14" t="str">
        <f t="shared" si="17"/>
        <v/>
      </c>
      <c r="BS27" s="15" t="str">
        <f t="shared" si="18"/>
        <v/>
      </c>
      <c r="BT27" s="13"/>
    </row>
    <row r="28" spans="1:72">
      <c r="A28" s="115"/>
      <c r="B28" s="12"/>
      <c r="C28" s="13"/>
      <c r="D28" s="13"/>
      <c r="E28" s="12"/>
      <c r="F28" s="12"/>
      <c r="G28" s="13"/>
      <c r="H28" s="12"/>
      <c r="I28" s="13"/>
      <c r="J28" s="13"/>
      <c r="K28" s="13"/>
      <c r="L28" s="13"/>
      <c r="M28" s="12"/>
      <c r="N28" s="12"/>
      <c r="O28" s="14" t="str">
        <f t="shared" si="0"/>
        <v/>
      </c>
      <c r="P28" s="15" t="str">
        <f t="shared" si="1"/>
        <v/>
      </c>
      <c r="Q28" s="13"/>
      <c r="R28" s="13"/>
      <c r="S28" s="13"/>
      <c r="T28" s="13"/>
      <c r="U28" s="15" t="str">
        <f t="shared" si="2"/>
        <v/>
      </c>
      <c r="V28" s="14" t="str">
        <f t="shared" si="3"/>
        <v/>
      </c>
      <c r="W28" s="13"/>
      <c r="X28" s="13"/>
      <c r="Y28" s="13"/>
      <c r="Z28" s="13"/>
      <c r="AA28" s="16"/>
      <c r="AB28" s="12"/>
      <c r="AC28" s="12"/>
      <c r="AD28" s="14" t="str">
        <f t="shared" si="4"/>
        <v/>
      </c>
      <c r="AE28" s="14" t="str">
        <f t="shared" si="5"/>
        <v/>
      </c>
      <c r="AF28" s="17" t="str">
        <f t="shared" si="6"/>
        <v/>
      </c>
      <c r="AG28" s="13"/>
      <c r="AH28" s="16"/>
      <c r="AI28" s="12"/>
      <c r="AJ28" s="16"/>
      <c r="AK28" s="13"/>
      <c r="AL28" s="16"/>
      <c r="AM28" s="13"/>
      <c r="AN28" s="17" t="str">
        <f t="shared" si="7"/>
        <v/>
      </c>
      <c r="AO28" s="14" t="str">
        <f t="shared" ca="1" si="8"/>
        <v/>
      </c>
      <c r="AP28" s="13"/>
      <c r="AQ28" s="12"/>
      <c r="AR28" s="14" t="str">
        <f>IF($O28="","",1+COUNTIF($O$5:$O$154,"&gt;"&amp;$O28)+COUNTIFS($O$5:$O$154,$O28,$N$5:$N$154,"&gt;"&amp;$N28)+COUNTIFS($O$4:$O27,$O28,$N$4:$N27,$N28))</f>
        <v/>
      </c>
      <c r="AS28" s="62"/>
      <c r="AT28" s="62"/>
      <c r="AU28" s="63" t="str">
        <f t="shared" si="9"/>
        <v/>
      </c>
      <c r="AV28" s="64" t="str">
        <f t="shared" si="10"/>
        <v/>
      </c>
      <c r="AW28" s="129" t="str">
        <f t="shared" si="11"/>
        <v/>
      </c>
      <c r="AX28" s="13"/>
      <c r="AY28" s="16"/>
      <c r="AZ28" s="13"/>
      <c r="BA28" s="13"/>
      <c r="BB28" s="13"/>
      <c r="BC28" s="13"/>
      <c r="BD28" s="13"/>
      <c r="BE28" s="13"/>
      <c r="BF28" s="13"/>
      <c r="BG28" s="13"/>
      <c r="BH28" s="14" t="str">
        <f t="shared" si="12"/>
        <v/>
      </c>
      <c r="BI28" s="14" t="str">
        <f t="shared" si="13"/>
        <v/>
      </c>
      <c r="BJ28" s="14" t="str">
        <f t="shared" si="14"/>
        <v/>
      </c>
      <c r="BK28" s="15" t="str">
        <f t="shared" si="15"/>
        <v/>
      </c>
      <c r="BL28" s="15" t="str">
        <f t="shared" si="16"/>
        <v/>
      </c>
      <c r="BM28" s="13"/>
      <c r="BN28" s="13"/>
      <c r="BO28" s="13"/>
      <c r="BP28" s="13"/>
      <c r="BQ28" s="13"/>
      <c r="BR28" s="14" t="str">
        <f t="shared" si="17"/>
        <v/>
      </c>
      <c r="BS28" s="15" t="str">
        <f t="shared" si="18"/>
        <v/>
      </c>
      <c r="BT28" s="13"/>
    </row>
    <row r="29" spans="1:72">
      <c r="A29" s="115"/>
      <c r="B29" s="12"/>
      <c r="C29" s="13"/>
      <c r="D29" s="13"/>
      <c r="E29" s="12"/>
      <c r="F29" s="12"/>
      <c r="G29" s="13"/>
      <c r="H29" s="12"/>
      <c r="I29" s="13"/>
      <c r="J29" s="13"/>
      <c r="K29" s="13"/>
      <c r="L29" s="13"/>
      <c r="M29" s="12"/>
      <c r="N29" s="12"/>
      <c r="O29" s="14" t="str">
        <f t="shared" si="0"/>
        <v/>
      </c>
      <c r="P29" s="15" t="str">
        <f t="shared" si="1"/>
        <v/>
      </c>
      <c r="Q29" s="13"/>
      <c r="R29" s="13"/>
      <c r="S29" s="13"/>
      <c r="T29" s="13"/>
      <c r="U29" s="15" t="str">
        <f t="shared" si="2"/>
        <v/>
      </c>
      <c r="V29" s="14" t="str">
        <f t="shared" si="3"/>
        <v/>
      </c>
      <c r="W29" s="13"/>
      <c r="X29" s="13"/>
      <c r="Y29" s="13"/>
      <c r="Z29" s="13"/>
      <c r="AA29" s="16"/>
      <c r="AB29" s="12"/>
      <c r="AC29" s="12"/>
      <c r="AD29" s="14" t="str">
        <f t="shared" si="4"/>
        <v/>
      </c>
      <c r="AE29" s="14" t="str">
        <f t="shared" si="5"/>
        <v/>
      </c>
      <c r="AF29" s="17" t="str">
        <f t="shared" si="6"/>
        <v/>
      </c>
      <c r="AG29" s="13"/>
      <c r="AH29" s="16"/>
      <c r="AI29" s="12"/>
      <c r="AJ29" s="16"/>
      <c r="AK29" s="13"/>
      <c r="AL29" s="16"/>
      <c r="AM29" s="13"/>
      <c r="AN29" s="17" t="str">
        <f t="shared" si="7"/>
        <v/>
      </c>
      <c r="AO29" s="14" t="str">
        <f t="shared" ca="1" si="8"/>
        <v/>
      </c>
      <c r="AP29" s="13"/>
      <c r="AQ29" s="12"/>
      <c r="AR29" s="14" t="str">
        <f>IF($O29="","",1+COUNTIF($O$5:$O$154,"&gt;"&amp;$O29)+COUNTIFS($O$5:$O$154,$O29,$N$5:$N$154,"&gt;"&amp;$N29)+COUNTIFS($O$4:$O28,$O29,$N$4:$N28,$N29))</f>
        <v/>
      </c>
      <c r="AS29" s="62"/>
      <c r="AT29" s="62"/>
      <c r="AU29" s="63" t="str">
        <f t="shared" si="9"/>
        <v/>
      </c>
      <c r="AV29" s="64" t="str">
        <f t="shared" si="10"/>
        <v/>
      </c>
      <c r="AW29" s="129" t="str">
        <f t="shared" si="11"/>
        <v/>
      </c>
      <c r="AX29" s="13"/>
      <c r="AY29" s="16"/>
      <c r="AZ29" s="13"/>
      <c r="BA29" s="13"/>
      <c r="BB29" s="13"/>
      <c r="BC29" s="13"/>
      <c r="BD29" s="13"/>
      <c r="BE29" s="13"/>
      <c r="BF29" s="13"/>
      <c r="BG29" s="13"/>
      <c r="BH29" s="14" t="str">
        <f t="shared" si="12"/>
        <v/>
      </c>
      <c r="BI29" s="14" t="str">
        <f t="shared" si="13"/>
        <v/>
      </c>
      <c r="BJ29" s="14" t="str">
        <f t="shared" si="14"/>
        <v/>
      </c>
      <c r="BK29" s="15" t="str">
        <f t="shared" si="15"/>
        <v/>
      </c>
      <c r="BL29" s="15" t="str">
        <f t="shared" si="16"/>
        <v/>
      </c>
      <c r="BM29" s="13"/>
      <c r="BN29" s="13"/>
      <c r="BO29" s="13"/>
      <c r="BP29" s="13"/>
      <c r="BQ29" s="13"/>
      <c r="BR29" s="14" t="str">
        <f t="shared" si="17"/>
        <v/>
      </c>
      <c r="BS29" s="15" t="str">
        <f t="shared" si="18"/>
        <v/>
      </c>
      <c r="BT29" s="13"/>
    </row>
    <row r="30" spans="1:72">
      <c r="A30" s="115"/>
      <c r="B30" s="12"/>
      <c r="C30" s="13"/>
      <c r="D30" s="13"/>
      <c r="E30" s="12"/>
      <c r="F30" s="12"/>
      <c r="G30" s="13"/>
      <c r="H30" s="12"/>
      <c r="I30" s="13"/>
      <c r="J30" s="13"/>
      <c r="K30" s="13"/>
      <c r="L30" s="13"/>
      <c r="M30" s="12"/>
      <c r="N30" s="12"/>
      <c r="O30" s="14" t="str">
        <f t="shared" si="0"/>
        <v/>
      </c>
      <c r="P30" s="15" t="str">
        <f t="shared" si="1"/>
        <v/>
      </c>
      <c r="Q30" s="13"/>
      <c r="R30" s="13"/>
      <c r="S30" s="13"/>
      <c r="T30" s="13"/>
      <c r="U30" s="15" t="str">
        <f t="shared" si="2"/>
        <v/>
      </c>
      <c r="V30" s="14" t="str">
        <f t="shared" si="3"/>
        <v/>
      </c>
      <c r="W30" s="13"/>
      <c r="X30" s="13"/>
      <c r="Y30" s="13"/>
      <c r="Z30" s="13"/>
      <c r="AA30" s="16"/>
      <c r="AB30" s="12"/>
      <c r="AC30" s="12"/>
      <c r="AD30" s="14" t="str">
        <f t="shared" si="4"/>
        <v/>
      </c>
      <c r="AE30" s="14" t="str">
        <f t="shared" si="5"/>
        <v/>
      </c>
      <c r="AF30" s="17" t="str">
        <f t="shared" si="6"/>
        <v/>
      </c>
      <c r="AG30" s="13"/>
      <c r="AH30" s="16"/>
      <c r="AI30" s="12"/>
      <c r="AJ30" s="16"/>
      <c r="AK30" s="13"/>
      <c r="AL30" s="16"/>
      <c r="AM30" s="13"/>
      <c r="AN30" s="17" t="str">
        <f t="shared" si="7"/>
        <v/>
      </c>
      <c r="AO30" s="14" t="str">
        <f t="shared" ca="1" si="8"/>
        <v/>
      </c>
      <c r="AP30" s="13"/>
      <c r="AQ30" s="12"/>
      <c r="AR30" s="14" t="str">
        <f>IF($O30="","",1+COUNTIF($O$5:$O$154,"&gt;"&amp;$O30)+COUNTIFS($O$5:$O$154,$O30,$N$5:$N$154,"&gt;"&amp;$N30)+COUNTIFS($O$4:$O29,$O30,$N$4:$N29,$N30))</f>
        <v/>
      </c>
      <c r="AS30" s="62"/>
      <c r="AT30" s="62"/>
      <c r="AU30" s="63" t="str">
        <f t="shared" si="9"/>
        <v/>
      </c>
      <c r="AV30" s="64" t="str">
        <f t="shared" si="10"/>
        <v/>
      </c>
      <c r="AW30" s="129" t="str">
        <f t="shared" si="11"/>
        <v/>
      </c>
      <c r="AX30" s="13"/>
      <c r="AY30" s="16"/>
      <c r="AZ30" s="13"/>
      <c r="BA30" s="13"/>
      <c r="BB30" s="13"/>
      <c r="BC30" s="13"/>
      <c r="BD30" s="13"/>
      <c r="BE30" s="13"/>
      <c r="BF30" s="13"/>
      <c r="BG30" s="13"/>
      <c r="BH30" s="14" t="str">
        <f t="shared" si="12"/>
        <v/>
      </c>
      <c r="BI30" s="14" t="str">
        <f t="shared" si="13"/>
        <v/>
      </c>
      <c r="BJ30" s="14" t="str">
        <f t="shared" si="14"/>
        <v/>
      </c>
      <c r="BK30" s="15" t="str">
        <f t="shared" si="15"/>
        <v/>
      </c>
      <c r="BL30" s="15" t="str">
        <f t="shared" si="16"/>
        <v/>
      </c>
      <c r="BM30" s="13"/>
      <c r="BN30" s="13"/>
      <c r="BO30" s="13"/>
      <c r="BP30" s="13"/>
      <c r="BQ30" s="13"/>
      <c r="BR30" s="14" t="str">
        <f t="shared" si="17"/>
        <v/>
      </c>
      <c r="BS30" s="15" t="str">
        <f t="shared" si="18"/>
        <v/>
      </c>
      <c r="BT30" s="13"/>
    </row>
    <row r="31" spans="1:72">
      <c r="A31" s="115"/>
      <c r="B31" s="12"/>
      <c r="C31" s="13"/>
      <c r="D31" s="13"/>
      <c r="E31" s="12"/>
      <c r="F31" s="12"/>
      <c r="G31" s="13"/>
      <c r="H31" s="12"/>
      <c r="I31" s="13"/>
      <c r="J31" s="13"/>
      <c r="K31" s="13"/>
      <c r="L31" s="13"/>
      <c r="M31" s="12"/>
      <c r="N31" s="12"/>
      <c r="O31" s="14" t="str">
        <f t="shared" si="0"/>
        <v/>
      </c>
      <c r="P31" s="15" t="str">
        <f t="shared" si="1"/>
        <v/>
      </c>
      <c r="Q31" s="13"/>
      <c r="R31" s="13"/>
      <c r="S31" s="13"/>
      <c r="T31" s="13"/>
      <c r="U31" s="15" t="str">
        <f t="shared" si="2"/>
        <v/>
      </c>
      <c r="V31" s="14" t="str">
        <f t="shared" si="3"/>
        <v/>
      </c>
      <c r="W31" s="13"/>
      <c r="X31" s="13"/>
      <c r="Y31" s="13"/>
      <c r="Z31" s="13"/>
      <c r="AA31" s="16"/>
      <c r="AB31" s="12"/>
      <c r="AC31" s="12"/>
      <c r="AD31" s="14" t="str">
        <f t="shared" si="4"/>
        <v/>
      </c>
      <c r="AE31" s="14" t="str">
        <f t="shared" si="5"/>
        <v/>
      </c>
      <c r="AF31" s="17" t="str">
        <f t="shared" si="6"/>
        <v/>
      </c>
      <c r="AG31" s="13"/>
      <c r="AH31" s="16"/>
      <c r="AI31" s="12"/>
      <c r="AJ31" s="16"/>
      <c r="AK31" s="13"/>
      <c r="AL31" s="16"/>
      <c r="AM31" s="13"/>
      <c r="AN31" s="17" t="str">
        <f t="shared" si="7"/>
        <v/>
      </c>
      <c r="AO31" s="14" t="str">
        <f t="shared" ca="1" si="8"/>
        <v/>
      </c>
      <c r="AP31" s="13"/>
      <c r="AQ31" s="12"/>
      <c r="AR31" s="14" t="str">
        <f>IF($O31="","",1+COUNTIF($O$5:$O$154,"&gt;"&amp;$O31)+COUNTIFS($O$5:$O$154,$O31,$N$5:$N$154,"&gt;"&amp;$N31)+COUNTIFS($O$4:$O30,$O31,$N$4:$N30,$N31))</f>
        <v/>
      </c>
      <c r="AS31" s="62"/>
      <c r="AT31" s="62"/>
      <c r="AU31" s="63" t="str">
        <f t="shared" si="9"/>
        <v/>
      </c>
      <c r="AV31" s="64" t="str">
        <f t="shared" si="10"/>
        <v/>
      </c>
      <c r="AW31" s="129" t="str">
        <f t="shared" si="11"/>
        <v/>
      </c>
      <c r="AX31" s="13"/>
      <c r="AY31" s="16"/>
      <c r="AZ31" s="13"/>
      <c r="BA31" s="13"/>
      <c r="BB31" s="13"/>
      <c r="BC31" s="13"/>
      <c r="BD31" s="13"/>
      <c r="BE31" s="13"/>
      <c r="BF31" s="13"/>
      <c r="BG31" s="13"/>
      <c r="BH31" s="14" t="str">
        <f t="shared" si="12"/>
        <v/>
      </c>
      <c r="BI31" s="14" t="str">
        <f t="shared" si="13"/>
        <v/>
      </c>
      <c r="BJ31" s="14" t="str">
        <f t="shared" si="14"/>
        <v/>
      </c>
      <c r="BK31" s="15" t="str">
        <f t="shared" si="15"/>
        <v/>
      </c>
      <c r="BL31" s="15" t="str">
        <f t="shared" si="16"/>
        <v/>
      </c>
      <c r="BM31" s="13"/>
      <c r="BN31" s="13"/>
      <c r="BO31" s="13"/>
      <c r="BP31" s="13"/>
      <c r="BQ31" s="13"/>
      <c r="BR31" s="14" t="str">
        <f t="shared" si="17"/>
        <v/>
      </c>
      <c r="BS31" s="15" t="str">
        <f t="shared" si="18"/>
        <v/>
      </c>
      <c r="BT31" s="13"/>
    </row>
    <row r="32" spans="1:72">
      <c r="A32" s="115"/>
      <c r="B32" s="12"/>
      <c r="C32" s="13"/>
      <c r="D32" s="13"/>
      <c r="E32" s="12"/>
      <c r="F32" s="12"/>
      <c r="G32" s="13"/>
      <c r="H32" s="12"/>
      <c r="I32" s="13"/>
      <c r="J32" s="13"/>
      <c r="K32" s="13"/>
      <c r="L32" s="13"/>
      <c r="M32" s="12"/>
      <c r="N32" s="12"/>
      <c r="O32" s="14" t="str">
        <f t="shared" si="0"/>
        <v/>
      </c>
      <c r="P32" s="15" t="str">
        <f t="shared" si="1"/>
        <v/>
      </c>
      <c r="Q32" s="13"/>
      <c r="R32" s="13"/>
      <c r="S32" s="13"/>
      <c r="T32" s="13"/>
      <c r="U32" s="15" t="str">
        <f t="shared" si="2"/>
        <v/>
      </c>
      <c r="V32" s="14" t="str">
        <f t="shared" si="3"/>
        <v/>
      </c>
      <c r="W32" s="13"/>
      <c r="X32" s="13"/>
      <c r="Y32" s="13"/>
      <c r="Z32" s="13"/>
      <c r="AA32" s="16"/>
      <c r="AB32" s="12"/>
      <c r="AC32" s="12"/>
      <c r="AD32" s="14" t="str">
        <f t="shared" si="4"/>
        <v/>
      </c>
      <c r="AE32" s="14" t="str">
        <f t="shared" si="5"/>
        <v/>
      </c>
      <c r="AF32" s="17" t="str">
        <f t="shared" si="6"/>
        <v/>
      </c>
      <c r="AG32" s="13"/>
      <c r="AH32" s="16"/>
      <c r="AI32" s="12"/>
      <c r="AJ32" s="16"/>
      <c r="AK32" s="13"/>
      <c r="AL32" s="16"/>
      <c r="AM32" s="13"/>
      <c r="AN32" s="17" t="str">
        <f t="shared" si="7"/>
        <v/>
      </c>
      <c r="AO32" s="14" t="str">
        <f t="shared" ca="1" si="8"/>
        <v/>
      </c>
      <c r="AP32" s="13"/>
      <c r="AQ32" s="12"/>
      <c r="AR32" s="14" t="str">
        <f>IF($O32="","",1+COUNTIF($O$5:$O$154,"&gt;"&amp;$O32)+COUNTIFS($O$5:$O$154,$O32,$N$5:$N$154,"&gt;"&amp;$N32)+COUNTIFS($O$4:$O31,$O32,$N$4:$N31,$N32))</f>
        <v/>
      </c>
      <c r="AS32" s="62"/>
      <c r="AT32" s="62"/>
      <c r="AU32" s="63" t="str">
        <f t="shared" si="9"/>
        <v/>
      </c>
      <c r="AV32" s="64" t="str">
        <f t="shared" si="10"/>
        <v/>
      </c>
      <c r="AW32" s="129" t="str">
        <f t="shared" si="11"/>
        <v/>
      </c>
      <c r="AX32" s="13"/>
      <c r="AY32" s="16"/>
      <c r="AZ32" s="13"/>
      <c r="BA32" s="13"/>
      <c r="BB32" s="13"/>
      <c r="BC32" s="13"/>
      <c r="BD32" s="13"/>
      <c r="BE32" s="13"/>
      <c r="BF32" s="13"/>
      <c r="BG32" s="13"/>
      <c r="BH32" s="14" t="str">
        <f t="shared" si="12"/>
        <v/>
      </c>
      <c r="BI32" s="14" t="str">
        <f t="shared" si="13"/>
        <v/>
      </c>
      <c r="BJ32" s="14" t="str">
        <f t="shared" si="14"/>
        <v/>
      </c>
      <c r="BK32" s="15" t="str">
        <f t="shared" si="15"/>
        <v/>
      </c>
      <c r="BL32" s="15" t="str">
        <f t="shared" si="16"/>
        <v/>
      </c>
      <c r="BM32" s="13"/>
      <c r="BN32" s="13"/>
      <c r="BO32" s="13"/>
      <c r="BP32" s="13"/>
      <c r="BQ32" s="13"/>
      <c r="BR32" s="14" t="str">
        <f t="shared" si="17"/>
        <v/>
      </c>
      <c r="BS32" s="15" t="str">
        <f t="shared" si="18"/>
        <v/>
      </c>
      <c r="BT32" s="13"/>
    </row>
    <row r="33" spans="1:72">
      <c r="A33" s="115"/>
      <c r="B33" s="12"/>
      <c r="C33" s="13"/>
      <c r="D33" s="13"/>
      <c r="E33" s="12"/>
      <c r="F33" s="12"/>
      <c r="G33" s="13"/>
      <c r="H33" s="12"/>
      <c r="I33" s="13"/>
      <c r="J33" s="13"/>
      <c r="K33" s="13"/>
      <c r="L33" s="13"/>
      <c r="M33" s="12"/>
      <c r="N33" s="12"/>
      <c r="O33" s="14" t="str">
        <f t="shared" si="0"/>
        <v/>
      </c>
      <c r="P33" s="15" t="str">
        <f t="shared" si="1"/>
        <v/>
      </c>
      <c r="Q33" s="13"/>
      <c r="R33" s="13"/>
      <c r="S33" s="13"/>
      <c r="T33" s="13"/>
      <c r="U33" s="15" t="str">
        <f t="shared" si="2"/>
        <v/>
      </c>
      <c r="V33" s="14" t="str">
        <f t="shared" si="3"/>
        <v/>
      </c>
      <c r="W33" s="13"/>
      <c r="X33" s="13"/>
      <c r="Y33" s="13"/>
      <c r="Z33" s="13"/>
      <c r="AA33" s="16"/>
      <c r="AB33" s="12"/>
      <c r="AC33" s="12"/>
      <c r="AD33" s="14" t="str">
        <f t="shared" si="4"/>
        <v/>
      </c>
      <c r="AE33" s="14" t="str">
        <f t="shared" si="5"/>
        <v/>
      </c>
      <c r="AF33" s="17" t="str">
        <f t="shared" si="6"/>
        <v/>
      </c>
      <c r="AG33" s="13"/>
      <c r="AH33" s="16"/>
      <c r="AI33" s="12"/>
      <c r="AJ33" s="16"/>
      <c r="AK33" s="13"/>
      <c r="AL33" s="16"/>
      <c r="AM33" s="13"/>
      <c r="AN33" s="17" t="str">
        <f t="shared" si="7"/>
        <v/>
      </c>
      <c r="AO33" s="14" t="str">
        <f t="shared" ca="1" si="8"/>
        <v/>
      </c>
      <c r="AP33" s="13"/>
      <c r="AQ33" s="12"/>
      <c r="AR33" s="14" t="str">
        <f>IF($O33="","",1+COUNTIF($O$5:$O$154,"&gt;"&amp;$O33)+COUNTIFS($O$5:$O$154,$O33,$N$5:$N$154,"&gt;"&amp;$N33)+COUNTIFS($O$4:$O32,$O33,$N$4:$N32,$N33))</f>
        <v/>
      </c>
      <c r="AS33" s="62"/>
      <c r="AT33" s="62"/>
      <c r="AU33" s="63" t="str">
        <f t="shared" si="9"/>
        <v/>
      </c>
      <c r="AV33" s="64" t="str">
        <f t="shared" si="10"/>
        <v/>
      </c>
      <c r="AW33" s="129" t="str">
        <f t="shared" si="11"/>
        <v/>
      </c>
      <c r="AX33" s="13"/>
      <c r="AY33" s="16"/>
      <c r="AZ33" s="13"/>
      <c r="BA33" s="13"/>
      <c r="BB33" s="13"/>
      <c r="BC33" s="13"/>
      <c r="BD33" s="13"/>
      <c r="BE33" s="13"/>
      <c r="BF33" s="13"/>
      <c r="BG33" s="13"/>
      <c r="BH33" s="14" t="str">
        <f t="shared" si="12"/>
        <v/>
      </c>
      <c r="BI33" s="14" t="str">
        <f t="shared" si="13"/>
        <v/>
      </c>
      <c r="BJ33" s="14" t="str">
        <f t="shared" si="14"/>
        <v/>
      </c>
      <c r="BK33" s="15" t="str">
        <f t="shared" si="15"/>
        <v/>
      </c>
      <c r="BL33" s="15" t="str">
        <f t="shared" si="16"/>
        <v/>
      </c>
      <c r="BM33" s="13"/>
      <c r="BN33" s="13"/>
      <c r="BO33" s="13"/>
      <c r="BP33" s="13"/>
      <c r="BQ33" s="13"/>
      <c r="BR33" s="14" t="str">
        <f t="shared" si="17"/>
        <v/>
      </c>
      <c r="BS33" s="15" t="str">
        <f t="shared" si="18"/>
        <v/>
      </c>
      <c r="BT33" s="13"/>
    </row>
    <row r="34" spans="1:72">
      <c r="A34" s="115"/>
      <c r="B34" s="12"/>
      <c r="C34" s="13"/>
      <c r="D34" s="13"/>
      <c r="E34" s="12"/>
      <c r="F34" s="12"/>
      <c r="G34" s="13"/>
      <c r="H34" s="12"/>
      <c r="I34" s="13"/>
      <c r="J34" s="13"/>
      <c r="K34" s="13"/>
      <c r="L34" s="13"/>
      <c r="M34" s="12"/>
      <c r="N34" s="12"/>
      <c r="O34" s="14" t="str">
        <f t="shared" si="0"/>
        <v/>
      </c>
      <c r="P34" s="15" t="str">
        <f t="shared" si="1"/>
        <v/>
      </c>
      <c r="Q34" s="13"/>
      <c r="R34" s="13"/>
      <c r="S34" s="13"/>
      <c r="T34" s="13"/>
      <c r="U34" s="15" t="str">
        <f t="shared" si="2"/>
        <v/>
      </c>
      <c r="V34" s="14" t="str">
        <f t="shared" si="3"/>
        <v/>
      </c>
      <c r="W34" s="13"/>
      <c r="X34" s="13"/>
      <c r="Y34" s="13"/>
      <c r="Z34" s="13"/>
      <c r="AA34" s="16"/>
      <c r="AB34" s="12"/>
      <c r="AC34" s="12"/>
      <c r="AD34" s="14" t="str">
        <f t="shared" si="4"/>
        <v/>
      </c>
      <c r="AE34" s="14" t="str">
        <f t="shared" si="5"/>
        <v/>
      </c>
      <c r="AF34" s="17" t="str">
        <f t="shared" si="6"/>
        <v/>
      </c>
      <c r="AG34" s="13"/>
      <c r="AH34" s="16"/>
      <c r="AI34" s="12"/>
      <c r="AJ34" s="16"/>
      <c r="AK34" s="13"/>
      <c r="AL34" s="16"/>
      <c r="AM34" s="13"/>
      <c r="AN34" s="17" t="str">
        <f t="shared" si="7"/>
        <v/>
      </c>
      <c r="AO34" s="14" t="str">
        <f t="shared" ca="1" si="8"/>
        <v/>
      </c>
      <c r="AP34" s="13"/>
      <c r="AQ34" s="12"/>
      <c r="AR34" s="14" t="str">
        <f>IF($O34="","",1+COUNTIF($O$5:$O$154,"&gt;"&amp;$O34)+COUNTIFS($O$5:$O$154,$O34,$N$5:$N$154,"&gt;"&amp;$N34)+COUNTIFS($O$4:$O33,$O34,$N$4:$N33,$N34))</f>
        <v/>
      </c>
      <c r="AS34" s="62"/>
      <c r="AT34" s="62"/>
      <c r="AU34" s="63" t="str">
        <f t="shared" si="9"/>
        <v/>
      </c>
      <c r="AV34" s="64" t="str">
        <f t="shared" si="10"/>
        <v/>
      </c>
      <c r="AW34" s="129" t="str">
        <f t="shared" si="11"/>
        <v/>
      </c>
      <c r="AX34" s="13"/>
      <c r="AY34" s="16"/>
      <c r="AZ34" s="13"/>
      <c r="BA34" s="13"/>
      <c r="BB34" s="13"/>
      <c r="BC34" s="13"/>
      <c r="BD34" s="13"/>
      <c r="BE34" s="13"/>
      <c r="BF34" s="13"/>
      <c r="BG34" s="13"/>
      <c r="BH34" s="14" t="str">
        <f t="shared" si="12"/>
        <v/>
      </c>
      <c r="BI34" s="14" t="str">
        <f t="shared" si="13"/>
        <v/>
      </c>
      <c r="BJ34" s="14" t="str">
        <f t="shared" si="14"/>
        <v/>
      </c>
      <c r="BK34" s="15" t="str">
        <f t="shared" si="15"/>
        <v/>
      </c>
      <c r="BL34" s="15" t="str">
        <f t="shared" si="16"/>
        <v/>
      </c>
      <c r="BM34" s="13"/>
      <c r="BN34" s="13"/>
      <c r="BO34" s="13"/>
      <c r="BP34" s="13"/>
      <c r="BQ34" s="13"/>
      <c r="BR34" s="14" t="str">
        <f t="shared" si="17"/>
        <v/>
      </c>
      <c r="BS34" s="15" t="str">
        <f t="shared" si="18"/>
        <v/>
      </c>
      <c r="BT34" s="13"/>
    </row>
    <row r="35" spans="1:72">
      <c r="A35" s="115"/>
      <c r="B35" s="12"/>
      <c r="C35" s="13"/>
      <c r="D35" s="13"/>
      <c r="E35" s="12"/>
      <c r="F35" s="12"/>
      <c r="G35" s="13"/>
      <c r="H35" s="12"/>
      <c r="I35" s="13"/>
      <c r="J35" s="13"/>
      <c r="K35" s="13"/>
      <c r="L35" s="13"/>
      <c r="M35" s="12"/>
      <c r="N35" s="12"/>
      <c r="O35" s="14" t="str">
        <f t="shared" si="0"/>
        <v/>
      </c>
      <c r="P35" s="15" t="str">
        <f t="shared" si="1"/>
        <v/>
      </c>
      <c r="Q35" s="13"/>
      <c r="R35" s="13"/>
      <c r="S35" s="13"/>
      <c r="T35" s="13"/>
      <c r="U35" s="15" t="str">
        <f t="shared" si="2"/>
        <v/>
      </c>
      <c r="V35" s="14" t="str">
        <f t="shared" si="3"/>
        <v/>
      </c>
      <c r="W35" s="13"/>
      <c r="X35" s="13"/>
      <c r="Y35" s="13"/>
      <c r="Z35" s="13"/>
      <c r="AA35" s="16"/>
      <c r="AB35" s="12"/>
      <c r="AC35" s="12"/>
      <c r="AD35" s="14" t="str">
        <f t="shared" si="4"/>
        <v/>
      </c>
      <c r="AE35" s="14" t="str">
        <f t="shared" si="5"/>
        <v/>
      </c>
      <c r="AF35" s="17" t="str">
        <f t="shared" si="6"/>
        <v/>
      </c>
      <c r="AG35" s="13"/>
      <c r="AH35" s="16"/>
      <c r="AI35" s="12"/>
      <c r="AJ35" s="16"/>
      <c r="AK35" s="13"/>
      <c r="AL35" s="16"/>
      <c r="AM35" s="13"/>
      <c r="AN35" s="17" t="str">
        <f t="shared" si="7"/>
        <v/>
      </c>
      <c r="AO35" s="14" t="str">
        <f t="shared" ca="1" si="8"/>
        <v/>
      </c>
      <c r="AP35" s="13"/>
      <c r="AQ35" s="12"/>
      <c r="AR35" s="14" t="str">
        <f>IF($O35="","",1+COUNTIF($O$5:$O$154,"&gt;"&amp;$O35)+COUNTIFS($O$5:$O$154,$O35,$N$5:$N$154,"&gt;"&amp;$N35)+COUNTIFS($O$4:$O34,$O35,$N$4:$N34,$N35))</f>
        <v/>
      </c>
      <c r="AS35" s="62"/>
      <c r="AT35" s="62"/>
      <c r="AU35" s="63" t="str">
        <f t="shared" si="9"/>
        <v/>
      </c>
      <c r="AV35" s="64" t="str">
        <f t="shared" si="10"/>
        <v/>
      </c>
      <c r="AW35" s="129" t="str">
        <f t="shared" si="11"/>
        <v/>
      </c>
      <c r="AX35" s="13"/>
      <c r="AY35" s="16"/>
      <c r="AZ35" s="13"/>
      <c r="BA35" s="13"/>
      <c r="BB35" s="13"/>
      <c r="BC35" s="13"/>
      <c r="BD35" s="13"/>
      <c r="BE35" s="13"/>
      <c r="BF35" s="13"/>
      <c r="BG35" s="13"/>
      <c r="BH35" s="14" t="str">
        <f t="shared" si="12"/>
        <v/>
      </c>
      <c r="BI35" s="14" t="str">
        <f t="shared" si="13"/>
        <v/>
      </c>
      <c r="BJ35" s="14" t="str">
        <f t="shared" si="14"/>
        <v/>
      </c>
      <c r="BK35" s="15" t="str">
        <f t="shared" si="15"/>
        <v/>
      </c>
      <c r="BL35" s="15" t="str">
        <f t="shared" si="16"/>
        <v/>
      </c>
      <c r="BM35" s="13"/>
      <c r="BN35" s="13"/>
      <c r="BO35" s="13"/>
      <c r="BP35" s="13"/>
      <c r="BQ35" s="13"/>
      <c r="BR35" s="14" t="str">
        <f t="shared" si="17"/>
        <v/>
      </c>
      <c r="BS35" s="15" t="str">
        <f t="shared" si="18"/>
        <v/>
      </c>
      <c r="BT35" s="13"/>
    </row>
    <row r="36" spans="1:72">
      <c r="A36" s="115"/>
      <c r="B36" s="12"/>
      <c r="C36" s="13"/>
      <c r="D36" s="13"/>
      <c r="E36" s="12"/>
      <c r="F36" s="12"/>
      <c r="G36" s="13"/>
      <c r="H36" s="12"/>
      <c r="I36" s="13"/>
      <c r="J36" s="13"/>
      <c r="K36" s="13"/>
      <c r="L36" s="13"/>
      <c r="M36" s="12"/>
      <c r="N36" s="12"/>
      <c r="O36" s="14" t="str">
        <f t="shared" si="0"/>
        <v/>
      </c>
      <c r="P36" s="15" t="str">
        <f t="shared" si="1"/>
        <v/>
      </c>
      <c r="Q36" s="13"/>
      <c r="R36" s="13"/>
      <c r="S36" s="13"/>
      <c r="T36" s="13"/>
      <c r="U36" s="15" t="str">
        <f t="shared" si="2"/>
        <v/>
      </c>
      <c r="V36" s="14" t="str">
        <f t="shared" si="3"/>
        <v/>
      </c>
      <c r="W36" s="13"/>
      <c r="X36" s="13"/>
      <c r="Y36" s="13"/>
      <c r="Z36" s="13"/>
      <c r="AA36" s="16"/>
      <c r="AB36" s="12"/>
      <c r="AC36" s="12"/>
      <c r="AD36" s="14" t="str">
        <f t="shared" si="4"/>
        <v/>
      </c>
      <c r="AE36" s="14" t="str">
        <f t="shared" si="5"/>
        <v/>
      </c>
      <c r="AF36" s="17" t="str">
        <f t="shared" si="6"/>
        <v/>
      </c>
      <c r="AG36" s="13"/>
      <c r="AH36" s="16"/>
      <c r="AI36" s="12"/>
      <c r="AJ36" s="16"/>
      <c r="AK36" s="13"/>
      <c r="AL36" s="16"/>
      <c r="AM36" s="13"/>
      <c r="AN36" s="17" t="str">
        <f t="shared" si="7"/>
        <v/>
      </c>
      <c r="AO36" s="14" t="str">
        <f t="shared" ca="1" si="8"/>
        <v/>
      </c>
      <c r="AP36" s="13"/>
      <c r="AQ36" s="12"/>
      <c r="AR36" s="14" t="str">
        <f>IF($O36="","",1+COUNTIF($O$5:$O$154,"&gt;"&amp;$O36)+COUNTIFS($O$5:$O$154,$O36,$N$5:$N$154,"&gt;"&amp;$N36)+COUNTIFS($O$4:$O35,$O36,$N$4:$N35,$N36))</f>
        <v/>
      </c>
      <c r="AS36" s="62"/>
      <c r="AT36" s="62"/>
      <c r="AU36" s="63" t="str">
        <f t="shared" si="9"/>
        <v/>
      </c>
      <c r="AV36" s="64" t="str">
        <f t="shared" si="10"/>
        <v/>
      </c>
      <c r="AW36" s="129" t="str">
        <f t="shared" si="11"/>
        <v/>
      </c>
      <c r="AX36" s="13"/>
      <c r="AY36" s="16"/>
      <c r="AZ36" s="13"/>
      <c r="BA36" s="13"/>
      <c r="BB36" s="13"/>
      <c r="BC36" s="13"/>
      <c r="BD36" s="13"/>
      <c r="BE36" s="13"/>
      <c r="BF36" s="13"/>
      <c r="BG36" s="13"/>
      <c r="BH36" s="14" t="str">
        <f t="shared" si="12"/>
        <v/>
      </c>
      <c r="BI36" s="14" t="str">
        <f t="shared" si="13"/>
        <v/>
      </c>
      <c r="BJ36" s="14" t="str">
        <f t="shared" si="14"/>
        <v/>
      </c>
      <c r="BK36" s="15" t="str">
        <f t="shared" si="15"/>
        <v/>
      </c>
      <c r="BL36" s="15" t="str">
        <f t="shared" si="16"/>
        <v/>
      </c>
      <c r="BM36" s="13"/>
      <c r="BN36" s="13"/>
      <c r="BO36" s="13"/>
      <c r="BP36" s="13"/>
      <c r="BQ36" s="13"/>
      <c r="BR36" s="14" t="str">
        <f t="shared" si="17"/>
        <v/>
      </c>
      <c r="BS36" s="15" t="str">
        <f t="shared" si="18"/>
        <v/>
      </c>
      <c r="BT36" s="13"/>
    </row>
    <row r="37" spans="1:72">
      <c r="A37" s="115"/>
      <c r="B37" s="12"/>
      <c r="C37" s="13"/>
      <c r="D37" s="13"/>
      <c r="E37" s="12"/>
      <c r="F37" s="12"/>
      <c r="G37" s="13"/>
      <c r="H37" s="12"/>
      <c r="I37" s="13"/>
      <c r="J37" s="13"/>
      <c r="K37" s="13"/>
      <c r="L37" s="13"/>
      <c r="M37" s="12"/>
      <c r="N37" s="12"/>
      <c r="O37" s="14" t="str">
        <f t="shared" ref="O37:O68" si="19">IF(COUNT($M37:$N37)=2,$M37*$N37,"")</f>
        <v/>
      </c>
      <c r="P37" s="15" t="str">
        <f t="shared" ref="P37:P68" si="20">IF($O37="","",INDEX(Niveis,IFERROR(MATCH($O37,Limites,1),1)))</f>
        <v/>
      </c>
      <c r="Q37" s="13"/>
      <c r="R37" s="13"/>
      <c r="S37" s="13"/>
      <c r="T37" s="13"/>
      <c r="U37" s="15" t="str">
        <f t="shared" ref="U37:U68" si="21">IF(COUNTA($R37:$T37)&lt;3,"",IFERROR((4-MATCH($R37,ListaFacil,0))+(4-MATCH($S37,ListaReducao,0))+(4-MATCH($T37,ListaAlinh,0)),""))</f>
        <v/>
      </c>
      <c r="V37" s="14" t="str">
        <f t="shared" ref="V37:V68" si="22">IF($P37="","",INDEX(AcaoOport,MATCH($P37,Niveis,0)))</f>
        <v/>
      </c>
      <c r="W37" s="13"/>
      <c r="X37" s="13"/>
      <c r="Y37" s="13"/>
      <c r="Z37" s="13"/>
      <c r="AA37" s="16"/>
      <c r="AB37" s="12"/>
      <c r="AC37" s="12"/>
      <c r="AD37" s="14" t="str">
        <f t="shared" ref="AD37:AD68" si="23">IF(OR($AC37="",PlanoUrl=""),"",HYPERLINK(SUBSTITUTE(PlanoUrl,"{COD}",SUBSTITUTE($AC37," ","%20")),"↗"))</f>
        <v/>
      </c>
      <c r="AE37" s="14" t="str">
        <f t="shared" ref="AE37:AE68" si="24">IF($C37="","",IF($AC37="",$AB37&amp;"",IFERROR(IF(INDEX(PlanosStatus,MATCH($AC37,PlanosCod,0))="",$AB37&amp;"",INDEX(PlanosStatus,MATCH($AC37,PlanosCod,0))),$AB37&amp;"")))</f>
        <v/>
      </c>
      <c r="AF37" s="17" t="str">
        <f t="shared" ref="AF37:AF68" si="25">IF($C37="","",IF($AC37="",IF($AA37="","",$AA37),IFERROR(IF(INDEX(PlanosPrazo,MATCH($AC37,PlanosCod,0))="",IF($AA37="","",$AA37),INDEX(PlanosPrazo,MATCH($AC37,PlanosCod,0))),IF($AA37="","",$AA37))))</f>
        <v/>
      </c>
      <c r="AG37" s="13"/>
      <c r="AH37" s="16"/>
      <c r="AI37" s="12"/>
      <c r="AJ37" s="16"/>
      <c r="AK37" s="13"/>
      <c r="AL37" s="16"/>
      <c r="AM37" s="13"/>
      <c r="AN37" s="17" t="str">
        <f t="shared" ref="AN37:AN68" si="26">IF(OR($AL37="",$P37=""),"",EDATE($AL37,INDEX(MesesRev,MATCH($P37,Niveis,0))))</f>
        <v/>
      </c>
      <c r="AO37" s="14" t="str">
        <f t="shared" ref="AO37:AO68" ca="1" si="27">IF($C37="","",IF($Y37="","Sem dono",IF($P37="","Falta avaliação",IF(AND($AC37&lt;&gt;"",COUNTIF(PlanosCod,$AC37)=0),"Código não encontrado",IF(AND($AC37&lt;&gt;"",IFERROR(INDEX(PlanosIdRef,MATCH($AC37,PlanosCod,0))&amp;"","")&lt;&gt;"",ISERROR(SEARCH(";"&amp;$A37&amp;";",";"&amp;SUBSTITUTE(SUBSTITUTE(IFERROR(INDEX(PlanosIdRef,MATCH($AC37,PlanosCod,0))&amp;"","")," ",""),",",";")&amp;";"))),"Vínculo divergente",IF(AND($W37="",$X37="",$AC37="",MATCH($P37,Niveis,0)&gt;=IdxExige),"Sem ação",IF(AND(OR($W37="Explorar",$W37="Melhorar",$W37="Analisar viabilidade e custo-benefício",$W37="Integrar ao planejamento estratégico",$W37="Compartilhar (parceria / contrato)"),$AK37=""),"Definir KPI",IF($AI37="Não eficaz","Ação ineficaz",IF(AND($AF37&lt;&gt;"",$AF37&lt;TODAY(),$AE37&lt;&gt;"Concluído",$AE37&lt;&gt;"Cancelado"),"Ação vencida",IF(AND($AI37&lt;&gt;"Eficaz",OR($AE37="Concluído",AND(ISNUMBER($AH37),$AH37&lt;TODAY()))),"Avaliar eficácia",IF(AND($AN37&lt;&gt;"",$AN37&lt;TODAY()),"Revisão vencida",IF(AND($AF37&lt;&gt;"",N($AF37)-TODAY()&lt;=DiasAlerta,$AE37&lt;&gt;"Concluído",$AE37&lt;&gt;"Cancelado"),"Vence em breve","OK"))))))))))))</f>
        <v/>
      </c>
      <c r="AP37" s="13"/>
      <c r="AQ37" s="12"/>
      <c r="AR37" s="14" t="str">
        <f>IF($O37="","",1+COUNTIF($O$5:$O$154,"&gt;"&amp;$O37)+COUNTIFS($O$5:$O$154,$O37,$N$5:$N$154,"&gt;"&amp;$N37)+COUNTIFS($O$4:$O36,$O37,$N$4:$N36,$N37))</f>
        <v/>
      </c>
      <c r="AS37" s="62"/>
      <c r="AT37" s="62"/>
      <c r="AU37" s="63" t="str">
        <f t="shared" ref="AU37:AU68" si="28">IF(OR($AT37="",$M37=""),"",IFERROR($AT37*INDEX(ProbMedia,$M37),""))</f>
        <v/>
      </c>
      <c r="AV37" s="64" t="str">
        <f t="shared" ref="AV37:AV68" si="29">IF(OR($AS37="",$AU37=""),"",IF($AS37=0,"",$AU37/$AS37))</f>
        <v/>
      </c>
      <c r="AW37" s="129" t="str">
        <f t="shared" ref="AW37:AW68" si="30">IF($AV37="","",IF($AV37&gt;=1.5,"Retorno cobre o custo com folga: priorizar",IF($AV37&gt;=1,"Retorno cobre o custo: viável","Retorno menor que o custo: reavaliar ou reter para avaliação futura")))</f>
        <v/>
      </c>
      <c r="AX37" s="13"/>
      <c r="AY37" s="16"/>
      <c r="AZ37" s="13"/>
      <c r="BA37" s="13"/>
      <c r="BB37" s="13"/>
      <c r="BC37" s="13"/>
      <c r="BD37" s="13"/>
      <c r="BE37" s="13"/>
      <c r="BF37" s="13"/>
      <c r="BG37" s="13"/>
      <c r="BH37" s="14" t="str">
        <f t="shared" ref="BH37:BH68" si="31">IF($BF37="","",IFERROR(INDEX(SgaProbValor,MATCH($BF37,SgaProbNivel,0)),""))</f>
        <v/>
      </c>
      <c r="BI37" s="14" t="str">
        <f t="shared" ref="BI37:BI68" si="32">IF($BG37="","",IFERROR(INDEX(SgaSevOpValor,MATCH($BG37,SgaSevOpNivel,0)),""))</f>
        <v/>
      </c>
      <c r="BJ37" s="14" t="str">
        <f t="shared" ref="BJ37:BJ68" si="33">IF(COUNT($BH37:$BI37)=2,$BH37*$BI37,"")</f>
        <v/>
      </c>
      <c r="BK37" s="15" t="str">
        <f t="shared" ref="BK37:BK68" si="34">IF($BJ37="","",IF($BJ37&gt;=SgaLimOpSig,"SIGNIFICATIVO",IF($BJ37&gt;=SgaLimOpTol,"TOLERÁVEL","BAIXO")))</f>
        <v/>
      </c>
      <c r="BL37" s="15" t="str">
        <f t="shared" ref="BL37:BL68" si="35">IF($BK37="","",IF($BK37="SIGNIFICATIVO","AÇÃO REQUERIDA","ACEITÁVEL"))</f>
        <v/>
      </c>
      <c r="BM37" s="13"/>
      <c r="BN37" s="13"/>
      <c r="BO37" s="13"/>
      <c r="BP37" s="13"/>
      <c r="BQ37" s="13"/>
      <c r="BR37" s="14" t="str">
        <f t="shared" ref="BR37:BR68" si="36">IF(OR($BP37="",$BQ37=""),"",IFERROR(INDEX(SgaProbValor,MATCH($BP37,SgaProbNivel,0))*INDEX(SgaSevOpValor,MATCH($BQ37,SgaSevOpNivel,0)),""))</f>
        <v/>
      </c>
      <c r="BS37" s="15" t="str">
        <f t="shared" ref="BS37:BS68" si="37">IF($BR37="","",IF($BR37&gt;=SgaLimOpSig,"SIGNIFICATIVO",IF($BR37&gt;=SgaLimOpTol,"TOLERÁVEL","BAIXO")))</f>
        <v/>
      </c>
      <c r="BT37" s="13"/>
    </row>
    <row r="38" spans="1:72">
      <c r="A38" s="115"/>
      <c r="B38" s="12"/>
      <c r="C38" s="13"/>
      <c r="D38" s="13"/>
      <c r="E38" s="12"/>
      <c r="F38" s="12"/>
      <c r="G38" s="13"/>
      <c r="H38" s="12"/>
      <c r="I38" s="13"/>
      <c r="J38" s="13"/>
      <c r="K38" s="13"/>
      <c r="L38" s="13"/>
      <c r="M38" s="12"/>
      <c r="N38" s="12"/>
      <c r="O38" s="14" t="str">
        <f t="shared" si="19"/>
        <v/>
      </c>
      <c r="P38" s="15" t="str">
        <f t="shared" si="20"/>
        <v/>
      </c>
      <c r="Q38" s="13"/>
      <c r="R38" s="13"/>
      <c r="S38" s="13"/>
      <c r="T38" s="13"/>
      <c r="U38" s="15" t="str">
        <f t="shared" si="21"/>
        <v/>
      </c>
      <c r="V38" s="14" t="str">
        <f t="shared" si="22"/>
        <v/>
      </c>
      <c r="W38" s="13"/>
      <c r="X38" s="13"/>
      <c r="Y38" s="13"/>
      <c r="Z38" s="13"/>
      <c r="AA38" s="16"/>
      <c r="AB38" s="12"/>
      <c r="AC38" s="12"/>
      <c r="AD38" s="14" t="str">
        <f t="shared" si="23"/>
        <v/>
      </c>
      <c r="AE38" s="14" t="str">
        <f t="shared" si="24"/>
        <v/>
      </c>
      <c r="AF38" s="17" t="str">
        <f t="shared" si="25"/>
        <v/>
      </c>
      <c r="AG38" s="13"/>
      <c r="AH38" s="16"/>
      <c r="AI38" s="12"/>
      <c r="AJ38" s="16"/>
      <c r="AK38" s="13"/>
      <c r="AL38" s="16"/>
      <c r="AM38" s="13"/>
      <c r="AN38" s="17" t="str">
        <f t="shared" si="26"/>
        <v/>
      </c>
      <c r="AO38" s="14" t="str">
        <f t="shared" ca="1" si="27"/>
        <v/>
      </c>
      <c r="AP38" s="13"/>
      <c r="AQ38" s="12"/>
      <c r="AR38" s="14" t="str">
        <f>IF($O38="","",1+COUNTIF($O$5:$O$154,"&gt;"&amp;$O38)+COUNTIFS($O$5:$O$154,$O38,$N$5:$N$154,"&gt;"&amp;$N38)+COUNTIFS($O$4:$O37,$O38,$N$4:$N37,$N38))</f>
        <v/>
      </c>
      <c r="AS38" s="62"/>
      <c r="AT38" s="62"/>
      <c r="AU38" s="63" t="str">
        <f t="shared" si="28"/>
        <v/>
      </c>
      <c r="AV38" s="64" t="str">
        <f t="shared" si="29"/>
        <v/>
      </c>
      <c r="AW38" s="129" t="str">
        <f t="shared" si="30"/>
        <v/>
      </c>
      <c r="AX38" s="13"/>
      <c r="AY38" s="16"/>
      <c r="AZ38" s="13"/>
      <c r="BA38" s="13"/>
      <c r="BB38" s="13"/>
      <c r="BC38" s="13"/>
      <c r="BD38" s="13"/>
      <c r="BE38" s="13"/>
      <c r="BF38" s="13"/>
      <c r="BG38" s="13"/>
      <c r="BH38" s="14" t="str">
        <f t="shared" si="31"/>
        <v/>
      </c>
      <c r="BI38" s="14" t="str">
        <f t="shared" si="32"/>
        <v/>
      </c>
      <c r="BJ38" s="14" t="str">
        <f t="shared" si="33"/>
        <v/>
      </c>
      <c r="BK38" s="15" t="str">
        <f t="shared" si="34"/>
        <v/>
      </c>
      <c r="BL38" s="15" t="str">
        <f t="shared" si="35"/>
        <v/>
      </c>
      <c r="BM38" s="13"/>
      <c r="BN38" s="13"/>
      <c r="BO38" s="13"/>
      <c r="BP38" s="13"/>
      <c r="BQ38" s="13"/>
      <c r="BR38" s="14" t="str">
        <f t="shared" si="36"/>
        <v/>
      </c>
      <c r="BS38" s="15" t="str">
        <f t="shared" si="37"/>
        <v/>
      </c>
      <c r="BT38" s="13"/>
    </row>
    <row r="39" spans="1:72">
      <c r="A39" s="115"/>
      <c r="B39" s="12"/>
      <c r="C39" s="13"/>
      <c r="D39" s="13"/>
      <c r="E39" s="12"/>
      <c r="F39" s="12"/>
      <c r="G39" s="13"/>
      <c r="H39" s="12"/>
      <c r="I39" s="13"/>
      <c r="J39" s="13"/>
      <c r="K39" s="13"/>
      <c r="L39" s="13"/>
      <c r="M39" s="12"/>
      <c r="N39" s="12"/>
      <c r="O39" s="14" t="str">
        <f t="shared" si="19"/>
        <v/>
      </c>
      <c r="P39" s="15" t="str">
        <f t="shared" si="20"/>
        <v/>
      </c>
      <c r="Q39" s="13"/>
      <c r="R39" s="13"/>
      <c r="S39" s="13"/>
      <c r="T39" s="13"/>
      <c r="U39" s="15" t="str">
        <f t="shared" si="21"/>
        <v/>
      </c>
      <c r="V39" s="14" t="str">
        <f t="shared" si="22"/>
        <v/>
      </c>
      <c r="W39" s="13"/>
      <c r="X39" s="13"/>
      <c r="Y39" s="13"/>
      <c r="Z39" s="13"/>
      <c r="AA39" s="16"/>
      <c r="AB39" s="12"/>
      <c r="AC39" s="12"/>
      <c r="AD39" s="14" t="str">
        <f t="shared" si="23"/>
        <v/>
      </c>
      <c r="AE39" s="14" t="str">
        <f t="shared" si="24"/>
        <v/>
      </c>
      <c r="AF39" s="17" t="str">
        <f t="shared" si="25"/>
        <v/>
      </c>
      <c r="AG39" s="13"/>
      <c r="AH39" s="16"/>
      <c r="AI39" s="12"/>
      <c r="AJ39" s="16"/>
      <c r="AK39" s="13"/>
      <c r="AL39" s="16"/>
      <c r="AM39" s="13"/>
      <c r="AN39" s="17" t="str">
        <f t="shared" si="26"/>
        <v/>
      </c>
      <c r="AO39" s="14" t="str">
        <f t="shared" ca="1" si="27"/>
        <v/>
      </c>
      <c r="AP39" s="13"/>
      <c r="AQ39" s="12"/>
      <c r="AR39" s="14" t="str">
        <f>IF($O39="","",1+COUNTIF($O$5:$O$154,"&gt;"&amp;$O39)+COUNTIFS($O$5:$O$154,$O39,$N$5:$N$154,"&gt;"&amp;$N39)+COUNTIFS($O$4:$O38,$O39,$N$4:$N38,$N39))</f>
        <v/>
      </c>
      <c r="AS39" s="62"/>
      <c r="AT39" s="62"/>
      <c r="AU39" s="63" t="str">
        <f t="shared" si="28"/>
        <v/>
      </c>
      <c r="AV39" s="64" t="str">
        <f t="shared" si="29"/>
        <v/>
      </c>
      <c r="AW39" s="129" t="str">
        <f t="shared" si="30"/>
        <v/>
      </c>
      <c r="AX39" s="13"/>
      <c r="AY39" s="16"/>
      <c r="AZ39" s="13"/>
      <c r="BA39" s="13"/>
      <c r="BB39" s="13"/>
      <c r="BC39" s="13"/>
      <c r="BD39" s="13"/>
      <c r="BE39" s="13"/>
      <c r="BF39" s="13"/>
      <c r="BG39" s="13"/>
      <c r="BH39" s="14" t="str">
        <f t="shared" si="31"/>
        <v/>
      </c>
      <c r="BI39" s="14" t="str">
        <f t="shared" si="32"/>
        <v/>
      </c>
      <c r="BJ39" s="14" t="str">
        <f t="shared" si="33"/>
        <v/>
      </c>
      <c r="BK39" s="15" t="str">
        <f t="shared" si="34"/>
        <v/>
      </c>
      <c r="BL39" s="15" t="str">
        <f t="shared" si="35"/>
        <v/>
      </c>
      <c r="BM39" s="13"/>
      <c r="BN39" s="13"/>
      <c r="BO39" s="13"/>
      <c r="BP39" s="13"/>
      <c r="BQ39" s="13"/>
      <c r="BR39" s="14" t="str">
        <f t="shared" si="36"/>
        <v/>
      </c>
      <c r="BS39" s="15" t="str">
        <f t="shared" si="37"/>
        <v/>
      </c>
      <c r="BT39" s="13"/>
    </row>
    <row r="40" spans="1:72">
      <c r="A40" s="115"/>
      <c r="B40" s="12"/>
      <c r="C40" s="13"/>
      <c r="D40" s="13"/>
      <c r="E40" s="12"/>
      <c r="F40" s="12"/>
      <c r="G40" s="13"/>
      <c r="H40" s="12"/>
      <c r="I40" s="13"/>
      <c r="J40" s="13"/>
      <c r="K40" s="13"/>
      <c r="L40" s="13"/>
      <c r="M40" s="12"/>
      <c r="N40" s="12"/>
      <c r="O40" s="14" t="str">
        <f t="shared" si="19"/>
        <v/>
      </c>
      <c r="P40" s="15" t="str">
        <f t="shared" si="20"/>
        <v/>
      </c>
      <c r="Q40" s="13"/>
      <c r="R40" s="13"/>
      <c r="S40" s="13"/>
      <c r="T40" s="13"/>
      <c r="U40" s="15" t="str">
        <f t="shared" si="21"/>
        <v/>
      </c>
      <c r="V40" s="14" t="str">
        <f t="shared" si="22"/>
        <v/>
      </c>
      <c r="W40" s="13"/>
      <c r="X40" s="13"/>
      <c r="Y40" s="13"/>
      <c r="Z40" s="13"/>
      <c r="AA40" s="16"/>
      <c r="AB40" s="12"/>
      <c r="AC40" s="12"/>
      <c r="AD40" s="14" t="str">
        <f t="shared" si="23"/>
        <v/>
      </c>
      <c r="AE40" s="14" t="str">
        <f t="shared" si="24"/>
        <v/>
      </c>
      <c r="AF40" s="17" t="str">
        <f t="shared" si="25"/>
        <v/>
      </c>
      <c r="AG40" s="13"/>
      <c r="AH40" s="16"/>
      <c r="AI40" s="12"/>
      <c r="AJ40" s="16"/>
      <c r="AK40" s="13"/>
      <c r="AL40" s="16"/>
      <c r="AM40" s="13"/>
      <c r="AN40" s="17" t="str">
        <f t="shared" si="26"/>
        <v/>
      </c>
      <c r="AO40" s="14" t="str">
        <f t="shared" ca="1" si="27"/>
        <v/>
      </c>
      <c r="AP40" s="13"/>
      <c r="AQ40" s="12"/>
      <c r="AR40" s="14" t="str">
        <f>IF($O40="","",1+COUNTIF($O$5:$O$154,"&gt;"&amp;$O40)+COUNTIFS($O$5:$O$154,$O40,$N$5:$N$154,"&gt;"&amp;$N40)+COUNTIFS($O$4:$O39,$O40,$N$4:$N39,$N40))</f>
        <v/>
      </c>
      <c r="AS40" s="62"/>
      <c r="AT40" s="62"/>
      <c r="AU40" s="63" t="str">
        <f t="shared" si="28"/>
        <v/>
      </c>
      <c r="AV40" s="64" t="str">
        <f t="shared" si="29"/>
        <v/>
      </c>
      <c r="AW40" s="129" t="str">
        <f t="shared" si="30"/>
        <v/>
      </c>
      <c r="AX40" s="13"/>
      <c r="AY40" s="16"/>
      <c r="AZ40" s="13"/>
      <c r="BA40" s="13"/>
      <c r="BB40" s="13"/>
      <c r="BC40" s="13"/>
      <c r="BD40" s="13"/>
      <c r="BE40" s="13"/>
      <c r="BF40" s="13"/>
      <c r="BG40" s="13"/>
      <c r="BH40" s="14" t="str">
        <f t="shared" si="31"/>
        <v/>
      </c>
      <c r="BI40" s="14" t="str">
        <f t="shared" si="32"/>
        <v/>
      </c>
      <c r="BJ40" s="14" t="str">
        <f t="shared" si="33"/>
        <v/>
      </c>
      <c r="BK40" s="15" t="str">
        <f t="shared" si="34"/>
        <v/>
      </c>
      <c r="BL40" s="15" t="str">
        <f t="shared" si="35"/>
        <v/>
      </c>
      <c r="BM40" s="13"/>
      <c r="BN40" s="13"/>
      <c r="BO40" s="13"/>
      <c r="BP40" s="13"/>
      <c r="BQ40" s="13"/>
      <c r="BR40" s="14" t="str">
        <f t="shared" si="36"/>
        <v/>
      </c>
      <c r="BS40" s="15" t="str">
        <f t="shared" si="37"/>
        <v/>
      </c>
      <c r="BT40" s="13"/>
    </row>
    <row r="41" spans="1:72">
      <c r="A41" s="115"/>
      <c r="B41" s="12"/>
      <c r="C41" s="13"/>
      <c r="D41" s="13"/>
      <c r="E41" s="12"/>
      <c r="F41" s="12"/>
      <c r="G41" s="13"/>
      <c r="H41" s="12"/>
      <c r="I41" s="13"/>
      <c r="J41" s="13"/>
      <c r="K41" s="13"/>
      <c r="L41" s="13"/>
      <c r="M41" s="12"/>
      <c r="N41" s="12"/>
      <c r="O41" s="14" t="str">
        <f t="shared" si="19"/>
        <v/>
      </c>
      <c r="P41" s="15" t="str">
        <f t="shared" si="20"/>
        <v/>
      </c>
      <c r="Q41" s="13"/>
      <c r="R41" s="13"/>
      <c r="S41" s="13"/>
      <c r="T41" s="13"/>
      <c r="U41" s="15" t="str">
        <f t="shared" si="21"/>
        <v/>
      </c>
      <c r="V41" s="14" t="str">
        <f t="shared" si="22"/>
        <v/>
      </c>
      <c r="W41" s="13"/>
      <c r="X41" s="13"/>
      <c r="Y41" s="13"/>
      <c r="Z41" s="13"/>
      <c r="AA41" s="16"/>
      <c r="AB41" s="12"/>
      <c r="AC41" s="12"/>
      <c r="AD41" s="14" t="str">
        <f t="shared" si="23"/>
        <v/>
      </c>
      <c r="AE41" s="14" t="str">
        <f t="shared" si="24"/>
        <v/>
      </c>
      <c r="AF41" s="17" t="str">
        <f t="shared" si="25"/>
        <v/>
      </c>
      <c r="AG41" s="13"/>
      <c r="AH41" s="16"/>
      <c r="AI41" s="12"/>
      <c r="AJ41" s="16"/>
      <c r="AK41" s="13"/>
      <c r="AL41" s="16"/>
      <c r="AM41" s="13"/>
      <c r="AN41" s="17" t="str">
        <f t="shared" si="26"/>
        <v/>
      </c>
      <c r="AO41" s="14" t="str">
        <f t="shared" ca="1" si="27"/>
        <v/>
      </c>
      <c r="AP41" s="13"/>
      <c r="AQ41" s="12"/>
      <c r="AR41" s="14" t="str">
        <f>IF($O41="","",1+COUNTIF($O$5:$O$154,"&gt;"&amp;$O41)+COUNTIFS($O$5:$O$154,$O41,$N$5:$N$154,"&gt;"&amp;$N41)+COUNTIFS($O$4:$O40,$O41,$N$4:$N40,$N41))</f>
        <v/>
      </c>
      <c r="AS41" s="62"/>
      <c r="AT41" s="62"/>
      <c r="AU41" s="63" t="str">
        <f t="shared" si="28"/>
        <v/>
      </c>
      <c r="AV41" s="64" t="str">
        <f t="shared" si="29"/>
        <v/>
      </c>
      <c r="AW41" s="129" t="str">
        <f t="shared" si="30"/>
        <v/>
      </c>
      <c r="AX41" s="13"/>
      <c r="AY41" s="16"/>
      <c r="AZ41" s="13"/>
      <c r="BA41" s="13"/>
      <c r="BB41" s="13"/>
      <c r="BC41" s="13"/>
      <c r="BD41" s="13"/>
      <c r="BE41" s="13"/>
      <c r="BF41" s="13"/>
      <c r="BG41" s="13"/>
      <c r="BH41" s="14" t="str">
        <f t="shared" si="31"/>
        <v/>
      </c>
      <c r="BI41" s="14" t="str">
        <f t="shared" si="32"/>
        <v/>
      </c>
      <c r="BJ41" s="14" t="str">
        <f t="shared" si="33"/>
        <v/>
      </c>
      <c r="BK41" s="15" t="str">
        <f t="shared" si="34"/>
        <v/>
      </c>
      <c r="BL41" s="15" t="str">
        <f t="shared" si="35"/>
        <v/>
      </c>
      <c r="BM41" s="13"/>
      <c r="BN41" s="13"/>
      <c r="BO41" s="13"/>
      <c r="BP41" s="13"/>
      <c r="BQ41" s="13"/>
      <c r="BR41" s="14" t="str">
        <f t="shared" si="36"/>
        <v/>
      </c>
      <c r="BS41" s="15" t="str">
        <f t="shared" si="37"/>
        <v/>
      </c>
      <c r="BT41" s="13"/>
    </row>
    <row r="42" spans="1:72">
      <c r="A42" s="115"/>
      <c r="B42" s="12"/>
      <c r="C42" s="13"/>
      <c r="D42" s="13"/>
      <c r="E42" s="12"/>
      <c r="F42" s="12"/>
      <c r="G42" s="13"/>
      <c r="H42" s="12"/>
      <c r="I42" s="13"/>
      <c r="J42" s="13"/>
      <c r="K42" s="13"/>
      <c r="L42" s="13"/>
      <c r="M42" s="12"/>
      <c r="N42" s="12"/>
      <c r="O42" s="14" t="str">
        <f t="shared" si="19"/>
        <v/>
      </c>
      <c r="P42" s="15" t="str">
        <f t="shared" si="20"/>
        <v/>
      </c>
      <c r="Q42" s="13"/>
      <c r="R42" s="13"/>
      <c r="S42" s="13"/>
      <c r="T42" s="13"/>
      <c r="U42" s="15" t="str">
        <f t="shared" si="21"/>
        <v/>
      </c>
      <c r="V42" s="14" t="str">
        <f t="shared" si="22"/>
        <v/>
      </c>
      <c r="W42" s="13"/>
      <c r="X42" s="13"/>
      <c r="Y42" s="13"/>
      <c r="Z42" s="13"/>
      <c r="AA42" s="16"/>
      <c r="AB42" s="12"/>
      <c r="AC42" s="12"/>
      <c r="AD42" s="14" t="str">
        <f t="shared" si="23"/>
        <v/>
      </c>
      <c r="AE42" s="14" t="str">
        <f t="shared" si="24"/>
        <v/>
      </c>
      <c r="AF42" s="17" t="str">
        <f t="shared" si="25"/>
        <v/>
      </c>
      <c r="AG42" s="13"/>
      <c r="AH42" s="16"/>
      <c r="AI42" s="12"/>
      <c r="AJ42" s="16"/>
      <c r="AK42" s="13"/>
      <c r="AL42" s="16"/>
      <c r="AM42" s="13"/>
      <c r="AN42" s="17" t="str">
        <f t="shared" si="26"/>
        <v/>
      </c>
      <c r="AO42" s="14" t="str">
        <f t="shared" ca="1" si="27"/>
        <v/>
      </c>
      <c r="AP42" s="13"/>
      <c r="AQ42" s="12"/>
      <c r="AR42" s="14" t="str">
        <f>IF($O42="","",1+COUNTIF($O$5:$O$154,"&gt;"&amp;$O42)+COUNTIFS($O$5:$O$154,$O42,$N$5:$N$154,"&gt;"&amp;$N42)+COUNTIFS($O$4:$O41,$O42,$N$4:$N41,$N42))</f>
        <v/>
      </c>
      <c r="AS42" s="62"/>
      <c r="AT42" s="62"/>
      <c r="AU42" s="63" t="str">
        <f t="shared" si="28"/>
        <v/>
      </c>
      <c r="AV42" s="64" t="str">
        <f t="shared" si="29"/>
        <v/>
      </c>
      <c r="AW42" s="129" t="str">
        <f t="shared" si="30"/>
        <v/>
      </c>
      <c r="AX42" s="13"/>
      <c r="AY42" s="16"/>
      <c r="AZ42" s="13"/>
      <c r="BA42" s="13"/>
      <c r="BB42" s="13"/>
      <c r="BC42" s="13"/>
      <c r="BD42" s="13"/>
      <c r="BE42" s="13"/>
      <c r="BF42" s="13"/>
      <c r="BG42" s="13"/>
      <c r="BH42" s="14" t="str">
        <f t="shared" si="31"/>
        <v/>
      </c>
      <c r="BI42" s="14" t="str">
        <f t="shared" si="32"/>
        <v/>
      </c>
      <c r="BJ42" s="14" t="str">
        <f t="shared" si="33"/>
        <v/>
      </c>
      <c r="BK42" s="15" t="str">
        <f t="shared" si="34"/>
        <v/>
      </c>
      <c r="BL42" s="15" t="str">
        <f t="shared" si="35"/>
        <v/>
      </c>
      <c r="BM42" s="13"/>
      <c r="BN42" s="13"/>
      <c r="BO42" s="13"/>
      <c r="BP42" s="13"/>
      <c r="BQ42" s="13"/>
      <c r="BR42" s="14" t="str">
        <f t="shared" si="36"/>
        <v/>
      </c>
      <c r="BS42" s="15" t="str">
        <f t="shared" si="37"/>
        <v/>
      </c>
      <c r="BT42" s="13"/>
    </row>
    <row r="43" spans="1:72">
      <c r="A43" s="115"/>
      <c r="B43" s="12"/>
      <c r="C43" s="13"/>
      <c r="D43" s="13"/>
      <c r="E43" s="12"/>
      <c r="F43" s="12"/>
      <c r="G43" s="13"/>
      <c r="H43" s="12"/>
      <c r="I43" s="13"/>
      <c r="J43" s="13"/>
      <c r="K43" s="13"/>
      <c r="L43" s="13"/>
      <c r="M43" s="12"/>
      <c r="N43" s="12"/>
      <c r="O43" s="14" t="str">
        <f t="shared" si="19"/>
        <v/>
      </c>
      <c r="P43" s="15" t="str">
        <f t="shared" si="20"/>
        <v/>
      </c>
      <c r="Q43" s="13"/>
      <c r="R43" s="13"/>
      <c r="S43" s="13"/>
      <c r="T43" s="13"/>
      <c r="U43" s="15" t="str">
        <f t="shared" si="21"/>
        <v/>
      </c>
      <c r="V43" s="14" t="str">
        <f t="shared" si="22"/>
        <v/>
      </c>
      <c r="W43" s="13"/>
      <c r="X43" s="13"/>
      <c r="Y43" s="13"/>
      <c r="Z43" s="13"/>
      <c r="AA43" s="16"/>
      <c r="AB43" s="12"/>
      <c r="AC43" s="12"/>
      <c r="AD43" s="14" t="str">
        <f t="shared" si="23"/>
        <v/>
      </c>
      <c r="AE43" s="14" t="str">
        <f t="shared" si="24"/>
        <v/>
      </c>
      <c r="AF43" s="17" t="str">
        <f t="shared" si="25"/>
        <v/>
      </c>
      <c r="AG43" s="13"/>
      <c r="AH43" s="16"/>
      <c r="AI43" s="12"/>
      <c r="AJ43" s="16"/>
      <c r="AK43" s="13"/>
      <c r="AL43" s="16"/>
      <c r="AM43" s="13"/>
      <c r="AN43" s="17" t="str">
        <f t="shared" si="26"/>
        <v/>
      </c>
      <c r="AO43" s="14" t="str">
        <f t="shared" ca="1" si="27"/>
        <v/>
      </c>
      <c r="AP43" s="13"/>
      <c r="AQ43" s="12"/>
      <c r="AR43" s="14" t="str">
        <f>IF($O43="","",1+COUNTIF($O$5:$O$154,"&gt;"&amp;$O43)+COUNTIFS($O$5:$O$154,$O43,$N$5:$N$154,"&gt;"&amp;$N43)+COUNTIFS($O$4:$O42,$O43,$N$4:$N42,$N43))</f>
        <v/>
      </c>
      <c r="AS43" s="62"/>
      <c r="AT43" s="62"/>
      <c r="AU43" s="63" t="str">
        <f t="shared" si="28"/>
        <v/>
      </c>
      <c r="AV43" s="64" t="str">
        <f t="shared" si="29"/>
        <v/>
      </c>
      <c r="AW43" s="129" t="str">
        <f t="shared" si="30"/>
        <v/>
      </c>
      <c r="AX43" s="13"/>
      <c r="AY43" s="16"/>
      <c r="AZ43" s="13"/>
      <c r="BA43" s="13"/>
      <c r="BB43" s="13"/>
      <c r="BC43" s="13"/>
      <c r="BD43" s="13"/>
      <c r="BE43" s="13"/>
      <c r="BF43" s="13"/>
      <c r="BG43" s="13"/>
      <c r="BH43" s="14" t="str">
        <f t="shared" si="31"/>
        <v/>
      </c>
      <c r="BI43" s="14" t="str">
        <f t="shared" si="32"/>
        <v/>
      </c>
      <c r="BJ43" s="14" t="str">
        <f t="shared" si="33"/>
        <v/>
      </c>
      <c r="BK43" s="15" t="str">
        <f t="shared" si="34"/>
        <v/>
      </c>
      <c r="BL43" s="15" t="str">
        <f t="shared" si="35"/>
        <v/>
      </c>
      <c r="BM43" s="13"/>
      <c r="BN43" s="13"/>
      <c r="BO43" s="13"/>
      <c r="BP43" s="13"/>
      <c r="BQ43" s="13"/>
      <c r="BR43" s="14" t="str">
        <f t="shared" si="36"/>
        <v/>
      </c>
      <c r="BS43" s="15" t="str">
        <f t="shared" si="37"/>
        <v/>
      </c>
      <c r="BT43" s="13"/>
    </row>
    <row r="44" spans="1:72">
      <c r="A44" s="115"/>
      <c r="B44" s="12"/>
      <c r="C44" s="13"/>
      <c r="D44" s="13"/>
      <c r="E44" s="12"/>
      <c r="F44" s="12"/>
      <c r="G44" s="13"/>
      <c r="H44" s="12"/>
      <c r="I44" s="13"/>
      <c r="J44" s="13"/>
      <c r="K44" s="13"/>
      <c r="L44" s="13"/>
      <c r="M44" s="12"/>
      <c r="N44" s="12"/>
      <c r="O44" s="14" t="str">
        <f t="shared" si="19"/>
        <v/>
      </c>
      <c r="P44" s="15" t="str">
        <f t="shared" si="20"/>
        <v/>
      </c>
      <c r="Q44" s="13"/>
      <c r="R44" s="13"/>
      <c r="S44" s="13"/>
      <c r="T44" s="13"/>
      <c r="U44" s="15" t="str">
        <f t="shared" si="21"/>
        <v/>
      </c>
      <c r="V44" s="14" t="str">
        <f t="shared" si="22"/>
        <v/>
      </c>
      <c r="W44" s="13"/>
      <c r="X44" s="13"/>
      <c r="Y44" s="13"/>
      <c r="Z44" s="13"/>
      <c r="AA44" s="16"/>
      <c r="AB44" s="12"/>
      <c r="AC44" s="12"/>
      <c r="AD44" s="14" t="str">
        <f t="shared" si="23"/>
        <v/>
      </c>
      <c r="AE44" s="14" t="str">
        <f t="shared" si="24"/>
        <v/>
      </c>
      <c r="AF44" s="17" t="str">
        <f t="shared" si="25"/>
        <v/>
      </c>
      <c r="AG44" s="13"/>
      <c r="AH44" s="16"/>
      <c r="AI44" s="12"/>
      <c r="AJ44" s="16"/>
      <c r="AK44" s="13"/>
      <c r="AL44" s="16"/>
      <c r="AM44" s="13"/>
      <c r="AN44" s="17" t="str">
        <f t="shared" si="26"/>
        <v/>
      </c>
      <c r="AO44" s="14" t="str">
        <f t="shared" ca="1" si="27"/>
        <v/>
      </c>
      <c r="AP44" s="13"/>
      <c r="AQ44" s="12"/>
      <c r="AR44" s="14" t="str">
        <f>IF($O44="","",1+COUNTIF($O$5:$O$154,"&gt;"&amp;$O44)+COUNTIFS($O$5:$O$154,$O44,$N$5:$N$154,"&gt;"&amp;$N44)+COUNTIFS($O$4:$O43,$O44,$N$4:$N43,$N44))</f>
        <v/>
      </c>
      <c r="AS44" s="62"/>
      <c r="AT44" s="62"/>
      <c r="AU44" s="63" t="str">
        <f t="shared" si="28"/>
        <v/>
      </c>
      <c r="AV44" s="64" t="str">
        <f t="shared" si="29"/>
        <v/>
      </c>
      <c r="AW44" s="129" t="str">
        <f t="shared" si="30"/>
        <v/>
      </c>
      <c r="AX44" s="13"/>
      <c r="AY44" s="16"/>
      <c r="AZ44" s="13"/>
      <c r="BA44" s="13"/>
      <c r="BB44" s="13"/>
      <c r="BC44" s="13"/>
      <c r="BD44" s="13"/>
      <c r="BE44" s="13"/>
      <c r="BF44" s="13"/>
      <c r="BG44" s="13"/>
      <c r="BH44" s="14" t="str">
        <f t="shared" si="31"/>
        <v/>
      </c>
      <c r="BI44" s="14" t="str">
        <f t="shared" si="32"/>
        <v/>
      </c>
      <c r="BJ44" s="14" t="str">
        <f t="shared" si="33"/>
        <v/>
      </c>
      <c r="BK44" s="15" t="str">
        <f t="shared" si="34"/>
        <v/>
      </c>
      <c r="BL44" s="15" t="str">
        <f t="shared" si="35"/>
        <v/>
      </c>
      <c r="BM44" s="13"/>
      <c r="BN44" s="13"/>
      <c r="BO44" s="13"/>
      <c r="BP44" s="13"/>
      <c r="BQ44" s="13"/>
      <c r="BR44" s="14" t="str">
        <f t="shared" si="36"/>
        <v/>
      </c>
      <c r="BS44" s="15" t="str">
        <f t="shared" si="37"/>
        <v/>
      </c>
      <c r="BT44" s="13"/>
    </row>
    <row r="45" spans="1:72">
      <c r="A45" s="115"/>
      <c r="B45" s="12"/>
      <c r="C45" s="13"/>
      <c r="D45" s="13"/>
      <c r="E45" s="12"/>
      <c r="F45" s="12"/>
      <c r="G45" s="13"/>
      <c r="H45" s="12"/>
      <c r="I45" s="13"/>
      <c r="J45" s="13"/>
      <c r="K45" s="13"/>
      <c r="L45" s="13"/>
      <c r="M45" s="12"/>
      <c r="N45" s="12"/>
      <c r="O45" s="14" t="str">
        <f t="shared" si="19"/>
        <v/>
      </c>
      <c r="P45" s="15" t="str">
        <f t="shared" si="20"/>
        <v/>
      </c>
      <c r="Q45" s="13"/>
      <c r="R45" s="13"/>
      <c r="S45" s="13"/>
      <c r="T45" s="13"/>
      <c r="U45" s="15" t="str">
        <f t="shared" si="21"/>
        <v/>
      </c>
      <c r="V45" s="14" t="str">
        <f t="shared" si="22"/>
        <v/>
      </c>
      <c r="W45" s="13"/>
      <c r="X45" s="13"/>
      <c r="Y45" s="13"/>
      <c r="Z45" s="13"/>
      <c r="AA45" s="16"/>
      <c r="AB45" s="12"/>
      <c r="AC45" s="12"/>
      <c r="AD45" s="14" t="str">
        <f t="shared" si="23"/>
        <v/>
      </c>
      <c r="AE45" s="14" t="str">
        <f t="shared" si="24"/>
        <v/>
      </c>
      <c r="AF45" s="17" t="str">
        <f t="shared" si="25"/>
        <v/>
      </c>
      <c r="AG45" s="13"/>
      <c r="AH45" s="16"/>
      <c r="AI45" s="12"/>
      <c r="AJ45" s="16"/>
      <c r="AK45" s="13"/>
      <c r="AL45" s="16"/>
      <c r="AM45" s="13"/>
      <c r="AN45" s="17" t="str">
        <f t="shared" si="26"/>
        <v/>
      </c>
      <c r="AO45" s="14" t="str">
        <f t="shared" ca="1" si="27"/>
        <v/>
      </c>
      <c r="AP45" s="13"/>
      <c r="AQ45" s="12"/>
      <c r="AR45" s="14" t="str">
        <f>IF($O45="","",1+COUNTIF($O$5:$O$154,"&gt;"&amp;$O45)+COUNTIFS($O$5:$O$154,$O45,$N$5:$N$154,"&gt;"&amp;$N45)+COUNTIFS($O$4:$O44,$O45,$N$4:$N44,$N45))</f>
        <v/>
      </c>
      <c r="AS45" s="62"/>
      <c r="AT45" s="62"/>
      <c r="AU45" s="63" t="str">
        <f t="shared" si="28"/>
        <v/>
      </c>
      <c r="AV45" s="64" t="str">
        <f t="shared" si="29"/>
        <v/>
      </c>
      <c r="AW45" s="129" t="str">
        <f t="shared" si="30"/>
        <v/>
      </c>
      <c r="AX45" s="13"/>
      <c r="AY45" s="16"/>
      <c r="AZ45" s="13"/>
      <c r="BA45" s="13"/>
      <c r="BB45" s="13"/>
      <c r="BC45" s="13"/>
      <c r="BD45" s="13"/>
      <c r="BE45" s="13"/>
      <c r="BF45" s="13"/>
      <c r="BG45" s="13"/>
      <c r="BH45" s="14" t="str">
        <f t="shared" si="31"/>
        <v/>
      </c>
      <c r="BI45" s="14" t="str">
        <f t="shared" si="32"/>
        <v/>
      </c>
      <c r="BJ45" s="14" t="str">
        <f t="shared" si="33"/>
        <v/>
      </c>
      <c r="BK45" s="15" t="str">
        <f t="shared" si="34"/>
        <v/>
      </c>
      <c r="BL45" s="15" t="str">
        <f t="shared" si="35"/>
        <v/>
      </c>
      <c r="BM45" s="13"/>
      <c r="BN45" s="13"/>
      <c r="BO45" s="13"/>
      <c r="BP45" s="13"/>
      <c r="BQ45" s="13"/>
      <c r="BR45" s="14" t="str">
        <f t="shared" si="36"/>
        <v/>
      </c>
      <c r="BS45" s="15" t="str">
        <f t="shared" si="37"/>
        <v/>
      </c>
      <c r="BT45" s="13"/>
    </row>
    <row r="46" spans="1:72">
      <c r="A46" s="115"/>
      <c r="B46" s="12"/>
      <c r="C46" s="13"/>
      <c r="D46" s="13"/>
      <c r="E46" s="12"/>
      <c r="F46" s="12"/>
      <c r="G46" s="13"/>
      <c r="H46" s="12"/>
      <c r="I46" s="13"/>
      <c r="J46" s="13"/>
      <c r="K46" s="13"/>
      <c r="L46" s="13"/>
      <c r="M46" s="12"/>
      <c r="N46" s="12"/>
      <c r="O46" s="14" t="str">
        <f t="shared" si="19"/>
        <v/>
      </c>
      <c r="P46" s="15" t="str">
        <f t="shared" si="20"/>
        <v/>
      </c>
      <c r="Q46" s="13"/>
      <c r="R46" s="13"/>
      <c r="S46" s="13"/>
      <c r="T46" s="13"/>
      <c r="U46" s="15" t="str">
        <f t="shared" si="21"/>
        <v/>
      </c>
      <c r="V46" s="14" t="str">
        <f t="shared" si="22"/>
        <v/>
      </c>
      <c r="W46" s="13"/>
      <c r="X46" s="13"/>
      <c r="Y46" s="13"/>
      <c r="Z46" s="13"/>
      <c r="AA46" s="16"/>
      <c r="AB46" s="12"/>
      <c r="AC46" s="12"/>
      <c r="AD46" s="14" t="str">
        <f t="shared" si="23"/>
        <v/>
      </c>
      <c r="AE46" s="14" t="str">
        <f t="shared" si="24"/>
        <v/>
      </c>
      <c r="AF46" s="17" t="str">
        <f t="shared" si="25"/>
        <v/>
      </c>
      <c r="AG46" s="13"/>
      <c r="AH46" s="16"/>
      <c r="AI46" s="12"/>
      <c r="AJ46" s="16"/>
      <c r="AK46" s="13"/>
      <c r="AL46" s="16"/>
      <c r="AM46" s="13"/>
      <c r="AN46" s="17" t="str">
        <f t="shared" si="26"/>
        <v/>
      </c>
      <c r="AO46" s="14" t="str">
        <f t="shared" ca="1" si="27"/>
        <v/>
      </c>
      <c r="AP46" s="13"/>
      <c r="AQ46" s="12"/>
      <c r="AR46" s="14" t="str">
        <f>IF($O46="","",1+COUNTIF($O$5:$O$154,"&gt;"&amp;$O46)+COUNTIFS($O$5:$O$154,$O46,$N$5:$N$154,"&gt;"&amp;$N46)+COUNTIFS($O$4:$O45,$O46,$N$4:$N45,$N46))</f>
        <v/>
      </c>
      <c r="AS46" s="62"/>
      <c r="AT46" s="62"/>
      <c r="AU46" s="63" t="str">
        <f t="shared" si="28"/>
        <v/>
      </c>
      <c r="AV46" s="64" t="str">
        <f t="shared" si="29"/>
        <v/>
      </c>
      <c r="AW46" s="129" t="str">
        <f t="shared" si="30"/>
        <v/>
      </c>
      <c r="AX46" s="13"/>
      <c r="AY46" s="16"/>
      <c r="AZ46" s="13"/>
      <c r="BA46" s="13"/>
      <c r="BB46" s="13"/>
      <c r="BC46" s="13"/>
      <c r="BD46" s="13"/>
      <c r="BE46" s="13"/>
      <c r="BF46" s="13"/>
      <c r="BG46" s="13"/>
      <c r="BH46" s="14" t="str">
        <f t="shared" si="31"/>
        <v/>
      </c>
      <c r="BI46" s="14" t="str">
        <f t="shared" si="32"/>
        <v/>
      </c>
      <c r="BJ46" s="14" t="str">
        <f t="shared" si="33"/>
        <v/>
      </c>
      <c r="BK46" s="15" t="str">
        <f t="shared" si="34"/>
        <v/>
      </c>
      <c r="BL46" s="15" t="str">
        <f t="shared" si="35"/>
        <v/>
      </c>
      <c r="BM46" s="13"/>
      <c r="BN46" s="13"/>
      <c r="BO46" s="13"/>
      <c r="BP46" s="13"/>
      <c r="BQ46" s="13"/>
      <c r="BR46" s="14" t="str">
        <f t="shared" si="36"/>
        <v/>
      </c>
      <c r="BS46" s="15" t="str">
        <f t="shared" si="37"/>
        <v/>
      </c>
      <c r="BT46" s="13"/>
    </row>
    <row r="47" spans="1:72">
      <c r="A47" s="115"/>
      <c r="B47" s="12"/>
      <c r="C47" s="13"/>
      <c r="D47" s="13"/>
      <c r="E47" s="12"/>
      <c r="F47" s="12"/>
      <c r="G47" s="13"/>
      <c r="H47" s="12"/>
      <c r="I47" s="13"/>
      <c r="J47" s="13"/>
      <c r="K47" s="13"/>
      <c r="L47" s="13"/>
      <c r="M47" s="12"/>
      <c r="N47" s="12"/>
      <c r="O47" s="14" t="str">
        <f t="shared" si="19"/>
        <v/>
      </c>
      <c r="P47" s="15" t="str">
        <f t="shared" si="20"/>
        <v/>
      </c>
      <c r="Q47" s="13"/>
      <c r="R47" s="13"/>
      <c r="S47" s="13"/>
      <c r="T47" s="13"/>
      <c r="U47" s="15" t="str">
        <f t="shared" si="21"/>
        <v/>
      </c>
      <c r="V47" s="14" t="str">
        <f t="shared" si="22"/>
        <v/>
      </c>
      <c r="W47" s="13"/>
      <c r="X47" s="13"/>
      <c r="Y47" s="13"/>
      <c r="Z47" s="13"/>
      <c r="AA47" s="16"/>
      <c r="AB47" s="12"/>
      <c r="AC47" s="12"/>
      <c r="AD47" s="14" t="str">
        <f t="shared" si="23"/>
        <v/>
      </c>
      <c r="AE47" s="14" t="str">
        <f t="shared" si="24"/>
        <v/>
      </c>
      <c r="AF47" s="17" t="str">
        <f t="shared" si="25"/>
        <v/>
      </c>
      <c r="AG47" s="13"/>
      <c r="AH47" s="16"/>
      <c r="AI47" s="12"/>
      <c r="AJ47" s="16"/>
      <c r="AK47" s="13"/>
      <c r="AL47" s="16"/>
      <c r="AM47" s="13"/>
      <c r="AN47" s="17" t="str">
        <f t="shared" si="26"/>
        <v/>
      </c>
      <c r="AO47" s="14" t="str">
        <f t="shared" ca="1" si="27"/>
        <v/>
      </c>
      <c r="AP47" s="13"/>
      <c r="AQ47" s="12"/>
      <c r="AR47" s="14" t="str">
        <f>IF($O47="","",1+COUNTIF($O$5:$O$154,"&gt;"&amp;$O47)+COUNTIFS($O$5:$O$154,$O47,$N$5:$N$154,"&gt;"&amp;$N47)+COUNTIFS($O$4:$O46,$O47,$N$4:$N46,$N47))</f>
        <v/>
      </c>
      <c r="AS47" s="62"/>
      <c r="AT47" s="62"/>
      <c r="AU47" s="63" t="str">
        <f t="shared" si="28"/>
        <v/>
      </c>
      <c r="AV47" s="64" t="str">
        <f t="shared" si="29"/>
        <v/>
      </c>
      <c r="AW47" s="129" t="str">
        <f t="shared" si="30"/>
        <v/>
      </c>
      <c r="AX47" s="13"/>
      <c r="AY47" s="16"/>
      <c r="AZ47" s="13"/>
      <c r="BA47" s="13"/>
      <c r="BB47" s="13"/>
      <c r="BC47" s="13"/>
      <c r="BD47" s="13"/>
      <c r="BE47" s="13"/>
      <c r="BF47" s="13"/>
      <c r="BG47" s="13"/>
      <c r="BH47" s="14" t="str">
        <f t="shared" si="31"/>
        <v/>
      </c>
      <c r="BI47" s="14" t="str">
        <f t="shared" si="32"/>
        <v/>
      </c>
      <c r="BJ47" s="14" t="str">
        <f t="shared" si="33"/>
        <v/>
      </c>
      <c r="BK47" s="15" t="str">
        <f t="shared" si="34"/>
        <v/>
      </c>
      <c r="BL47" s="15" t="str">
        <f t="shared" si="35"/>
        <v/>
      </c>
      <c r="BM47" s="13"/>
      <c r="BN47" s="13"/>
      <c r="BO47" s="13"/>
      <c r="BP47" s="13"/>
      <c r="BQ47" s="13"/>
      <c r="BR47" s="14" t="str">
        <f t="shared" si="36"/>
        <v/>
      </c>
      <c r="BS47" s="15" t="str">
        <f t="shared" si="37"/>
        <v/>
      </c>
      <c r="BT47" s="13"/>
    </row>
    <row r="48" spans="1:72">
      <c r="A48" s="115"/>
      <c r="B48" s="12"/>
      <c r="C48" s="13"/>
      <c r="D48" s="13"/>
      <c r="E48" s="12"/>
      <c r="F48" s="12"/>
      <c r="G48" s="13"/>
      <c r="H48" s="12"/>
      <c r="I48" s="13"/>
      <c r="J48" s="13"/>
      <c r="K48" s="13"/>
      <c r="L48" s="13"/>
      <c r="M48" s="12"/>
      <c r="N48" s="12"/>
      <c r="O48" s="14" t="str">
        <f t="shared" si="19"/>
        <v/>
      </c>
      <c r="P48" s="15" t="str">
        <f t="shared" si="20"/>
        <v/>
      </c>
      <c r="Q48" s="13"/>
      <c r="R48" s="13"/>
      <c r="S48" s="13"/>
      <c r="T48" s="13"/>
      <c r="U48" s="15" t="str">
        <f t="shared" si="21"/>
        <v/>
      </c>
      <c r="V48" s="14" t="str">
        <f t="shared" si="22"/>
        <v/>
      </c>
      <c r="W48" s="13"/>
      <c r="X48" s="13"/>
      <c r="Y48" s="13"/>
      <c r="Z48" s="13"/>
      <c r="AA48" s="16"/>
      <c r="AB48" s="12"/>
      <c r="AC48" s="12"/>
      <c r="AD48" s="14" t="str">
        <f t="shared" si="23"/>
        <v/>
      </c>
      <c r="AE48" s="14" t="str">
        <f t="shared" si="24"/>
        <v/>
      </c>
      <c r="AF48" s="17" t="str">
        <f t="shared" si="25"/>
        <v/>
      </c>
      <c r="AG48" s="13"/>
      <c r="AH48" s="16"/>
      <c r="AI48" s="12"/>
      <c r="AJ48" s="16"/>
      <c r="AK48" s="13"/>
      <c r="AL48" s="16"/>
      <c r="AM48" s="13"/>
      <c r="AN48" s="17" t="str">
        <f t="shared" si="26"/>
        <v/>
      </c>
      <c r="AO48" s="14" t="str">
        <f t="shared" ca="1" si="27"/>
        <v/>
      </c>
      <c r="AP48" s="13"/>
      <c r="AQ48" s="12"/>
      <c r="AR48" s="14" t="str">
        <f>IF($O48="","",1+COUNTIF($O$5:$O$154,"&gt;"&amp;$O48)+COUNTIFS($O$5:$O$154,$O48,$N$5:$N$154,"&gt;"&amp;$N48)+COUNTIFS($O$4:$O47,$O48,$N$4:$N47,$N48))</f>
        <v/>
      </c>
      <c r="AS48" s="62"/>
      <c r="AT48" s="62"/>
      <c r="AU48" s="63" t="str">
        <f t="shared" si="28"/>
        <v/>
      </c>
      <c r="AV48" s="64" t="str">
        <f t="shared" si="29"/>
        <v/>
      </c>
      <c r="AW48" s="129" t="str">
        <f t="shared" si="30"/>
        <v/>
      </c>
      <c r="AX48" s="13"/>
      <c r="AY48" s="16"/>
      <c r="AZ48" s="13"/>
      <c r="BA48" s="13"/>
      <c r="BB48" s="13"/>
      <c r="BC48" s="13"/>
      <c r="BD48" s="13"/>
      <c r="BE48" s="13"/>
      <c r="BF48" s="13"/>
      <c r="BG48" s="13"/>
      <c r="BH48" s="14" t="str">
        <f t="shared" si="31"/>
        <v/>
      </c>
      <c r="BI48" s="14" t="str">
        <f t="shared" si="32"/>
        <v/>
      </c>
      <c r="BJ48" s="14" t="str">
        <f t="shared" si="33"/>
        <v/>
      </c>
      <c r="BK48" s="15" t="str">
        <f t="shared" si="34"/>
        <v/>
      </c>
      <c r="BL48" s="15" t="str">
        <f t="shared" si="35"/>
        <v/>
      </c>
      <c r="BM48" s="13"/>
      <c r="BN48" s="13"/>
      <c r="BO48" s="13"/>
      <c r="BP48" s="13"/>
      <c r="BQ48" s="13"/>
      <c r="BR48" s="14" t="str">
        <f t="shared" si="36"/>
        <v/>
      </c>
      <c r="BS48" s="15" t="str">
        <f t="shared" si="37"/>
        <v/>
      </c>
      <c r="BT48" s="13"/>
    </row>
    <row r="49" spans="1:72">
      <c r="A49" s="115"/>
      <c r="B49" s="12"/>
      <c r="C49" s="13"/>
      <c r="D49" s="13"/>
      <c r="E49" s="12"/>
      <c r="F49" s="12"/>
      <c r="G49" s="13"/>
      <c r="H49" s="12"/>
      <c r="I49" s="13"/>
      <c r="J49" s="13"/>
      <c r="K49" s="13"/>
      <c r="L49" s="13"/>
      <c r="M49" s="12"/>
      <c r="N49" s="12"/>
      <c r="O49" s="14" t="str">
        <f t="shared" si="19"/>
        <v/>
      </c>
      <c r="P49" s="15" t="str">
        <f t="shared" si="20"/>
        <v/>
      </c>
      <c r="Q49" s="13"/>
      <c r="R49" s="13"/>
      <c r="S49" s="13"/>
      <c r="T49" s="13"/>
      <c r="U49" s="15" t="str">
        <f t="shared" si="21"/>
        <v/>
      </c>
      <c r="V49" s="14" t="str">
        <f t="shared" si="22"/>
        <v/>
      </c>
      <c r="W49" s="13"/>
      <c r="X49" s="13"/>
      <c r="Y49" s="13"/>
      <c r="Z49" s="13"/>
      <c r="AA49" s="16"/>
      <c r="AB49" s="12"/>
      <c r="AC49" s="12"/>
      <c r="AD49" s="14" t="str">
        <f t="shared" si="23"/>
        <v/>
      </c>
      <c r="AE49" s="14" t="str">
        <f t="shared" si="24"/>
        <v/>
      </c>
      <c r="AF49" s="17" t="str">
        <f t="shared" si="25"/>
        <v/>
      </c>
      <c r="AG49" s="13"/>
      <c r="AH49" s="16"/>
      <c r="AI49" s="12"/>
      <c r="AJ49" s="16"/>
      <c r="AK49" s="13"/>
      <c r="AL49" s="16"/>
      <c r="AM49" s="13"/>
      <c r="AN49" s="17" t="str">
        <f t="shared" si="26"/>
        <v/>
      </c>
      <c r="AO49" s="14" t="str">
        <f t="shared" ca="1" si="27"/>
        <v/>
      </c>
      <c r="AP49" s="13"/>
      <c r="AQ49" s="12"/>
      <c r="AR49" s="14" t="str">
        <f>IF($O49="","",1+COUNTIF($O$5:$O$154,"&gt;"&amp;$O49)+COUNTIFS($O$5:$O$154,$O49,$N$5:$N$154,"&gt;"&amp;$N49)+COUNTIFS($O$4:$O48,$O49,$N$4:$N48,$N49))</f>
        <v/>
      </c>
      <c r="AS49" s="62"/>
      <c r="AT49" s="62"/>
      <c r="AU49" s="63" t="str">
        <f t="shared" si="28"/>
        <v/>
      </c>
      <c r="AV49" s="64" t="str">
        <f t="shared" si="29"/>
        <v/>
      </c>
      <c r="AW49" s="129" t="str">
        <f t="shared" si="30"/>
        <v/>
      </c>
      <c r="AX49" s="13"/>
      <c r="AY49" s="16"/>
      <c r="AZ49" s="13"/>
      <c r="BA49" s="13"/>
      <c r="BB49" s="13"/>
      <c r="BC49" s="13"/>
      <c r="BD49" s="13"/>
      <c r="BE49" s="13"/>
      <c r="BF49" s="13"/>
      <c r="BG49" s="13"/>
      <c r="BH49" s="14" t="str">
        <f t="shared" si="31"/>
        <v/>
      </c>
      <c r="BI49" s="14" t="str">
        <f t="shared" si="32"/>
        <v/>
      </c>
      <c r="BJ49" s="14" t="str">
        <f t="shared" si="33"/>
        <v/>
      </c>
      <c r="BK49" s="15" t="str">
        <f t="shared" si="34"/>
        <v/>
      </c>
      <c r="BL49" s="15" t="str">
        <f t="shared" si="35"/>
        <v/>
      </c>
      <c r="BM49" s="13"/>
      <c r="BN49" s="13"/>
      <c r="BO49" s="13"/>
      <c r="BP49" s="13"/>
      <c r="BQ49" s="13"/>
      <c r="BR49" s="14" t="str">
        <f t="shared" si="36"/>
        <v/>
      </c>
      <c r="BS49" s="15" t="str">
        <f t="shared" si="37"/>
        <v/>
      </c>
      <c r="BT49" s="13"/>
    </row>
    <row r="50" spans="1:72">
      <c r="A50" s="115"/>
      <c r="B50" s="12"/>
      <c r="C50" s="13"/>
      <c r="D50" s="13"/>
      <c r="E50" s="12"/>
      <c r="F50" s="12"/>
      <c r="G50" s="13"/>
      <c r="H50" s="12"/>
      <c r="I50" s="13"/>
      <c r="J50" s="13"/>
      <c r="K50" s="13"/>
      <c r="L50" s="13"/>
      <c r="M50" s="12"/>
      <c r="N50" s="12"/>
      <c r="O50" s="14" t="str">
        <f t="shared" si="19"/>
        <v/>
      </c>
      <c r="P50" s="15" t="str">
        <f t="shared" si="20"/>
        <v/>
      </c>
      <c r="Q50" s="13"/>
      <c r="R50" s="13"/>
      <c r="S50" s="13"/>
      <c r="T50" s="13"/>
      <c r="U50" s="15" t="str">
        <f t="shared" si="21"/>
        <v/>
      </c>
      <c r="V50" s="14" t="str">
        <f t="shared" si="22"/>
        <v/>
      </c>
      <c r="W50" s="13"/>
      <c r="X50" s="13"/>
      <c r="Y50" s="13"/>
      <c r="Z50" s="13"/>
      <c r="AA50" s="16"/>
      <c r="AB50" s="12"/>
      <c r="AC50" s="12"/>
      <c r="AD50" s="14" t="str">
        <f t="shared" si="23"/>
        <v/>
      </c>
      <c r="AE50" s="14" t="str">
        <f t="shared" si="24"/>
        <v/>
      </c>
      <c r="AF50" s="17" t="str">
        <f t="shared" si="25"/>
        <v/>
      </c>
      <c r="AG50" s="13"/>
      <c r="AH50" s="16"/>
      <c r="AI50" s="12"/>
      <c r="AJ50" s="16"/>
      <c r="AK50" s="13"/>
      <c r="AL50" s="16"/>
      <c r="AM50" s="13"/>
      <c r="AN50" s="17" t="str">
        <f t="shared" si="26"/>
        <v/>
      </c>
      <c r="AO50" s="14" t="str">
        <f t="shared" ca="1" si="27"/>
        <v/>
      </c>
      <c r="AP50" s="13"/>
      <c r="AQ50" s="12"/>
      <c r="AR50" s="14" t="str">
        <f>IF($O50="","",1+COUNTIF($O$5:$O$154,"&gt;"&amp;$O50)+COUNTIFS($O$5:$O$154,$O50,$N$5:$N$154,"&gt;"&amp;$N50)+COUNTIFS($O$4:$O49,$O50,$N$4:$N49,$N50))</f>
        <v/>
      </c>
      <c r="AS50" s="62"/>
      <c r="AT50" s="62"/>
      <c r="AU50" s="63" t="str">
        <f t="shared" si="28"/>
        <v/>
      </c>
      <c r="AV50" s="64" t="str">
        <f t="shared" si="29"/>
        <v/>
      </c>
      <c r="AW50" s="129" t="str">
        <f t="shared" si="30"/>
        <v/>
      </c>
      <c r="AX50" s="13"/>
      <c r="AY50" s="16"/>
      <c r="AZ50" s="13"/>
      <c r="BA50" s="13"/>
      <c r="BB50" s="13"/>
      <c r="BC50" s="13"/>
      <c r="BD50" s="13"/>
      <c r="BE50" s="13"/>
      <c r="BF50" s="13"/>
      <c r="BG50" s="13"/>
      <c r="BH50" s="14" t="str">
        <f t="shared" si="31"/>
        <v/>
      </c>
      <c r="BI50" s="14" t="str">
        <f t="shared" si="32"/>
        <v/>
      </c>
      <c r="BJ50" s="14" t="str">
        <f t="shared" si="33"/>
        <v/>
      </c>
      <c r="BK50" s="15" t="str">
        <f t="shared" si="34"/>
        <v/>
      </c>
      <c r="BL50" s="15" t="str">
        <f t="shared" si="35"/>
        <v/>
      </c>
      <c r="BM50" s="13"/>
      <c r="BN50" s="13"/>
      <c r="BO50" s="13"/>
      <c r="BP50" s="13"/>
      <c r="BQ50" s="13"/>
      <c r="BR50" s="14" t="str">
        <f t="shared" si="36"/>
        <v/>
      </c>
      <c r="BS50" s="15" t="str">
        <f t="shared" si="37"/>
        <v/>
      </c>
      <c r="BT50" s="13"/>
    </row>
    <row r="51" spans="1:72">
      <c r="A51" s="115"/>
      <c r="B51" s="12"/>
      <c r="C51" s="13"/>
      <c r="D51" s="13"/>
      <c r="E51" s="12"/>
      <c r="F51" s="12"/>
      <c r="G51" s="13"/>
      <c r="H51" s="12"/>
      <c r="I51" s="13"/>
      <c r="J51" s="13"/>
      <c r="K51" s="13"/>
      <c r="L51" s="13"/>
      <c r="M51" s="12"/>
      <c r="N51" s="12"/>
      <c r="O51" s="14" t="str">
        <f t="shared" si="19"/>
        <v/>
      </c>
      <c r="P51" s="15" t="str">
        <f t="shared" si="20"/>
        <v/>
      </c>
      <c r="Q51" s="13"/>
      <c r="R51" s="13"/>
      <c r="S51" s="13"/>
      <c r="T51" s="13"/>
      <c r="U51" s="15" t="str">
        <f t="shared" si="21"/>
        <v/>
      </c>
      <c r="V51" s="14" t="str">
        <f t="shared" si="22"/>
        <v/>
      </c>
      <c r="W51" s="13"/>
      <c r="X51" s="13"/>
      <c r="Y51" s="13"/>
      <c r="Z51" s="13"/>
      <c r="AA51" s="16"/>
      <c r="AB51" s="12"/>
      <c r="AC51" s="12"/>
      <c r="AD51" s="14" t="str">
        <f t="shared" si="23"/>
        <v/>
      </c>
      <c r="AE51" s="14" t="str">
        <f t="shared" si="24"/>
        <v/>
      </c>
      <c r="AF51" s="17" t="str">
        <f t="shared" si="25"/>
        <v/>
      </c>
      <c r="AG51" s="13"/>
      <c r="AH51" s="16"/>
      <c r="AI51" s="12"/>
      <c r="AJ51" s="16"/>
      <c r="AK51" s="13"/>
      <c r="AL51" s="16"/>
      <c r="AM51" s="13"/>
      <c r="AN51" s="17" t="str">
        <f t="shared" si="26"/>
        <v/>
      </c>
      <c r="AO51" s="14" t="str">
        <f t="shared" ca="1" si="27"/>
        <v/>
      </c>
      <c r="AP51" s="13"/>
      <c r="AQ51" s="12"/>
      <c r="AR51" s="14" t="str">
        <f>IF($O51="","",1+COUNTIF($O$5:$O$154,"&gt;"&amp;$O51)+COUNTIFS($O$5:$O$154,$O51,$N$5:$N$154,"&gt;"&amp;$N51)+COUNTIFS($O$4:$O50,$O51,$N$4:$N50,$N51))</f>
        <v/>
      </c>
      <c r="AS51" s="62"/>
      <c r="AT51" s="62"/>
      <c r="AU51" s="63" t="str">
        <f t="shared" si="28"/>
        <v/>
      </c>
      <c r="AV51" s="64" t="str">
        <f t="shared" si="29"/>
        <v/>
      </c>
      <c r="AW51" s="129" t="str">
        <f t="shared" si="30"/>
        <v/>
      </c>
      <c r="AX51" s="13"/>
      <c r="AY51" s="16"/>
      <c r="AZ51" s="13"/>
      <c r="BA51" s="13"/>
      <c r="BB51" s="13"/>
      <c r="BC51" s="13"/>
      <c r="BD51" s="13"/>
      <c r="BE51" s="13"/>
      <c r="BF51" s="13"/>
      <c r="BG51" s="13"/>
      <c r="BH51" s="14" t="str">
        <f t="shared" si="31"/>
        <v/>
      </c>
      <c r="BI51" s="14" t="str">
        <f t="shared" si="32"/>
        <v/>
      </c>
      <c r="BJ51" s="14" t="str">
        <f t="shared" si="33"/>
        <v/>
      </c>
      <c r="BK51" s="15" t="str">
        <f t="shared" si="34"/>
        <v/>
      </c>
      <c r="BL51" s="15" t="str">
        <f t="shared" si="35"/>
        <v/>
      </c>
      <c r="BM51" s="13"/>
      <c r="BN51" s="13"/>
      <c r="BO51" s="13"/>
      <c r="BP51" s="13"/>
      <c r="BQ51" s="13"/>
      <c r="BR51" s="14" t="str">
        <f t="shared" si="36"/>
        <v/>
      </c>
      <c r="BS51" s="15" t="str">
        <f t="shared" si="37"/>
        <v/>
      </c>
      <c r="BT51" s="13"/>
    </row>
    <row r="52" spans="1:72">
      <c r="A52" s="115"/>
      <c r="B52" s="12"/>
      <c r="C52" s="13"/>
      <c r="D52" s="13"/>
      <c r="E52" s="12"/>
      <c r="F52" s="12"/>
      <c r="G52" s="13"/>
      <c r="H52" s="12"/>
      <c r="I52" s="13"/>
      <c r="J52" s="13"/>
      <c r="K52" s="13"/>
      <c r="L52" s="13"/>
      <c r="M52" s="12"/>
      <c r="N52" s="12"/>
      <c r="O52" s="14" t="str">
        <f t="shared" si="19"/>
        <v/>
      </c>
      <c r="P52" s="15" t="str">
        <f t="shared" si="20"/>
        <v/>
      </c>
      <c r="Q52" s="13"/>
      <c r="R52" s="13"/>
      <c r="S52" s="13"/>
      <c r="T52" s="13"/>
      <c r="U52" s="15" t="str">
        <f t="shared" si="21"/>
        <v/>
      </c>
      <c r="V52" s="14" t="str">
        <f t="shared" si="22"/>
        <v/>
      </c>
      <c r="W52" s="13"/>
      <c r="X52" s="13"/>
      <c r="Y52" s="13"/>
      <c r="Z52" s="13"/>
      <c r="AA52" s="16"/>
      <c r="AB52" s="12"/>
      <c r="AC52" s="12"/>
      <c r="AD52" s="14" t="str">
        <f t="shared" si="23"/>
        <v/>
      </c>
      <c r="AE52" s="14" t="str">
        <f t="shared" si="24"/>
        <v/>
      </c>
      <c r="AF52" s="17" t="str">
        <f t="shared" si="25"/>
        <v/>
      </c>
      <c r="AG52" s="13"/>
      <c r="AH52" s="16"/>
      <c r="AI52" s="12"/>
      <c r="AJ52" s="16"/>
      <c r="AK52" s="13"/>
      <c r="AL52" s="16"/>
      <c r="AM52" s="13"/>
      <c r="AN52" s="17" t="str">
        <f t="shared" si="26"/>
        <v/>
      </c>
      <c r="AO52" s="14" t="str">
        <f t="shared" ca="1" si="27"/>
        <v/>
      </c>
      <c r="AP52" s="13"/>
      <c r="AQ52" s="12"/>
      <c r="AR52" s="14" t="str">
        <f>IF($O52="","",1+COUNTIF($O$5:$O$154,"&gt;"&amp;$O52)+COUNTIFS($O$5:$O$154,$O52,$N$5:$N$154,"&gt;"&amp;$N52)+COUNTIFS($O$4:$O51,$O52,$N$4:$N51,$N52))</f>
        <v/>
      </c>
      <c r="AS52" s="62"/>
      <c r="AT52" s="62"/>
      <c r="AU52" s="63" t="str">
        <f t="shared" si="28"/>
        <v/>
      </c>
      <c r="AV52" s="64" t="str">
        <f t="shared" si="29"/>
        <v/>
      </c>
      <c r="AW52" s="129" t="str">
        <f t="shared" si="30"/>
        <v/>
      </c>
      <c r="AX52" s="13"/>
      <c r="AY52" s="16"/>
      <c r="AZ52" s="13"/>
      <c r="BA52" s="13"/>
      <c r="BB52" s="13"/>
      <c r="BC52" s="13"/>
      <c r="BD52" s="13"/>
      <c r="BE52" s="13"/>
      <c r="BF52" s="13"/>
      <c r="BG52" s="13"/>
      <c r="BH52" s="14" t="str">
        <f t="shared" si="31"/>
        <v/>
      </c>
      <c r="BI52" s="14" t="str">
        <f t="shared" si="32"/>
        <v/>
      </c>
      <c r="BJ52" s="14" t="str">
        <f t="shared" si="33"/>
        <v/>
      </c>
      <c r="BK52" s="15" t="str">
        <f t="shared" si="34"/>
        <v/>
      </c>
      <c r="BL52" s="15" t="str">
        <f t="shared" si="35"/>
        <v/>
      </c>
      <c r="BM52" s="13"/>
      <c r="BN52" s="13"/>
      <c r="BO52" s="13"/>
      <c r="BP52" s="13"/>
      <c r="BQ52" s="13"/>
      <c r="BR52" s="14" t="str">
        <f t="shared" si="36"/>
        <v/>
      </c>
      <c r="BS52" s="15" t="str">
        <f t="shared" si="37"/>
        <v/>
      </c>
      <c r="BT52" s="13"/>
    </row>
    <row r="53" spans="1:72">
      <c r="A53" s="115"/>
      <c r="B53" s="12"/>
      <c r="C53" s="13"/>
      <c r="D53" s="13"/>
      <c r="E53" s="12"/>
      <c r="F53" s="12"/>
      <c r="G53" s="13"/>
      <c r="H53" s="12"/>
      <c r="I53" s="13"/>
      <c r="J53" s="13"/>
      <c r="K53" s="13"/>
      <c r="L53" s="13"/>
      <c r="M53" s="12"/>
      <c r="N53" s="12"/>
      <c r="O53" s="14" t="str">
        <f t="shared" si="19"/>
        <v/>
      </c>
      <c r="P53" s="15" t="str">
        <f t="shared" si="20"/>
        <v/>
      </c>
      <c r="Q53" s="13"/>
      <c r="R53" s="13"/>
      <c r="S53" s="13"/>
      <c r="T53" s="13"/>
      <c r="U53" s="15" t="str">
        <f t="shared" si="21"/>
        <v/>
      </c>
      <c r="V53" s="14" t="str">
        <f t="shared" si="22"/>
        <v/>
      </c>
      <c r="W53" s="13"/>
      <c r="X53" s="13"/>
      <c r="Y53" s="13"/>
      <c r="Z53" s="13"/>
      <c r="AA53" s="16"/>
      <c r="AB53" s="12"/>
      <c r="AC53" s="12"/>
      <c r="AD53" s="14" t="str">
        <f t="shared" si="23"/>
        <v/>
      </c>
      <c r="AE53" s="14" t="str">
        <f t="shared" si="24"/>
        <v/>
      </c>
      <c r="AF53" s="17" t="str">
        <f t="shared" si="25"/>
        <v/>
      </c>
      <c r="AG53" s="13"/>
      <c r="AH53" s="16"/>
      <c r="AI53" s="12"/>
      <c r="AJ53" s="16"/>
      <c r="AK53" s="13"/>
      <c r="AL53" s="16"/>
      <c r="AM53" s="13"/>
      <c r="AN53" s="17" t="str">
        <f t="shared" si="26"/>
        <v/>
      </c>
      <c r="AO53" s="14" t="str">
        <f t="shared" ca="1" si="27"/>
        <v/>
      </c>
      <c r="AP53" s="13"/>
      <c r="AQ53" s="12"/>
      <c r="AR53" s="14" t="str">
        <f>IF($O53="","",1+COUNTIF($O$5:$O$154,"&gt;"&amp;$O53)+COUNTIFS($O$5:$O$154,$O53,$N$5:$N$154,"&gt;"&amp;$N53)+COUNTIFS($O$4:$O52,$O53,$N$4:$N52,$N53))</f>
        <v/>
      </c>
      <c r="AS53" s="62"/>
      <c r="AT53" s="62"/>
      <c r="AU53" s="63" t="str">
        <f t="shared" si="28"/>
        <v/>
      </c>
      <c r="AV53" s="64" t="str">
        <f t="shared" si="29"/>
        <v/>
      </c>
      <c r="AW53" s="129" t="str">
        <f t="shared" si="30"/>
        <v/>
      </c>
      <c r="AX53" s="13"/>
      <c r="AY53" s="16"/>
      <c r="AZ53" s="13"/>
      <c r="BA53" s="13"/>
      <c r="BB53" s="13"/>
      <c r="BC53" s="13"/>
      <c r="BD53" s="13"/>
      <c r="BE53" s="13"/>
      <c r="BF53" s="13"/>
      <c r="BG53" s="13"/>
      <c r="BH53" s="14" t="str">
        <f t="shared" si="31"/>
        <v/>
      </c>
      <c r="BI53" s="14" t="str">
        <f t="shared" si="32"/>
        <v/>
      </c>
      <c r="BJ53" s="14" t="str">
        <f t="shared" si="33"/>
        <v/>
      </c>
      <c r="BK53" s="15" t="str">
        <f t="shared" si="34"/>
        <v/>
      </c>
      <c r="BL53" s="15" t="str">
        <f t="shared" si="35"/>
        <v/>
      </c>
      <c r="BM53" s="13"/>
      <c r="BN53" s="13"/>
      <c r="BO53" s="13"/>
      <c r="BP53" s="13"/>
      <c r="BQ53" s="13"/>
      <c r="BR53" s="14" t="str">
        <f t="shared" si="36"/>
        <v/>
      </c>
      <c r="BS53" s="15" t="str">
        <f t="shared" si="37"/>
        <v/>
      </c>
      <c r="BT53" s="13"/>
    </row>
    <row r="54" spans="1:72">
      <c r="A54" s="115"/>
      <c r="B54" s="12"/>
      <c r="C54" s="13"/>
      <c r="D54" s="13"/>
      <c r="E54" s="12"/>
      <c r="F54" s="12"/>
      <c r="G54" s="13"/>
      <c r="H54" s="12"/>
      <c r="I54" s="13"/>
      <c r="J54" s="13"/>
      <c r="K54" s="13"/>
      <c r="L54" s="13"/>
      <c r="M54" s="12"/>
      <c r="N54" s="12"/>
      <c r="O54" s="14" t="str">
        <f t="shared" si="19"/>
        <v/>
      </c>
      <c r="P54" s="15" t="str">
        <f t="shared" si="20"/>
        <v/>
      </c>
      <c r="Q54" s="13"/>
      <c r="R54" s="13"/>
      <c r="S54" s="13"/>
      <c r="T54" s="13"/>
      <c r="U54" s="15" t="str">
        <f t="shared" si="21"/>
        <v/>
      </c>
      <c r="V54" s="14" t="str">
        <f t="shared" si="22"/>
        <v/>
      </c>
      <c r="W54" s="13"/>
      <c r="X54" s="13"/>
      <c r="Y54" s="13"/>
      <c r="Z54" s="13"/>
      <c r="AA54" s="16"/>
      <c r="AB54" s="12"/>
      <c r="AC54" s="12"/>
      <c r="AD54" s="14" t="str">
        <f t="shared" si="23"/>
        <v/>
      </c>
      <c r="AE54" s="14" t="str">
        <f t="shared" si="24"/>
        <v/>
      </c>
      <c r="AF54" s="17" t="str">
        <f t="shared" si="25"/>
        <v/>
      </c>
      <c r="AG54" s="13"/>
      <c r="AH54" s="16"/>
      <c r="AI54" s="12"/>
      <c r="AJ54" s="16"/>
      <c r="AK54" s="13"/>
      <c r="AL54" s="16"/>
      <c r="AM54" s="13"/>
      <c r="AN54" s="17" t="str">
        <f t="shared" si="26"/>
        <v/>
      </c>
      <c r="AO54" s="14" t="str">
        <f t="shared" ca="1" si="27"/>
        <v/>
      </c>
      <c r="AP54" s="13"/>
      <c r="AQ54" s="12"/>
      <c r="AR54" s="14" t="str">
        <f>IF($O54="","",1+COUNTIF($O$5:$O$154,"&gt;"&amp;$O54)+COUNTIFS($O$5:$O$154,$O54,$N$5:$N$154,"&gt;"&amp;$N54)+COUNTIFS($O$4:$O53,$O54,$N$4:$N53,$N54))</f>
        <v/>
      </c>
      <c r="AS54" s="62"/>
      <c r="AT54" s="62"/>
      <c r="AU54" s="63" t="str">
        <f t="shared" si="28"/>
        <v/>
      </c>
      <c r="AV54" s="64" t="str">
        <f t="shared" si="29"/>
        <v/>
      </c>
      <c r="AW54" s="129" t="str">
        <f t="shared" si="30"/>
        <v/>
      </c>
      <c r="AX54" s="13"/>
      <c r="AY54" s="16"/>
      <c r="AZ54" s="13"/>
      <c r="BA54" s="13"/>
      <c r="BB54" s="13"/>
      <c r="BC54" s="13"/>
      <c r="BD54" s="13"/>
      <c r="BE54" s="13"/>
      <c r="BF54" s="13"/>
      <c r="BG54" s="13"/>
      <c r="BH54" s="14" t="str">
        <f t="shared" si="31"/>
        <v/>
      </c>
      <c r="BI54" s="14" t="str">
        <f t="shared" si="32"/>
        <v/>
      </c>
      <c r="BJ54" s="14" t="str">
        <f t="shared" si="33"/>
        <v/>
      </c>
      <c r="BK54" s="15" t="str">
        <f t="shared" si="34"/>
        <v/>
      </c>
      <c r="BL54" s="15" t="str">
        <f t="shared" si="35"/>
        <v/>
      </c>
      <c r="BM54" s="13"/>
      <c r="BN54" s="13"/>
      <c r="BO54" s="13"/>
      <c r="BP54" s="13"/>
      <c r="BQ54" s="13"/>
      <c r="BR54" s="14" t="str">
        <f t="shared" si="36"/>
        <v/>
      </c>
      <c r="BS54" s="15" t="str">
        <f t="shared" si="37"/>
        <v/>
      </c>
      <c r="BT54" s="13"/>
    </row>
    <row r="55" spans="1:72">
      <c r="A55" s="115"/>
      <c r="B55" s="12"/>
      <c r="C55" s="13"/>
      <c r="D55" s="13"/>
      <c r="E55" s="12"/>
      <c r="F55" s="12"/>
      <c r="G55" s="13"/>
      <c r="H55" s="12"/>
      <c r="I55" s="13"/>
      <c r="J55" s="13"/>
      <c r="K55" s="13"/>
      <c r="L55" s="13"/>
      <c r="M55" s="12"/>
      <c r="N55" s="12"/>
      <c r="O55" s="14" t="str">
        <f t="shared" si="19"/>
        <v/>
      </c>
      <c r="P55" s="15" t="str">
        <f t="shared" si="20"/>
        <v/>
      </c>
      <c r="Q55" s="13"/>
      <c r="R55" s="13"/>
      <c r="S55" s="13"/>
      <c r="T55" s="13"/>
      <c r="U55" s="15" t="str">
        <f t="shared" si="21"/>
        <v/>
      </c>
      <c r="V55" s="14" t="str">
        <f t="shared" si="22"/>
        <v/>
      </c>
      <c r="W55" s="13"/>
      <c r="X55" s="13"/>
      <c r="Y55" s="13"/>
      <c r="Z55" s="13"/>
      <c r="AA55" s="16"/>
      <c r="AB55" s="12"/>
      <c r="AC55" s="12"/>
      <c r="AD55" s="14" t="str">
        <f t="shared" si="23"/>
        <v/>
      </c>
      <c r="AE55" s="14" t="str">
        <f t="shared" si="24"/>
        <v/>
      </c>
      <c r="AF55" s="17" t="str">
        <f t="shared" si="25"/>
        <v/>
      </c>
      <c r="AG55" s="13"/>
      <c r="AH55" s="16"/>
      <c r="AI55" s="12"/>
      <c r="AJ55" s="16"/>
      <c r="AK55" s="13"/>
      <c r="AL55" s="16"/>
      <c r="AM55" s="13"/>
      <c r="AN55" s="17" t="str">
        <f t="shared" si="26"/>
        <v/>
      </c>
      <c r="AO55" s="14" t="str">
        <f t="shared" ca="1" si="27"/>
        <v/>
      </c>
      <c r="AP55" s="13"/>
      <c r="AQ55" s="12"/>
      <c r="AR55" s="14" t="str">
        <f>IF($O55="","",1+COUNTIF($O$5:$O$154,"&gt;"&amp;$O55)+COUNTIFS($O$5:$O$154,$O55,$N$5:$N$154,"&gt;"&amp;$N55)+COUNTIFS($O$4:$O54,$O55,$N$4:$N54,$N55))</f>
        <v/>
      </c>
      <c r="AS55" s="62"/>
      <c r="AT55" s="62"/>
      <c r="AU55" s="63" t="str">
        <f t="shared" si="28"/>
        <v/>
      </c>
      <c r="AV55" s="64" t="str">
        <f t="shared" si="29"/>
        <v/>
      </c>
      <c r="AW55" s="129" t="str">
        <f t="shared" si="30"/>
        <v/>
      </c>
      <c r="AX55" s="13"/>
      <c r="AY55" s="16"/>
      <c r="AZ55" s="13"/>
      <c r="BA55" s="13"/>
      <c r="BB55" s="13"/>
      <c r="BC55" s="13"/>
      <c r="BD55" s="13"/>
      <c r="BE55" s="13"/>
      <c r="BF55" s="13"/>
      <c r="BG55" s="13"/>
      <c r="BH55" s="14" t="str">
        <f t="shared" si="31"/>
        <v/>
      </c>
      <c r="BI55" s="14" t="str">
        <f t="shared" si="32"/>
        <v/>
      </c>
      <c r="BJ55" s="14" t="str">
        <f t="shared" si="33"/>
        <v/>
      </c>
      <c r="BK55" s="15" t="str">
        <f t="shared" si="34"/>
        <v/>
      </c>
      <c r="BL55" s="15" t="str">
        <f t="shared" si="35"/>
        <v/>
      </c>
      <c r="BM55" s="13"/>
      <c r="BN55" s="13"/>
      <c r="BO55" s="13"/>
      <c r="BP55" s="13"/>
      <c r="BQ55" s="13"/>
      <c r="BR55" s="14" t="str">
        <f t="shared" si="36"/>
        <v/>
      </c>
      <c r="BS55" s="15" t="str">
        <f t="shared" si="37"/>
        <v/>
      </c>
      <c r="BT55" s="13"/>
    </row>
    <row r="56" spans="1:72">
      <c r="A56" s="115"/>
      <c r="B56" s="12"/>
      <c r="C56" s="13"/>
      <c r="D56" s="13"/>
      <c r="E56" s="12"/>
      <c r="F56" s="12"/>
      <c r="G56" s="13"/>
      <c r="H56" s="12"/>
      <c r="I56" s="13"/>
      <c r="J56" s="13"/>
      <c r="K56" s="13"/>
      <c r="L56" s="13"/>
      <c r="M56" s="12"/>
      <c r="N56" s="12"/>
      <c r="O56" s="14" t="str">
        <f t="shared" si="19"/>
        <v/>
      </c>
      <c r="P56" s="15" t="str">
        <f t="shared" si="20"/>
        <v/>
      </c>
      <c r="Q56" s="13"/>
      <c r="R56" s="13"/>
      <c r="S56" s="13"/>
      <c r="T56" s="13"/>
      <c r="U56" s="15" t="str">
        <f t="shared" si="21"/>
        <v/>
      </c>
      <c r="V56" s="14" t="str">
        <f t="shared" si="22"/>
        <v/>
      </c>
      <c r="W56" s="13"/>
      <c r="X56" s="13"/>
      <c r="Y56" s="13"/>
      <c r="Z56" s="13"/>
      <c r="AA56" s="16"/>
      <c r="AB56" s="12"/>
      <c r="AC56" s="12"/>
      <c r="AD56" s="14" t="str">
        <f t="shared" si="23"/>
        <v/>
      </c>
      <c r="AE56" s="14" t="str">
        <f t="shared" si="24"/>
        <v/>
      </c>
      <c r="AF56" s="17" t="str">
        <f t="shared" si="25"/>
        <v/>
      </c>
      <c r="AG56" s="13"/>
      <c r="AH56" s="16"/>
      <c r="AI56" s="12"/>
      <c r="AJ56" s="16"/>
      <c r="AK56" s="13"/>
      <c r="AL56" s="16"/>
      <c r="AM56" s="13"/>
      <c r="AN56" s="17" t="str">
        <f t="shared" si="26"/>
        <v/>
      </c>
      <c r="AO56" s="14" t="str">
        <f t="shared" ca="1" si="27"/>
        <v/>
      </c>
      <c r="AP56" s="13"/>
      <c r="AQ56" s="12"/>
      <c r="AR56" s="14" t="str">
        <f>IF($O56="","",1+COUNTIF($O$5:$O$154,"&gt;"&amp;$O56)+COUNTIFS($O$5:$O$154,$O56,$N$5:$N$154,"&gt;"&amp;$N56)+COUNTIFS($O$4:$O55,$O56,$N$4:$N55,$N56))</f>
        <v/>
      </c>
      <c r="AS56" s="62"/>
      <c r="AT56" s="62"/>
      <c r="AU56" s="63" t="str">
        <f t="shared" si="28"/>
        <v/>
      </c>
      <c r="AV56" s="64" t="str">
        <f t="shared" si="29"/>
        <v/>
      </c>
      <c r="AW56" s="129" t="str">
        <f t="shared" si="30"/>
        <v/>
      </c>
      <c r="AX56" s="13"/>
      <c r="AY56" s="16"/>
      <c r="AZ56" s="13"/>
      <c r="BA56" s="13"/>
      <c r="BB56" s="13"/>
      <c r="BC56" s="13"/>
      <c r="BD56" s="13"/>
      <c r="BE56" s="13"/>
      <c r="BF56" s="13"/>
      <c r="BG56" s="13"/>
      <c r="BH56" s="14" t="str">
        <f t="shared" si="31"/>
        <v/>
      </c>
      <c r="BI56" s="14" t="str">
        <f t="shared" si="32"/>
        <v/>
      </c>
      <c r="BJ56" s="14" t="str">
        <f t="shared" si="33"/>
        <v/>
      </c>
      <c r="BK56" s="15" t="str">
        <f t="shared" si="34"/>
        <v/>
      </c>
      <c r="BL56" s="15" t="str">
        <f t="shared" si="35"/>
        <v/>
      </c>
      <c r="BM56" s="13"/>
      <c r="BN56" s="13"/>
      <c r="BO56" s="13"/>
      <c r="BP56" s="13"/>
      <c r="BQ56" s="13"/>
      <c r="BR56" s="14" t="str">
        <f t="shared" si="36"/>
        <v/>
      </c>
      <c r="BS56" s="15" t="str">
        <f t="shared" si="37"/>
        <v/>
      </c>
      <c r="BT56" s="13"/>
    </row>
    <row r="57" spans="1:72">
      <c r="A57" s="115"/>
      <c r="B57" s="12"/>
      <c r="C57" s="13"/>
      <c r="D57" s="13"/>
      <c r="E57" s="12"/>
      <c r="F57" s="12"/>
      <c r="G57" s="13"/>
      <c r="H57" s="12"/>
      <c r="I57" s="13"/>
      <c r="J57" s="13"/>
      <c r="K57" s="13"/>
      <c r="L57" s="13"/>
      <c r="M57" s="12"/>
      <c r="N57" s="12"/>
      <c r="O57" s="14" t="str">
        <f t="shared" si="19"/>
        <v/>
      </c>
      <c r="P57" s="15" t="str">
        <f t="shared" si="20"/>
        <v/>
      </c>
      <c r="Q57" s="13"/>
      <c r="R57" s="13"/>
      <c r="S57" s="13"/>
      <c r="T57" s="13"/>
      <c r="U57" s="15" t="str">
        <f t="shared" si="21"/>
        <v/>
      </c>
      <c r="V57" s="14" t="str">
        <f t="shared" si="22"/>
        <v/>
      </c>
      <c r="W57" s="13"/>
      <c r="X57" s="13"/>
      <c r="Y57" s="13"/>
      <c r="Z57" s="13"/>
      <c r="AA57" s="16"/>
      <c r="AB57" s="12"/>
      <c r="AC57" s="12"/>
      <c r="AD57" s="14" t="str">
        <f t="shared" si="23"/>
        <v/>
      </c>
      <c r="AE57" s="14" t="str">
        <f t="shared" si="24"/>
        <v/>
      </c>
      <c r="AF57" s="17" t="str">
        <f t="shared" si="25"/>
        <v/>
      </c>
      <c r="AG57" s="13"/>
      <c r="AH57" s="16"/>
      <c r="AI57" s="12"/>
      <c r="AJ57" s="16"/>
      <c r="AK57" s="13"/>
      <c r="AL57" s="16"/>
      <c r="AM57" s="13"/>
      <c r="AN57" s="17" t="str">
        <f t="shared" si="26"/>
        <v/>
      </c>
      <c r="AO57" s="14" t="str">
        <f t="shared" ca="1" si="27"/>
        <v/>
      </c>
      <c r="AP57" s="13"/>
      <c r="AQ57" s="12"/>
      <c r="AR57" s="14" t="str">
        <f>IF($O57="","",1+COUNTIF($O$5:$O$154,"&gt;"&amp;$O57)+COUNTIFS($O$5:$O$154,$O57,$N$5:$N$154,"&gt;"&amp;$N57)+COUNTIFS($O$4:$O56,$O57,$N$4:$N56,$N57))</f>
        <v/>
      </c>
      <c r="AS57" s="62"/>
      <c r="AT57" s="62"/>
      <c r="AU57" s="63" t="str">
        <f t="shared" si="28"/>
        <v/>
      </c>
      <c r="AV57" s="64" t="str">
        <f t="shared" si="29"/>
        <v/>
      </c>
      <c r="AW57" s="129" t="str">
        <f t="shared" si="30"/>
        <v/>
      </c>
      <c r="AX57" s="13"/>
      <c r="AY57" s="16"/>
      <c r="AZ57" s="13"/>
      <c r="BA57" s="13"/>
      <c r="BB57" s="13"/>
      <c r="BC57" s="13"/>
      <c r="BD57" s="13"/>
      <c r="BE57" s="13"/>
      <c r="BF57" s="13"/>
      <c r="BG57" s="13"/>
      <c r="BH57" s="14" t="str">
        <f t="shared" si="31"/>
        <v/>
      </c>
      <c r="BI57" s="14" t="str">
        <f t="shared" si="32"/>
        <v/>
      </c>
      <c r="BJ57" s="14" t="str">
        <f t="shared" si="33"/>
        <v/>
      </c>
      <c r="BK57" s="15" t="str">
        <f t="shared" si="34"/>
        <v/>
      </c>
      <c r="BL57" s="15" t="str">
        <f t="shared" si="35"/>
        <v/>
      </c>
      <c r="BM57" s="13"/>
      <c r="BN57" s="13"/>
      <c r="BO57" s="13"/>
      <c r="BP57" s="13"/>
      <c r="BQ57" s="13"/>
      <c r="BR57" s="14" t="str">
        <f t="shared" si="36"/>
        <v/>
      </c>
      <c r="BS57" s="15" t="str">
        <f t="shared" si="37"/>
        <v/>
      </c>
      <c r="BT57" s="13"/>
    </row>
    <row r="58" spans="1:72">
      <c r="A58" s="115"/>
      <c r="B58" s="12"/>
      <c r="C58" s="13"/>
      <c r="D58" s="13"/>
      <c r="E58" s="12"/>
      <c r="F58" s="12"/>
      <c r="G58" s="13"/>
      <c r="H58" s="12"/>
      <c r="I58" s="13"/>
      <c r="J58" s="13"/>
      <c r="K58" s="13"/>
      <c r="L58" s="13"/>
      <c r="M58" s="12"/>
      <c r="N58" s="12"/>
      <c r="O58" s="14" t="str">
        <f t="shared" si="19"/>
        <v/>
      </c>
      <c r="P58" s="15" t="str">
        <f t="shared" si="20"/>
        <v/>
      </c>
      <c r="Q58" s="13"/>
      <c r="R58" s="13"/>
      <c r="S58" s="13"/>
      <c r="T58" s="13"/>
      <c r="U58" s="15" t="str">
        <f t="shared" si="21"/>
        <v/>
      </c>
      <c r="V58" s="14" t="str">
        <f t="shared" si="22"/>
        <v/>
      </c>
      <c r="W58" s="13"/>
      <c r="X58" s="13"/>
      <c r="Y58" s="13"/>
      <c r="Z58" s="13"/>
      <c r="AA58" s="16"/>
      <c r="AB58" s="12"/>
      <c r="AC58" s="12"/>
      <c r="AD58" s="14" t="str">
        <f t="shared" si="23"/>
        <v/>
      </c>
      <c r="AE58" s="14" t="str">
        <f t="shared" si="24"/>
        <v/>
      </c>
      <c r="AF58" s="17" t="str">
        <f t="shared" si="25"/>
        <v/>
      </c>
      <c r="AG58" s="13"/>
      <c r="AH58" s="16"/>
      <c r="AI58" s="12"/>
      <c r="AJ58" s="16"/>
      <c r="AK58" s="13"/>
      <c r="AL58" s="16"/>
      <c r="AM58" s="13"/>
      <c r="AN58" s="17" t="str">
        <f t="shared" si="26"/>
        <v/>
      </c>
      <c r="AO58" s="14" t="str">
        <f t="shared" ca="1" si="27"/>
        <v/>
      </c>
      <c r="AP58" s="13"/>
      <c r="AQ58" s="12"/>
      <c r="AR58" s="14" t="str">
        <f>IF($O58="","",1+COUNTIF($O$5:$O$154,"&gt;"&amp;$O58)+COUNTIFS($O$5:$O$154,$O58,$N$5:$N$154,"&gt;"&amp;$N58)+COUNTIFS($O$4:$O57,$O58,$N$4:$N57,$N58))</f>
        <v/>
      </c>
      <c r="AS58" s="62"/>
      <c r="AT58" s="62"/>
      <c r="AU58" s="63" t="str">
        <f t="shared" si="28"/>
        <v/>
      </c>
      <c r="AV58" s="64" t="str">
        <f t="shared" si="29"/>
        <v/>
      </c>
      <c r="AW58" s="129" t="str">
        <f t="shared" si="30"/>
        <v/>
      </c>
      <c r="AX58" s="13"/>
      <c r="AY58" s="16"/>
      <c r="AZ58" s="13"/>
      <c r="BA58" s="13"/>
      <c r="BB58" s="13"/>
      <c r="BC58" s="13"/>
      <c r="BD58" s="13"/>
      <c r="BE58" s="13"/>
      <c r="BF58" s="13"/>
      <c r="BG58" s="13"/>
      <c r="BH58" s="14" t="str">
        <f t="shared" si="31"/>
        <v/>
      </c>
      <c r="BI58" s="14" t="str">
        <f t="shared" si="32"/>
        <v/>
      </c>
      <c r="BJ58" s="14" t="str">
        <f t="shared" si="33"/>
        <v/>
      </c>
      <c r="BK58" s="15" t="str">
        <f t="shared" si="34"/>
        <v/>
      </c>
      <c r="BL58" s="15" t="str">
        <f t="shared" si="35"/>
        <v/>
      </c>
      <c r="BM58" s="13"/>
      <c r="BN58" s="13"/>
      <c r="BO58" s="13"/>
      <c r="BP58" s="13"/>
      <c r="BQ58" s="13"/>
      <c r="BR58" s="14" t="str">
        <f t="shared" si="36"/>
        <v/>
      </c>
      <c r="BS58" s="15" t="str">
        <f t="shared" si="37"/>
        <v/>
      </c>
      <c r="BT58" s="13"/>
    </row>
    <row r="59" spans="1:72">
      <c r="A59" s="115"/>
      <c r="B59" s="12"/>
      <c r="C59" s="13"/>
      <c r="D59" s="13"/>
      <c r="E59" s="12"/>
      <c r="F59" s="12"/>
      <c r="G59" s="13"/>
      <c r="H59" s="12"/>
      <c r="I59" s="13"/>
      <c r="J59" s="13"/>
      <c r="K59" s="13"/>
      <c r="L59" s="13"/>
      <c r="M59" s="12"/>
      <c r="N59" s="12"/>
      <c r="O59" s="14" t="str">
        <f t="shared" si="19"/>
        <v/>
      </c>
      <c r="P59" s="15" t="str">
        <f t="shared" si="20"/>
        <v/>
      </c>
      <c r="Q59" s="13"/>
      <c r="R59" s="13"/>
      <c r="S59" s="13"/>
      <c r="T59" s="13"/>
      <c r="U59" s="15" t="str">
        <f t="shared" si="21"/>
        <v/>
      </c>
      <c r="V59" s="14" t="str">
        <f t="shared" si="22"/>
        <v/>
      </c>
      <c r="W59" s="13"/>
      <c r="X59" s="13"/>
      <c r="Y59" s="13"/>
      <c r="Z59" s="13"/>
      <c r="AA59" s="16"/>
      <c r="AB59" s="12"/>
      <c r="AC59" s="12"/>
      <c r="AD59" s="14" t="str">
        <f t="shared" si="23"/>
        <v/>
      </c>
      <c r="AE59" s="14" t="str">
        <f t="shared" si="24"/>
        <v/>
      </c>
      <c r="AF59" s="17" t="str">
        <f t="shared" si="25"/>
        <v/>
      </c>
      <c r="AG59" s="13"/>
      <c r="AH59" s="16"/>
      <c r="AI59" s="12"/>
      <c r="AJ59" s="16"/>
      <c r="AK59" s="13"/>
      <c r="AL59" s="16"/>
      <c r="AM59" s="13"/>
      <c r="AN59" s="17" t="str">
        <f t="shared" si="26"/>
        <v/>
      </c>
      <c r="AO59" s="14" t="str">
        <f t="shared" ca="1" si="27"/>
        <v/>
      </c>
      <c r="AP59" s="13"/>
      <c r="AQ59" s="12"/>
      <c r="AR59" s="14" t="str">
        <f>IF($O59="","",1+COUNTIF($O$5:$O$154,"&gt;"&amp;$O59)+COUNTIFS($O$5:$O$154,$O59,$N$5:$N$154,"&gt;"&amp;$N59)+COUNTIFS($O$4:$O58,$O59,$N$4:$N58,$N59))</f>
        <v/>
      </c>
      <c r="AS59" s="62"/>
      <c r="AT59" s="62"/>
      <c r="AU59" s="63" t="str">
        <f t="shared" si="28"/>
        <v/>
      </c>
      <c r="AV59" s="64" t="str">
        <f t="shared" si="29"/>
        <v/>
      </c>
      <c r="AW59" s="129" t="str">
        <f t="shared" si="30"/>
        <v/>
      </c>
      <c r="AX59" s="13"/>
      <c r="AY59" s="16"/>
      <c r="AZ59" s="13"/>
      <c r="BA59" s="13"/>
      <c r="BB59" s="13"/>
      <c r="BC59" s="13"/>
      <c r="BD59" s="13"/>
      <c r="BE59" s="13"/>
      <c r="BF59" s="13"/>
      <c r="BG59" s="13"/>
      <c r="BH59" s="14" t="str">
        <f t="shared" si="31"/>
        <v/>
      </c>
      <c r="BI59" s="14" t="str">
        <f t="shared" si="32"/>
        <v/>
      </c>
      <c r="BJ59" s="14" t="str">
        <f t="shared" si="33"/>
        <v/>
      </c>
      <c r="BK59" s="15" t="str">
        <f t="shared" si="34"/>
        <v/>
      </c>
      <c r="BL59" s="15" t="str">
        <f t="shared" si="35"/>
        <v/>
      </c>
      <c r="BM59" s="13"/>
      <c r="BN59" s="13"/>
      <c r="BO59" s="13"/>
      <c r="BP59" s="13"/>
      <c r="BQ59" s="13"/>
      <c r="BR59" s="14" t="str">
        <f t="shared" si="36"/>
        <v/>
      </c>
      <c r="BS59" s="15" t="str">
        <f t="shared" si="37"/>
        <v/>
      </c>
      <c r="BT59" s="13"/>
    </row>
    <row r="60" spans="1:72">
      <c r="A60" s="115"/>
      <c r="B60" s="12"/>
      <c r="C60" s="13"/>
      <c r="D60" s="13"/>
      <c r="E60" s="12"/>
      <c r="F60" s="12"/>
      <c r="G60" s="13"/>
      <c r="H60" s="12"/>
      <c r="I60" s="13"/>
      <c r="J60" s="13"/>
      <c r="K60" s="13"/>
      <c r="L60" s="13"/>
      <c r="M60" s="12"/>
      <c r="N60" s="12"/>
      <c r="O60" s="14" t="str">
        <f t="shared" si="19"/>
        <v/>
      </c>
      <c r="P60" s="15" t="str">
        <f t="shared" si="20"/>
        <v/>
      </c>
      <c r="Q60" s="13"/>
      <c r="R60" s="13"/>
      <c r="S60" s="13"/>
      <c r="T60" s="13"/>
      <c r="U60" s="15" t="str">
        <f t="shared" si="21"/>
        <v/>
      </c>
      <c r="V60" s="14" t="str">
        <f t="shared" si="22"/>
        <v/>
      </c>
      <c r="W60" s="13"/>
      <c r="X60" s="13"/>
      <c r="Y60" s="13"/>
      <c r="Z60" s="13"/>
      <c r="AA60" s="16"/>
      <c r="AB60" s="12"/>
      <c r="AC60" s="12"/>
      <c r="AD60" s="14" t="str">
        <f t="shared" si="23"/>
        <v/>
      </c>
      <c r="AE60" s="14" t="str">
        <f t="shared" si="24"/>
        <v/>
      </c>
      <c r="AF60" s="17" t="str">
        <f t="shared" si="25"/>
        <v/>
      </c>
      <c r="AG60" s="13"/>
      <c r="AH60" s="16"/>
      <c r="AI60" s="12"/>
      <c r="AJ60" s="16"/>
      <c r="AK60" s="13"/>
      <c r="AL60" s="16"/>
      <c r="AM60" s="13"/>
      <c r="AN60" s="17" t="str">
        <f t="shared" si="26"/>
        <v/>
      </c>
      <c r="AO60" s="14" t="str">
        <f t="shared" ca="1" si="27"/>
        <v/>
      </c>
      <c r="AP60" s="13"/>
      <c r="AQ60" s="12"/>
      <c r="AR60" s="14" t="str">
        <f>IF($O60="","",1+COUNTIF($O$5:$O$154,"&gt;"&amp;$O60)+COUNTIFS($O$5:$O$154,$O60,$N$5:$N$154,"&gt;"&amp;$N60)+COUNTIFS($O$4:$O59,$O60,$N$4:$N59,$N60))</f>
        <v/>
      </c>
      <c r="AS60" s="62"/>
      <c r="AT60" s="62"/>
      <c r="AU60" s="63" t="str">
        <f t="shared" si="28"/>
        <v/>
      </c>
      <c r="AV60" s="64" t="str">
        <f t="shared" si="29"/>
        <v/>
      </c>
      <c r="AW60" s="129" t="str">
        <f t="shared" si="30"/>
        <v/>
      </c>
      <c r="AX60" s="13"/>
      <c r="AY60" s="16"/>
      <c r="AZ60" s="13"/>
      <c r="BA60" s="13"/>
      <c r="BB60" s="13"/>
      <c r="BC60" s="13"/>
      <c r="BD60" s="13"/>
      <c r="BE60" s="13"/>
      <c r="BF60" s="13"/>
      <c r="BG60" s="13"/>
      <c r="BH60" s="14" t="str">
        <f t="shared" si="31"/>
        <v/>
      </c>
      <c r="BI60" s="14" t="str">
        <f t="shared" si="32"/>
        <v/>
      </c>
      <c r="BJ60" s="14" t="str">
        <f t="shared" si="33"/>
        <v/>
      </c>
      <c r="BK60" s="15" t="str">
        <f t="shared" si="34"/>
        <v/>
      </c>
      <c r="BL60" s="15" t="str">
        <f t="shared" si="35"/>
        <v/>
      </c>
      <c r="BM60" s="13"/>
      <c r="BN60" s="13"/>
      <c r="BO60" s="13"/>
      <c r="BP60" s="13"/>
      <c r="BQ60" s="13"/>
      <c r="BR60" s="14" t="str">
        <f t="shared" si="36"/>
        <v/>
      </c>
      <c r="BS60" s="15" t="str">
        <f t="shared" si="37"/>
        <v/>
      </c>
      <c r="BT60" s="13"/>
    </row>
    <row r="61" spans="1:72">
      <c r="A61" s="115"/>
      <c r="B61" s="12"/>
      <c r="C61" s="13"/>
      <c r="D61" s="13"/>
      <c r="E61" s="12"/>
      <c r="F61" s="12"/>
      <c r="G61" s="13"/>
      <c r="H61" s="12"/>
      <c r="I61" s="13"/>
      <c r="J61" s="13"/>
      <c r="K61" s="13"/>
      <c r="L61" s="13"/>
      <c r="M61" s="12"/>
      <c r="N61" s="12"/>
      <c r="O61" s="14" t="str">
        <f t="shared" si="19"/>
        <v/>
      </c>
      <c r="P61" s="15" t="str">
        <f t="shared" si="20"/>
        <v/>
      </c>
      <c r="Q61" s="13"/>
      <c r="R61" s="13"/>
      <c r="S61" s="13"/>
      <c r="T61" s="13"/>
      <c r="U61" s="15" t="str">
        <f t="shared" si="21"/>
        <v/>
      </c>
      <c r="V61" s="14" t="str">
        <f t="shared" si="22"/>
        <v/>
      </c>
      <c r="W61" s="13"/>
      <c r="X61" s="13"/>
      <c r="Y61" s="13"/>
      <c r="Z61" s="13"/>
      <c r="AA61" s="16"/>
      <c r="AB61" s="12"/>
      <c r="AC61" s="12"/>
      <c r="AD61" s="14" t="str">
        <f t="shared" si="23"/>
        <v/>
      </c>
      <c r="AE61" s="14" t="str">
        <f t="shared" si="24"/>
        <v/>
      </c>
      <c r="AF61" s="17" t="str">
        <f t="shared" si="25"/>
        <v/>
      </c>
      <c r="AG61" s="13"/>
      <c r="AH61" s="16"/>
      <c r="AI61" s="12"/>
      <c r="AJ61" s="16"/>
      <c r="AK61" s="13"/>
      <c r="AL61" s="16"/>
      <c r="AM61" s="13"/>
      <c r="AN61" s="17" t="str">
        <f t="shared" si="26"/>
        <v/>
      </c>
      <c r="AO61" s="14" t="str">
        <f t="shared" ca="1" si="27"/>
        <v/>
      </c>
      <c r="AP61" s="13"/>
      <c r="AQ61" s="12"/>
      <c r="AR61" s="14" t="str">
        <f>IF($O61="","",1+COUNTIF($O$5:$O$154,"&gt;"&amp;$O61)+COUNTIFS($O$5:$O$154,$O61,$N$5:$N$154,"&gt;"&amp;$N61)+COUNTIFS($O$4:$O60,$O61,$N$4:$N60,$N61))</f>
        <v/>
      </c>
      <c r="AS61" s="62"/>
      <c r="AT61" s="62"/>
      <c r="AU61" s="63" t="str">
        <f t="shared" si="28"/>
        <v/>
      </c>
      <c r="AV61" s="64" t="str">
        <f t="shared" si="29"/>
        <v/>
      </c>
      <c r="AW61" s="129" t="str">
        <f t="shared" si="30"/>
        <v/>
      </c>
      <c r="AX61" s="13"/>
      <c r="AY61" s="16"/>
      <c r="AZ61" s="13"/>
      <c r="BA61" s="13"/>
      <c r="BB61" s="13"/>
      <c r="BC61" s="13"/>
      <c r="BD61" s="13"/>
      <c r="BE61" s="13"/>
      <c r="BF61" s="13"/>
      <c r="BG61" s="13"/>
      <c r="BH61" s="14" t="str">
        <f t="shared" si="31"/>
        <v/>
      </c>
      <c r="BI61" s="14" t="str">
        <f t="shared" si="32"/>
        <v/>
      </c>
      <c r="BJ61" s="14" t="str">
        <f t="shared" si="33"/>
        <v/>
      </c>
      <c r="BK61" s="15" t="str">
        <f t="shared" si="34"/>
        <v/>
      </c>
      <c r="BL61" s="15" t="str">
        <f t="shared" si="35"/>
        <v/>
      </c>
      <c r="BM61" s="13"/>
      <c r="BN61" s="13"/>
      <c r="BO61" s="13"/>
      <c r="BP61" s="13"/>
      <c r="BQ61" s="13"/>
      <c r="BR61" s="14" t="str">
        <f t="shared" si="36"/>
        <v/>
      </c>
      <c r="BS61" s="15" t="str">
        <f t="shared" si="37"/>
        <v/>
      </c>
      <c r="BT61" s="13"/>
    </row>
    <row r="62" spans="1:72">
      <c r="A62" s="115"/>
      <c r="B62" s="12"/>
      <c r="C62" s="13"/>
      <c r="D62" s="13"/>
      <c r="E62" s="12"/>
      <c r="F62" s="12"/>
      <c r="G62" s="13"/>
      <c r="H62" s="12"/>
      <c r="I62" s="13"/>
      <c r="J62" s="13"/>
      <c r="K62" s="13"/>
      <c r="L62" s="13"/>
      <c r="M62" s="12"/>
      <c r="N62" s="12"/>
      <c r="O62" s="14" t="str">
        <f t="shared" si="19"/>
        <v/>
      </c>
      <c r="P62" s="15" t="str">
        <f t="shared" si="20"/>
        <v/>
      </c>
      <c r="Q62" s="13"/>
      <c r="R62" s="13"/>
      <c r="S62" s="13"/>
      <c r="T62" s="13"/>
      <c r="U62" s="15" t="str">
        <f t="shared" si="21"/>
        <v/>
      </c>
      <c r="V62" s="14" t="str">
        <f t="shared" si="22"/>
        <v/>
      </c>
      <c r="W62" s="13"/>
      <c r="X62" s="13"/>
      <c r="Y62" s="13"/>
      <c r="Z62" s="13"/>
      <c r="AA62" s="16"/>
      <c r="AB62" s="12"/>
      <c r="AC62" s="12"/>
      <c r="AD62" s="14" t="str">
        <f t="shared" si="23"/>
        <v/>
      </c>
      <c r="AE62" s="14" t="str">
        <f t="shared" si="24"/>
        <v/>
      </c>
      <c r="AF62" s="17" t="str">
        <f t="shared" si="25"/>
        <v/>
      </c>
      <c r="AG62" s="13"/>
      <c r="AH62" s="16"/>
      <c r="AI62" s="12"/>
      <c r="AJ62" s="16"/>
      <c r="AK62" s="13"/>
      <c r="AL62" s="16"/>
      <c r="AM62" s="13"/>
      <c r="AN62" s="17" t="str">
        <f t="shared" si="26"/>
        <v/>
      </c>
      <c r="AO62" s="14" t="str">
        <f t="shared" ca="1" si="27"/>
        <v/>
      </c>
      <c r="AP62" s="13"/>
      <c r="AQ62" s="12"/>
      <c r="AR62" s="14" t="str">
        <f>IF($O62="","",1+COUNTIF($O$5:$O$154,"&gt;"&amp;$O62)+COUNTIFS($O$5:$O$154,$O62,$N$5:$N$154,"&gt;"&amp;$N62)+COUNTIFS($O$4:$O61,$O62,$N$4:$N61,$N62))</f>
        <v/>
      </c>
      <c r="AS62" s="62"/>
      <c r="AT62" s="62"/>
      <c r="AU62" s="63" t="str">
        <f t="shared" si="28"/>
        <v/>
      </c>
      <c r="AV62" s="64" t="str">
        <f t="shared" si="29"/>
        <v/>
      </c>
      <c r="AW62" s="129" t="str">
        <f t="shared" si="30"/>
        <v/>
      </c>
      <c r="AX62" s="13"/>
      <c r="AY62" s="16"/>
      <c r="AZ62" s="13"/>
      <c r="BA62" s="13"/>
      <c r="BB62" s="13"/>
      <c r="BC62" s="13"/>
      <c r="BD62" s="13"/>
      <c r="BE62" s="13"/>
      <c r="BF62" s="13"/>
      <c r="BG62" s="13"/>
      <c r="BH62" s="14" t="str">
        <f t="shared" si="31"/>
        <v/>
      </c>
      <c r="BI62" s="14" t="str">
        <f t="shared" si="32"/>
        <v/>
      </c>
      <c r="BJ62" s="14" t="str">
        <f t="shared" si="33"/>
        <v/>
      </c>
      <c r="BK62" s="15" t="str">
        <f t="shared" si="34"/>
        <v/>
      </c>
      <c r="BL62" s="15" t="str">
        <f t="shared" si="35"/>
        <v/>
      </c>
      <c r="BM62" s="13"/>
      <c r="BN62" s="13"/>
      <c r="BO62" s="13"/>
      <c r="BP62" s="13"/>
      <c r="BQ62" s="13"/>
      <c r="BR62" s="14" t="str">
        <f t="shared" si="36"/>
        <v/>
      </c>
      <c r="BS62" s="15" t="str">
        <f t="shared" si="37"/>
        <v/>
      </c>
      <c r="BT62" s="13"/>
    </row>
    <row r="63" spans="1:72">
      <c r="A63" s="115"/>
      <c r="B63" s="12"/>
      <c r="C63" s="13"/>
      <c r="D63" s="13"/>
      <c r="E63" s="12"/>
      <c r="F63" s="12"/>
      <c r="G63" s="13"/>
      <c r="H63" s="12"/>
      <c r="I63" s="13"/>
      <c r="J63" s="13"/>
      <c r="K63" s="13"/>
      <c r="L63" s="13"/>
      <c r="M63" s="12"/>
      <c r="N63" s="12"/>
      <c r="O63" s="14" t="str">
        <f t="shared" si="19"/>
        <v/>
      </c>
      <c r="P63" s="15" t="str">
        <f t="shared" si="20"/>
        <v/>
      </c>
      <c r="Q63" s="13"/>
      <c r="R63" s="13"/>
      <c r="S63" s="13"/>
      <c r="T63" s="13"/>
      <c r="U63" s="15" t="str">
        <f t="shared" si="21"/>
        <v/>
      </c>
      <c r="V63" s="14" t="str">
        <f t="shared" si="22"/>
        <v/>
      </c>
      <c r="W63" s="13"/>
      <c r="X63" s="13"/>
      <c r="Y63" s="13"/>
      <c r="Z63" s="13"/>
      <c r="AA63" s="16"/>
      <c r="AB63" s="12"/>
      <c r="AC63" s="12"/>
      <c r="AD63" s="14" t="str">
        <f t="shared" si="23"/>
        <v/>
      </c>
      <c r="AE63" s="14" t="str">
        <f t="shared" si="24"/>
        <v/>
      </c>
      <c r="AF63" s="17" t="str">
        <f t="shared" si="25"/>
        <v/>
      </c>
      <c r="AG63" s="13"/>
      <c r="AH63" s="16"/>
      <c r="AI63" s="12"/>
      <c r="AJ63" s="16"/>
      <c r="AK63" s="13"/>
      <c r="AL63" s="16"/>
      <c r="AM63" s="13"/>
      <c r="AN63" s="17" t="str">
        <f t="shared" si="26"/>
        <v/>
      </c>
      <c r="AO63" s="14" t="str">
        <f t="shared" ca="1" si="27"/>
        <v/>
      </c>
      <c r="AP63" s="13"/>
      <c r="AQ63" s="12"/>
      <c r="AR63" s="14" t="str">
        <f>IF($O63="","",1+COUNTIF($O$5:$O$154,"&gt;"&amp;$O63)+COUNTIFS($O$5:$O$154,$O63,$N$5:$N$154,"&gt;"&amp;$N63)+COUNTIFS($O$4:$O62,$O63,$N$4:$N62,$N63))</f>
        <v/>
      </c>
      <c r="AS63" s="62"/>
      <c r="AT63" s="62"/>
      <c r="AU63" s="63" t="str">
        <f t="shared" si="28"/>
        <v/>
      </c>
      <c r="AV63" s="64" t="str">
        <f t="shared" si="29"/>
        <v/>
      </c>
      <c r="AW63" s="129" t="str">
        <f t="shared" si="30"/>
        <v/>
      </c>
      <c r="AX63" s="13"/>
      <c r="AY63" s="16"/>
      <c r="AZ63" s="13"/>
      <c r="BA63" s="13"/>
      <c r="BB63" s="13"/>
      <c r="BC63" s="13"/>
      <c r="BD63" s="13"/>
      <c r="BE63" s="13"/>
      <c r="BF63" s="13"/>
      <c r="BG63" s="13"/>
      <c r="BH63" s="14" t="str">
        <f t="shared" si="31"/>
        <v/>
      </c>
      <c r="BI63" s="14" t="str">
        <f t="shared" si="32"/>
        <v/>
      </c>
      <c r="BJ63" s="14" t="str">
        <f t="shared" si="33"/>
        <v/>
      </c>
      <c r="BK63" s="15" t="str">
        <f t="shared" si="34"/>
        <v/>
      </c>
      <c r="BL63" s="15" t="str">
        <f t="shared" si="35"/>
        <v/>
      </c>
      <c r="BM63" s="13"/>
      <c r="BN63" s="13"/>
      <c r="BO63" s="13"/>
      <c r="BP63" s="13"/>
      <c r="BQ63" s="13"/>
      <c r="BR63" s="14" t="str">
        <f t="shared" si="36"/>
        <v/>
      </c>
      <c r="BS63" s="15" t="str">
        <f t="shared" si="37"/>
        <v/>
      </c>
      <c r="BT63" s="13"/>
    </row>
    <row r="64" spans="1:72">
      <c r="A64" s="115"/>
      <c r="B64" s="12"/>
      <c r="C64" s="13"/>
      <c r="D64" s="13"/>
      <c r="E64" s="12"/>
      <c r="F64" s="12"/>
      <c r="G64" s="13"/>
      <c r="H64" s="12"/>
      <c r="I64" s="13"/>
      <c r="J64" s="13"/>
      <c r="K64" s="13"/>
      <c r="L64" s="13"/>
      <c r="M64" s="12"/>
      <c r="N64" s="12"/>
      <c r="O64" s="14" t="str">
        <f t="shared" si="19"/>
        <v/>
      </c>
      <c r="P64" s="15" t="str">
        <f t="shared" si="20"/>
        <v/>
      </c>
      <c r="Q64" s="13"/>
      <c r="R64" s="13"/>
      <c r="S64" s="13"/>
      <c r="T64" s="13"/>
      <c r="U64" s="15" t="str">
        <f t="shared" si="21"/>
        <v/>
      </c>
      <c r="V64" s="14" t="str">
        <f t="shared" si="22"/>
        <v/>
      </c>
      <c r="W64" s="13"/>
      <c r="X64" s="13"/>
      <c r="Y64" s="13"/>
      <c r="Z64" s="13"/>
      <c r="AA64" s="16"/>
      <c r="AB64" s="12"/>
      <c r="AC64" s="12"/>
      <c r="AD64" s="14" t="str">
        <f t="shared" si="23"/>
        <v/>
      </c>
      <c r="AE64" s="14" t="str">
        <f t="shared" si="24"/>
        <v/>
      </c>
      <c r="AF64" s="17" t="str">
        <f t="shared" si="25"/>
        <v/>
      </c>
      <c r="AG64" s="13"/>
      <c r="AH64" s="16"/>
      <c r="AI64" s="12"/>
      <c r="AJ64" s="16"/>
      <c r="AK64" s="13"/>
      <c r="AL64" s="16"/>
      <c r="AM64" s="13"/>
      <c r="AN64" s="17" t="str">
        <f t="shared" si="26"/>
        <v/>
      </c>
      <c r="AO64" s="14" t="str">
        <f t="shared" ca="1" si="27"/>
        <v/>
      </c>
      <c r="AP64" s="13"/>
      <c r="AQ64" s="12"/>
      <c r="AR64" s="14" t="str">
        <f>IF($O64="","",1+COUNTIF($O$5:$O$154,"&gt;"&amp;$O64)+COUNTIFS($O$5:$O$154,$O64,$N$5:$N$154,"&gt;"&amp;$N64)+COUNTIFS($O$4:$O63,$O64,$N$4:$N63,$N64))</f>
        <v/>
      </c>
      <c r="AS64" s="62"/>
      <c r="AT64" s="62"/>
      <c r="AU64" s="63" t="str">
        <f t="shared" si="28"/>
        <v/>
      </c>
      <c r="AV64" s="64" t="str">
        <f t="shared" si="29"/>
        <v/>
      </c>
      <c r="AW64" s="129" t="str">
        <f t="shared" si="30"/>
        <v/>
      </c>
      <c r="AX64" s="13"/>
      <c r="AY64" s="16"/>
      <c r="AZ64" s="13"/>
      <c r="BA64" s="13"/>
      <c r="BB64" s="13"/>
      <c r="BC64" s="13"/>
      <c r="BD64" s="13"/>
      <c r="BE64" s="13"/>
      <c r="BF64" s="13"/>
      <c r="BG64" s="13"/>
      <c r="BH64" s="14" t="str">
        <f t="shared" si="31"/>
        <v/>
      </c>
      <c r="BI64" s="14" t="str">
        <f t="shared" si="32"/>
        <v/>
      </c>
      <c r="BJ64" s="14" t="str">
        <f t="shared" si="33"/>
        <v/>
      </c>
      <c r="BK64" s="15" t="str">
        <f t="shared" si="34"/>
        <v/>
      </c>
      <c r="BL64" s="15" t="str">
        <f t="shared" si="35"/>
        <v/>
      </c>
      <c r="BM64" s="13"/>
      <c r="BN64" s="13"/>
      <c r="BO64" s="13"/>
      <c r="BP64" s="13"/>
      <c r="BQ64" s="13"/>
      <c r="BR64" s="14" t="str">
        <f t="shared" si="36"/>
        <v/>
      </c>
      <c r="BS64" s="15" t="str">
        <f t="shared" si="37"/>
        <v/>
      </c>
      <c r="BT64" s="13"/>
    </row>
    <row r="65" spans="1:72">
      <c r="A65" s="115"/>
      <c r="B65" s="12"/>
      <c r="C65" s="13"/>
      <c r="D65" s="13"/>
      <c r="E65" s="12"/>
      <c r="F65" s="12"/>
      <c r="G65" s="13"/>
      <c r="H65" s="12"/>
      <c r="I65" s="13"/>
      <c r="J65" s="13"/>
      <c r="K65" s="13"/>
      <c r="L65" s="13"/>
      <c r="M65" s="12"/>
      <c r="N65" s="12"/>
      <c r="O65" s="14" t="str">
        <f t="shared" si="19"/>
        <v/>
      </c>
      <c r="P65" s="15" t="str">
        <f t="shared" si="20"/>
        <v/>
      </c>
      <c r="Q65" s="13"/>
      <c r="R65" s="13"/>
      <c r="S65" s="13"/>
      <c r="T65" s="13"/>
      <c r="U65" s="15" t="str">
        <f t="shared" si="21"/>
        <v/>
      </c>
      <c r="V65" s="14" t="str">
        <f t="shared" si="22"/>
        <v/>
      </c>
      <c r="W65" s="13"/>
      <c r="X65" s="13"/>
      <c r="Y65" s="13"/>
      <c r="Z65" s="13"/>
      <c r="AA65" s="16"/>
      <c r="AB65" s="12"/>
      <c r="AC65" s="12"/>
      <c r="AD65" s="14" t="str">
        <f t="shared" si="23"/>
        <v/>
      </c>
      <c r="AE65" s="14" t="str">
        <f t="shared" si="24"/>
        <v/>
      </c>
      <c r="AF65" s="17" t="str">
        <f t="shared" si="25"/>
        <v/>
      </c>
      <c r="AG65" s="13"/>
      <c r="AH65" s="16"/>
      <c r="AI65" s="12"/>
      <c r="AJ65" s="16"/>
      <c r="AK65" s="13"/>
      <c r="AL65" s="16"/>
      <c r="AM65" s="13"/>
      <c r="AN65" s="17" t="str">
        <f t="shared" si="26"/>
        <v/>
      </c>
      <c r="AO65" s="14" t="str">
        <f t="shared" ca="1" si="27"/>
        <v/>
      </c>
      <c r="AP65" s="13"/>
      <c r="AQ65" s="12"/>
      <c r="AR65" s="14" t="str">
        <f>IF($O65="","",1+COUNTIF($O$5:$O$154,"&gt;"&amp;$O65)+COUNTIFS($O$5:$O$154,$O65,$N$5:$N$154,"&gt;"&amp;$N65)+COUNTIFS($O$4:$O64,$O65,$N$4:$N64,$N65))</f>
        <v/>
      </c>
      <c r="AS65" s="62"/>
      <c r="AT65" s="62"/>
      <c r="AU65" s="63" t="str">
        <f t="shared" si="28"/>
        <v/>
      </c>
      <c r="AV65" s="64" t="str">
        <f t="shared" si="29"/>
        <v/>
      </c>
      <c r="AW65" s="129" t="str">
        <f t="shared" si="30"/>
        <v/>
      </c>
      <c r="AX65" s="13"/>
      <c r="AY65" s="16"/>
      <c r="AZ65" s="13"/>
      <c r="BA65" s="13"/>
      <c r="BB65" s="13"/>
      <c r="BC65" s="13"/>
      <c r="BD65" s="13"/>
      <c r="BE65" s="13"/>
      <c r="BF65" s="13"/>
      <c r="BG65" s="13"/>
      <c r="BH65" s="14" t="str">
        <f t="shared" si="31"/>
        <v/>
      </c>
      <c r="BI65" s="14" t="str">
        <f t="shared" si="32"/>
        <v/>
      </c>
      <c r="BJ65" s="14" t="str">
        <f t="shared" si="33"/>
        <v/>
      </c>
      <c r="BK65" s="15" t="str">
        <f t="shared" si="34"/>
        <v/>
      </c>
      <c r="BL65" s="15" t="str">
        <f t="shared" si="35"/>
        <v/>
      </c>
      <c r="BM65" s="13"/>
      <c r="BN65" s="13"/>
      <c r="BO65" s="13"/>
      <c r="BP65" s="13"/>
      <c r="BQ65" s="13"/>
      <c r="BR65" s="14" t="str">
        <f t="shared" si="36"/>
        <v/>
      </c>
      <c r="BS65" s="15" t="str">
        <f t="shared" si="37"/>
        <v/>
      </c>
      <c r="BT65" s="13"/>
    </row>
    <row r="66" spans="1:72">
      <c r="A66" s="115"/>
      <c r="B66" s="12"/>
      <c r="C66" s="13"/>
      <c r="D66" s="13"/>
      <c r="E66" s="12"/>
      <c r="F66" s="12"/>
      <c r="G66" s="13"/>
      <c r="H66" s="12"/>
      <c r="I66" s="13"/>
      <c r="J66" s="13"/>
      <c r="K66" s="13"/>
      <c r="L66" s="13"/>
      <c r="M66" s="12"/>
      <c r="N66" s="12"/>
      <c r="O66" s="14" t="str">
        <f t="shared" si="19"/>
        <v/>
      </c>
      <c r="P66" s="15" t="str">
        <f t="shared" si="20"/>
        <v/>
      </c>
      <c r="Q66" s="13"/>
      <c r="R66" s="13"/>
      <c r="S66" s="13"/>
      <c r="T66" s="13"/>
      <c r="U66" s="15" t="str">
        <f t="shared" si="21"/>
        <v/>
      </c>
      <c r="V66" s="14" t="str">
        <f t="shared" si="22"/>
        <v/>
      </c>
      <c r="W66" s="13"/>
      <c r="X66" s="13"/>
      <c r="Y66" s="13"/>
      <c r="Z66" s="13"/>
      <c r="AA66" s="16"/>
      <c r="AB66" s="12"/>
      <c r="AC66" s="12"/>
      <c r="AD66" s="14" t="str">
        <f t="shared" si="23"/>
        <v/>
      </c>
      <c r="AE66" s="14" t="str">
        <f t="shared" si="24"/>
        <v/>
      </c>
      <c r="AF66" s="17" t="str">
        <f t="shared" si="25"/>
        <v/>
      </c>
      <c r="AG66" s="13"/>
      <c r="AH66" s="16"/>
      <c r="AI66" s="12"/>
      <c r="AJ66" s="16"/>
      <c r="AK66" s="13"/>
      <c r="AL66" s="16"/>
      <c r="AM66" s="13"/>
      <c r="AN66" s="17" t="str">
        <f t="shared" si="26"/>
        <v/>
      </c>
      <c r="AO66" s="14" t="str">
        <f t="shared" ca="1" si="27"/>
        <v/>
      </c>
      <c r="AP66" s="13"/>
      <c r="AQ66" s="12"/>
      <c r="AR66" s="14" t="str">
        <f>IF($O66="","",1+COUNTIF($O$5:$O$154,"&gt;"&amp;$O66)+COUNTIFS($O$5:$O$154,$O66,$N$5:$N$154,"&gt;"&amp;$N66)+COUNTIFS($O$4:$O65,$O66,$N$4:$N65,$N66))</f>
        <v/>
      </c>
      <c r="AS66" s="62"/>
      <c r="AT66" s="62"/>
      <c r="AU66" s="63" t="str">
        <f t="shared" si="28"/>
        <v/>
      </c>
      <c r="AV66" s="64" t="str">
        <f t="shared" si="29"/>
        <v/>
      </c>
      <c r="AW66" s="129" t="str">
        <f t="shared" si="30"/>
        <v/>
      </c>
      <c r="AX66" s="13"/>
      <c r="AY66" s="16"/>
      <c r="AZ66" s="13"/>
      <c r="BA66" s="13"/>
      <c r="BB66" s="13"/>
      <c r="BC66" s="13"/>
      <c r="BD66" s="13"/>
      <c r="BE66" s="13"/>
      <c r="BF66" s="13"/>
      <c r="BG66" s="13"/>
      <c r="BH66" s="14" t="str">
        <f t="shared" si="31"/>
        <v/>
      </c>
      <c r="BI66" s="14" t="str">
        <f t="shared" si="32"/>
        <v/>
      </c>
      <c r="BJ66" s="14" t="str">
        <f t="shared" si="33"/>
        <v/>
      </c>
      <c r="BK66" s="15" t="str">
        <f t="shared" si="34"/>
        <v/>
      </c>
      <c r="BL66" s="15" t="str">
        <f t="shared" si="35"/>
        <v/>
      </c>
      <c r="BM66" s="13"/>
      <c r="BN66" s="13"/>
      <c r="BO66" s="13"/>
      <c r="BP66" s="13"/>
      <c r="BQ66" s="13"/>
      <c r="BR66" s="14" t="str">
        <f t="shared" si="36"/>
        <v/>
      </c>
      <c r="BS66" s="15" t="str">
        <f t="shared" si="37"/>
        <v/>
      </c>
      <c r="BT66" s="13"/>
    </row>
    <row r="67" spans="1:72">
      <c r="A67" s="115"/>
      <c r="B67" s="12"/>
      <c r="C67" s="13"/>
      <c r="D67" s="13"/>
      <c r="E67" s="12"/>
      <c r="F67" s="12"/>
      <c r="G67" s="13"/>
      <c r="H67" s="12"/>
      <c r="I67" s="13"/>
      <c r="J67" s="13"/>
      <c r="K67" s="13"/>
      <c r="L67" s="13"/>
      <c r="M67" s="12"/>
      <c r="N67" s="12"/>
      <c r="O67" s="14" t="str">
        <f t="shared" si="19"/>
        <v/>
      </c>
      <c r="P67" s="15" t="str">
        <f t="shared" si="20"/>
        <v/>
      </c>
      <c r="Q67" s="13"/>
      <c r="R67" s="13"/>
      <c r="S67" s="13"/>
      <c r="T67" s="13"/>
      <c r="U67" s="15" t="str">
        <f t="shared" si="21"/>
        <v/>
      </c>
      <c r="V67" s="14" t="str">
        <f t="shared" si="22"/>
        <v/>
      </c>
      <c r="W67" s="13"/>
      <c r="X67" s="13"/>
      <c r="Y67" s="13"/>
      <c r="Z67" s="13"/>
      <c r="AA67" s="16"/>
      <c r="AB67" s="12"/>
      <c r="AC67" s="12"/>
      <c r="AD67" s="14" t="str">
        <f t="shared" si="23"/>
        <v/>
      </c>
      <c r="AE67" s="14" t="str">
        <f t="shared" si="24"/>
        <v/>
      </c>
      <c r="AF67" s="17" t="str">
        <f t="shared" si="25"/>
        <v/>
      </c>
      <c r="AG67" s="13"/>
      <c r="AH67" s="16"/>
      <c r="AI67" s="12"/>
      <c r="AJ67" s="16"/>
      <c r="AK67" s="13"/>
      <c r="AL67" s="16"/>
      <c r="AM67" s="13"/>
      <c r="AN67" s="17" t="str">
        <f t="shared" si="26"/>
        <v/>
      </c>
      <c r="AO67" s="14" t="str">
        <f t="shared" ca="1" si="27"/>
        <v/>
      </c>
      <c r="AP67" s="13"/>
      <c r="AQ67" s="12"/>
      <c r="AR67" s="14" t="str">
        <f>IF($O67="","",1+COUNTIF($O$5:$O$154,"&gt;"&amp;$O67)+COUNTIFS($O$5:$O$154,$O67,$N$5:$N$154,"&gt;"&amp;$N67)+COUNTIFS($O$4:$O66,$O67,$N$4:$N66,$N67))</f>
        <v/>
      </c>
      <c r="AS67" s="62"/>
      <c r="AT67" s="62"/>
      <c r="AU67" s="63" t="str">
        <f t="shared" si="28"/>
        <v/>
      </c>
      <c r="AV67" s="64" t="str">
        <f t="shared" si="29"/>
        <v/>
      </c>
      <c r="AW67" s="129" t="str">
        <f t="shared" si="30"/>
        <v/>
      </c>
      <c r="AX67" s="13"/>
      <c r="AY67" s="16"/>
      <c r="AZ67" s="13"/>
      <c r="BA67" s="13"/>
      <c r="BB67" s="13"/>
      <c r="BC67" s="13"/>
      <c r="BD67" s="13"/>
      <c r="BE67" s="13"/>
      <c r="BF67" s="13"/>
      <c r="BG67" s="13"/>
      <c r="BH67" s="14" t="str">
        <f t="shared" si="31"/>
        <v/>
      </c>
      <c r="BI67" s="14" t="str">
        <f t="shared" si="32"/>
        <v/>
      </c>
      <c r="BJ67" s="14" t="str">
        <f t="shared" si="33"/>
        <v/>
      </c>
      <c r="BK67" s="15" t="str">
        <f t="shared" si="34"/>
        <v/>
      </c>
      <c r="BL67" s="15" t="str">
        <f t="shared" si="35"/>
        <v/>
      </c>
      <c r="BM67" s="13"/>
      <c r="BN67" s="13"/>
      <c r="BO67" s="13"/>
      <c r="BP67" s="13"/>
      <c r="BQ67" s="13"/>
      <c r="BR67" s="14" t="str">
        <f t="shared" si="36"/>
        <v/>
      </c>
      <c r="BS67" s="15" t="str">
        <f t="shared" si="37"/>
        <v/>
      </c>
      <c r="BT67" s="13"/>
    </row>
    <row r="68" spans="1:72">
      <c r="A68" s="115"/>
      <c r="B68" s="12"/>
      <c r="C68" s="13"/>
      <c r="D68" s="13"/>
      <c r="E68" s="12"/>
      <c r="F68" s="12"/>
      <c r="G68" s="13"/>
      <c r="H68" s="12"/>
      <c r="I68" s="13"/>
      <c r="J68" s="13"/>
      <c r="K68" s="13"/>
      <c r="L68" s="13"/>
      <c r="M68" s="12"/>
      <c r="N68" s="12"/>
      <c r="O68" s="14" t="str">
        <f t="shared" si="19"/>
        <v/>
      </c>
      <c r="P68" s="15" t="str">
        <f t="shared" si="20"/>
        <v/>
      </c>
      <c r="Q68" s="13"/>
      <c r="R68" s="13"/>
      <c r="S68" s="13"/>
      <c r="T68" s="13"/>
      <c r="U68" s="15" t="str">
        <f t="shared" si="21"/>
        <v/>
      </c>
      <c r="V68" s="14" t="str">
        <f t="shared" si="22"/>
        <v/>
      </c>
      <c r="W68" s="13"/>
      <c r="X68" s="13"/>
      <c r="Y68" s="13"/>
      <c r="Z68" s="13"/>
      <c r="AA68" s="16"/>
      <c r="AB68" s="12"/>
      <c r="AC68" s="12"/>
      <c r="AD68" s="14" t="str">
        <f t="shared" si="23"/>
        <v/>
      </c>
      <c r="AE68" s="14" t="str">
        <f t="shared" si="24"/>
        <v/>
      </c>
      <c r="AF68" s="17" t="str">
        <f t="shared" si="25"/>
        <v/>
      </c>
      <c r="AG68" s="13"/>
      <c r="AH68" s="16"/>
      <c r="AI68" s="12"/>
      <c r="AJ68" s="16"/>
      <c r="AK68" s="13"/>
      <c r="AL68" s="16"/>
      <c r="AM68" s="13"/>
      <c r="AN68" s="17" t="str">
        <f t="shared" si="26"/>
        <v/>
      </c>
      <c r="AO68" s="14" t="str">
        <f t="shared" ca="1" si="27"/>
        <v/>
      </c>
      <c r="AP68" s="13"/>
      <c r="AQ68" s="12"/>
      <c r="AR68" s="14" t="str">
        <f>IF($O68="","",1+COUNTIF($O$5:$O$154,"&gt;"&amp;$O68)+COUNTIFS($O$5:$O$154,$O68,$N$5:$N$154,"&gt;"&amp;$N68)+COUNTIFS($O$4:$O67,$O68,$N$4:$N67,$N68))</f>
        <v/>
      </c>
      <c r="AS68" s="62"/>
      <c r="AT68" s="62"/>
      <c r="AU68" s="63" t="str">
        <f t="shared" si="28"/>
        <v/>
      </c>
      <c r="AV68" s="64" t="str">
        <f t="shared" si="29"/>
        <v/>
      </c>
      <c r="AW68" s="129" t="str">
        <f t="shared" si="30"/>
        <v/>
      </c>
      <c r="AX68" s="13"/>
      <c r="AY68" s="16"/>
      <c r="AZ68" s="13"/>
      <c r="BA68" s="13"/>
      <c r="BB68" s="13"/>
      <c r="BC68" s="13"/>
      <c r="BD68" s="13"/>
      <c r="BE68" s="13"/>
      <c r="BF68" s="13"/>
      <c r="BG68" s="13"/>
      <c r="BH68" s="14" t="str">
        <f t="shared" si="31"/>
        <v/>
      </c>
      <c r="BI68" s="14" t="str">
        <f t="shared" si="32"/>
        <v/>
      </c>
      <c r="BJ68" s="14" t="str">
        <f t="shared" si="33"/>
        <v/>
      </c>
      <c r="BK68" s="15" t="str">
        <f t="shared" si="34"/>
        <v/>
      </c>
      <c r="BL68" s="15" t="str">
        <f t="shared" si="35"/>
        <v/>
      </c>
      <c r="BM68" s="13"/>
      <c r="BN68" s="13"/>
      <c r="BO68" s="13"/>
      <c r="BP68" s="13"/>
      <c r="BQ68" s="13"/>
      <c r="BR68" s="14" t="str">
        <f t="shared" si="36"/>
        <v/>
      </c>
      <c r="BS68" s="15" t="str">
        <f t="shared" si="37"/>
        <v/>
      </c>
      <c r="BT68" s="13"/>
    </row>
    <row r="69" spans="1:72">
      <c r="A69" s="115"/>
      <c r="B69" s="12"/>
      <c r="C69" s="13"/>
      <c r="D69" s="13"/>
      <c r="E69" s="12"/>
      <c r="F69" s="12"/>
      <c r="G69" s="13"/>
      <c r="H69" s="12"/>
      <c r="I69" s="13"/>
      <c r="J69" s="13"/>
      <c r="K69" s="13"/>
      <c r="L69" s="13"/>
      <c r="M69" s="12"/>
      <c r="N69" s="12"/>
      <c r="O69" s="14" t="str">
        <f t="shared" ref="O69:O100" si="38">IF(COUNT($M69:$N69)=2,$M69*$N69,"")</f>
        <v/>
      </c>
      <c r="P69" s="15" t="str">
        <f t="shared" ref="P69:P100" si="39">IF($O69="","",INDEX(Niveis,IFERROR(MATCH($O69,Limites,1),1)))</f>
        <v/>
      </c>
      <c r="Q69" s="13"/>
      <c r="R69" s="13"/>
      <c r="S69" s="13"/>
      <c r="T69" s="13"/>
      <c r="U69" s="15" t="str">
        <f t="shared" ref="U69:U100" si="40">IF(COUNTA($R69:$T69)&lt;3,"",IFERROR((4-MATCH($R69,ListaFacil,0))+(4-MATCH($S69,ListaReducao,0))+(4-MATCH($T69,ListaAlinh,0)),""))</f>
        <v/>
      </c>
      <c r="V69" s="14" t="str">
        <f t="shared" ref="V69:V100" si="41">IF($P69="","",INDEX(AcaoOport,MATCH($P69,Niveis,0)))</f>
        <v/>
      </c>
      <c r="W69" s="13"/>
      <c r="X69" s="13"/>
      <c r="Y69" s="13"/>
      <c r="Z69" s="13"/>
      <c r="AA69" s="16"/>
      <c r="AB69" s="12"/>
      <c r="AC69" s="12"/>
      <c r="AD69" s="14" t="str">
        <f t="shared" ref="AD69:AD100" si="42">IF(OR($AC69="",PlanoUrl=""),"",HYPERLINK(SUBSTITUTE(PlanoUrl,"{COD}",SUBSTITUTE($AC69," ","%20")),"↗"))</f>
        <v/>
      </c>
      <c r="AE69" s="14" t="str">
        <f t="shared" ref="AE69:AE100" si="43">IF($C69="","",IF($AC69="",$AB69&amp;"",IFERROR(IF(INDEX(PlanosStatus,MATCH($AC69,PlanosCod,0))="",$AB69&amp;"",INDEX(PlanosStatus,MATCH($AC69,PlanosCod,0))),$AB69&amp;"")))</f>
        <v/>
      </c>
      <c r="AF69" s="17" t="str">
        <f t="shared" ref="AF69:AF100" si="44">IF($C69="","",IF($AC69="",IF($AA69="","",$AA69),IFERROR(IF(INDEX(PlanosPrazo,MATCH($AC69,PlanosCod,0))="",IF($AA69="","",$AA69),INDEX(PlanosPrazo,MATCH($AC69,PlanosCod,0))),IF($AA69="","",$AA69))))</f>
        <v/>
      </c>
      <c r="AG69" s="13"/>
      <c r="AH69" s="16"/>
      <c r="AI69" s="12"/>
      <c r="AJ69" s="16"/>
      <c r="AK69" s="13"/>
      <c r="AL69" s="16"/>
      <c r="AM69" s="13"/>
      <c r="AN69" s="17" t="str">
        <f t="shared" ref="AN69:AN100" si="45">IF(OR($AL69="",$P69=""),"",EDATE($AL69,INDEX(MesesRev,MATCH($P69,Niveis,0))))</f>
        <v/>
      </c>
      <c r="AO69" s="14" t="str">
        <f t="shared" ref="AO69:AO100" ca="1" si="46">IF($C69="","",IF($Y69="","Sem dono",IF($P69="","Falta avaliação",IF(AND($AC69&lt;&gt;"",COUNTIF(PlanosCod,$AC69)=0),"Código não encontrado",IF(AND($AC69&lt;&gt;"",IFERROR(INDEX(PlanosIdRef,MATCH($AC69,PlanosCod,0))&amp;"","")&lt;&gt;"",ISERROR(SEARCH(";"&amp;$A69&amp;";",";"&amp;SUBSTITUTE(SUBSTITUTE(IFERROR(INDEX(PlanosIdRef,MATCH($AC69,PlanosCod,0))&amp;"","")," ",""),",",";")&amp;";"))),"Vínculo divergente",IF(AND($W69="",$X69="",$AC69="",MATCH($P69,Niveis,0)&gt;=IdxExige),"Sem ação",IF(AND(OR($W69="Explorar",$W69="Melhorar",$W69="Analisar viabilidade e custo-benefício",$W69="Integrar ao planejamento estratégico",$W69="Compartilhar (parceria / contrato)"),$AK69=""),"Definir KPI",IF($AI69="Não eficaz","Ação ineficaz",IF(AND($AF69&lt;&gt;"",$AF69&lt;TODAY(),$AE69&lt;&gt;"Concluído",$AE69&lt;&gt;"Cancelado"),"Ação vencida",IF(AND($AI69&lt;&gt;"Eficaz",OR($AE69="Concluído",AND(ISNUMBER($AH69),$AH69&lt;TODAY()))),"Avaliar eficácia",IF(AND($AN69&lt;&gt;"",$AN69&lt;TODAY()),"Revisão vencida",IF(AND($AF69&lt;&gt;"",N($AF69)-TODAY()&lt;=DiasAlerta,$AE69&lt;&gt;"Concluído",$AE69&lt;&gt;"Cancelado"),"Vence em breve","OK"))))))))))))</f>
        <v/>
      </c>
      <c r="AP69" s="13"/>
      <c r="AQ69" s="12"/>
      <c r="AR69" s="14" t="str">
        <f>IF($O69="","",1+COUNTIF($O$5:$O$154,"&gt;"&amp;$O69)+COUNTIFS($O$5:$O$154,$O69,$N$5:$N$154,"&gt;"&amp;$N69)+COUNTIFS($O$4:$O68,$O69,$N$4:$N68,$N69))</f>
        <v/>
      </c>
      <c r="AS69" s="62"/>
      <c r="AT69" s="62"/>
      <c r="AU69" s="63" t="str">
        <f t="shared" ref="AU69:AU100" si="47">IF(OR($AT69="",$M69=""),"",IFERROR($AT69*INDEX(ProbMedia,$M69),""))</f>
        <v/>
      </c>
      <c r="AV69" s="64" t="str">
        <f t="shared" ref="AV69:AV100" si="48">IF(OR($AS69="",$AU69=""),"",IF($AS69=0,"",$AU69/$AS69))</f>
        <v/>
      </c>
      <c r="AW69" s="129" t="str">
        <f t="shared" ref="AW69:AW100" si="49">IF($AV69="","",IF($AV69&gt;=1.5,"Retorno cobre o custo com folga: priorizar",IF($AV69&gt;=1,"Retorno cobre o custo: viável","Retorno menor que o custo: reavaliar ou reter para avaliação futura")))</f>
        <v/>
      </c>
      <c r="AX69" s="13"/>
      <c r="AY69" s="16"/>
      <c r="AZ69" s="13"/>
      <c r="BA69" s="13"/>
      <c r="BB69" s="13"/>
      <c r="BC69" s="13"/>
      <c r="BD69" s="13"/>
      <c r="BE69" s="13"/>
      <c r="BF69" s="13"/>
      <c r="BG69" s="13"/>
      <c r="BH69" s="14" t="str">
        <f t="shared" ref="BH69:BH100" si="50">IF($BF69="","",IFERROR(INDEX(SgaProbValor,MATCH($BF69,SgaProbNivel,0)),""))</f>
        <v/>
      </c>
      <c r="BI69" s="14" t="str">
        <f t="shared" ref="BI69:BI100" si="51">IF($BG69="","",IFERROR(INDEX(SgaSevOpValor,MATCH($BG69,SgaSevOpNivel,0)),""))</f>
        <v/>
      </c>
      <c r="BJ69" s="14" t="str">
        <f t="shared" ref="BJ69:BJ100" si="52">IF(COUNT($BH69:$BI69)=2,$BH69*$BI69,"")</f>
        <v/>
      </c>
      <c r="BK69" s="15" t="str">
        <f t="shared" ref="BK69:BK100" si="53">IF($BJ69="","",IF($BJ69&gt;=SgaLimOpSig,"SIGNIFICATIVO",IF($BJ69&gt;=SgaLimOpTol,"TOLERÁVEL","BAIXO")))</f>
        <v/>
      </c>
      <c r="BL69" s="15" t="str">
        <f t="shared" ref="BL69:BL100" si="54">IF($BK69="","",IF($BK69="SIGNIFICATIVO","AÇÃO REQUERIDA","ACEITÁVEL"))</f>
        <v/>
      </c>
      <c r="BM69" s="13"/>
      <c r="BN69" s="13"/>
      <c r="BO69" s="13"/>
      <c r="BP69" s="13"/>
      <c r="BQ69" s="13"/>
      <c r="BR69" s="14" t="str">
        <f t="shared" ref="BR69:BR100" si="55">IF(OR($BP69="",$BQ69=""),"",IFERROR(INDEX(SgaProbValor,MATCH($BP69,SgaProbNivel,0))*INDEX(SgaSevOpValor,MATCH($BQ69,SgaSevOpNivel,0)),""))</f>
        <v/>
      </c>
      <c r="BS69" s="15" t="str">
        <f t="shared" ref="BS69:BS100" si="56">IF($BR69="","",IF($BR69&gt;=SgaLimOpSig,"SIGNIFICATIVO",IF($BR69&gt;=SgaLimOpTol,"TOLERÁVEL","BAIXO")))</f>
        <v/>
      </c>
      <c r="BT69" s="13"/>
    </row>
    <row r="70" spans="1:72">
      <c r="A70" s="115"/>
      <c r="B70" s="12"/>
      <c r="C70" s="13"/>
      <c r="D70" s="13"/>
      <c r="E70" s="12"/>
      <c r="F70" s="12"/>
      <c r="G70" s="13"/>
      <c r="H70" s="12"/>
      <c r="I70" s="13"/>
      <c r="J70" s="13"/>
      <c r="K70" s="13"/>
      <c r="L70" s="13"/>
      <c r="M70" s="12"/>
      <c r="N70" s="12"/>
      <c r="O70" s="14" t="str">
        <f t="shared" si="38"/>
        <v/>
      </c>
      <c r="P70" s="15" t="str">
        <f t="shared" si="39"/>
        <v/>
      </c>
      <c r="Q70" s="13"/>
      <c r="R70" s="13"/>
      <c r="S70" s="13"/>
      <c r="T70" s="13"/>
      <c r="U70" s="15" t="str">
        <f t="shared" si="40"/>
        <v/>
      </c>
      <c r="V70" s="14" t="str">
        <f t="shared" si="41"/>
        <v/>
      </c>
      <c r="W70" s="13"/>
      <c r="X70" s="13"/>
      <c r="Y70" s="13"/>
      <c r="Z70" s="13"/>
      <c r="AA70" s="16"/>
      <c r="AB70" s="12"/>
      <c r="AC70" s="12"/>
      <c r="AD70" s="14" t="str">
        <f t="shared" si="42"/>
        <v/>
      </c>
      <c r="AE70" s="14" t="str">
        <f t="shared" si="43"/>
        <v/>
      </c>
      <c r="AF70" s="17" t="str">
        <f t="shared" si="44"/>
        <v/>
      </c>
      <c r="AG70" s="13"/>
      <c r="AH70" s="16"/>
      <c r="AI70" s="12"/>
      <c r="AJ70" s="16"/>
      <c r="AK70" s="13"/>
      <c r="AL70" s="16"/>
      <c r="AM70" s="13"/>
      <c r="AN70" s="17" t="str">
        <f t="shared" si="45"/>
        <v/>
      </c>
      <c r="AO70" s="14" t="str">
        <f t="shared" ca="1" si="46"/>
        <v/>
      </c>
      <c r="AP70" s="13"/>
      <c r="AQ70" s="12"/>
      <c r="AR70" s="14" t="str">
        <f>IF($O70="","",1+COUNTIF($O$5:$O$154,"&gt;"&amp;$O70)+COUNTIFS($O$5:$O$154,$O70,$N$5:$N$154,"&gt;"&amp;$N70)+COUNTIFS($O$4:$O69,$O70,$N$4:$N69,$N70))</f>
        <v/>
      </c>
      <c r="AS70" s="62"/>
      <c r="AT70" s="62"/>
      <c r="AU70" s="63" t="str">
        <f t="shared" si="47"/>
        <v/>
      </c>
      <c r="AV70" s="64" t="str">
        <f t="shared" si="48"/>
        <v/>
      </c>
      <c r="AW70" s="129" t="str">
        <f t="shared" si="49"/>
        <v/>
      </c>
      <c r="AX70" s="13"/>
      <c r="AY70" s="16"/>
      <c r="AZ70" s="13"/>
      <c r="BA70" s="13"/>
      <c r="BB70" s="13"/>
      <c r="BC70" s="13"/>
      <c r="BD70" s="13"/>
      <c r="BE70" s="13"/>
      <c r="BF70" s="13"/>
      <c r="BG70" s="13"/>
      <c r="BH70" s="14" t="str">
        <f t="shared" si="50"/>
        <v/>
      </c>
      <c r="BI70" s="14" t="str">
        <f t="shared" si="51"/>
        <v/>
      </c>
      <c r="BJ70" s="14" t="str">
        <f t="shared" si="52"/>
        <v/>
      </c>
      <c r="BK70" s="15" t="str">
        <f t="shared" si="53"/>
        <v/>
      </c>
      <c r="BL70" s="15" t="str">
        <f t="shared" si="54"/>
        <v/>
      </c>
      <c r="BM70" s="13"/>
      <c r="BN70" s="13"/>
      <c r="BO70" s="13"/>
      <c r="BP70" s="13"/>
      <c r="BQ70" s="13"/>
      <c r="BR70" s="14" t="str">
        <f t="shared" si="55"/>
        <v/>
      </c>
      <c r="BS70" s="15" t="str">
        <f t="shared" si="56"/>
        <v/>
      </c>
      <c r="BT70" s="13"/>
    </row>
    <row r="71" spans="1:72">
      <c r="A71" s="115"/>
      <c r="B71" s="12"/>
      <c r="C71" s="13"/>
      <c r="D71" s="13"/>
      <c r="E71" s="12"/>
      <c r="F71" s="12"/>
      <c r="G71" s="13"/>
      <c r="H71" s="12"/>
      <c r="I71" s="13"/>
      <c r="J71" s="13"/>
      <c r="K71" s="13"/>
      <c r="L71" s="13"/>
      <c r="M71" s="12"/>
      <c r="N71" s="12"/>
      <c r="O71" s="14" t="str">
        <f t="shared" si="38"/>
        <v/>
      </c>
      <c r="P71" s="15" t="str">
        <f t="shared" si="39"/>
        <v/>
      </c>
      <c r="Q71" s="13"/>
      <c r="R71" s="13"/>
      <c r="S71" s="13"/>
      <c r="T71" s="13"/>
      <c r="U71" s="15" t="str">
        <f t="shared" si="40"/>
        <v/>
      </c>
      <c r="V71" s="14" t="str">
        <f t="shared" si="41"/>
        <v/>
      </c>
      <c r="W71" s="13"/>
      <c r="X71" s="13"/>
      <c r="Y71" s="13"/>
      <c r="Z71" s="13"/>
      <c r="AA71" s="16"/>
      <c r="AB71" s="12"/>
      <c r="AC71" s="12"/>
      <c r="AD71" s="14" t="str">
        <f t="shared" si="42"/>
        <v/>
      </c>
      <c r="AE71" s="14" t="str">
        <f t="shared" si="43"/>
        <v/>
      </c>
      <c r="AF71" s="17" t="str">
        <f t="shared" si="44"/>
        <v/>
      </c>
      <c r="AG71" s="13"/>
      <c r="AH71" s="16"/>
      <c r="AI71" s="12"/>
      <c r="AJ71" s="16"/>
      <c r="AK71" s="13"/>
      <c r="AL71" s="16"/>
      <c r="AM71" s="13"/>
      <c r="AN71" s="17" t="str">
        <f t="shared" si="45"/>
        <v/>
      </c>
      <c r="AO71" s="14" t="str">
        <f t="shared" ca="1" si="46"/>
        <v/>
      </c>
      <c r="AP71" s="13"/>
      <c r="AQ71" s="12"/>
      <c r="AR71" s="14" t="str">
        <f>IF($O71="","",1+COUNTIF($O$5:$O$154,"&gt;"&amp;$O71)+COUNTIFS($O$5:$O$154,$O71,$N$5:$N$154,"&gt;"&amp;$N71)+COUNTIFS($O$4:$O70,$O71,$N$4:$N70,$N71))</f>
        <v/>
      </c>
      <c r="AS71" s="62"/>
      <c r="AT71" s="62"/>
      <c r="AU71" s="63" t="str">
        <f t="shared" si="47"/>
        <v/>
      </c>
      <c r="AV71" s="64" t="str">
        <f t="shared" si="48"/>
        <v/>
      </c>
      <c r="AW71" s="129" t="str">
        <f t="shared" si="49"/>
        <v/>
      </c>
      <c r="AX71" s="13"/>
      <c r="AY71" s="16"/>
      <c r="AZ71" s="13"/>
      <c r="BA71" s="13"/>
      <c r="BB71" s="13"/>
      <c r="BC71" s="13"/>
      <c r="BD71" s="13"/>
      <c r="BE71" s="13"/>
      <c r="BF71" s="13"/>
      <c r="BG71" s="13"/>
      <c r="BH71" s="14" t="str">
        <f t="shared" si="50"/>
        <v/>
      </c>
      <c r="BI71" s="14" t="str">
        <f t="shared" si="51"/>
        <v/>
      </c>
      <c r="BJ71" s="14" t="str">
        <f t="shared" si="52"/>
        <v/>
      </c>
      <c r="BK71" s="15" t="str">
        <f t="shared" si="53"/>
        <v/>
      </c>
      <c r="BL71" s="15" t="str">
        <f t="shared" si="54"/>
        <v/>
      </c>
      <c r="BM71" s="13"/>
      <c r="BN71" s="13"/>
      <c r="BO71" s="13"/>
      <c r="BP71" s="13"/>
      <c r="BQ71" s="13"/>
      <c r="BR71" s="14" t="str">
        <f t="shared" si="55"/>
        <v/>
      </c>
      <c r="BS71" s="15" t="str">
        <f t="shared" si="56"/>
        <v/>
      </c>
      <c r="BT71" s="13"/>
    </row>
    <row r="72" spans="1:72">
      <c r="A72" s="115"/>
      <c r="B72" s="12"/>
      <c r="C72" s="13"/>
      <c r="D72" s="13"/>
      <c r="E72" s="12"/>
      <c r="F72" s="12"/>
      <c r="G72" s="13"/>
      <c r="H72" s="12"/>
      <c r="I72" s="13"/>
      <c r="J72" s="13"/>
      <c r="K72" s="13"/>
      <c r="L72" s="13"/>
      <c r="M72" s="12"/>
      <c r="N72" s="12"/>
      <c r="O72" s="14" t="str">
        <f t="shared" si="38"/>
        <v/>
      </c>
      <c r="P72" s="15" t="str">
        <f t="shared" si="39"/>
        <v/>
      </c>
      <c r="Q72" s="13"/>
      <c r="R72" s="13"/>
      <c r="S72" s="13"/>
      <c r="T72" s="13"/>
      <c r="U72" s="15" t="str">
        <f t="shared" si="40"/>
        <v/>
      </c>
      <c r="V72" s="14" t="str">
        <f t="shared" si="41"/>
        <v/>
      </c>
      <c r="W72" s="13"/>
      <c r="X72" s="13"/>
      <c r="Y72" s="13"/>
      <c r="Z72" s="13"/>
      <c r="AA72" s="16"/>
      <c r="AB72" s="12"/>
      <c r="AC72" s="12"/>
      <c r="AD72" s="14" t="str">
        <f t="shared" si="42"/>
        <v/>
      </c>
      <c r="AE72" s="14" t="str">
        <f t="shared" si="43"/>
        <v/>
      </c>
      <c r="AF72" s="17" t="str">
        <f t="shared" si="44"/>
        <v/>
      </c>
      <c r="AG72" s="13"/>
      <c r="AH72" s="16"/>
      <c r="AI72" s="12"/>
      <c r="AJ72" s="16"/>
      <c r="AK72" s="13"/>
      <c r="AL72" s="16"/>
      <c r="AM72" s="13"/>
      <c r="AN72" s="17" t="str">
        <f t="shared" si="45"/>
        <v/>
      </c>
      <c r="AO72" s="14" t="str">
        <f t="shared" ca="1" si="46"/>
        <v/>
      </c>
      <c r="AP72" s="13"/>
      <c r="AQ72" s="12"/>
      <c r="AR72" s="14" t="str">
        <f>IF($O72="","",1+COUNTIF($O$5:$O$154,"&gt;"&amp;$O72)+COUNTIFS($O$5:$O$154,$O72,$N$5:$N$154,"&gt;"&amp;$N72)+COUNTIFS($O$4:$O71,$O72,$N$4:$N71,$N72))</f>
        <v/>
      </c>
      <c r="AS72" s="62"/>
      <c r="AT72" s="62"/>
      <c r="AU72" s="63" t="str">
        <f t="shared" si="47"/>
        <v/>
      </c>
      <c r="AV72" s="64" t="str">
        <f t="shared" si="48"/>
        <v/>
      </c>
      <c r="AW72" s="129" t="str">
        <f t="shared" si="49"/>
        <v/>
      </c>
      <c r="AX72" s="13"/>
      <c r="AY72" s="16"/>
      <c r="AZ72" s="13"/>
      <c r="BA72" s="13"/>
      <c r="BB72" s="13"/>
      <c r="BC72" s="13"/>
      <c r="BD72" s="13"/>
      <c r="BE72" s="13"/>
      <c r="BF72" s="13"/>
      <c r="BG72" s="13"/>
      <c r="BH72" s="14" t="str">
        <f t="shared" si="50"/>
        <v/>
      </c>
      <c r="BI72" s="14" t="str">
        <f t="shared" si="51"/>
        <v/>
      </c>
      <c r="BJ72" s="14" t="str">
        <f t="shared" si="52"/>
        <v/>
      </c>
      <c r="BK72" s="15" t="str">
        <f t="shared" si="53"/>
        <v/>
      </c>
      <c r="BL72" s="15" t="str">
        <f t="shared" si="54"/>
        <v/>
      </c>
      <c r="BM72" s="13"/>
      <c r="BN72" s="13"/>
      <c r="BO72" s="13"/>
      <c r="BP72" s="13"/>
      <c r="BQ72" s="13"/>
      <c r="BR72" s="14" t="str">
        <f t="shared" si="55"/>
        <v/>
      </c>
      <c r="BS72" s="15" t="str">
        <f t="shared" si="56"/>
        <v/>
      </c>
      <c r="BT72" s="13"/>
    </row>
    <row r="73" spans="1:72">
      <c r="A73" s="115"/>
      <c r="B73" s="12"/>
      <c r="C73" s="13"/>
      <c r="D73" s="13"/>
      <c r="E73" s="12"/>
      <c r="F73" s="12"/>
      <c r="G73" s="13"/>
      <c r="H73" s="12"/>
      <c r="I73" s="13"/>
      <c r="J73" s="13"/>
      <c r="K73" s="13"/>
      <c r="L73" s="13"/>
      <c r="M73" s="12"/>
      <c r="N73" s="12"/>
      <c r="O73" s="14" t="str">
        <f t="shared" si="38"/>
        <v/>
      </c>
      <c r="P73" s="15" t="str">
        <f t="shared" si="39"/>
        <v/>
      </c>
      <c r="Q73" s="13"/>
      <c r="R73" s="13"/>
      <c r="S73" s="13"/>
      <c r="T73" s="13"/>
      <c r="U73" s="15" t="str">
        <f t="shared" si="40"/>
        <v/>
      </c>
      <c r="V73" s="14" t="str">
        <f t="shared" si="41"/>
        <v/>
      </c>
      <c r="W73" s="13"/>
      <c r="X73" s="13"/>
      <c r="Y73" s="13"/>
      <c r="Z73" s="13"/>
      <c r="AA73" s="16"/>
      <c r="AB73" s="12"/>
      <c r="AC73" s="12"/>
      <c r="AD73" s="14" t="str">
        <f t="shared" si="42"/>
        <v/>
      </c>
      <c r="AE73" s="14" t="str">
        <f t="shared" si="43"/>
        <v/>
      </c>
      <c r="AF73" s="17" t="str">
        <f t="shared" si="44"/>
        <v/>
      </c>
      <c r="AG73" s="13"/>
      <c r="AH73" s="16"/>
      <c r="AI73" s="12"/>
      <c r="AJ73" s="16"/>
      <c r="AK73" s="13"/>
      <c r="AL73" s="16"/>
      <c r="AM73" s="13"/>
      <c r="AN73" s="17" t="str">
        <f t="shared" si="45"/>
        <v/>
      </c>
      <c r="AO73" s="14" t="str">
        <f t="shared" ca="1" si="46"/>
        <v/>
      </c>
      <c r="AP73" s="13"/>
      <c r="AQ73" s="12"/>
      <c r="AR73" s="14" t="str">
        <f>IF($O73="","",1+COUNTIF($O$5:$O$154,"&gt;"&amp;$O73)+COUNTIFS($O$5:$O$154,$O73,$N$5:$N$154,"&gt;"&amp;$N73)+COUNTIFS($O$4:$O72,$O73,$N$4:$N72,$N73))</f>
        <v/>
      </c>
      <c r="AS73" s="62"/>
      <c r="AT73" s="62"/>
      <c r="AU73" s="63" t="str">
        <f t="shared" si="47"/>
        <v/>
      </c>
      <c r="AV73" s="64" t="str">
        <f t="shared" si="48"/>
        <v/>
      </c>
      <c r="AW73" s="129" t="str">
        <f t="shared" si="49"/>
        <v/>
      </c>
      <c r="AX73" s="13"/>
      <c r="AY73" s="16"/>
      <c r="AZ73" s="13"/>
      <c r="BA73" s="13"/>
      <c r="BB73" s="13"/>
      <c r="BC73" s="13"/>
      <c r="BD73" s="13"/>
      <c r="BE73" s="13"/>
      <c r="BF73" s="13"/>
      <c r="BG73" s="13"/>
      <c r="BH73" s="14" t="str">
        <f t="shared" si="50"/>
        <v/>
      </c>
      <c r="BI73" s="14" t="str">
        <f t="shared" si="51"/>
        <v/>
      </c>
      <c r="BJ73" s="14" t="str">
        <f t="shared" si="52"/>
        <v/>
      </c>
      <c r="BK73" s="15" t="str">
        <f t="shared" si="53"/>
        <v/>
      </c>
      <c r="BL73" s="15" t="str">
        <f t="shared" si="54"/>
        <v/>
      </c>
      <c r="BM73" s="13"/>
      <c r="BN73" s="13"/>
      <c r="BO73" s="13"/>
      <c r="BP73" s="13"/>
      <c r="BQ73" s="13"/>
      <c r="BR73" s="14" t="str">
        <f t="shared" si="55"/>
        <v/>
      </c>
      <c r="BS73" s="15" t="str">
        <f t="shared" si="56"/>
        <v/>
      </c>
      <c r="BT73" s="13"/>
    </row>
    <row r="74" spans="1:72">
      <c r="A74" s="115"/>
      <c r="B74" s="12"/>
      <c r="C74" s="13"/>
      <c r="D74" s="13"/>
      <c r="E74" s="12"/>
      <c r="F74" s="12"/>
      <c r="G74" s="13"/>
      <c r="H74" s="12"/>
      <c r="I74" s="13"/>
      <c r="J74" s="13"/>
      <c r="K74" s="13"/>
      <c r="L74" s="13"/>
      <c r="M74" s="12"/>
      <c r="N74" s="12"/>
      <c r="O74" s="14" t="str">
        <f t="shared" si="38"/>
        <v/>
      </c>
      <c r="P74" s="15" t="str">
        <f t="shared" si="39"/>
        <v/>
      </c>
      <c r="Q74" s="13"/>
      <c r="R74" s="13"/>
      <c r="S74" s="13"/>
      <c r="T74" s="13"/>
      <c r="U74" s="15" t="str">
        <f t="shared" si="40"/>
        <v/>
      </c>
      <c r="V74" s="14" t="str">
        <f t="shared" si="41"/>
        <v/>
      </c>
      <c r="W74" s="13"/>
      <c r="X74" s="13"/>
      <c r="Y74" s="13"/>
      <c r="Z74" s="13"/>
      <c r="AA74" s="16"/>
      <c r="AB74" s="12"/>
      <c r="AC74" s="12"/>
      <c r="AD74" s="14" t="str">
        <f t="shared" si="42"/>
        <v/>
      </c>
      <c r="AE74" s="14" t="str">
        <f t="shared" si="43"/>
        <v/>
      </c>
      <c r="AF74" s="17" t="str">
        <f t="shared" si="44"/>
        <v/>
      </c>
      <c r="AG74" s="13"/>
      <c r="AH74" s="16"/>
      <c r="AI74" s="12"/>
      <c r="AJ74" s="16"/>
      <c r="AK74" s="13"/>
      <c r="AL74" s="16"/>
      <c r="AM74" s="13"/>
      <c r="AN74" s="17" t="str">
        <f t="shared" si="45"/>
        <v/>
      </c>
      <c r="AO74" s="14" t="str">
        <f t="shared" ca="1" si="46"/>
        <v/>
      </c>
      <c r="AP74" s="13"/>
      <c r="AQ74" s="12"/>
      <c r="AR74" s="14" t="str">
        <f>IF($O74="","",1+COUNTIF($O$5:$O$154,"&gt;"&amp;$O74)+COUNTIFS($O$5:$O$154,$O74,$N$5:$N$154,"&gt;"&amp;$N74)+COUNTIFS($O$4:$O73,$O74,$N$4:$N73,$N74))</f>
        <v/>
      </c>
      <c r="AS74" s="62"/>
      <c r="AT74" s="62"/>
      <c r="AU74" s="63" t="str">
        <f t="shared" si="47"/>
        <v/>
      </c>
      <c r="AV74" s="64" t="str">
        <f t="shared" si="48"/>
        <v/>
      </c>
      <c r="AW74" s="129" t="str">
        <f t="shared" si="49"/>
        <v/>
      </c>
      <c r="AX74" s="13"/>
      <c r="AY74" s="16"/>
      <c r="AZ74" s="13"/>
      <c r="BA74" s="13"/>
      <c r="BB74" s="13"/>
      <c r="BC74" s="13"/>
      <c r="BD74" s="13"/>
      <c r="BE74" s="13"/>
      <c r="BF74" s="13"/>
      <c r="BG74" s="13"/>
      <c r="BH74" s="14" t="str">
        <f t="shared" si="50"/>
        <v/>
      </c>
      <c r="BI74" s="14" t="str">
        <f t="shared" si="51"/>
        <v/>
      </c>
      <c r="BJ74" s="14" t="str">
        <f t="shared" si="52"/>
        <v/>
      </c>
      <c r="BK74" s="15" t="str">
        <f t="shared" si="53"/>
        <v/>
      </c>
      <c r="BL74" s="15" t="str">
        <f t="shared" si="54"/>
        <v/>
      </c>
      <c r="BM74" s="13"/>
      <c r="BN74" s="13"/>
      <c r="BO74" s="13"/>
      <c r="BP74" s="13"/>
      <c r="BQ74" s="13"/>
      <c r="BR74" s="14" t="str">
        <f t="shared" si="55"/>
        <v/>
      </c>
      <c r="BS74" s="15" t="str">
        <f t="shared" si="56"/>
        <v/>
      </c>
      <c r="BT74" s="13"/>
    </row>
    <row r="75" spans="1:72">
      <c r="A75" s="115"/>
      <c r="B75" s="12"/>
      <c r="C75" s="13"/>
      <c r="D75" s="13"/>
      <c r="E75" s="12"/>
      <c r="F75" s="12"/>
      <c r="G75" s="13"/>
      <c r="H75" s="12"/>
      <c r="I75" s="13"/>
      <c r="J75" s="13"/>
      <c r="K75" s="13"/>
      <c r="L75" s="13"/>
      <c r="M75" s="12"/>
      <c r="N75" s="12"/>
      <c r="O75" s="14" t="str">
        <f t="shared" si="38"/>
        <v/>
      </c>
      <c r="P75" s="15" t="str">
        <f t="shared" si="39"/>
        <v/>
      </c>
      <c r="Q75" s="13"/>
      <c r="R75" s="13"/>
      <c r="S75" s="13"/>
      <c r="T75" s="13"/>
      <c r="U75" s="15" t="str">
        <f t="shared" si="40"/>
        <v/>
      </c>
      <c r="V75" s="14" t="str">
        <f t="shared" si="41"/>
        <v/>
      </c>
      <c r="W75" s="13"/>
      <c r="X75" s="13"/>
      <c r="Y75" s="13"/>
      <c r="Z75" s="13"/>
      <c r="AA75" s="16"/>
      <c r="AB75" s="12"/>
      <c r="AC75" s="12"/>
      <c r="AD75" s="14" t="str">
        <f t="shared" si="42"/>
        <v/>
      </c>
      <c r="AE75" s="14" t="str">
        <f t="shared" si="43"/>
        <v/>
      </c>
      <c r="AF75" s="17" t="str">
        <f t="shared" si="44"/>
        <v/>
      </c>
      <c r="AG75" s="13"/>
      <c r="AH75" s="16"/>
      <c r="AI75" s="12"/>
      <c r="AJ75" s="16"/>
      <c r="AK75" s="13"/>
      <c r="AL75" s="16"/>
      <c r="AM75" s="13"/>
      <c r="AN75" s="17" t="str">
        <f t="shared" si="45"/>
        <v/>
      </c>
      <c r="AO75" s="14" t="str">
        <f t="shared" ca="1" si="46"/>
        <v/>
      </c>
      <c r="AP75" s="13"/>
      <c r="AQ75" s="12"/>
      <c r="AR75" s="14" t="str">
        <f>IF($O75="","",1+COUNTIF($O$5:$O$154,"&gt;"&amp;$O75)+COUNTIFS($O$5:$O$154,$O75,$N$5:$N$154,"&gt;"&amp;$N75)+COUNTIFS($O$4:$O74,$O75,$N$4:$N74,$N75))</f>
        <v/>
      </c>
      <c r="AS75" s="62"/>
      <c r="AT75" s="62"/>
      <c r="AU75" s="63" t="str">
        <f t="shared" si="47"/>
        <v/>
      </c>
      <c r="AV75" s="64" t="str">
        <f t="shared" si="48"/>
        <v/>
      </c>
      <c r="AW75" s="129" t="str">
        <f t="shared" si="49"/>
        <v/>
      </c>
      <c r="AX75" s="13"/>
      <c r="AY75" s="16"/>
      <c r="AZ75" s="13"/>
      <c r="BA75" s="13"/>
      <c r="BB75" s="13"/>
      <c r="BC75" s="13"/>
      <c r="BD75" s="13"/>
      <c r="BE75" s="13"/>
      <c r="BF75" s="13"/>
      <c r="BG75" s="13"/>
      <c r="BH75" s="14" t="str">
        <f t="shared" si="50"/>
        <v/>
      </c>
      <c r="BI75" s="14" t="str">
        <f t="shared" si="51"/>
        <v/>
      </c>
      <c r="BJ75" s="14" t="str">
        <f t="shared" si="52"/>
        <v/>
      </c>
      <c r="BK75" s="15" t="str">
        <f t="shared" si="53"/>
        <v/>
      </c>
      <c r="BL75" s="15" t="str">
        <f t="shared" si="54"/>
        <v/>
      </c>
      <c r="BM75" s="13"/>
      <c r="BN75" s="13"/>
      <c r="BO75" s="13"/>
      <c r="BP75" s="13"/>
      <c r="BQ75" s="13"/>
      <c r="BR75" s="14" t="str">
        <f t="shared" si="55"/>
        <v/>
      </c>
      <c r="BS75" s="15" t="str">
        <f t="shared" si="56"/>
        <v/>
      </c>
      <c r="BT75" s="13"/>
    </row>
    <row r="76" spans="1:72">
      <c r="A76" s="115"/>
      <c r="B76" s="12"/>
      <c r="C76" s="13"/>
      <c r="D76" s="13"/>
      <c r="E76" s="12"/>
      <c r="F76" s="12"/>
      <c r="G76" s="13"/>
      <c r="H76" s="12"/>
      <c r="I76" s="13"/>
      <c r="J76" s="13"/>
      <c r="K76" s="13"/>
      <c r="L76" s="13"/>
      <c r="M76" s="12"/>
      <c r="N76" s="12"/>
      <c r="O76" s="14" t="str">
        <f t="shared" si="38"/>
        <v/>
      </c>
      <c r="P76" s="15" t="str">
        <f t="shared" si="39"/>
        <v/>
      </c>
      <c r="Q76" s="13"/>
      <c r="R76" s="13"/>
      <c r="S76" s="13"/>
      <c r="T76" s="13"/>
      <c r="U76" s="15" t="str">
        <f t="shared" si="40"/>
        <v/>
      </c>
      <c r="V76" s="14" t="str">
        <f t="shared" si="41"/>
        <v/>
      </c>
      <c r="W76" s="13"/>
      <c r="X76" s="13"/>
      <c r="Y76" s="13"/>
      <c r="Z76" s="13"/>
      <c r="AA76" s="16"/>
      <c r="AB76" s="12"/>
      <c r="AC76" s="12"/>
      <c r="AD76" s="14" t="str">
        <f t="shared" si="42"/>
        <v/>
      </c>
      <c r="AE76" s="14" t="str">
        <f t="shared" si="43"/>
        <v/>
      </c>
      <c r="AF76" s="17" t="str">
        <f t="shared" si="44"/>
        <v/>
      </c>
      <c r="AG76" s="13"/>
      <c r="AH76" s="16"/>
      <c r="AI76" s="12"/>
      <c r="AJ76" s="16"/>
      <c r="AK76" s="13"/>
      <c r="AL76" s="16"/>
      <c r="AM76" s="13"/>
      <c r="AN76" s="17" t="str">
        <f t="shared" si="45"/>
        <v/>
      </c>
      <c r="AO76" s="14" t="str">
        <f t="shared" ca="1" si="46"/>
        <v/>
      </c>
      <c r="AP76" s="13"/>
      <c r="AQ76" s="12"/>
      <c r="AR76" s="14" t="str">
        <f>IF($O76="","",1+COUNTIF($O$5:$O$154,"&gt;"&amp;$O76)+COUNTIFS($O$5:$O$154,$O76,$N$5:$N$154,"&gt;"&amp;$N76)+COUNTIFS($O$4:$O75,$O76,$N$4:$N75,$N76))</f>
        <v/>
      </c>
      <c r="AS76" s="62"/>
      <c r="AT76" s="62"/>
      <c r="AU76" s="63" t="str">
        <f t="shared" si="47"/>
        <v/>
      </c>
      <c r="AV76" s="64" t="str">
        <f t="shared" si="48"/>
        <v/>
      </c>
      <c r="AW76" s="129" t="str">
        <f t="shared" si="49"/>
        <v/>
      </c>
      <c r="AX76" s="13"/>
      <c r="AY76" s="16"/>
      <c r="AZ76" s="13"/>
      <c r="BA76" s="13"/>
      <c r="BB76" s="13"/>
      <c r="BC76" s="13"/>
      <c r="BD76" s="13"/>
      <c r="BE76" s="13"/>
      <c r="BF76" s="13"/>
      <c r="BG76" s="13"/>
      <c r="BH76" s="14" t="str">
        <f t="shared" si="50"/>
        <v/>
      </c>
      <c r="BI76" s="14" t="str">
        <f t="shared" si="51"/>
        <v/>
      </c>
      <c r="BJ76" s="14" t="str">
        <f t="shared" si="52"/>
        <v/>
      </c>
      <c r="BK76" s="15" t="str">
        <f t="shared" si="53"/>
        <v/>
      </c>
      <c r="BL76" s="15" t="str">
        <f t="shared" si="54"/>
        <v/>
      </c>
      <c r="BM76" s="13"/>
      <c r="BN76" s="13"/>
      <c r="BO76" s="13"/>
      <c r="BP76" s="13"/>
      <c r="BQ76" s="13"/>
      <c r="BR76" s="14" t="str">
        <f t="shared" si="55"/>
        <v/>
      </c>
      <c r="BS76" s="15" t="str">
        <f t="shared" si="56"/>
        <v/>
      </c>
      <c r="BT76" s="13"/>
    </row>
    <row r="77" spans="1:72">
      <c r="A77" s="115"/>
      <c r="B77" s="12"/>
      <c r="C77" s="13"/>
      <c r="D77" s="13"/>
      <c r="E77" s="12"/>
      <c r="F77" s="12"/>
      <c r="G77" s="13"/>
      <c r="H77" s="12"/>
      <c r="I77" s="13"/>
      <c r="J77" s="13"/>
      <c r="K77" s="13"/>
      <c r="L77" s="13"/>
      <c r="M77" s="12"/>
      <c r="N77" s="12"/>
      <c r="O77" s="14" t="str">
        <f t="shared" si="38"/>
        <v/>
      </c>
      <c r="P77" s="15" t="str">
        <f t="shared" si="39"/>
        <v/>
      </c>
      <c r="Q77" s="13"/>
      <c r="R77" s="13"/>
      <c r="S77" s="13"/>
      <c r="T77" s="13"/>
      <c r="U77" s="15" t="str">
        <f t="shared" si="40"/>
        <v/>
      </c>
      <c r="V77" s="14" t="str">
        <f t="shared" si="41"/>
        <v/>
      </c>
      <c r="W77" s="13"/>
      <c r="X77" s="13"/>
      <c r="Y77" s="13"/>
      <c r="Z77" s="13"/>
      <c r="AA77" s="16"/>
      <c r="AB77" s="12"/>
      <c r="AC77" s="12"/>
      <c r="AD77" s="14" t="str">
        <f t="shared" si="42"/>
        <v/>
      </c>
      <c r="AE77" s="14" t="str">
        <f t="shared" si="43"/>
        <v/>
      </c>
      <c r="AF77" s="17" t="str">
        <f t="shared" si="44"/>
        <v/>
      </c>
      <c r="AG77" s="13"/>
      <c r="AH77" s="16"/>
      <c r="AI77" s="12"/>
      <c r="AJ77" s="16"/>
      <c r="AK77" s="13"/>
      <c r="AL77" s="16"/>
      <c r="AM77" s="13"/>
      <c r="AN77" s="17" t="str">
        <f t="shared" si="45"/>
        <v/>
      </c>
      <c r="AO77" s="14" t="str">
        <f t="shared" ca="1" si="46"/>
        <v/>
      </c>
      <c r="AP77" s="13"/>
      <c r="AQ77" s="12"/>
      <c r="AR77" s="14" t="str">
        <f>IF($O77="","",1+COUNTIF($O$5:$O$154,"&gt;"&amp;$O77)+COUNTIFS($O$5:$O$154,$O77,$N$5:$N$154,"&gt;"&amp;$N77)+COUNTIFS($O$4:$O76,$O77,$N$4:$N76,$N77))</f>
        <v/>
      </c>
      <c r="AS77" s="62"/>
      <c r="AT77" s="62"/>
      <c r="AU77" s="63" t="str">
        <f t="shared" si="47"/>
        <v/>
      </c>
      <c r="AV77" s="64" t="str">
        <f t="shared" si="48"/>
        <v/>
      </c>
      <c r="AW77" s="129" t="str">
        <f t="shared" si="49"/>
        <v/>
      </c>
      <c r="AX77" s="13"/>
      <c r="AY77" s="16"/>
      <c r="AZ77" s="13"/>
      <c r="BA77" s="13"/>
      <c r="BB77" s="13"/>
      <c r="BC77" s="13"/>
      <c r="BD77" s="13"/>
      <c r="BE77" s="13"/>
      <c r="BF77" s="13"/>
      <c r="BG77" s="13"/>
      <c r="BH77" s="14" t="str">
        <f t="shared" si="50"/>
        <v/>
      </c>
      <c r="BI77" s="14" t="str">
        <f t="shared" si="51"/>
        <v/>
      </c>
      <c r="BJ77" s="14" t="str">
        <f t="shared" si="52"/>
        <v/>
      </c>
      <c r="BK77" s="15" t="str">
        <f t="shared" si="53"/>
        <v/>
      </c>
      <c r="BL77" s="15" t="str">
        <f t="shared" si="54"/>
        <v/>
      </c>
      <c r="BM77" s="13"/>
      <c r="BN77" s="13"/>
      <c r="BO77" s="13"/>
      <c r="BP77" s="13"/>
      <c r="BQ77" s="13"/>
      <c r="BR77" s="14" t="str">
        <f t="shared" si="55"/>
        <v/>
      </c>
      <c r="BS77" s="15" t="str">
        <f t="shared" si="56"/>
        <v/>
      </c>
      <c r="BT77" s="13"/>
    </row>
    <row r="78" spans="1:72">
      <c r="A78" s="115"/>
      <c r="B78" s="12"/>
      <c r="C78" s="13"/>
      <c r="D78" s="13"/>
      <c r="E78" s="12"/>
      <c r="F78" s="12"/>
      <c r="G78" s="13"/>
      <c r="H78" s="12"/>
      <c r="I78" s="13"/>
      <c r="J78" s="13"/>
      <c r="K78" s="13"/>
      <c r="L78" s="13"/>
      <c r="M78" s="12"/>
      <c r="N78" s="12"/>
      <c r="O78" s="14" t="str">
        <f t="shared" si="38"/>
        <v/>
      </c>
      <c r="P78" s="15" t="str">
        <f t="shared" si="39"/>
        <v/>
      </c>
      <c r="Q78" s="13"/>
      <c r="R78" s="13"/>
      <c r="S78" s="13"/>
      <c r="T78" s="13"/>
      <c r="U78" s="15" t="str">
        <f t="shared" si="40"/>
        <v/>
      </c>
      <c r="V78" s="14" t="str">
        <f t="shared" si="41"/>
        <v/>
      </c>
      <c r="W78" s="13"/>
      <c r="X78" s="13"/>
      <c r="Y78" s="13"/>
      <c r="Z78" s="13"/>
      <c r="AA78" s="16"/>
      <c r="AB78" s="12"/>
      <c r="AC78" s="12"/>
      <c r="AD78" s="14" t="str">
        <f t="shared" si="42"/>
        <v/>
      </c>
      <c r="AE78" s="14" t="str">
        <f t="shared" si="43"/>
        <v/>
      </c>
      <c r="AF78" s="17" t="str">
        <f t="shared" si="44"/>
        <v/>
      </c>
      <c r="AG78" s="13"/>
      <c r="AH78" s="16"/>
      <c r="AI78" s="12"/>
      <c r="AJ78" s="16"/>
      <c r="AK78" s="13"/>
      <c r="AL78" s="16"/>
      <c r="AM78" s="13"/>
      <c r="AN78" s="17" t="str">
        <f t="shared" si="45"/>
        <v/>
      </c>
      <c r="AO78" s="14" t="str">
        <f t="shared" ca="1" si="46"/>
        <v/>
      </c>
      <c r="AP78" s="13"/>
      <c r="AQ78" s="12"/>
      <c r="AR78" s="14" t="str">
        <f>IF($O78="","",1+COUNTIF($O$5:$O$154,"&gt;"&amp;$O78)+COUNTIFS($O$5:$O$154,$O78,$N$5:$N$154,"&gt;"&amp;$N78)+COUNTIFS($O$4:$O77,$O78,$N$4:$N77,$N78))</f>
        <v/>
      </c>
      <c r="AS78" s="62"/>
      <c r="AT78" s="62"/>
      <c r="AU78" s="63" t="str">
        <f t="shared" si="47"/>
        <v/>
      </c>
      <c r="AV78" s="64" t="str">
        <f t="shared" si="48"/>
        <v/>
      </c>
      <c r="AW78" s="129" t="str">
        <f t="shared" si="49"/>
        <v/>
      </c>
      <c r="AX78" s="13"/>
      <c r="AY78" s="16"/>
      <c r="AZ78" s="13"/>
      <c r="BA78" s="13"/>
      <c r="BB78" s="13"/>
      <c r="BC78" s="13"/>
      <c r="BD78" s="13"/>
      <c r="BE78" s="13"/>
      <c r="BF78" s="13"/>
      <c r="BG78" s="13"/>
      <c r="BH78" s="14" t="str">
        <f t="shared" si="50"/>
        <v/>
      </c>
      <c r="BI78" s="14" t="str">
        <f t="shared" si="51"/>
        <v/>
      </c>
      <c r="BJ78" s="14" t="str">
        <f t="shared" si="52"/>
        <v/>
      </c>
      <c r="BK78" s="15" t="str">
        <f t="shared" si="53"/>
        <v/>
      </c>
      <c r="BL78" s="15" t="str">
        <f t="shared" si="54"/>
        <v/>
      </c>
      <c r="BM78" s="13"/>
      <c r="BN78" s="13"/>
      <c r="BO78" s="13"/>
      <c r="BP78" s="13"/>
      <c r="BQ78" s="13"/>
      <c r="BR78" s="14" t="str">
        <f t="shared" si="55"/>
        <v/>
      </c>
      <c r="BS78" s="15" t="str">
        <f t="shared" si="56"/>
        <v/>
      </c>
      <c r="BT78" s="13"/>
    </row>
    <row r="79" spans="1:72">
      <c r="A79" s="115"/>
      <c r="B79" s="12"/>
      <c r="C79" s="13"/>
      <c r="D79" s="13"/>
      <c r="E79" s="12"/>
      <c r="F79" s="12"/>
      <c r="G79" s="13"/>
      <c r="H79" s="12"/>
      <c r="I79" s="13"/>
      <c r="J79" s="13"/>
      <c r="K79" s="13"/>
      <c r="L79" s="13"/>
      <c r="M79" s="12"/>
      <c r="N79" s="12"/>
      <c r="O79" s="14" t="str">
        <f t="shared" si="38"/>
        <v/>
      </c>
      <c r="P79" s="15" t="str">
        <f t="shared" si="39"/>
        <v/>
      </c>
      <c r="Q79" s="13"/>
      <c r="R79" s="13"/>
      <c r="S79" s="13"/>
      <c r="T79" s="13"/>
      <c r="U79" s="15" t="str">
        <f t="shared" si="40"/>
        <v/>
      </c>
      <c r="V79" s="14" t="str">
        <f t="shared" si="41"/>
        <v/>
      </c>
      <c r="W79" s="13"/>
      <c r="X79" s="13"/>
      <c r="Y79" s="13"/>
      <c r="Z79" s="13"/>
      <c r="AA79" s="16"/>
      <c r="AB79" s="12"/>
      <c r="AC79" s="12"/>
      <c r="AD79" s="14" t="str">
        <f t="shared" si="42"/>
        <v/>
      </c>
      <c r="AE79" s="14" t="str">
        <f t="shared" si="43"/>
        <v/>
      </c>
      <c r="AF79" s="17" t="str">
        <f t="shared" si="44"/>
        <v/>
      </c>
      <c r="AG79" s="13"/>
      <c r="AH79" s="16"/>
      <c r="AI79" s="12"/>
      <c r="AJ79" s="16"/>
      <c r="AK79" s="13"/>
      <c r="AL79" s="16"/>
      <c r="AM79" s="13"/>
      <c r="AN79" s="17" t="str">
        <f t="shared" si="45"/>
        <v/>
      </c>
      <c r="AO79" s="14" t="str">
        <f t="shared" ca="1" si="46"/>
        <v/>
      </c>
      <c r="AP79" s="13"/>
      <c r="AQ79" s="12"/>
      <c r="AR79" s="14" t="str">
        <f>IF($O79="","",1+COUNTIF($O$5:$O$154,"&gt;"&amp;$O79)+COUNTIFS($O$5:$O$154,$O79,$N$5:$N$154,"&gt;"&amp;$N79)+COUNTIFS($O$4:$O78,$O79,$N$4:$N78,$N79))</f>
        <v/>
      </c>
      <c r="AS79" s="62"/>
      <c r="AT79" s="62"/>
      <c r="AU79" s="63" t="str">
        <f t="shared" si="47"/>
        <v/>
      </c>
      <c r="AV79" s="64" t="str">
        <f t="shared" si="48"/>
        <v/>
      </c>
      <c r="AW79" s="129" t="str">
        <f t="shared" si="49"/>
        <v/>
      </c>
      <c r="AX79" s="13"/>
      <c r="AY79" s="16"/>
      <c r="AZ79" s="13"/>
      <c r="BA79" s="13"/>
      <c r="BB79" s="13"/>
      <c r="BC79" s="13"/>
      <c r="BD79" s="13"/>
      <c r="BE79" s="13"/>
      <c r="BF79" s="13"/>
      <c r="BG79" s="13"/>
      <c r="BH79" s="14" t="str">
        <f t="shared" si="50"/>
        <v/>
      </c>
      <c r="BI79" s="14" t="str">
        <f t="shared" si="51"/>
        <v/>
      </c>
      <c r="BJ79" s="14" t="str">
        <f t="shared" si="52"/>
        <v/>
      </c>
      <c r="BK79" s="15" t="str">
        <f t="shared" si="53"/>
        <v/>
      </c>
      <c r="BL79" s="15" t="str">
        <f t="shared" si="54"/>
        <v/>
      </c>
      <c r="BM79" s="13"/>
      <c r="BN79" s="13"/>
      <c r="BO79" s="13"/>
      <c r="BP79" s="13"/>
      <c r="BQ79" s="13"/>
      <c r="BR79" s="14" t="str">
        <f t="shared" si="55"/>
        <v/>
      </c>
      <c r="BS79" s="15" t="str">
        <f t="shared" si="56"/>
        <v/>
      </c>
      <c r="BT79" s="13"/>
    </row>
    <row r="80" spans="1:72">
      <c r="A80" s="115"/>
      <c r="B80" s="12"/>
      <c r="C80" s="13"/>
      <c r="D80" s="13"/>
      <c r="E80" s="12"/>
      <c r="F80" s="12"/>
      <c r="G80" s="13"/>
      <c r="H80" s="12"/>
      <c r="I80" s="13"/>
      <c r="J80" s="13"/>
      <c r="K80" s="13"/>
      <c r="L80" s="13"/>
      <c r="M80" s="12"/>
      <c r="N80" s="12"/>
      <c r="O80" s="14" t="str">
        <f t="shared" si="38"/>
        <v/>
      </c>
      <c r="P80" s="15" t="str">
        <f t="shared" si="39"/>
        <v/>
      </c>
      <c r="Q80" s="13"/>
      <c r="R80" s="13"/>
      <c r="S80" s="13"/>
      <c r="T80" s="13"/>
      <c r="U80" s="15" t="str">
        <f t="shared" si="40"/>
        <v/>
      </c>
      <c r="V80" s="14" t="str">
        <f t="shared" si="41"/>
        <v/>
      </c>
      <c r="W80" s="13"/>
      <c r="X80" s="13"/>
      <c r="Y80" s="13"/>
      <c r="Z80" s="13"/>
      <c r="AA80" s="16"/>
      <c r="AB80" s="12"/>
      <c r="AC80" s="12"/>
      <c r="AD80" s="14" t="str">
        <f t="shared" si="42"/>
        <v/>
      </c>
      <c r="AE80" s="14" t="str">
        <f t="shared" si="43"/>
        <v/>
      </c>
      <c r="AF80" s="17" t="str">
        <f t="shared" si="44"/>
        <v/>
      </c>
      <c r="AG80" s="13"/>
      <c r="AH80" s="16"/>
      <c r="AI80" s="12"/>
      <c r="AJ80" s="16"/>
      <c r="AK80" s="13"/>
      <c r="AL80" s="16"/>
      <c r="AM80" s="13"/>
      <c r="AN80" s="17" t="str">
        <f t="shared" si="45"/>
        <v/>
      </c>
      <c r="AO80" s="14" t="str">
        <f t="shared" ca="1" si="46"/>
        <v/>
      </c>
      <c r="AP80" s="13"/>
      <c r="AQ80" s="12"/>
      <c r="AR80" s="14" t="str">
        <f>IF($O80="","",1+COUNTIF($O$5:$O$154,"&gt;"&amp;$O80)+COUNTIFS($O$5:$O$154,$O80,$N$5:$N$154,"&gt;"&amp;$N80)+COUNTIFS($O$4:$O79,$O80,$N$4:$N79,$N80))</f>
        <v/>
      </c>
      <c r="AS80" s="62"/>
      <c r="AT80" s="62"/>
      <c r="AU80" s="63" t="str">
        <f t="shared" si="47"/>
        <v/>
      </c>
      <c r="AV80" s="64" t="str">
        <f t="shared" si="48"/>
        <v/>
      </c>
      <c r="AW80" s="129" t="str">
        <f t="shared" si="49"/>
        <v/>
      </c>
      <c r="AX80" s="13"/>
      <c r="AY80" s="16"/>
      <c r="AZ80" s="13"/>
      <c r="BA80" s="13"/>
      <c r="BB80" s="13"/>
      <c r="BC80" s="13"/>
      <c r="BD80" s="13"/>
      <c r="BE80" s="13"/>
      <c r="BF80" s="13"/>
      <c r="BG80" s="13"/>
      <c r="BH80" s="14" t="str">
        <f t="shared" si="50"/>
        <v/>
      </c>
      <c r="BI80" s="14" t="str">
        <f t="shared" si="51"/>
        <v/>
      </c>
      <c r="BJ80" s="14" t="str">
        <f t="shared" si="52"/>
        <v/>
      </c>
      <c r="BK80" s="15" t="str">
        <f t="shared" si="53"/>
        <v/>
      </c>
      <c r="BL80" s="15" t="str">
        <f t="shared" si="54"/>
        <v/>
      </c>
      <c r="BM80" s="13"/>
      <c r="BN80" s="13"/>
      <c r="BO80" s="13"/>
      <c r="BP80" s="13"/>
      <c r="BQ80" s="13"/>
      <c r="BR80" s="14" t="str">
        <f t="shared" si="55"/>
        <v/>
      </c>
      <c r="BS80" s="15" t="str">
        <f t="shared" si="56"/>
        <v/>
      </c>
      <c r="BT80" s="13"/>
    </row>
    <row r="81" spans="1:72">
      <c r="A81" s="115"/>
      <c r="B81" s="12"/>
      <c r="C81" s="13"/>
      <c r="D81" s="13"/>
      <c r="E81" s="12"/>
      <c r="F81" s="12"/>
      <c r="G81" s="13"/>
      <c r="H81" s="12"/>
      <c r="I81" s="13"/>
      <c r="J81" s="13"/>
      <c r="K81" s="13"/>
      <c r="L81" s="13"/>
      <c r="M81" s="12"/>
      <c r="N81" s="12"/>
      <c r="O81" s="14" t="str">
        <f t="shared" si="38"/>
        <v/>
      </c>
      <c r="P81" s="15" t="str">
        <f t="shared" si="39"/>
        <v/>
      </c>
      <c r="Q81" s="13"/>
      <c r="R81" s="13"/>
      <c r="S81" s="13"/>
      <c r="T81" s="13"/>
      <c r="U81" s="15" t="str">
        <f t="shared" si="40"/>
        <v/>
      </c>
      <c r="V81" s="14" t="str">
        <f t="shared" si="41"/>
        <v/>
      </c>
      <c r="W81" s="13"/>
      <c r="X81" s="13"/>
      <c r="Y81" s="13"/>
      <c r="Z81" s="13"/>
      <c r="AA81" s="16"/>
      <c r="AB81" s="12"/>
      <c r="AC81" s="12"/>
      <c r="AD81" s="14" t="str">
        <f t="shared" si="42"/>
        <v/>
      </c>
      <c r="AE81" s="14" t="str">
        <f t="shared" si="43"/>
        <v/>
      </c>
      <c r="AF81" s="17" t="str">
        <f t="shared" si="44"/>
        <v/>
      </c>
      <c r="AG81" s="13"/>
      <c r="AH81" s="16"/>
      <c r="AI81" s="12"/>
      <c r="AJ81" s="16"/>
      <c r="AK81" s="13"/>
      <c r="AL81" s="16"/>
      <c r="AM81" s="13"/>
      <c r="AN81" s="17" t="str">
        <f t="shared" si="45"/>
        <v/>
      </c>
      <c r="AO81" s="14" t="str">
        <f t="shared" ca="1" si="46"/>
        <v/>
      </c>
      <c r="AP81" s="13"/>
      <c r="AQ81" s="12"/>
      <c r="AR81" s="14" t="str">
        <f>IF($O81="","",1+COUNTIF($O$5:$O$154,"&gt;"&amp;$O81)+COUNTIFS($O$5:$O$154,$O81,$N$5:$N$154,"&gt;"&amp;$N81)+COUNTIFS($O$4:$O80,$O81,$N$4:$N80,$N81))</f>
        <v/>
      </c>
      <c r="AS81" s="62"/>
      <c r="AT81" s="62"/>
      <c r="AU81" s="63" t="str">
        <f t="shared" si="47"/>
        <v/>
      </c>
      <c r="AV81" s="64" t="str">
        <f t="shared" si="48"/>
        <v/>
      </c>
      <c r="AW81" s="129" t="str">
        <f t="shared" si="49"/>
        <v/>
      </c>
      <c r="AX81" s="13"/>
      <c r="AY81" s="16"/>
      <c r="AZ81" s="13"/>
      <c r="BA81" s="13"/>
      <c r="BB81" s="13"/>
      <c r="BC81" s="13"/>
      <c r="BD81" s="13"/>
      <c r="BE81" s="13"/>
      <c r="BF81" s="13"/>
      <c r="BG81" s="13"/>
      <c r="BH81" s="14" t="str">
        <f t="shared" si="50"/>
        <v/>
      </c>
      <c r="BI81" s="14" t="str">
        <f t="shared" si="51"/>
        <v/>
      </c>
      <c r="BJ81" s="14" t="str">
        <f t="shared" si="52"/>
        <v/>
      </c>
      <c r="BK81" s="15" t="str">
        <f t="shared" si="53"/>
        <v/>
      </c>
      <c r="BL81" s="15" t="str">
        <f t="shared" si="54"/>
        <v/>
      </c>
      <c r="BM81" s="13"/>
      <c r="BN81" s="13"/>
      <c r="BO81" s="13"/>
      <c r="BP81" s="13"/>
      <c r="BQ81" s="13"/>
      <c r="BR81" s="14" t="str">
        <f t="shared" si="55"/>
        <v/>
      </c>
      <c r="BS81" s="15" t="str">
        <f t="shared" si="56"/>
        <v/>
      </c>
      <c r="BT81" s="13"/>
    </row>
    <row r="82" spans="1:72">
      <c r="A82" s="115"/>
      <c r="B82" s="12"/>
      <c r="C82" s="13"/>
      <c r="D82" s="13"/>
      <c r="E82" s="12"/>
      <c r="F82" s="12"/>
      <c r="G82" s="13"/>
      <c r="H82" s="12"/>
      <c r="I82" s="13"/>
      <c r="J82" s="13"/>
      <c r="K82" s="13"/>
      <c r="L82" s="13"/>
      <c r="M82" s="12"/>
      <c r="N82" s="12"/>
      <c r="O82" s="14" t="str">
        <f t="shared" si="38"/>
        <v/>
      </c>
      <c r="P82" s="15" t="str">
        <f t="shared" si="39"/>
        <v/>
      </c>
      <c r="Q82" s="13"/>
      <c r="R82" s="13"/>
      <c r="S82" s="13"/>
      <c r="T82" s="13"/>
      <c r="U82" s="15" t="str">
        <f t="shared" si="40"/>
        <v/>
      </c>
      <c r="V82" s="14" t="str">
        <f t="shared" si="41"/>
        <v/>
      </c>
      <c r="W82" s="13"/>
      <c r="X82" s="13"/>
      <c r="Y82" s="13"/>
      <c r="Z82" s="13"/>
      <c r="AA82" s="16"/>
      <c r="AB82" s="12"/>
      <c r="AC82" s="12"/>
      <c r="AD82" s="14" t="str">
        <f t="shared" si="42"/>
        <v/>
      </c>
      <c r="AE82" s="14" t="str">
        <f t="shared" si="43"/>
        <v/>
      </c>
      <c r="AF82" s="17" t="str">
        <f t="shared" si="44"/>
        <v/>
      </c>
      <c r="AG82" s="13"/>
      <c r="AH82" s="16"/>
      <c r="AI82" s="12"/>
      <c r="AJ82" s="16"/>
      <c r="AK82" s="13"/>
      <c r="AL82" s="16"/>
      <c r="AM82" s="13"/>
      <c r="AN82" s="17" t="str">
        <f t="shared" si="45"/>
        <v/>
      </c>
      <c r="AO82" s="14" t="str">
        <f t="shared" ca="1" si="46"/>
        <v/>
      </c>
      <c r="AP82" s="13"/>
      <c r="AQ82" s="12"/>
      <c r="AR82" s="14" t="str">
        <f>IF($O82="","",1+COUNTIF($O$5:$O$154,"&gt;"&amp;$O82)+COUNTIFS($O$5:$O$154,$O82,$N$5:$N$154,"&gt;"&amp;$N82)+COUNTIFS($O$4:$O81,$O82,$N$4:$N81,$N82))</f>
        <v/>
      </c>
      <c r="AS82" s="62"/>
      <c r="AT82" s="62"/>
      <c r="AU82" s="63" t="str">
        <f t="shared" si="47"/>
        <v/>
      </c>
      <c r="AV82" s="64" t="str">
        <f t="shared" si="48"/>
        <v/>
      </c>
      <c r="AW82" s="129" t="str">
        <f t="shared" si="49"/>
        <v/>
      </c>
      <c r="AX82" s="13"/>
      <c r="AY82" s="16"/>
      <c r="AZ82" s="13"/>
      <c r="BA82" s="13"/>
      <c r="BB82" s="13"/>
      <c r="BC82" s="13"/>
      <c r="BD82" s="13"/>
      <c r="BE82" s="13"/>
      <c r="BF82" s="13"/>
      <c r="BG82" s="13"/>
      <c r="BH82" s="14" t="str">
        <f t="shared" si="50"/>
        <v/>
      </c>
      <c r="BI82" s="14" t="str">
        <f t="shared" si="51"/>
        <v/>
      </c>
      <c r="BJ82" s="14" t="str">
        <f t="shared" si="52"/>
        <v/>
      </c>
      <c r="BK82" s="15" t="str">
        <f t="shared" si="53"/>
        <v/>
      </c>
      <c r="BL82" s="15" t="str">
        <f t="shared" si="54"/>
        <v/>
      </c>
      <c r="BM82" s="13"/>
      <c r="BN82" s="13"/>
      <c r="BO82" s="13"/>
      <c r="BP82" s="13"/>
      <c r="BQ82" s="13"/>
      <c r="BR82" s="14" t="str">
        <f t="shared" si="55"/>
        <v/>
      </c>
      <c r="BS82" s="15" t="str">
        <f t="shared" si="56"/>
        <v/>
      </c>
      <c r="BT82" s="13"/>
    </row>
    <row r="83" spans="1:72">
      <c r="A83" s="115"/>
      <c r="B83" s="12"/>
      <c r="C83" s="13"/>
      <c r="D83" s="13"/>
      <c r="E83" s="12"/>
      <c r="F83" s="12"/>
      <c r="G83" s="13"/>
      <c r="H83" s="12"/>
      <c r="I83" s="13"/>
      <c r="J83" s="13"/>
      <c r="K83" s="13"/>
      <c r="L83" s="13"/>
      <c r="M83" s="12"/>
      <c r="N83" s="12"/>
      <c r="O83" s="14" t="str">
        <f t="shared" si="38"/>
        <v/>
      </c>
      <c r="P83" s="15" t="str">
        <f t="shared" si="39"/>
        <v/>
      </c>
      <c r="Q83" s="13"/>
      <c r="R83" s="13"/>
      <c r="S83" s="13"/>
      <c r="T83" s="13"/>
      <c r="U83" s="15" t="str">
        <f t="shared" si="40"/>
        <v/>
      </c>
      <c r="V83" s="14" t="str">
        <f t="shared" si="41"/>
        <v/>
      </c>
      <c r="W83" s="13"/>
      <c r="X83" s="13"/>
      <c r="Y83" s="13"/>
      <c r="Z83" s="13"/>
      <c r="AA83" s="16"/>
      <c r="AB83" s="12"/>
      <c r="AC83" s="12"/>
      <c r="AD83" s="14" t="str">
        <f t="shared" si="42"/>
        <v/>
      </c>
      <c r="AE83" s="14" t="str">
        <f t="shared" si="43"/>
        <v/>
      </c>
      <c r="AF83" s="17" t="str">
        <f t="shared" si="44"/>
        <v/>
      </c>
      <c r="AG83" s="13"/>
      <c r="AH83" s="16"/>
      <c r="AI83" s="12"/>
      <c r="AJ83" s="16"/>
      <c r="AK83" s="13"/>
      <c r="AL83" s="16"/>
      <c r="AM83" s="13"/>
      <c r="AN83" s="17" t="str">
        <f t="shared" si="45"/>
        <v/>
      </c>
      <c r="AO83" s="14" t="str">
        <f t="shared" ca="1" si="46"/>
        <v/>
      </c>
      <c r="AP83" s="13"/>
      <c r="AQ83" s="12"/>
      <c r="AR83" s="14" t="str">
        <f>IF($O83="","",1+COUNTIF($O$5:$O$154,"&gt;"&amp;$O83)+COUNTIFS($O$5:$O$154,$O83,$N$5:$N$154,"&gt;"&amp;$N83)+COUNTIFS($O$4:$O82,$O83,$N$4:$N82,$N83))</f>
        <v/>
      </c>
      <c r="AS83" s="62"/>
      <c r="AT83" s="62"/>
      <c r="AU83" s="63" t="str">
        <f t="shared" si="47"/>
        <v/>
      </c>
      <c r="AV83" s="64" t="str">
        <f t="shared" si="48"/>
        <v/>
      </c>
      <c r="AW83" s="129" t="str">
        <f t="shared" si="49"/>
        <v/>
      </c>
      <c r="AX83" s="13"/>
      <c r="AY83" s="16"/>
      <c r="AZ83" s="13"/>
      <c r="BA83" s="13"/>
      <c r="BB83" s="13"/>
      <c r="BC83" s="13"/>
      <c r="BD83" s="13"/>
      <c r="BE83" s="13"/>
      <c r="BF83" s="13"/>
      <c r="BG83" s="13"/>
      <c r="BH83" s="14" t="str">
        <f t="shared" si="50"/>
        <v/>
      </c>
      <c r="BI83" s="14" t="str">
        <f t="shared" si="51"/>
        <v/>
      </c>
      <c r="BJ83" s="14" t="str">
        <f t="shared" si="52"/>
        <v/>
      </c>
      <c r="BK83" s="15" t="str">
        <f t="shared" si="53"/>
        <v/>
      </c>
      <c r="BL83" s="15" t="str">
        <f t="shared" si="54"/>
        <v/>
      </c>
      <c r="BM83" s="13"/>
      <c r="BN83" s="13"/>
      <c r="BO83" s="13"/>
      <c r="BP83" s="13"/>
      <c r="BQ83" s="13"/>
      <c r="BR83" s="14" t="str">
        <f t="shared" si="55"/>
        <v/>
      </c>
      <c r="BS83" s="15" t="str">
        <f t="shared" si="56"/>
        <v/>
      </c>
      <c r="BT83" s="13"/>
    </row>
    <row r="84" spans="1:72">
      <c r="A84" s="115"/>
      <c r="B84" s="12"/>
      <c r="C84" s="13"/>
      <c r="D84" s="13"/>
      <c r="E84" s="12"/>
      <c r="F84" s="12"/>
      <c r="G84" s="13"/>
      <c r="H84" s="12"/>
      <c r="I84" s="13"/>
      <c r="J84" s="13"/>
      <c r="K84" s="13"/>
      <c r="L84" s="13"/>
      <c r="M84" s="12"/>
      <c r="N84" s="12"/>
      <c r="O84" s="14" t="str">
        <f t="shared" si="38"/>
        <v/>
      </c>
      <c r="P84" s="15" t="str">
        <f t="shared" si="39"/>
        <v/>
      </c>
      <c r="Q84" s="13"/>
      <c r="R84" s="13"/>
      <c r="S84" s="13"/>
      <c r="T84" s="13"/>
      <c r="U84" s="15" t="str">
        <f t="shared" si="40"/>
        <v/>
      </c>
      <c r="V84" s="14" t="str">
        <f t="shared" si="41"/>
        <v/>
      </c>
      <c r="W84" s="13"/>
      <c r="X84" s="13"/>
      <c r="Y84" s="13"/>
      <c r="Z84" s="13"/>
      <c r="AA84" s="16"/>
      <c r="AB84" s="12"/>
      <c r="AC84" s="12"/>
      <c r="AD84" s="14" t="str">
        <f t="shared" si="42"/>
        <v/>
      </c>
      <c r="AE84" s="14" t="str">
        <f t="shared" si="43"/>
        <v/>
      </c>
      <c r="AF84" s="17" t="str">
        <f t="shared" si="44"/>
        <v/>
      </c>
      <c r="AG84" s="13"/>
      <c r="AH84" s="16"/>
      <c r="AI84" s="12"/>
      <c r="AJ84" s="16"/>
      <c r="AK84" s="13"/>
      <c r="AL84" s="16"/>
      <c r="AM84" s="13"/>
      <c r="AN84" s="17" t="str">
        <f t="shared" si="45"/>
        <v/>
      </c>
      <c r="AO84" s="14" t="str">
        <f t="shared" ca="1" si="46"/>
        <v/>
      </c>
      <c r="AP84" s="13"/>
      <c r="AQ84" s="12"/>
      <c r="AR84" s="14" t="str">
        <f>IF($O84="","",1+COUNTIF($O$5:$O$154,"&gt;"&amp;$O84)+COUNTIFS($O$5:$O$154,$O84,$N$5:$N$154,"&gt;"&amp;$N84)+COUNTIFS($O$4:$O83,$O84,$N$4:$N83,$N84))</f>
        <v/>
      </c>
      <c r="AS84" s="62"/>
      <c r="AT84" s="62"/>
      <c r="AU84" s="63" t="str">
        <f t="shared" si="47"/>
        <v/>
      </c>
      <c r="AV84" s="64" t="str">
        <f t="shared" si="48"/>
        <v/>
      </c>
      <c r="AW84" s="129" t="str">
        <f t="shared" si="49"/>
        <v/>
      </c>
      <c r="AX84" s="13"/>
      <c r="AY84" s="16"/>
      <c r="AZ84" s="13"/>
      <c r="BA84" s="13"/>
      <c r="BB84" s="13"/>
      <c r="BC84" s="13"/>
      <c r="BD84" s="13"/>
      <c r="BE84" s="13"/>
      <c r="BF84" s="13"/>
      <c r="BG84" s="13"/>
      <c r="BH84" s="14" t="str">
        <f t="shared" si="50"/>
        <v/>
      </c>
      <c r="BI84" s="14" t="str">
        <f t="shared" si="51"/>
        <v/>
      </c>
      <c r="BJ84" s="14" t="str">
        <f t="shared" si="52"/>
        <v/>
      </c>
      <c r="BK84" s="15" t="str">
        <f t="shared" si="53"/>
        <v/>
      </c>
      <c r="BL84" s="15" t="str">
        <f t="shared" si="54"/>
        <v/>
      </c>
      <c r="BM84" s="13"/>
      <c r="BN84" s="13"/>
      <c r="BO84" s="13"/>
      <c r="BP84" s="13"/>
      <c r="BQ84" s="13"/>
      <c r="BR84" s="14" t="str">
        <f t="shared" si="55"/>
        <v/>
      </c>
      <c r="BS84" s="15" t="str">
        <f t="shared" si="56"/>
        <v/>
      </c>
      <c r="BT84" s="13"/>
    </row>
    <row r="85" spans="1:72">
      <c r="A85" s="115"/>
      <c r="B85" s="12"/>
      <c r="C85" s="13"/>
      <c r="D85" s="13"/>
      <c r="E85" s="12"/>
      <c r="F85" s="12"/>
      <c r="G85" s="13"/>
      <c r="H85" s="12"/>
      <c r="I85" s="13"/>
      <c r="J85" s="13"/>
      <c r="K85" s="13"/>
      <c r="L85" s="13"/>
      <c r="M85" s="12"/>
      <c r="N85" s="12"/>
      <c r="O85" s="14" t="str">
        <f t="shared" si="38"/>
        <v/>
      </c>
      <c r="P85" s="15" t="str">
        <f t="shared" si="39"/>
        <v/>
      </c>
      <c r="Q85" s="13"/>
      <c r="R85" s="13"/>
      <c r="S85" s="13"/>
      <c r="T85" s="13"/>
      <c r="U85" s="15" t="str">
        <f t="shared" si="40"/>
        <v/>
      </c>
      <c r="V85" s="14" t="str">
        <f t="shared" si="41"/>
        <v/>
      </c>
      <c r="W85" s="13"/>
      <c r="X85" s="13"/>
      <c r="Y85" s="13"/>
      <c r="Z85" s="13"/>
      <c r="AA85" s="16"/>
      <c r="AB85" s="12"/>
      <c r="AC85" s="12"/>
      <c r="AD85" s="14" t="str">
        <f t="shared" si="42"/>
        <v/>
      </c>
      <c r="AE85" s="14" t="str">
        <f t="shared" si="43"/>
        <v/>
      </c>
      <c r="AF85" s="17" t="str">
        <f t="shared" si="44"/>
        <v/>
      </c>
      <c r="AG85" s="13"/>
      <c r="AH85" s="16"/>
      <c r="AI85" s="12"/>
      <c r="AJ85" s="16"/>
      <c r="AK85" s="13"/>
      <c r="AL85" s="16"/>
      <c r="AM85" s="13"/>
      <c r="AN85" s="17" t="str">
        <f t="shared" si="45"/>
        <v/>
      </c>
      <c r="AO85" s="14" t="str">
        <f t="shared" ca="1" si="46"/>
        <v/>
      </c>
      <c r="AP85" s="13"/>
      <c r="AQ85" s="12"/>
      <c r="AR85" s="14" t="str">
        <f>IF($O85="","",1+COUNTIF($O$5:$O$154,"&gt;"&amp;$O85)+COUNTIFS($O$5:$O$154,$O85,$N$5:$N$154,"&gt;"&amp;$N85)+COUNTIFS($O$4:$O84,$O85,$N$4:$N84,$N85))</f>
        <v/>
      </c>
      <c r="AS85" s="62"/>
      <c r="AT85" s="62"/>
      <c r="AU85" s="63" t="str">
        <f t="shared" si="47"/>
        <v/>
      </c>
      <c r="AV85" s="64" t="str">
        <f t="shared" si="48"/>
        <v/>
      </c>
      <c r="AW85" s="129" t="str">
        <f t="shared" si="49"/>
        <v/>
      </c>
      <c r="AX85" s="13"/>
      <c r="AY85" s="16"/>
      <c r="AZ85" s="13"/>
      <c r="BA85" s="13"/>
      <c r="BB85" s="13"/>
      <c r="BC85" s="13"/>
      <c r="BD85" s="13"/>
      <c r="BE85" s="13"/>
      <c r="BF85" s="13"/>
      <c r="BG85" s="13"/>
      <c r="BH85" s="14" t="str">
        <f t="shared" si="50"/>
        <v/>
      </c>
      <c r="BI85" s="14" t="str">
        <f t="shared" si="51"/>
        <v/>
      </c>
      <c r="BJ85" s="14" t="str">
        <f t="shared" si="52"/>
        <v/>
      </c>
      <c r="BK85" s="15" t="str">
        <f t="shared" si="53"/>
        <v/>
      </c>
      <c r="BL85" s="15" t="str">
        <f t="shared" si="54"/>
        <v/>
      </c>
      <c r="BM85" s="13"/>
      <c r="BN85" s="13"/>
      <c r="BO85" s="13"/>
      <c r="BP85" s="13"/>
      <c r="BQ85" s="13"/>
      <c r="BR85" s="14" t="str">
        <f t="shared" si="55"/>
        <v/>
      </c>
      <c r="BS85" s="15" t="str">
        <f t="shared" si="56"/>
        <v/>
      </c>
      <c r="BT85" s="13"/>
    </row>
    <row r="86" spans="1:72">
      <c r="A86" s="115"/>
      <c r="B86" s="12"/>
      <c r="C86" s="13"/>
      <c r="D86" s="13"/>
      <c r="E86" s="12"/>
      <c r="F86" s="12"/>
      <c r="G86" s="13"/>
      <c r="H86" s="12"/>
      <c r="I86" s="13"/>
      <c r="J86" s="13"/>
      <c r="K86" s="13"/>
      <c r="L86" s="13"/>
      <c r="M86" s="12"/>
      <c r="N86" s="12"/>
      <c r="O86" s="14" t="str">
        <f t="shared" si="38"/>
        <v/>
      </c>
      <c r="P86" s="15" t="str">
        <f t="shared" si="39"/>
        <v/>
      </c>
      <c r="Q86" s="13"/>
      <c r="R86" s="13"/>
      <c r="S86" s="13"/>
      <c r="T86" s="13"/>
      <c r="U86" s="15" t="str">
        <f t="shared" si="40"/>
        <v/>
      </c>
      <c r="V86" s="14" t="str">
        <f t="shared" si="41"/>
        <v/>
      </c>
      <c r="W86" s="13"/>
      <c r="X86" s="13"/>
      <c r="Y86" s="13"/>
      <c r="Z86" s="13"/>
      <c r="AA86" s="16"/>
      <c r="AB86" s="12"/>
      <c r="AC86" s="12"/>
      <c r="AD86" s="14" t="str">
        <f t="shared" si="42"/>
        <v/>
      </c>
      <c r="AE86" s="14" t="str">
        <f t="shared" si="43"/>
        <v/>
      </c>
      <c r="AF86" s="17" t="str">
        <f t="shared" si="44"/>
        <v/>
      </c>
      <c r="AG86" s="13"/>
      <c r="AH86" s="16"/>
      <c r="AI86" s="12"/>
      <c r="AJ86" s="16"/>
      <c r="AK86" s="13"/>
      <c r="AL86" s="16"/>
      <c r="AM86" s="13"/>
      <c r="AN86" s="17" t="str">
        <f t="shared" si="45"/>
        <v/>
      </c>
      <c r="AO86" s="14" t="str">
        <f t="shared" ca="1" si="46"/>
        <v/>
      </c>
      <c r="AP86" s="13"/>
      <c r="AQ86" s="12"/>
      <c r="AR86" s="14" t="str">
        <f>IF($O86="","",1+COUNTIF($O$5:$O$154,"&gt;"&amp;$O86)+COUNTIFS($O$5:$O$154,$O86,$N$5:$N$154,"&gt;"&amp;$N86)+COUNTIFS($O$4:$O85,$O86,$N$4:$N85,$N86))</f>
        <v/>
      </c>
      <c r="AS86" s="62"/>
      <c r="AT86" s="62"/>
      <c r="AU86" s="63" t="str">
        <f t="shared" si="47"/>
        <v/>
      </c>
      <c r="AV86" s="64" t="str">
        <f t="shared" si="48"/>
        <v/>
      </c>
      <c r="AW86" s="129" t="str">
        <f t="shared" si="49"/>
        <v/>
      </c>
      <c r="AX86" s="13"/>
      <c r="AY86" s="16"/>
      <c r="AZ86" s="13"/>
      <c r="BA86" s="13"/>
      <c r="BB86" s="13"/>
      <c r="BC86" s="13"/>
      <c r="BD86" s="13"/>
      <c r="BE86" s="13"/>
      <c r="BF86" s="13"/>
      <c r="BG86" s="13"/>
      <c r="BH86" s="14" t="str">
        <f t="shared" si="50"/>
        <v/>
      </c>
      <c r="BI86" s="14" t="str">
        <f t="shared" si="51"/>
        <v/>
      </c>
      <c r="BJ86" s="14" t="str">
        <f t="shared" si="52"/>
        <v/>
      </c>
      <c r="BK86" s="15" t="str">
        <f t="shared" si="53"/>
        <v/>
      </c>
      <c r="BL86" s="15" t="str">
        <f t="shared" si="54"/>
        <v/>
      </c>
      <c r="BM86" s="13"/>
      <c r="BN86" s="13"/>
      <c r="BO86" s="13"/>
      <c r="BP86" s="13"/>
      <c r="BQ86" s="13"/>
      <c r="BR86" s="14" t="str">
        <f t="shared" si="55"/>
        <v/>
      </c>
      <c r="BS86" s="15" t="str">
        <f t="shared" si="56"/>
        <v/>
      </c>
      <c r="BT86" s="13"/>
    </row>
    <row r="87" spans="1:72">
      <c r="A87" s="115"/>
      <c r="B87" s="12"/>
      <c r="C87" s="13"/>
      <c r="D87" s="13"/>
      <c r="E87" s="12"/>
      <c r="F87" s="12"/>
      <c r="G87" s="13"/>
      <c r="H87" s="12"/>
      <c r="I87" s="13"/>
      <c r="J87" s="13"/>
      <c r="K87" s="13"/>
      <c r="L87" s="13"/>
      <c r="M87" s="12"/>
      <c r="N87" s="12"/>
      <c r="O87" s="14" t="str">
        <f t="shared" si="38"/>
        <v/>
      </c>
      <c r="P87" s="15" t="str">
        <f t="shared" si="39"/>
        <v/>
      </c>
      <c r="Q87" s="13"/>
      <c r="R87" s="13"/>
      <c r="S87" s="13"/>
      <c r="T87" s="13"/>
      <c r="U87" s="15" t="str">
        <f t="shared" si="40"/>
        <v/>
      </c>
      <c r="V87" s="14" t="str">
        <f t="shared" si="41"/>
        <v/>
      </c>
      <c r="W87" s="13"/>
      <c r="X87" s="13"/>
      <c r="Y87" s="13"/>
      <c r="Z87" s="13"/>
      <c r="AA87" s="16"/>
      <c r="AB87" s="12"/>
      <c r="AC87" s="12"/>
      <c r="AD87" s="14" t="str">
        <f t="shared" si="42"/>
        <v/>
      </c>
      <c r="AE87" s="14" t="str">
        <f t="shared" si="43"/>
        <v/>
      </c>
      <c r="AF87" s="17" t="str">
        <f t="shared" si="44"/>
        <v/>
      </c>
      <c r="AG87" s="13"/>
      <c r="AH87" s="16"/>
      <c r="AI87" s="12"/>
      <c r="AJ87" s="16"/>
      <c r="AK87" s="13"/>
      <c r="AL87" s="16"/>
      <c r="AM87" s="13"/>
      <c r="AN87" s="17" t="str">
        <f t="shared" si="45"/>
        <v/>
      </c>
      <c r="AO87" s="14" t="str">
        <f t="shared" ca="1" si="46"/>
        <v/>
      </c>
      <c r="AP87" s="13"/>
      <c r="AQ87" s="12"/>
      <c r="AR87" s="14" t="str">
        <f>IF($O87="","",1+COUNTIF($O$5:$O$154,"&gt;"&amp;$O87)+COUNTIFS($O$5:$O$154,$O87,$N$5:$N$154,"&gt;"&amp;$N87)+COUNTIFS($O$4:$O86,$O87,$N$4:$N86,$N87))</f>
        <v/>
      </c>
      <c r="AS87" s="62"/>
      <c r="AT87" s="62"/>
      <c r="AU87" s="63" t="str">
        <f t="shared" si="47"/>
        <v/>
      </c>
      <c r="AV87" s="64" t="str">
        <f t="shared" si="48"/>
        <v/>
      </c>
      <c r="AW87" s="129" t="str">
        <f t="shared" si="49"/>
        <v/>
      </c>
      <c r="AX87" s="13"/>
      <c r="AY87" s="16"/>
      <c r="AZ87" s="13"/>
      <c r="BA87" s="13"/>
      <c r="BB87" s="13"/>
      <c r="BC87" s="13"/>
      <c r="BD87" s="13"/>
      <c r="BE87" s="13"/>
      <c r="BF87" s="13"/>
      <c r="BG87" s="13"/>
      <c r="BH87" s="14" t="str">
        <f t="shared" si="50"/>
        <v/>
      </c>
      <c r="BI87" s="14" t="str">
        <f t="shared" si="51"/>
        <v/>
      </c>
      <c r="BJ87" s="14" t="str">
        <f t="shared" si="52"/>
        <v/>
      </c>
      <c r="BK87" s="15" t="str">
        <f t="shared" si="53"/>
        <v/>
      </c>
      <c r="BL87" s="15" t="str">
        <f t="shared" si="54"/>
        <v/>
      </c>
      <c r="BM87" s="13"/>
      <c r="BN87" s="13"/>
      <c r="BO87" s="13"/>
      <c r="BP87" s="13"/>
      <c r="BQ87" s="13"/>
      <c r="BR87" s="14" t="str">
        <f t="shared" si="55"/>
        <v/>
      </c>
      <c r="BS87" s="15" t="str">
        <f t="shared" si="56"/>
        <v/>
      </c>
      <c r="BT87" s="13"/>
    </row>
    <row r="88" spans="1:72">
      <c r="A88" s="115"/>
      <c r="B88" s="12"/>
      <c r="C88" s="13"/>
      <c r="D88" s="13"/>
      <c r="E88" s="12"/>
      <c r="F88" s="12"/>
      <c r="G88" s="13"/>
      <c r="H88" s="12"/>
      <c r="I88" s="13"/>
      <c r="J88" s="13"/>
      <c r="K88" s="13"/>
      <c r="L88" s="13"/>
      <c r="M88" s="12"/>
      <c r="N88" s="12"/>
      <c r="O88" s="14" t="str">
        <f t="shared" si="38"/>
        <v/>
      </c>
      <c r="P88" s="15" t="str">
        <f t="shared" si="39"/>
        <v/>
      </c>
      <c r="Q88" s="13"/>
      <c r="R88" s="13"/>
      <c r="S88" s="13"/>
      <c r="T88" s="13"/>
      <c r="U88" s="15" t="str">
        <f t="shared" si="40"/>
        <v/>
      </c>
      <c r="V88" s="14" t="str">
        <f t="shared" si="41"/>
        <v/>
      </c>
      <c r="W88" s="13"/>
      <c r="X88" s="13"/>
      <c r="Y88" s="13"/>
      <c r="Z88" s="13"/>
      <c r="AA88" s="16"/>
      <c r="AB88" s="12"/>
      <c r="AC88" s="12"/>
      <c r="AD88" s="14" t="str">
        <f t="shared" si="42"/>
        <v/>
      </c>
      <c r="AE88" s="14" t="str">
        <f t="shared" si="43"/>
        <v/>
      </c>
      <c r="AF88" s="17" t="str">
        <f t="shared" si="44"/>
        <v/>
      </c>
      <c r="AG88" s="13"/>
      <c r="AH88" s="16"/>
      <c r="AI88" s="12"/>
      <c r="AJ88" s="16"/>
      <c r="AK88" s="13"/>
      <c r="AL88" s="16"/>
      <c r="AM88" s="13"/>
      <c r="AN88" s="17" t="str">
        <f t="shared" si="45"/>
        <v/>
      </c>
      <c r="AO88" s="14" t="str">
        <f t="shared" ca="1" si="46"/>
        <v/>
      </c>
      <c r="AP88" s="13"/>
      <c r="AQ88" s="12"/>
      <c r="AR88" s="14" t="str">
        <f>IF($O88="","",1+COUNTIF($O$5:$O$154,"&gt;"&amp;$O88)+COUNTIFS($O$5:$O$154,$O88,$N$5:$N$154,"&gt;"&amp;$N88)+COUNTIFS($O$4:$O87,$O88,$N$4:$N87,$N88))</f>
        <v/>
      </c>
      <c r="AS88" s="62"/>
      <c r="AT88" s="62"/>
      <c r="AU88" s="63" t="str">
        <f t="shared" si="47"/>
        <v/>
      </c>
      <c r="AV88" s="64" t="str">
        <f t="shared" si="48"/>
        <v/>
      </c>
      <c r="AW88" s="129" t="str">
        <f t="shared" si="49"/>
        <v/>
      </c>
      <c r="AX88" s="13"/>
      <c r="AY88" s="16"/>
      <c r="AZ88" s="13"/>
      <c r="BA88" s="13"/>
      <c r="BB88" s="13"/>
      <c r="BC88" s="13"/>
      <c r="BD88" s="13"/>
      <c r="BE88" s="13"/>
      <c r="BF88" s="13"/>
      <c r="BG88" s="13"/>
      <c r="BH88" s="14" t="str">
        <f t="shared" si="50"/>
        <v/>
      </c>
      <c r="BI88" s="14" t="str">
        <f t="shared" si="51"/>
        <v/>
      </c>
      <c r="BJ88" s="14" t="str">
        <f t="shared" si="52"/>
        <v/>
      </c>
      <c r="BK88" s="15" t="str">
        <f t="shared" si="53"/>
        <v/>
      </c>
      <c r="BL88" s="15" t="str">
        <f t="shared" si="54"/>
        <v/>
      </c>
      <c r="BM88" s="13"/>
      <c r="BN88" s="13"/>
      <c r="BO88" s="13"/>
      <c r="BP88" s="13"/>
      <c r="BQ88" s="13"/>
      <c r="BR88" s="14" t="str">
        <f t="shared" si="55"/>
        <v/>
      </c>
      <c r="BS88" s="15" t="str">
        <f t="shared" si="56"/>
        <v/>
      </c>
      <c r="BT88" s="13"/>
    </row>
    <row r="89" spans="1:72">
      <c r="A89" s="115"/>
      <c r="B89" s="12"/>
      <c r="C89" s="13"/>
      <c r="D89" s="13"/>
      <c r="E89" s="12"/>
      <c r="F89" s="12"/>
      <c r="G89" s="13"/>
      <c r="H89" s="12"/>
      <c r="I89" s="13"/>
      <c r="J89" s="13"/>
      <c r="K89" s="13"/>
      <c r="L89" s="13"/>
      <c r="M89" s="12"/>
      <c r="N89" s="12"/>
      <c r="O89" s="14" t="str">
        <f t="shared" si="38"/>
        <v/>
      </c>
      <c r="P89" s="15" t="str">
        <f t="shared" si="39"/>
        <v/>
      </c>
      <c r="Q89" s="13"/>
      <c r="R89" s="13"/>
      <c r="S89" s="13"/>
      <c r="T89" s="13"/>
      <c r="U89" s="15" t="str">
        <f t="shared" si="40"/>
        <v/>
      </c>
      <c r="V89" s="14" t="str">
        <f t="shared" si="41"/>
        <v/>
      </c>
      <c r="W89" s="13"/>
      <c r="X89" s="13"/>
      <c r="Y89" s="13"/>
      <c r="Z89" s="13"/>
      <c r="AA89" s="16"/>
      <c r="AB89" s="12"/>
      <c r="AC89" s="12"/>
      <c r="AD89" s="14" t="str">
        <f t="shared" si="42"/>
        <v/>
      </c>
      <c r="AE89" s="14" t="str">
        <f t="shared" si="43"/>
        <v/>
      </c>
      <c r="AF89" s="17" t="str">
        <f t="shared" si="44"/>
        <v/>
      </c>
      <c r="AG89" s="13"/>
      <c r="AH89" s="16"/>
      <c r="AI89" s="12"/>
      <c r="AJ89" s="16"/>
      <c r="AK89" s="13"/>
      <c r="AL89" s="16"/>
      <c r="AM89" s="13"/>
      <c r="AN89" s="17" t="str">
        <f t="shared" si="45"/>
        <v/>
      </c>
      <c r="AO89" s="14" t="str">
        <f t="shared" ca="1" si="46"/>
        <v/>
      </c>
      <c r="AP89" s="13"/>
      <c r="AQ89" s="12"/>
      <c r="AR89" s="14" t="str">
        <f>IF($O89="","",1+COUNTIF($O$5:$O$154,"&gt;"&amp;$O89)+COUNTIFS($O$5:$O$154,$O89,$N$5:$N$154,"&gt;"&amp;$N89)+COUNTIFS($O$4:$O88,$O89,$N$4:$N88,$N89))</f>
        <v/>
      </c>
      <c r="AS89" s="62"/>
      <c r="AT89" s="62"/>
      <c r="AU89" s="63" t="str">
        <f t="shared" si="47"/>
        <v/>
      </c>
      <c r="AV89" s="64" t="str">
        <f t="shared" si="48"/>
        <v/>
      </c>
      <c r="AW89" s="129" t="str">
        <f t="shared" si="49"/>
        <v/>
      </c>
      <c r="AX89" s="13"/>
      <c r="AY89" s="16"/>
      <c r="AZ89" s="13"/>
      <c r="BA89" s="13"/>
      <c r="BB89" s="13"/>
      <c r="BC89" s="13"/>
      <c r="BD89" s="13"/>
      <c r="BE89" s="13"/>
      <c r="BF89" s="13"/>
      <c r="BG89" s="13"/>
      <c r="BH89" s="14" t="str">
        <f t="shared" si="50"/>
        <v/>
      </c>
      <c r="BI89" s="14" t="str">
        <f t="shared" si="51"/>
        <v/>
      </c>
      <c r="BJ89" s="14" t="str">
        <f t="shared" si="52"/>
        <v/>
      </c>
      <c r="BK89" s="15" t="str">
        <f t="shared" si="53"/>
        <v/>
      </c>
      <c r="BL89" s="15" t="str">
        <f t="shared" si="54"/>
        <v/>
      </c>
      <c r="BM89" s="13"/>
      <c r="BN89" s="13"/>
      <c r="BO89" s="13"/>
      <c r="BP89" s="13"/>
      <c r="BQ89" s="13"/>
      <c r="BR89" s="14" t="str">
        <f t="shared" si="55"/>
        <v/>
      </c>
      <c r="BS89" s="15" t="str">
        <f t="shared" si="56"/>
        <v/>
      </c>
      <c r="BT89" s="13"/>
    </row>
    <row r="90" spans="1:72">
      <c r="A90" s="115"/>
      <c r="B90" s="12"/>
      <c r="C90" s="13"/>
      <c r="D90" s="13"/>
      <c r="E90" s="12"/>
      <c r="F90" s="12"/>
      <c r="G90" s="13"/>
      <c r="H90" s="12"/>
      <c r="I90" s="13"/>
      <c r="J90" s="13"/>
      <c r="K90" s="13"/>
      <c r="L90" s="13"/>
      <c r="M90" s="12"/>
      <c r="N90" s="12"/>
      <c r="O90" s="14" t="str">
        <f t="shared" si="38"/>
        <v/>
      </c>
      <c r="P90" s="15" t="str">
        <f t="shared" si="39"/>
        <v/>
      </c>
      <c r="Q90" s="13"/>
      <c r="R90" s="13"/>
      <c r="S90" s="13"/>
      <c r="T90" s="13"/>
      <c r="U90" s="15" t="str">
        <f t="shared" si="40"/>
        <v/>
      </c>
      <c r="V90" s="14" t="str">
        <f t="shared" si="41"/>
        <v/>
      </c>
      <c r="W90" s="13"/>
      <c r="X90" s="13"/>
      <c r="Y90" s="13"/>
      <c r="Z90" s="13"/>
      <c r="AA90" s="16"/>
      <c r="AB90" s="12"/>
      <c r="AC90" s="12"/>
      <c r="AD90" s="14" t="str">
        <f t="shared" si="42"/>
        <v/>
      </c>
      <c r="AE90" s="14" t="str">
        <f t="shared" si="43"/>
        <v/>
      </c>
      <c r="AF90" s="17" t="str">
        <f t="shared" si="44"/>
        <v/>
      </c>
      <c r="AG90" s="13"/>
      <c r="AH90" s="16"/>
      <c r="AI90" s="12"/>
      <c r="AJ90" s="16"/>
      <c r="AK90" s="13"/>
      <c r="AL90" s="16"/>
      <c r="AM90" s="13"/>
      <c r="AN90" s="17" t="str">
        <f t="shared" si="45"/>
        <v/>
      </c>
      <c r="AO90" s="14" t="str">
        <f t="shared" ca="1" si="46"/>
        <v/>
      </c>
      <c r="AP90" s="13"/>
      <c r="AQ90" s="12"/>
      <c r="AR90" s="14" t="str">
        <f>IF($O90="","",1+COUNTIF($O$5:$O$154,"&gt;"&amp;$O90)+COUNTIFS($O$5:$O$154,$O90,$N$5:$N$154,"&gt;"&amp;$N90)+COUNTIFS($O$4:$O89,$O90,$N$4:$N89,$N90))</f>
        <v/>
      </c>
      <c r="AS90" s="62"/>
      <c r="AT90" s="62"/>
      <c r="AU90" s="63" t="str">
        <f t="shared" si="47"/>
        <v/>
      </c>
      <c r="AV90" s="64" t="str">
        <f t="shared" si="48"/>
        <v/>
      </c>
      <c r="AW90" s="129" t="str">
        <f t="shared" si="49"/>
        <v/>
      </c>
      <c r="AX90" s="13"/>
      <c r="AY90" s="16"/>
      <c r="AZ90" s="13"/>
      <c r="BA90" s="13"/>
      <c r="BB90" s="13"/>
      <c r="BC90" s="13"/>
      <c r="BD90" s="13"/>
      <c r="BE90" s="13"/>
      <c r="BF90" s="13"/>
      <c r="BG90" s="13"/>
      <c r="BH90" s="14" t="str">
        <f t="shared" si="50"/>
        <v/>
      </c>
      <c r="BI90" s="14" t="str">
        <f t="shared" si="51"/>
        <v/>
      </c>
      <c r="BJ90" s="14" t="str">
        <f t="shared" si="52"/>
        <v/>
      </c>
      <c r="BK90" s="15" t="str">
        <f t="shared" si="53"/>
        <v/>
      </c>
      <c r="BL90" s="15" t="str">
        <f t="shared" si="54"/>
        <v/>
      </c>
      <c r="BM90" s="13"/>
      <c r="BN90" s="13"/>
      <c r="BO90" s="13"/>
      <c r="BP90" s="13"/>
      <c r="BQ90" s="13"/>
      <c r="BR90" s="14" t="str">
        <f t="shared" si="55"/>
        <v/>
      </c>
      <c r="BS90" s="15" t="str">
        <f t="shared" si="56"/>
        <v/>
      </c>
      <c r="BT90" s="13"/>
    </row>
    <row r="91" spans="1:72">
      <c r="A91" s="115"/>
      <c r="B91" s="12"/>
      <c r="C91" s="13"/>
      <c r="D91" s="13"/>
      <c r="E91" s="12"/>
      <c r="F91" s="12"/>
      <c r="G91" s="13"/>
      <c r="H91" s="12"/>
      <c r="I91" s="13"/>
      <c r="J91" s="13"/>
      <c r="K91" s="13"/>
      <c r="L91" s="13"/>
      <c r="M91" s="12"/>
      <c r="N91" s="12"/>
      <c r="O91" s="14" t="str">
        <f t="shared" si="38"/>
        <v/>
      </c>
      <c r="P91" s="15" t="str">
        <f t="shared" si="39"/>
        <v/>
      </c>
      <c r="Q91" s="13"/>
      <c r="R91" s="13"/>
      <c r="S91" s="13"/>
      <c r="T91" s="13"/>
      <c r="U91" s="15" t="str">
        <f t="shared" si="40"/>
        <v/>
      </c>
      <c r="V91" s="14" t="str">
        <f t="shared" si="41"/>
        <v/>
      </c>
      <c r="W91" s="13"/>
      <c r="X91" s="13"/>
      <c r="Y91" s="13"/>
      <c r="Z91" s="13"/>
      <c r="AA91" s="16"/>
      <c r="AB91" s="12"/>
      <c r="AC91" s="12"/>
      <c r="AD91" s="14" t="str">
        <f t="shared" si="42"/>
        <v/>
      </c>
      <c r="AE91" s="14" t="str">
        <f t="shared" si="43"/>
        <v/>
      </c>
      <c r="AF91" s="17" t="str">
        <f t="shared" si="44"/>
        <v/>
      </c>
      <c r="AG91" s="13"/>
      <c r="AH91" s="16"/>
      <c r="AI91" s="12"/>
      <c r="AJ91" s="16"/>
      <c r="AK91" s="13"/>
      <c r="AL91" s="16"/>
      <c r="AM91" s="13"/>
      <c r="AN91" s="17" t="str">
        <f t="shared" si="45"/>
        <v/>
      </c>
      <c r="AO91" s="14" t="str">
        <f t="shared" ca="1" si="46"/>
        <v/>
      </c>
      <c r="AP91" s="13"/>
      <c r="AQ91" s="12"/>
      <c r="AR91" s="14" t="str">
        <f>IF($O91="","",1+COUNTIF($O$5:$O$154,"&gt;"&amp;$O91)+COUNTIFS($O$5:$O$154,$O91,$N$5:$N$154,"&gt;"&amp;$N91)+COUNTIFS($O$4:$O90,$O91,$N$4:$N90,$N91))</f>
        <v/>
      </c>
      <c r="AS91" s="62"/>
      <c r="AT91" s="62"/>
      <c r="AU91" s="63" t="str">
        <f t="shared" si="47"/>
        <v/>
      </c>
      <c r="AV91" s="64" t="str">
        <f t="shared" si="48"/>
        <v/>
      </c>
      <c r="AW91" s="129" t="str">
        <f t="shared" si="49"/>
        <v/>
      </c>
      <c r="AX91" s="13"/>
      <c r="AY91" s="16"/>
      <c r="AZ91" s="13"/>
      <c r="BA91" s="13"/>
      <c r="BB91" s="13"/>
      <c r="BC91" s="13"/>
      <c r="BD91" s="13"/>
      <c r="BE91" s="13"/>
      <c r="BF91" s="13"/>
      <c r="BG91" s="13"/>
      <c r="BH91" s="14" t="str">
        <f t="shared" si="50"/>
        <v/>
      </c>
      <c r="BI91" s="14" t="str">
        <f t="shared" si="51"/>
        <v/>
      </c>
      <c r="BJ91" s="14" t="str">
        <f t="shared" si="52"/>
        <v/>
      </c>
      <c r="BK91" s="15" t="str">
        <f t="shared" si="53"/>
        <v/>
      </c>
      <c r="BL91" s="15" t="str">
        <f t="shared" si="54"/>
        <v/>
      </c>
      <c r="BM91" s="13"/>
      <c r="BN91" s="13"/>
      <c r="BO91" s="13"/>
      <c r="BP91" s="13"/>
      <c r="BQ91" s="13"/>
      <c r="BR91" s="14" t="str">
        <f t="shared" si="55"/>
        <v/>
      </c>
      <c r="BS91" s="15" t="str">
        <f t="shared" si="56"/>
        <v/>
      </c>
      <c r="BT91" s="13"/>
    </row>
    <row r="92" spans="1:72">
      <c r="A92" s="115"/>
      <c r="B92" s="12"/>
      <c r="C92" s="13"/>
      <c r="D92" s="13"/>
      <c r="E92" s="12"/>
      <c r="F92" s="12"/>
      <c r="G92" s="13"/>
      <c r="H92" s="12"/>
      <c r="I92" s="13"/>
      <c r="J92" s="13"/>
      <c r="K92" s="13"/>
      <c r="L92" s="13"/>
      <c r="M92" s="12"/>
      <c r="N92" s="12"/>
      <c r="O92" s="14" t="str">
        <f t="shared" si="38"/>
        <v/>
      </c>
      <c r="P92" s="15" t="str">
        <f t="shared" si="39"/>
        <v/>
      </c>
      <c r="Q92" s="13"/>
      <c r="R92" s="13"/>
      <c r="S92" s="13"/>
      <c r="T92" s="13"/>
      <c r="U92" s="15" t="str">
        <f t="shared" si="40"/>
        <v/>
      </c>
      <c r="V92" s="14" t="str">
        <f t="shared" si="41"/>
        <v/>
      </c>
      <c r="W92" s="13"/>
      <c r="X92" s="13"/>
      <c r="Y92" s="13"/>
      <c r="Z92" s="13"/>
      <c r="AA92" s="16"/>
      <c r="AB92" s="12"/>
      <c r="AC92" s="12"/>
      <c r="AD92" s="14" t="str">
        <f t="shared" si="42"/>
        <v/>
      </c>
      <c r="AE92" s="14" t="str">
        <f t="shared" si="43"/>
        <v/>
      </c>
      <c r="AF92" s="17" t="str">
        <f t="shared" si="44"/>
        <v/>
      </c>
      <c r="AG92" s="13"/>
      <c r="AH92" s="16"/>
      <c r="AI92" s="12"/>
      <c r="AJ92" s="16"/>
      <c r="AK92" s="13"/>
      <c r="AL92" s="16"/>
      <c r="AM92" s="13"/>
      <c r="AN92" s="17" t="str">
        <f t="shared" si="45"/>
        <v/>
      </c>
      <c r="AO92" s="14" t="str">
        <f t="shared" ca="1" si="46"/>
        <v/>
      </c>
      <c r="AP92" s="13"/>
      <c r="AQ92" s="12"/>
      <c r="AR92" s="14" t="str">
        <f>IF($O92="","",1+COUNTIF($O$5:$O$154,"&gt;"&amp;$O92)+COUNTIFS($O$5:$O$154,$O92,$N$5:$N$154,"&gt;"&amp;$N92)+COUNTIFS($O$4:$O91,$O92,$N$4:$N91,$N92))</f>
        <v/>
      </c>
      <c r="AS92" s="62"/>
      <c r="AT92" s="62"/>
      <c r="AU92" s="63" t="str">
        <f t="shared" si="47"/>
        <v/>
      </c>
      <c r="AV92" s="64" t="str">
        <f t="shared" si="48"/>
        <v/>
      </c>
      <c r="AW92" s="129" t="str">
        <f t="shared" si="49"/>
        <v/>
      </c>
      <c r="AX92" s="13"/>
      <c r="AY92" s="16"/>
      <c r="AZ92" s="13"/>
      <c r="BA92" s="13"/>
      <c r="BB92" s="13"/>
      <c r="BC92" s="13"/>
      <c r="BD92" s="13"/>
      <c r="BE92" s="13"/>
      <c r="BF92" s="13"/>
      <c r="BG92" s="13"/>
      <c r="BH92" s="14" t="str">
        <f t="shared" si="50"/>
        <v/>
      </c>
      <c r="BI92" s="14" t="str">
        <f t="shared" si="51"/>
        <v/>
      </c>
      <c r="BJ92" s="14" t="str">
        <f t="shared" si="52"/>
        <v/>
      </c>
      <c r="BK92" s="15" t="str">
        <f t="shared" si="53"/>
        <v/>
      </c>
      <c r="BL92" s="15" t="str">
        <f t="shared" si="54"/>
        <v/>
      </c>
      <c r="BM92" s="13"/>
      <c r="BN92" s="13"/>
      <c r="BO92" s="13"/>
      <c r="BP92" s="13"/>
      <c r="BQ92" s="13"/>
      <c r="BR92" s="14" t="str">
        <f t="shared" si="55"/>
        <v/>
      </c>
      <c r="BS92" s="15" t="str">
        <f t="shared" si="56"/>
        <v/>
      </c>
      <c r="BT92" s="13"/>
    </row>
    <row r="93" spans="1:72">
      <c r="A93" s="115"/>
      <c r="B93" s="12"/>
      <c r="C93" s="13"/>
      <c r="D93" s="13"/>
      <c r="E93" s="12"/>
      <c r="F93" s="12"/>
      <c r="G93" s="13"/>
      <c r="H93" s="12"/>
      <c r="I93" s="13"/>
      <c r="J93" s="13"/>
      <c r="K93" s="13"/>
      <c r="L93" s="13"/>
      <c r="M93" s="12"/>
      <c r="N93" s="12"/>
      <c r="O93" s="14" t="str">
        <f t="shared" si="38"/>
        <v/>
      </c>
      <c r="P93" s="15" t="str">
        <f t="shared" si="39"/>
        <v/>
      </c>
      <c r="Q93" s="13"/>
      <c r="R93" s="13"/>
      <c r="S93" s="13"/>
      <c r="T93" s="13"/>
      <c r="U93" s="15" t="str">
        <f t="shared" si="40"/>
        <v/>
      </c>
      <c r="V93" s="14" t="str">
        <f t="shared" si="41"/>
        <v/>
      </c>
      <c r="W93" s="13"/>
      <c r="X93" s="13"/>
      <c r="Y93" s="13"/>
      <c r="Z93" s="13"/>
      <c r="AA93" s="16"/>
      <c r="AB93" s="12"/>
      <c r="AC93" s="12"/>
      <c r="AD93" s="14" t="str">
        <f t="shared" si="42"/>
        <v/>
      </c>
      <c r="AE93" s="14" t="str">
        <f t="shared" si="43"/>
        <v/>
      </c>
      <c r="AF93" s="17" t="str">
        <f t="shared" si="44"/>
        <v/>
      </c>
      <c r="AG93" s="13"/>
      <c r="AH93" s="16"/>
      <c r="AI93" s="12"/>
      <c r="AJ93" s="16"/>
      <c r="AK93" s="13"/>
      <c r="AL93" s="16"/>
      <c r="AM93" s="13"/>
      <c r="AN93" s="17" t="str">
        <f t="shared" si="45"/>
        <v/>
      </c>
      <c r="AO93" s="14" t="str">
        <f t="shared" ca="1" si="46"/>
        <v/>
      </c>
      <c r="AP93" s="13"/>
      <c r="AQ93" s="12"/>
      <c r="AR93" s="14" t="str">
        <f>IF($O93="","",1+COUNTIF($O$5:$O$154,"&gt;"&amp;$O93)+COUNTIFS($O$5:$O$154,$O93,$N$5:$N$154,"&gt;"&amp;$N93)+COUNTIFS($O$4:$O92,$O93,$N$4:$N92,$N93))</f>
        <v/>
      </c>
      <c r="AS93" s="62"/>
      <c r="AT93" s="62"/>
      <c r="AU93" s="63" t="str">
        <f t="shared" si="47"/>
        <v/>
      </c>
      <c r="AV93" s="64" t="str">
        <f t="shared" si="48"/>
        <v/>
      </c>
      <c r="AW93" s="129" t="str">
        <f t="shared" si="49"/>
        <v/>
      </c>
      <c r="AX93" s="13"/>
      <c r="AY93" s="16"/>
      <c r="AZ93" s="13"/>
      <c r="BA93" s="13"/>
      <c r="BB93" s="13"/>
      <c r="BC93" s="13"/>
      <c r="BD93" s="13"/>
      <c r="BE93" s="13"/>
      <c r="BF93" s="13"/>
      <c r="BG93" s="13"/>
      <c r="BH93" s="14" t="str">
        <f t="shared" si="50"/>
        <v/>
      </c>
      <c r="BI93" s="14" t="str">
        <f t="shared" si="51"/>
        <v/>
      </c>
      <c r="BJ93" s="14" t="str">
        <f t="shared" si="52"/>
        <v/>
      </c>
      <c r="BK93" s="15" t="str">
        <f t="shared" si="53"/>
        <v/>
      </c>
      <c r="BL93" s="15" t="str">
        <f t="shared" si="54"/>
        <v/>
      </c>
      <c r="BM93" s="13"/>
      <c r="BN93" s="13"/>
      <c r="BO93" s="13"/>
      <c r="BP93" s="13"/>
      <c r="BQ93" s="13"/>
      <c r="BR93" s="14" t="str">
        <f t="shared" si="55"/>
        <v/>
      </c>
      <c r="BS93" s="15" t="str">
        <f t="shared" si="56"/>
        <v/>
      </c>
      <c r="BT93" s="13"/>
    </row>
    <row r="94" spans="1:72">
      <c r="A94" s="115"/>
      <c r="B94" s="12"/>
      <c r="C94" s="13"/>
      <c r="D94" s="13"/>
      <c r="E94" s="12"/>
      <c r="F94" s="12"/>
      <c r="G94" s="13"/>
      <c r="H94" s="12"/>
      <c r="I94" s="13"/>
      <c r="J94" s="13"/>
      <c r="K94" s="13"/>
      <c r="L94" s="13"/>
      <c r="M94" s="12"/>
      <c r="N94" s="12"/>
      <c r="O94" s="14" t="str">
        <f t="shared" si="38"/>
        <v/>
      </c>
      <c r="P94" s="15" t="str">
        <f t="shared" si="39"/>
        <v/>
      </c>
      <c r="Q94" s="13"/>
      <c r="R94" s="13"/>
      <c r="S94" s="13"/>
      <c r="T94" s="13"/>
      <c r="U94" s="15" t="str">
        <f t="shared" si="40"/>
        <v/>
      </c>
      <c r="V94" s="14" t="str">
        <f t="shared" si="41"/>
        <v/>
      </c>
      <c r="W94" s="13"/>
      <c r="X94" s="13"/>
      <c r="Y94" s="13"/>
      <c r="Z94" s="13"/>
      <c r="AA94" s="16"/>
      <c r="AB94" s="12"/>
      <c r="AC94" s="12"/>
      <c r="AD94" s="14" t="str">
        <f t="shared" si="42"/>
        <v/>
      </c>
      <c r="AE94" s="14" t="str">
        <f t="shared" si="43"/>
        <v/>
      </c>
      <c r="AF94" s="17" t="str">
        <f t="shared" si="44"/>
        <v/>
      </c>
      <c r="AG94" s="13"/>
      <c r="AH94" s="16"/>
      <c r="AI94" s="12"/>
      <c r="AJ94" s="16"/>
      <c r="AK94" s="13"/>
      <c r="AL94" s="16"/>
      <c r="AM94" s="13"/>
      <c r="AN94" s="17" t="str">
        <f t="shared" si="45"/>
        <v/>
      </c>
      <c r="AO94" s="14" t="str">
        <f t="shared" ca="1" si="46"/>
        <v/>
      </c>
      <c r="AP94" s="13"/>
      <c r="AQ94" s="12"/>
      <c r="AR94" s="14" t="str">
        <f>IF($O94="","",1+COUNTIF($O$5:$O$154,"&gt;"&amp;$O94)+COUNTIFS($O$5:$O$154,$O94,$N$5:$N$154,"&gt;"&amp;$N94)+COUNTIFS($O$4:$O93,$O94,$N$4:$N93,$N94))</f>
        <v/>
      </c>
      <c r="AS94" s="62"/>
      <c r="AT94" s="62"/>
      <c r="AU94" s="63" t="str">
        <f t="shared" si="47"/>
        <v/>
      </c>
      <c r="AV94" s="64" t="str">
        <f t="shared" si="48"/>
        <v/>
      </c>
      <c r="AW94" s="129" t="str">
        <f t="shared" si="49"/>
        <v/>
      </c>
      <c r="AX94" s="13"/>
      <c r="AY94" s="16"/>
      <c r="AZ94" s="13"/>
      <c r="BA94" s="13"/>
      <c r="BB94" s="13"/>
      <c r="BC94" s="13"/>
      <c r="BD94" s="13"/>
      <c r="BE94" s="13"/>
      <c r="BF94" s="13"/>
      <c r="BG94" s="13"/>
      <c r="BH94" s="14" t="str">
        <f t="shared" si="50"/>
        <v/>
      </c>
      <c r="BI94" s="14" t="str">
        <f t="shared" si="51"/>
        <v/>
      </c>
      <c r="BJ94" s="14" t="str">
        <f t="shared" si="52"/>
        <v/>
      </c>
      <c r="BK94" s="15" t="str">
        <f t="shared" si="53"/>
        <v/>
      </c>
      <c r="BL94" s="15" t="str">
        <f t="shared" si="54"/>
        <v/>
      </c>
      <c r="BM94" s="13"/>
      <c r="BN94" s="13"/>
      <c r="BO94" s="13"/>
      <c r="BP94" s="13"/>
      <c r="BQ94" s="13"/>
      <c r="BR94" s="14" t="str">
        <f t="shared" si="55"/>
        <v/>
      </c>
      <c r="BS94" s="15" t="str">
        <f t="shared" si="56"/>
        <v/>
      </c>
      <c r="BT94" s="13"/>
    </row>
    <row r="95" spans="1:72">
      <c r="A95" s="115"/>
      <c r="B95" s="12"/>
      <c r="C95" s="13"/>
      <c r="D95" s="13"/>
      <c r="E95" s="12"/>
      <c r="F95" s="12"/>
      <c r="G95" s="13"/>
      <c r="H95" s="12"/>
      <c r="I95" s="13"/>
      <c r="J95" s="13"/>
      <c r="K95" s="13"/>
      <c r="L95" s="13"/>
      <c r="M95" s="12"/>
      <c r="N95" s="12"/>
      <c r="O95" s="14" t="str">
        <f t="shared" si="38"/>
        <v/>
      </c>
      <c r="P95" s="15" t="str">
        <f t="shared" si="39"/>
        <v/>
      </c>
      <c r="Q95" s="13"/>
      <c r="R95" s="13"/>
      <c r="S95" s="13"/>
      <c r="T95" s="13"/>
      <c r="U95" s="15" t="str">
        <f t="shared" si="40"/>
        <v/>
      </c>
      <c r="V95" s="14" t="str">
        <f t="shared" si="41"/>
        <v/>
      </c>
      <c r="W95" s="13"/>
      <c r="X95" s="13"/>
      <c r="Y95" s="13"/>
      <c r="Z95" s="13"/>
      <c r="AA95" s="16"/>
      <c r="AB95" s="12"/>
      <c r="AC95" s="12"/>
      <c r="AD95" s="14" t="str">
        <f t="shared" si="42"/>
        <v/>
      </c>
      <c r="AE95" s="14" t="str">
        <f t="shared" si="43"/>
        <v/>
      </c>
      <c r="AF95" s="17" t="str">
        <f t="shared" si="44"/>
        <v/>
      </c>
      <c r="AG95" s="13"/>
      <c r="AH95" s="16"/>
      <c r="AI95" s="12"/>
      <c r="AJ95" s="16"/>
      <c r="AK95" s="13"/>
      <c r="AL95" s="16"/>
      <c r="AM95" s="13"/>
      <c r="AN95" s="17" t="str">
        <f t="shared" si="45"/>
        <v/>
      </c>
      <c r="AO95" s="14" t="str">
        <f t="shared" ca="1" si="46"/>
        <v/>
      </c>
      <c r="AP95" s="13"/>
      <c r="AQ95" s="12"/>
      <c r="AR95" s="14" t="str">
        <f>IF($O95="","",1+COUNTIF($O$5:$O$154,"&gt;"&amp;$O95)+COUNTIFS($O$5:$O$154,$O95,$N$5:$N$154,"&gt;"&amp;$N95)+COUNTIFS($O$4:$O94,$O95,$N$4:$N94,$N95))</f>
        <v/>
      </c>
      <c r="AS95" s="62"/>
      <c r="AT95" s="62"/>
      <c r="AU95" s="63" t="str">
        <f t="shared" si="47"/>
        <v/>
      </c>
      <c r="AV95" s="64" t="str">
        <f t="shared" si="48"/>
        <v/>
      </c>
      <c r="AW95" s="129" t="str">
        <f t="shared" si="49"/>
        <v/>
      </c>
      <c r="AX95" s="13"/>
      <c r="AY95" s="16"/>
      <c r="AZ95" s="13"/>
      <c r="BA95" s="13"/>
      <c r="BB95" s="13"/>
      <c r="BC95" s="13"/>
      <c r="BD95" s="13"/>
      <c r="BE95" s="13"/>
      <c r="BF95" s="13"/>
      <c r="BG95" s="13"/>
      <c r="BH95" s="14" t="str">
        <f t="shared" si="50"/>
        <v/>
      </c>
      <c r="BI95" s="14" t="str">
        <f t="shared" si="51"/>
        <v/>
      </c>
      <c r="BJ95" s="14" t="str">
        <f t="shared" si="52"/>
        <v/>
      </c>
      <c r="BK95" s="15" t="str">
        <f t="shared" si="53"/>
        <v/>
      </c>
      <c r="BL95" s="15" t="str">
        <f t="shared" si="54"/>
        <v/>
      </c>
      <c r="BM95" s="13"/>
      <c r="BN95" s="13"/>
      <c r="BO95" s="13"/>
      <c r="BP95" s="13"/>
      <c r="BQ95" s="13"/>
      <c r="BR95" s="14" t="str">
        <f t="shared" si="55"/>
        <v/>
      </c>
      <c r="BS95" s="15" t="str">
        <f t="shared" si="56"/>
        <v/>
      </c>
      <c r="BT95" s="13"/>
    </row>
    <row r="96" spans="1:72">
      <c r="A96" s="115"/>
      <c r="B96" s="12"/>
      <c r="C96" s="13"/>
      <c r="D96" s="13"/>
      <c r="E96" s="12"/>
      <c r="F96" s="12"/>
      <c r="G96" s="13"/>
      <c r="H96" s="12"/>
      <c r="I96" s="13"/>
      <c r="J96" s="13"/>
      <c r="K96" s="13"/>
      <c r="L96" s="13"/>
      <c r="M96" s="12"/>
      <c r="N96" s="12"/>
      <c r="O96" s="14" t="str">
        <f t="shared" si="38"/>
        <v/>
      </c>
      <c r="P96" s="15" t="str">
        <f t="shared" si="39"/>
        <v/>
      </c>
      <c r="Q96" s="13"/>
      <c r="R96" s="13"/>
      <c r="S96" s="13"/>
      <c r="T96" s="13"/>
      <c r="U96" s="15" t="str">
        <f t="shared" si="40"/>
        <v/>
      </c>
      <c r="V96" s="14" t="str">
        <f t="shared" si="41"/>
        <v/>
      </c>
      <c r="W96" s="13"/>
      <c r="X96" s="13"/>
      <c r="Y96" s="13"/>
      <c r="Z96" s="13"/>
      <c r="AA96" s="16"/>
      <c r="AB96" s="12"/>
      <c r="AC96" s="12"/>
      <c r="AD96" s="14" t="str">
        <f t="shared" si="42"/>
        <v/>
      </c>
      <c r="AE96" s="14" t="str">
        <f t="shared" si="43"/>
        <v/>
      </c>
      <c r="AF96" s="17" t="str">
        <f t="shared" si="44"/>
        <v/>
      </c>
      <c r="AG96" s="13"/>
      <c r="AH96" s="16"/>
      <c r="AI96" s="12"/>
      <c r="AJ96" s="16"/>
      <c r="AK96" s="13"/>
      <c r="AL96" s="16"/>
      <c r="AM96" s="13"/>
      <c r="AN96" s="17" t="str">
        <f t="shared" si="45"/>
        <v/>
      </c>
      <c r="AO96" s="14" t="str">
        <f t="shared" ca="1" si="46"/>
        <v/>
      </c>
      <c r="AP96" s="13"/>
      <c r="AQ96" s="12"/>
      <c r="AR96" s="14" t="str">
        <f>IF($O96="","",1+COUNTIF($O$5:$O$154,"&gt;"&amp;$O96)+COUNTIFS($O$5:$O$154,$O96,$N$5:$N$154,"&gt;"&amp;$N96)+COUNTIFS($O$4:$O95,$O96,$N$4:$N95,$N96))</f>
        <v/>
      </c>
      <c r="AS96" s="62"/>
      <c r="AT96" s="62"/>
      <c r="AU96" s="63" t="str">
        <f t="shared" si="47"/>
        <v/>
      </c>
      <c r="AV96" s="64" t="str">
        <f t="shared" si="48"/>
        <v/>
      </c>
      <c r="AW96" s="129" t="str">
        <f t="shared" si="49"/>
        <v/>
      </c>
      <c r="AX96" s="13"/>
      <c r="AY96" s="16"/>
      <c r="AZ96" s="13"/>
      <c r="BA96" s="13"/>
      <c r="BB96" s="13"/>
      <c r="BC96" s="13"/>
      <c r="BD96" s="13"/>
      <c r="BE96" s="13"/>
      <c r="BF96" s="13"/>
      <c r="BG96" s="13"/>
      <c r="BH96" s="14" t="str">
        <f t="shared" si="50"/>
        <v/>
      </c>
      <c r="BI96" s="14" t="str">
        <f t="shared" si="51"/>
        <v/>
      </c>
      <c r="BJ96" s="14" t="str">
        <f t="shared" si="52"/>
        <v/>
      </c>
      <c r="BK96" s="15" t="str">
        <f t="shared" si="53"/>
        <v/>
      </c>
      <c r="BL96" s="15" t="str">
        <f t="shared" si="54"/>
        <v/>
      </c>
      <c r="BM96" s="13"/>
      <c r="BN96" s="13"/>
      <c r="BO96" s="13"/>
      <c r="BP96" s="13"/>
      <c r="BQ96" s="13"/>
      <c r="BR96" s="14" t="str">
        <f t="shared" si="55"/>
        <v/>
      </c>
      <c r="BS96" s="15" t="str">
        <f t="shared" si="56"/>
        <v/>
      </c>
      <c r="BT96" s="13"/>
    </row>
    <row r="97" spans="1:72">
      <c r="A97" s="115"/>
      <c r="B97" s="12"/>
      <c r="C97" s="13"/>
      <c r="D97" s="13"/>
      <c r="E97" s="12"/>
      <c r="F97" s="12"/>
      <c r="G97" s="13"/>
      <c r="H97" s="12"/>
      <c r="I97" s="13"/>
      <c r="J97" s="13"/>
      <c r="K97" s="13"/>
      <c r="L97" s="13"/>
      <c r="M97" s="12"/>
      <c r="N97" s="12"/>
      <c r="O97" s="14" t="str">
        <f t="shared" si="38"/>
        <v/>
      </c>
      <c r="P97" s="15" t="str">
        <f t="shared" si="39"/>
        <v/>
      </c>
      <c r="Q97" s="13"/>
      <c r="R97" s="13"/>
      <c r="S97" s="13"/>
      <c r="T97" s="13"/>
      <c r="U97" s="15" t="str">
        <f t="shared" si="40"/>
        <v/>
      </c>
      <c r="V97" s="14" t="str">
        <f t="shared" si="41"/>
        <v/>
      </c>
      <c r="W97" s="13"/>
      <c r="X97" s="13"/>
      <c r="Y97" s="13"/>
      <c r="Z97" s="13"/>
      <c r="AA97" s="16"/>
      <c r="AB97" s="12"/>
      <c r="AC97" s="12"/>
      <c r="AD97" s="14" t="str">
        <f t="shared" si="42"/>
        <v/>
      </c>
      <c r="AE97" s="14" t="str">
        <f t="shared" si="43"/>
        <v/>
      </c>
      <c r="AF97" s="17" t="str">
        <f t="shared" si="44"/>
        <v/>
      </c>
      <c r="AG97" s="13"/>
      <c r="AH97" s="16"/>
      <c r="AI97" s="12"/>
      <c r="AJ97" s="16"/>
      <c r="AK97" s="13"/>
      <c r="AL97" s="16"/>
      <c r="AM97" s="13"/>
      <c r="AN97" s="17" t="str">
        <f t="shared" si="45"/>
        <v/>
      </c>
      <c r="AO97" s="14" t="str">
        <f t="shared" ca="1" si="46"/>
        <v/>
      </c>
      <c r="AP97" s="13"/>
      <c r="AQ97" s="12"/>
      <c r="AR97" s="14" t="str">
        <f>IF($O97="","",1+COUNTIF($O$5:$O$154,"&gt;"&amp;$O97)+COUNTIFS($O$5:$O$154,$O97,$N$5:$N$154,"&gt;"&amp;$N97)+COUNTIFS($O$4:$O96,$O97,$N$4:$N96,$N97))</f>
        <v/>
      </c>
      <c r="AS97" s="62"/>
      <c r="AT97" s="62"/>
      <c r="AU97" s="63" t="str">
        <f t="shared" si="47"/>
        <v/>
      </c>
      <c r="AV97" s="64" t="str">
        <f t="shared" si="48"/>
        <v/>
      </c>
      <c r="AW97" s="129" t="str">
        <f t="shared" si="49"/>
        <v/>
      </c>
      <c r="AX97" s="13"/>
      <c r="AY97" s="16"/>
      <c r="AZ97" s="13"/>
      <c r="BA97" s="13"/>
      <c r="BB97" s="13"/>
      <c r="BC97" s="13"/>
      <c r="BD97" s="13"/>
      <c r="BE97" s="13"/>
      <c r="BF97" s="13"/>
      <c r="BG97" s="13"/>
      <c r="BH97" s="14" t="str">
        <f t="shared" si="50"/>
        <v/>
      </c>
      <c r="BI97" s="14" t="str">
        <f t="shared" si="51"/>
        <v/>
      </c>
      <c r="BJ97" s="14" t="str">
        <f t="shared" si="52"/>
        <v/>
      </c>
      <c r="BK97" s="15" t="str">
        <f t="shared" si="53"/>
        <v/>
      </c>
      <c r="BL97" s="15" t="str">
        <f t="shared" si="54"/>
        <v/>
      </c>
      <c r="BM97" s="13"/>
      <c r="BN97" s="13"/>
      <c r="BO97" s="13"/>
      <c r="BP97" s="13"/>
      <c r="BQ97" s="13"/>
      <c r="BR97" s="14" t="str">
        <f t="shared" si="55"/>
        <v/>
      </c>
      <c r="BS97" s="15" t="str">
        <f t="shared" si="56"/>
        <v/>
      </c>
      <c r="BT97" s="13"/>
    </row>
    <row r="98" spans="1:72">
      <c r="A98" s="115"/>
      <c r="B98" s="12"/>
      <c r="C98" s="13"/>
      <c r="D98" s="13"/>
      <c r="E98" s="12"/>
      <c r="F98" s="12"/>
      <c r="G98" s="13"/>
      <c r="H98" s="12"/>
      <c r="I98" s="13"/>
      <c r="J98" s="13"/>
      <c r="K98" s="13"/>
      <c r="L98" s="13"/>
      <c r="M98" s="12"/>
      <c r="N98" s="12"/>
      <c r="O98" s="14" t="str">
        <f t="shared" si="38"/>
        <v/>
      </c>
      <c r="P98" s="15" t="str">
        <f t="shared" si="39"/>
        <v/>
      </c>
      <c r="Q98" s="13"/>
      <c r="R98" s="13"/>
      <c r="S98" s="13"/>
      <c r="T98" s="13"/>
      <c r="U98" s="15" t="str">
        <f t="shared" si="40"/>
        <v/>
      </c>
      <c r="V98" s="14" t="str">
        <f t="shared" si="41"/>
        <v/>
      </c>
      <c r="W98" s="13"/>
      <c r="X98" s="13"/>
      <c r="Y98" s="13"/>
      <c r="Z98" s="13"/>
      <c r="AA98" s="16"/>
      <c r="AB98" s="12"/>
      <c r="AC98" s="12"/>
      <c r="AD98" s="14" t="str">
        <f t="shared" si="42"/>
        <v/>
      </c>
      <c r="AE98" s="14" t="str">
        <f t="shared" si="43"/>
        <v/>
      </c>
      <c r="AF98" s="17" t="str">
        <f t="shared" si="44"/>
        <v/>
      </c>
      <c r="AG98" s="13"/>
      <c r="AH98" s="16"/>
      <c r="AI98" s="12"/>
      <c r="AJ98" s="16"/>
      <c r="AK98" s="13"/>
      <c r="AL98" s="16"/>
      <c r="AM98" s="13"/>
      <c r="AN98" s="17" t="str">
        <f t="shared" si="45"/>
        <v/>
      </c>
      <c r="AO98" s="14" t="str">
        <f t="shared" ca="1" si="46"/>
        <v/>
      </c>
      <c r="AP98" s="13"/>
      <c r="AQ98" s="12"/>
      <c r="AR98" s="14" t="str">
        <f>IF($O98="","",1+COUNTIF($O$5:$O$154,"&gt;"&amp;$O98)+COUNTIFS($O$5:$O$154,$O98,$N$5:$N$154,"&gt;"&amp;$N98)+COUNTIFS($O$4:$O97,$O98,$N$4:$N97,$N98))</f>
        <v/>
      </c>
      <c r="AS98" s="62"/>
      <c r="AT98" s="62"/>
      <c r="AU98" s="63" t="str">
        <f t="shared" si="47"/>
        <v/>
      </c>
      <c r="AV98" s="64" t="str">
        <f t="shared" si="48"/>
        <v/>
      </c>
      <c r="AW98" s="129" t="str">
        <f t="shared" si="49"/>
        <v/>
      </c>
      <c r="AX98" s="13"/>
      <c r="AY98" s="16"/>
      <c r="AZ98" s="13"/>
      <c r="BA98" s="13"/>
      <c r="BB98" s="13"/>
      <c r="BC98" s="13"/>
      <c r="BD98" s="13"/>
      <c r="BE98" s="13"/>
      <c r="BF98" s="13"/>
      <c r="BG98" s="13"/>
      <c r="BH98" s="14" t="str">
        <f t="shared" si="50"/>
        <v/>
      </c>
      <c r="BI98" s="14" t="str">
        <f t="shared" si="51"/>
        <v/>
      </c>
      <c r="BJ98" s="14" t="str">
        <f t="shared" si="52"/>
        <v/>
      </c>
      <c r="BK98" s="15" t="str">
        <f t="shared" si="53"/>
        <v/>
      </c>
      <c r="BL98" s="15" t="str">
        <f t="shared" si="54"/>
        <v/>
      </c>
      <c r="BM98" s="13"/>
      <c r="BN98" s="13"/>
      <c r="BO98" s="13"/>
      <c r="BP98" s="13"/>
      <c r="BQ98" s="13"/>
      <c r="BR98" s="14" t="str">
        <f t="shared" si="55"/>
        <v/>
      </c>
      <c r="BS98" s="15" t="str">
        <f t="shared" si="56"/>
        <v/>
      </c>
      <c r="BT98" s="13"/>
    </row>
    <row r="99" spans="1:72">
      <c r="A99" s="115"/>
      <c r="B99" s="12"/>
      <c r="C99" s="13"/>
      <c r="D99" s="13"/>
      <c r="E99" s="12"/>
      <c r="F99" s="12"/>
      <c r="G99" s="13"/>
      <c r="H99" s="12"/>
      <c r="I99" s="13"/>
      <c r="J99" s="13"/>
      <c r="K99" s="13"/>
      <c r="L99" s="13"/>
      <c r="M99" s="12"/>
      <c r="N99" s="12"/>
      <c r="O99" s="14" t="str">
        <f t="shared" si="38"/>
        <v/>
      </c>
      <c r="P99" s="15" t="str">
        <f t="shared" si="39"/>
        <v/>
      </c>
      <c r="Q99" s="13"/>
      <c r="R99" s="13"/>
      <c r="S99" s="13"/>
      <c r="T99" s="13"/>
      <c r="U99" s="15" t="str">
        <f t="shared" si="40"/>
        <v/>
      </c>
      <c r="V99" s="14" t="str">
        <f t="shared" si="41"/>
        <v/>
      </c>
      <c r="W99" s="13"/>
      <c r="X99" s="13"/>
      <c r="Y99" s="13"/>
      <c r="Z99" s="13"/>
      <c r="AA99" s="16"/>
      <c r="AB99" s="12"/>
      <c r="AC99" s="12"/>
      <c r="AD99" s="14" t="str">
        <f t="shared" si="42"/>
        <v/>
      </c>
      <c r="AE99" s="14" t="str">
        <f t="shared" si="43"/>
        <v/>
      </c>
      <c r="AF99" s="17" t="str">
        <f t="shared" si="44"/>
        <v/>
      </c>
      <c r="AG99" s="13"/>
      <c r="AH99" s="16"/>
      <c r="AI99" s="12"/>
      <c r="AJ99" s="16"/>
      <c r="AK99" s="13"/>
      <c r="AL99" s="16"/>
      <c r="AM99" s="13"/>
      <c r="AN99" s="17" t="str">
        <f t="shared" si="45"/>
        <v/>
      </c>
      <c r="AO99" s="14" t="str">
        <f t="shared" ca="1" si="46"/>
        <v/>
      </c>
      <c r="AP99" s="13"/>
      <c r="AQ99" s="12"/>
      <c r="AR99" s="14" t="str">
        <f>IF($O99="","",1+COUNTIF($O$5:$O$154,"&gt;"&amp;$O99)+COUNTIFS($O$5:$O$154,$O99,$N$5:$N$154,"&gt;"&amp;$N99)+COUNTIFS($O$4:$O98,$O99,$N$4:$N98,$N99))</f>
        <v/>
      </c>
      <c r="AS99" s="62"/>
      <c r="AT99" s="62"/>
      <c r="AU99" s="63" t="str">
        <f t="shared" si="47"/>
        <v/>
      </c>
      <c r="AV99" s="64" t="str">
        <f t="shared" si="48"/>
        <v/>
      </c>
      <c r="AW99" s="129" t="str">
        <f t="shared" si="49"/>
        <v/>
      </c>
      <c r="AX99" s="13"/>
      <c r="AY99" s="16"/>
      <c r="AZ99" s="13"/>
      <c r="BA99" s="13"/>
      <c r="BB99" s="13"/>
      <c r="BC99" s="13"/>
      <c r="BD99" s="13"/>
      <c r="BE99" s="13"/>
      <c r="BF99" s="13"/>
      <c r="BG99" s="13"/>
      <c r="BH99" s="14" t="str">
        <f t="shared" si="50"/>
        <v/>
      </c>
      <c r="BI99" s="14" t="str">
        <f t="shared" si="51"/>
        <v/>
      </c>
      <c r="BJ99" s="14" t="str">
        <f t="shared" si="52"/>
        <v/>
      </c>
      <c r="BK99" s="15" t="str">
        <f t="shared" si="53"/>
        <v/>
      </c>
      <c r="BL99" s="15" t="str">
        <f t="shared" si="54"/>
        <v/>
      </c>
      <c r="BM99" s="13"/>
      <c r="BN99" s="13"/>
      <c r="BO99" s="13"/>
      <c r="BP99" s="13"/>
      <c r="BQ99" s="13"/>
      <c r="BR99" s="14" t="str">
        <f t="shared" si="55"/>
        <v/>
      </c>
      <c r="BS99" s="15" t="str">
        <f t="shared" si="56"/>
        <v/>
      </c>
      <c r="BT99" s="13"/>
    </row>
    <row r="100" spans="1:72">
      <c r="A100" s="115"/>
      <c r="B100" s="12"/>
      <c r="C100" s="13"/>
      <c r="D100" s="13"/>
      <c r="E100" s="12"/>
      <c r="F100" s="12"/>
      <c r="G100" s="13"/>
      <c r="H100" s="12"/>
      <c r="I100" s="13"/>
      <c r="J100" s="13"/>
      <c r="K100" s="13"/>
      <c r="L100" s="13"/>
      <c r="M100" s="12"/>
      <c r="N100" s="12"/>
      <c r="O100" s="14" t="str">
        <f t="shared" si="38"/>
        <v/>
      </c>
      <c r="P100" s="15" t="str">
        <f t="shared" si="39"/>
        <v/>
      </c>
      <c r="Q100" s="13"/>
      <c r="R100" s="13"/>
      <c r="S100" s="13"/>
      <c r="T100" s="13"/>
      <c r="U100" s="15" t="str">
        <f t="shared" si="40"/>
        <v/>
      </c>
      <c r="V100" s="14" t="str">
        <f t="shared" si="41"/>
        <v/>
      </c>
      <c r="W100" s="13"/>
      <c r="X100" s="13"/>
      <c r="Y100" s="13"/>
      <c r="Z100" s="13"/>
      <c r="AA100" s="16"/>
      <c r="AB100" s="12"/>
      <c r="AC100" s="12"/>
      <c r="AD100" s="14" t="str">
        <f t="shared" si="42"/>
        <v/>
      </c>
      <c r="AE100" s="14" t="str">
        <f t="shared" si="43"/>
        <v/>
      </c>
      <c r="AF100" s="17" t="str">
        <f t="shared" si="44"/>
        <v/>
      </c>
      <c r="AG100" s="13"/>
      <c r="AH100" s="16"/>
      <c r="AI100" s="12"/>
      <c r="AJ100" s="16"/>
      <c r="AK100" s="13"/>
      <c r="AL100" s="16"/>
      <c r="AM100" s="13"/>
      <c r="AN100" s="17" t="str">
        <f t="shared" si="45"/>
        <v/>
      </c>
      <c r="AO100" s="14" t="str">
        <f t="shared" ca="1" si="46"/>
        <v/>
      </c>
      <c r="AP100" s="13"/>
      <c r="AQ100" s="12"/>
      <c r="AR100" s="14" t="str">
        <f>IF($O100="","",1+COUNTIF($O$5:$O$154,"&gt;"&amp;$O100)+COUNTIFS($O$5:$O$154,$O100,$N$5:$N$154,"&gt;"&amp;$N100)+COUNTIFS($O$4:$O99,$O100,$N$4:$N99,$N100))</f>
        <v/>
      </c>
      <c r="AS100" s="62"/>
      <c r="AT100" s="62"/>
      <c r="AU100" s="63" t="str">
        <f t="shared" si="47"/>
        <v/>
      </c>
      <c r="AV100" s="64" t="str">
        <f t="shared" si="48"/>
        <v/>
      </c>
      <c r="AW100" s="129" t="str">
        <f t="shared" si="49"/>
        <v/>
      </c>
      <c r="AX100" s="13"/>
      <c r="AY100" s="16"/>
      <c r="AZ100" s="13"/>
      <c r="BA100" s="13"/>
      <c r="BB100" s="13"/>
      <c r="BC100" s="13"/>
      <c r="BD100" s="13"/>
      <c r="BE100" s="13"/>
      <c r="BF100" s="13"/>
      <c r="BG100" s="13"/>
      <c r="BH100" s="14" t="str">
        <f t="shared" si="50"/>
        <v/>
      </c>
      <c r="BI100" s="14" t="str">
        <f t="shared" si="51"/>
        <v/>
      </c>
      <c r="BJ100" s="14" t="str">
        <f t="shared" si="52"/>
        <v/>
      </c>
      <c r="BK100" s="15" t="str">
        <f t="shared" si="53"/>
        <v/>
      </c>
      <c r="BL100" s="15" t="str">
        <f t="shared" si="54"/>
        <v/>
      </c>
      <c r="BM100" s="13"/>
      <c r="BN100" s="13"/>
      <c r="BO100" s="13"/>
      <c r="BP100" s="13"/>
      <c r="BQ100" s="13"/>
      <c r="BR100" s="14" t="str">
        <f t="shared" si="55"/>
        <v/>
      </c>
      <c r="BS100" s="15" t="str">
        <f t="shared" si="56"/>
        <v/>
      </c>
      <c r="BT100" s="13"/>
    </row>
    <row r="101" spans="1:72">
      <c r="A101" s="115"/>
      <c r="B101" s="12"/>
      <c r="C101" s="13"/>
      <c r="D101" s="13"/>
      <c r="E101" s="12"/>
      <c r="F101" s="12"/>
      <c r="G101" s="13"/>
      <c r="H101" s="12"/>
      <c r="I101" s="13"/>
      <c r="J101" s="13"/>
      <c r="K101" s="13"/>
      <c r="L101" s="13"/>
      <c r="M101" s="12"/>
      <c r="N101" s="12"/>
      <c r="O101" s="14" t="str">
        <f t="shared" ref="O101:O132" si="57">IF(COUNT($M101:$N101)=2,$M101*$N101,"")</f>
        <v/>
      </c>
      <c r="P101" s="15" t="str">
        <f t="shared" ref="P101:P132" si="58">IF($O101="","",INDEX(Niveis,IFERROR(MATCH($O101,Limites,1),1)))</f>
        <v/>
      </c>
      <c r="Q101" s="13"/>
      <c r="R101" s="13"/>
      <c r="S101" s="13"/>
      <c r="T101" s="13"/>
      <c r="U101" s="15" t="str">
        <f t="shared" ref="U101:U132" si="59">IF(COUNTA($R101:$T101)&lt;3,"",IFERROR((4-MATCH($R101,ListaFacil,0))+(4-MATCH($S101,ListaReducao,0))+(4-MATCH($T101,ListaAlinh,0)),""))</f>
        <v/>
      </c>
      <c r="V101" s="14" t="str">
        <f t="shared" ref="V101:V132" si="60">IF($P101="","",INDEX(AcaoOport,MATCH($P101,Niveis,0)))</f>
        <v/>
      </c>
      <c r="W101" s="13"/>
      <c r="X101" s="13"/>
      <c r="Y101" s="13"/>
      <c r="Z101" s="13"/>
      <c r="AA101" s="16"/>
      <c r="AB101" s="12"/>
      <c r="AC101" s="12"/>
      <c r="AD101" s="14" t="str">
        <f t="shared" ref="AD101:AD132" si="61">IF(OR($AC101="",PlanoUrl=""),"",HYPERLINK(SUBSTITUTE(PlanoUrl,"{COD}",SUBSTITUTE($AC101," ","%20")),"↗"))</f>
        <v/>
      </c>
      <c r="AE101" s="14" t="str">
        <f t="shared" ref="AE101:AE132" si="62">IF($C101="","",IF($AC101="",$AB101&amp;"",IFERROR(IF(INDEX(PlanosStatus,MATCH($AC101,PlanosCod,0))="",$AB101&amp;"",INDEX(PlanosStatus,MATCH($AC101,PlanosCod,0))),$AB101&amp;"")))</f>
        <v/>
      </c>
      <c r="AF101" s="17" t="str">
        <f t="shared" ref="AF101:AF132" si="63">IF($C101="","",IF($AC101="",IF($AA101="","",$AA101),IFERROR(IF(INDEX(PlanosPrazo,MATCH($AC101,PlanosCod,0))="",IF($AA101="","",$AA101),INDEX(PlanosPrazo,MATCH($AC101,PlanosCod,0))),IF($AA101="","",$AA101))))</f>
        <v/>
      </c>
      <c r="AG101" s="13"/>
      <c r="AH101" s="16"/>
      <c r="AI101" s="12"/>
      <c r="AJ101" s="16"/>
      <c r="AK101" s="13"/>
      <c r="AL101" s="16"/>
      <c r="AM101" s="13"/>
      <c r="AN101" s="17" t="str">
        <f t="shared" ref="AN101:AN132" si="64">IF(OR($AL101="",$P101=""),"",EDATE($AL101,INDEX(MesesRev,MATCH($P101,Niveis,0))))</f>
        <v/>
      </c>
      <c r="AO101" s="14" t="str">
        <f t="shared" ref="AO101:AO132" ca="1" si="65">IF($C101="","",IF($Y101="","Sem dono",IF($P101="","Falta avaliação",IF(AND($AC101&lt;&gt;"",COUNTIF(PlanosCod,$AC101)=0),"Código não encontrado",IF(AND($AC101&lt;&gt;"",IFERROR(INDEX(PlanosIdRef,MATCH($AC101,PlanosCod,0))&amp;"","")&lt;&gt;"",ISERROR(SEARCH(";"&amp;$A101&amp;";",";"&amp;SUBSTITUTE(SUBSTITUTE(IFERROR(INDEX(PlanosIdRef,MATCH($AC101,PlanosCod,0))&amp;"","")," ",""),",",";")&amp;";"))),"Vínculo divergente",IF(AND($W101="",$X101="",$AC101="",MATCH($P101,Niveis,0)&gt;=IdxExige),"Sem ação",IF(AND(OR($W101="Explorar",$W101="Melhorar",$W101="Analisar viabilidade e custo-benefício",$W101="Integrar ao planejamento estratégico",$W101="Compartilhar (parceria / contrato)"),$AK101=""),"Definir KPI",IF($AI101="Não eficaz","Ação ineficaz",IF(AND($AF101&lt;&gt;"",$AF101&lt;TODAY(),$AE101&lt;&gt;"Concluído",$AE101&lt;&gt;"Cancelado"),"Ação vencida",IF(AND($AI101&lt;&gt;"Eficaz",OR($AE101="Concluído",AND(ISNUMBER($AH101),$AH101&lt;TODAY()))),"Avaliar eficácia",IF(AND($AN101&lt;&gt;"",$AN101&lt;TODAY()),"Revisão vencida",IF(AND($AF101&lt;&gt;"",N($AF101)-TODAY()&lt;=DiasAlerta,$AE101&lt;&gt;"Concluído",$AE101&lt;&gt;"Cancelado"),"Vence em breve","OK"))))))))))))</f>
        <v/>
      </c>
      <c r="AP101" s="13"/>
      <c r="AQ101" s="12"/>
      <c r="AR101" s="14" t="str">
        <f>IF($O101="","",1+COUNTIF($O$5:$O$154,"&gt;"&amp;$O101)+COUNTIFS($O$5:$O$154,$O101,$N$5:$N$154,"&gt;"&amp;$N101)+COUNTIFS($O$4:$O100,$O101,$N$4:$N100,$N101))</f>
        <v/>
      </c>
      <c r="AS101" s="62"/>
      <c r="AT101" s="62"/>
      <c r="AU101" s="63" t="str">
        <f t="shared" ref="AU101:AU132" si="66">IF(OR($AT101="",$M101=""),"",IFERROR($AT101*INDEX(ProbMedia,$M101),""))</f>
        <v/>
      </c>
      <c r="AV101" s="64" t="str">
        <f t="shared" ref="AV101:AV132" si="67">IF(OR($AS101="",$AU101=""),"",IF($AS101=0,"",$AU101/$AS101))</f>
        <v/>
      </c>
      <c r="AW101" s="129" t="str">
        <f t="shared" ref="AW101:AW132" si="68">IF($AV101="","",IF($AV101&gt;=1.5,"Retorno cobre o custo com folga: priorizar",IF($AV101&gt;=1,"Retorno cobre o custo: viável","Retorno menor que o custo: reavaliar ou reter para avaliação futura")))</f>
        <v/>
      </c>
      <c r="AX101" s="13"/>
      <c r="AY101" s="16"/>
      <c r="AZ101" s="13"/>
      <c r="BA101" s="13"/>
      <c r="BB101" s="13"/>
      <c r="BC101" s="13"/>
      <c r="BD101" s="13"/>
      <c r="BE101" s="13"/>
      <c r="BF101" s="13"/>
      <c r="BG101" s="13"/>
      <c r="BH101" s="14" t="str">
        <f t="shared" ref="BH101:BH132" si="69">IF($BF101="","",IFERROR(INDEX(SgaProbValor,MATCH($BF101,SgaProbNivel,0)),""))</f>
        <v/>
      </c>
      <c r="BI101" s="14" t="str">
        <f t="shared" ref="BI101:BI132" si="70">IF($BG101="","",IFERROR(INDEX(SgaSevOpValor,MATCH($BG101,SgaSevOpNivel,0)),""))</f>
        <v/>
      </c>
      <c r="BJ101" s="14" t="str">
        <f t="shared" ref="BJ101:BJ132" si="71">IF(COUNT($BH101:$BI101)=2,$BH101*$BI101,"")</f>
        <v/>
      </c>
      <c r="BK101" s="15" t="str">
        <f t="shared" ref="BK101:BK132" si="72">IF($BJ101="","",IF($BJ101&gt;=SgaLimOpSig,"SIGNIFICATIVO",IF($BJ101&gt;=SgaLimOpTol,"TOLERÁVEL","BAIXO")))</f>
        <v/>
      </c>
      <c r="BL101" s="15" t="str">
        <f t="shared" ref="BL101:BL132" si="73">IF($BK101="","",IF($BK101="SIGNIFICATIVO","AÇÃO REQUERIDA","ACEITÁVEL"))</f>
        <v/>
      </c>
      <c r="BM101" s="13"/>
      <c r="BN101" s="13"/>
      <c r="BO101" s="13"/>
      <c r="BP101" s="13"/>
      <c r="BQ101" s="13"/>
      <c r="BR101" s="14" t="str">
        <f t="shared" ref="BR101:BR132" si="74">IF(OR($BP101="",$BQ101=""),"",IFERROR(INDEX(SgaProbValor,MATCH($BP101,SgaProbNivel,0))*INDEX(SgaSevOpValor,MATCH($BQ101,SgaSevOpNivel,0)),""))</f>
        <v/>
      </c>
      <c r="BS101" s="15" t="str">
        <f t="shared" ref="BS101:BS132" si="75">IF($BR101="","",IF($BR101&gt;=SgaLimOpSig,"SIGNIFICATIVO",IF($BR101&gt;=SgaLimOpTol,"TOLERÁVEL","BAIXO")))</f>
        <v/>
      </c>
      <c r="BT101" s="13"/>
    </row>
    <row r="102" spans="1:72">
      <c r="A102" s="115"/>
      <c r="B102" s="12"/>
      <c r="C102" s="13"/>
      <c r="D102" s="13"/>
      <c r="E102" s="12"/>
      <c r="F102" s="12"/>
      <c r="G102" s="13"/>
      <c r="H102" s="12"/>
      <c r="I102" s="13"/>
      <c r="J102" s="13"/>
      <c r="K102" s="13"/>
      <c r="L102" s="13"/>
      <c r="M102" s="12"/>
      <c r="N102" s="12"/>
      <c r="O102" s="14" t="str">
        <f t="shared" si="57"/>
        <v/>
      </c>
      <c r="P102" s="15" t="str">
        <f t="shared" si="58"/>
        <v/>
      </c>
      <c r="Q102" s="13"/>
      <c r="R102" s="13"/>
      <c r="S102" s="13"/>
      <c r="T102" s="13"/>
      <c r="U102" s="15" t="str">
        <f t="shared" si="59"/>
        <v/>
      </c>
      <c r="V102" s="14" t="str">
        <f t="shared" si="60"/>
        <v/>
      </c>
      <c r="W102" s="13"/>
      <c r="X102" s="13"/>
      <c r="Y102" s="13"/>
      <c r="Z102" s="13"/>
      <c r="AA102" s="16"/>
      <c r="AB102" s="12"/>
      <c r="AC102" s="12"/>
      <c r="AD102" s="14" t="str">
        <f t="shared" si="61"/>
        <v/>
      </c>
      <c r="AE102" s="14" t="str">
        <f t="shared" si="62"/>
        <v/>
      </c>
      <c r="AF102" s="17" t="str">
        <f t="shared" si="63"/>
        <v/>
      </c>
      <c r="AG102" s="13"/>
      <c r="AH102" s="16"/>
      <c r="AI102" s="12"/>
      <c r="AJ102" s="16"/>
      <c r="AK102" s="13"/>
      <c r="AL102" s="16"/>
      <c r="AM102" s="13"/>
      <c r="AN102" s="17" t="str">
        <f t="shared" si="64"/>
        <v/>
      </c>
      <c r="AO102" s="14" t="str">
        <f t="shared" ca="1" si="65"/>
        <v/>
      </c>
      <c r="AP102" s="13"/>
      <c r="AQ102" s="12"/>
      <c r="AR102" s="14" t="str">
        <f>IF($O102="","",1+COUNTIF($O$5:$O$154,"&gt;"&amp;$O102)+COUNTIFS($O$5:$O$154,$O102,$N$5:$N$154,"&gt;"&amp;$N102)+COUNTIFS($O$4:$O101,$O102,$N$4:$N101,$N102))</f>
        <v/>
      </c>
      <c r="AS102" s="62"/>
      <c r="AT102" s="62"/>
      <c r="AU102" s="63" t="str">
        <f t="shared" si="66"/>
        <v/>
      </c>
      <c r="AV102" s="64" t="str">
        <f t="shared" si="67"/>
        <v/>
      </c>
      <c r="AW102" s="129" t="str">
        <f t="shared" si="68"/>
        <v/>
      </c>
      <c r="AX102" s="13"/>
      <c r="AY102" s="16"/>
      <c r="AZ102" s="13"/>
      <c r="BA102" s="13"/>
      <c r="BB102" s="13"/>
      <c r="BC102" s="13"/>
      <c r="BD102" s="13"/>
      <c r="BE102" s="13"/>
      <c r="BF102" s="13"/>
      <c r="BG102" s="13"/>
      <c r="BH102" s="14" t="str">
        <f t="shared" si="69"/>
        <v/>
      </c>
      <c r="BI102" s="14" t="str">
        <f t="shared" si="70"/>
        <v/>
      </c>
      <c r="BJ102" s="14" t="str">
        <f t="shared" si="71"/>
        <v/>
      </c>
      <c r="BK102" s="15" t="str">
        <f t="shared" si="72"/>
        <v/>
      </c>
      <c r="BL102" s="15" t="str">
        <f t="shared" si="73"/>
        <v/>
      </c>
      <c r="BM102" s="13"/>
      <c r="BN102" s="13"/>
      <c r="BO102" s="13"/>
      <c r="BP102" s="13"/>
      <c r="BQ102" s="13"/>
      <c r="BR102" s="14" t="str">
        <f t="shared" si="74"/>
        <v/>
      </c>
      <c r="BS102" s="15" t="str">
        <f t="shared" si="75"/>
        <v/>
      </c>
      <c r="BT102" s="13"/>
    </row>
    <row r="103" spans="1:72">
      <c r="A103" s="115"/>
      <c r="B103" s="12"/>
      <c r="C103" s="13"/>
      <c r="D103" s="13"/>
      <c r="E103" s="12"/>
      <c r="F103" s="12"/>
      <c r="G103" s="13"/>
      <c r="H103" s="12"/>
      <c r="I103" s="13"/>
      <c r="J103" s="13"/>
      <c r="K103" s="13"/>
      <c r="L103" s="13"/>
      <c r="M103" s="12"/>
      <c r="N103" s="12"/>
      <c r="O103" s="14" t="str">
        <f t="shared" si="57"/>
        <v/>
      </c>
      <c r="P103" s="15" t="str">
        <f t="shared" si="58"/>
        <v/>
      </c>
      <c r="Q103" s="13"/>
      <c r="R103" s="13"/>
      <c r="S103" s="13"/>
      <c r="T103" s="13"/>
      <c r="U103" s="15" t="str">
        <f t="shared" si="59"/>
        <v/>
      </c>
      <c r="V103" s="14" t="str">
        <f t="shared" si="60"/>
        <v/>
      </c>
      <c r="W103" s="13"/>
      <c r="X103" s="13"/>
      <c r="Y103" s="13"/>
      <c r="Z103" s="13"/>
      <c r="AA103" s="16"/>
      <c r="AB103" s="12"/>
      <c r="AC103" s="12"/>
      <c r="AD103" s="14" t="str">
        <f t="shared" si="61"/>
        <v/>
      </c>
      <c r="AE103" s="14" t="str">
        <f t="shared" si="62"/>
        <v/>
      </c>
      <c r="AF103" s="17" t="str">
        <f t="shared" si="63"/>
        <v/>
      </c>
      <c r="AG103" s="13"/>
      <c r="AH103" s="16"/>
      <c r="AI103" s="12"/>
      <c r="AJ103" s="16"/>
      <c r="AK103" s="13"/>
      <c r="AL103" s="16"/>
      <c r="AM103" s="13"/>
      <c r="AN103" s="17" t="str">
        <f t="shared" si="64"/>
        <v/>
      </c>
      <c r="AO103" s="14" t="str">
        <f t="shared" ca="1" si="65"/>
        <v/>
      </c>
      <c r="AP103" s="13"/>
      <c r="AQ103" s="12"/>
      <c r="AR103" s="14" t="str">
        <f>IF($O103="","",1+COUNTIF($O$5:$O$154,"&gt;"&amp;$O103)+COUNTIFS($O$5:$O$154,$O103,$N$5:$N$154,"&gt;"&amp;$N103)+COUNTIFS($O$4:$O102,$O103,$N$4:$N102,$N103))</f>
        <v/>
      </c>
      <c r="AS103" s="62"/>
      <c r="AT103" s="62"/>
      <c r="AU103" s="63" t="str">
        <f t="shared" si="66"/>
        <v/>
      </c>
      <c r="AV103" s="64" t="str">
        <f t="shared" si="67"/>
        <v/>
      </c>
      <c r="AW103" s="129" t="str">
        <f t="shared" si="68"/>
        <v/>
      </c>
      <c r="AX103" s="13"/>
      <c r="AY103" s="16"/>
      <c r="AZ103" s="13"/>
      <c r="BA103" s="13"/>
      <c r="BB103" s="13"/>
      <c r="BC103" s="13"/>
      <c r="BD103" s="13"/>
      <c r="BE103" s="13"/>
      <c r="BF103" s="13"/>
      <c r="BG103" s="13"/>
      <c r="BH103" s="14" t="str">
        <f t="shared" si="69"/>
        <v/>
      </c>
      <c r="BI103" s="14" t="str">
        <f t="shared" si="70"/>
        <v/>
      </c>
      <c r="BJ103" s="14" t="str">
        <f t="shared" si="71"/>
        <v/>
      </c>
      <c r="BK103" s="15" t="str">
        <f t="shared" si="72"/>
        <v/>
      </c>
      <c r="BL103" s="15" t="str">
        <f t="shared" si="73"/>
        <v/>
      </c>
      <c r="BM103" s="13"/>
      <c r="BN103" s="13"/>
      <c r="BO103" s="13"/>
      <c r="BP103" s="13"/>
      <c r="BQ103" s="13"/>
      <c r="BR103" s="14" t="str">
        <f t="shared" si="74"/>
        <v/>
      </c>
      <c r="BS103" s="15" t="str">
        <f t="shared" si="75"/>
        <v/>
      </c>
      <c r="BT103" s="13"/>
    </row>
    <row r="104" spans="1:72">
      <c r="A104" s="115"/>
      <c r="B104" s="12"/>
      <c r="C104" s="13"/>
      <c r="D104" s="13"/>
      <c r="E104" s="12"/>
      <c r="F104" s="12"/>
      <c r="G104" s="13"/>
      <c r="H104" s="12"/>
      <c r="I104" s="13"/>
      <c r="J104" s="13"/>
      <c r="K104" s="13"/>
      <c r="L104" s="13"/>
      <c r="M104" s="12"/>
      <c r="N104" s="12"/>
      <c r="O104" s="14" t="str">
        <f t="shared" si="57"/>
        <v/>
      </c>
      <c r="P104" s="15" t="str">
        <f t="shared" si="58"/>
        <v/>
      </c>
      <c r="Q104" s="13"/>
      <c r="R104" s="13"/>
      <c r="S104" s="13"/>
      <c r="T104" s="13"/>
      <c r="U104" s="15" t="str">
        <f t="shared" si="59"/>
        <v/>
      </c>
      <c r="V104" s="14" t="str">
        <f t="shared" si="60"/>
        <v/>
      </c>
      <c r="W104" s="13"/>
      <c r="X104" s="13"/>
      <c r="Y104" s="13"/>
      <c r="Z104" s="13"/>
      <c r="AA104" s="16"/>
      <c r="AB104" s="12"/>
      <c r="AC104" s="12"/>
      <c r="AD104" s="14" t="str">
        <f t="shared" si="61"/>
        <v/>
      </c>
      <c r="AE104" s="14" t="str">
        <f t="shared" si="62"/>
        <v/>
      </c>
      <c r="AF104" s="17" t="str">
        <f t="shared" si="63"/>
        <v/>
      </c>
      <c r="AG104" s="13"/>
      <c r="AH104" s="16"/>
      <c r="AI104" s="12"/>
      <c r="AJ104" s="16"/>
      <c r="AK104" s="13"/>
      <c r="AL104" s="16"/>
      <c r="AM104" s="13"/>
      <c r="AN104" s="17" t="str">
        <f t="shared" si="64"/>
        <v/>
      </c>
      <c r="AO104" s="14" t="str">
        <f t="shared" ca="1" si="65"/>
        <v/>
      </c>
      <c r="AP104" s="13"/>
      <c r="AQ104" s="12"/>
      <c r="AR104" s="14" t="str">
        <f>IF($O104="","",1+COUNTIF($O$5:$O$154,"&gt;"&amp;$O104)+COUNTIFS($O$5:$O$154,$O104,$N$5:$N$154,"&gt;"&amp;$N104)+COUNTIFS($O$4:$O103,$O104,$N$4:$N103,$N104))</f>
        <v/>
      </c>
      <c r="AS104" s="62"/>
      <c r="AT104" s="62"/>
      <c r="AU104" s="63" t="str">
        <f t="shared" si="66"/>
        <v/>
      </c>
      <c r="AV104" s="64" t="str">
        <f t="shared" si="67"/>
        <v/>
      </c>
      <c r="AW104" s="129" t="str">
        <f t="shared" si="68"/>
        <v/>
      </c>
      <c r="AX104" s="13"/>
      <c r="AY104" s="16"/>
      <c r="AZ104" s="13"/>
      <c r="BA104" s="13"/>
      <c r="BB104" s="13"/>
      <c r="BC104" s="13"/>
      <c r="BD104" s="13"/>
      <c r="BE104" s="13"/>
      <c r="BF104" s="13"/>
      <c r="BG104" s="13"/>
      <c r="BH104" s="14" t="str">
        <f t="shared" si="69"/>
        <v/>
      </c>
      <c r="BI104" s="14" t="str">
        <f t="shared" si="70"/>
        <v/>
      </c>
      <c r="BJ104" s="14" t="str">
        <f t="shared" si="71"/>
        <v/>
      </c>
      <c r="BK104" s="15" t="str">
        <f t="shared" si="72"/>
        <v/>
      </c>
      <c r="BL104" s="15" t="str">
        <f t="shared" si="73"/>
        <v/>
      </c>
      <c r="BM104" s="13"/>
      <c r="BN104" s="13"/>
      <c r="BO104" s="13"/>
      <c r="BP104" s="13"/>
      <c r="BQ104" s="13"/>
      <c r="BR104" s="14" t="str">
        <f t="shared" si="74"/>
        <v/>
      </c>
      <c r="BS104" s="15" t="str">
        <f t="shared" si="75"/>
        <v/>
      </c>
      <c r="BT104" s="13"/>
    </row>
    <row r="105" spans="1:72">
      <c r="A105" s="115"/>
      <c r="B105" s="12"/>
      <c r="C105" s="13"/>
      <c r="D105" s="13"/>
      <c r="E105" s="12"/>
      <c r="F105" s="12"/>
      <c r="G105" s="13"/>
      <c r="H105" s="12"/>
      <c r="I105" s="13"/>
      <c r="J105" s="13"/>
      <c r="K105" s="13"/>
      <c r="L105" s="13"/>
      <c r="M105" s="12"/>
      <c r="N105" s="12"/>
      <c r="O105" s="14" t="str">
        <f t="shared" si="57"/>
        <v/>
      </c>
      <c r="P105" s="15" t="str">
        <f t="shared" si="58"/>
        <v/>
      </c>
      <c r="Q105" s="13"/>
      <c r="R105" s="13"/>
      <c r="S105" s="13"/>
      <c r="T105" s="13"/>
      <c r="U105" s="15" t="str">
        <f t="shared" si="59"/>
        <v/>
      </c>
      <c r="V105" s="14" t="str">
        <f t="shared" si="60"/>
        <v/>
      </c>
      <c r="W105" s="13"/>
      <c r="X105" s="13"/>
      <c r="Y105" s="13"/>
      <c r="Z105" s="13"/>
      <c r="AA105" s="16"/>
      <c r="AB105" s="12"/>
      <c r="AC105" s="12"/>
      <c r="AD105" s="14" t="str">
        <f t="shared" si="61"/>
        <v/>
      </c>
      <c r="AE105" s="14" t="str">
        <f t="shared" si="62"/>
        <v/>
      </c>
      <c r="AF105" s="17" t="str">
        <f t="shared" si="63"/>
        <v/>
      </c>
      <c r="AG105" s="13"/>
      <c r="AH105" s="16"/>
      <c r="AI105" s="12"/>
      <c r="AJ105" s="16"/>
      <c r="AK105" s="13"/>
      <c r="AL105" s="16"/>
      <c r="AM105" s="13"/>
      <c r="AN105" s="17" t="str">
        <f t="shared" si="64"/>
        <v/>
      </c>
      <c r="AO105" s="14" t="str">
        <f t="shared" ca="1" si="65"/>
        <v/>
      </c>
      <c r="AP105" s="13"/>
      <c r="AQ105" s="12"/>
      <c r="AR105" s="14" t="str">
        <f>IF($O105="","",1+COUNTIF($O$5:$O$154,"&gt;"&amp;$O105)+COUNTIFS($O$5:$O$154,$O105,$N$5:$N$154,"&gt;"&amp;$N105)+COUNTIFS($O$4:$O104,$O105,$N$4:$N104,$N105))</f>
        <v/>
      </c>
      <c r="AS105" s="62"/>
      <c r="AT105" s="62"/>
      <c r="AU105" s="63" t="str">
        <f t="shared" si="66"/>
        <v/>
      </c>
      <c r="AV105" s="64" t="str">
        <f t="shared" si="67"/>
        <v/>
      </c>
      <c r="AW105" s="129" t="str">
        <f t="shared" si="68"/>
        <v/>
      </c>
      <c r="AX105" s="13"/>
      <c r="AY105" s="16"/>
      <c r="AZ105" s="13"/>
      <c r="BA105" s="13"/>
      <c r="BB105" s="13"/>
      <c r="BC105" s="13"/>
      <c r="BD105" s="13"/>
      <c r="BE105" s="13"/>
      <c r="BF105" s="13"/>
      <c r="BG105" s="13"/>
      <c r="BH105" s="14" t="str">
        <f t="shared" si="69"/>
        <v/>
      </c>
      <c r="BI105" s="14" t="str">
        <f t="shared" si="70"/>
        <v/>
      </c>
      <c r="BJ105" s="14" t="str">
        <f t="shared" si="71"/>
        <v/>
      </c>
      <c r="BK105" s="15" t="str">
        <f t="shared" si="72"/>
        <v/>
      </c>
      <c r="BL105" s="15" t="str">
        <f t="shared" si="73"/>
        <v/>
      </c>
      <c r="BM105" s="13"/>
      <c r="BN105" s="13"/>
      <c r="BO105" s="13"/>
      <c r="BP105" s="13"/>
      <c r="BQ105" s="13"/>
      <c r="BR105" s="14" t="str">
        <f t="shared" si="74"/>
        <v/>
      </c>
      <c r="BS105" s="15" t="str">
        <f t="shared" si="75"/>
        <v/>
      </c>
      <c r="BT105" s="13"/>
    </row>
    <row r="106" spans="1:72">
      <c r="A106" s="115"/>
      <c r="B106" s="12"/>
      <c r="C106" s="13"/>
      <c r="D106" s="13"/>
      <c r="E106" s="12"/>
      <c r="F106" s="12"/>
      <c r="G106" s="13"/>
      <c r="H106" s="12"/>
      <c r="I106" s="13"/>
      <c r="J106" s="13"/>
      <c r="K106" s="13"/>
      <c r="L106" s="13"/>
      <c r="M106" s="12"/>
      <c r="N106" s="12"/>
      <c r="O106" s="14" t="str">
        <f t="shared" si="57"/>
        <v/>
      </c>
      <c r="P106" s="15" t="str">
        <f t="shared" si="58"/>
        <v/>
      </c>
      <c r="Q106" s="13"/>
      <c r="R106" s="13"/>
      <c r="S106" s="13"/>
      <c r="T106" s="13"/>
      <c r="U106" s="15" t="str">
        <f t="shared" si="59"/>
        <v/>
      </c>
      <c r="V106" s="14" t="str">
        <f t="shared" si="60"/>
        <v/>
      </c>
      <c r="W106" s="13"/>
      <c r="X106" s="13"/>
      <c r="Y106" s="13"/>
      <c r="Z106" s="13"/>
      <c r="AA106" s="16"/>
      <c r="AB106" s="12"/>
      <c r="AC106" s="12"/>
      <c r="AD106" s="14" t="str">
        <f t="shared" si="61"/>
        <v/>
      </c>
      <c r="AE106" s="14" t="str">
        <f t="shared" si="62"/>
        <v/>
      </c>
      <c r="AF106" s="17" t="str">
        <f t="shared" si="63"/>
        <v/>
      </c>
      <c r="AG106" s="13"/>
      <c r="AH106" s="16"/>
      <c r="AI106" s="12"/>
      <c r="AJ106" s="16"/>
      <c r="AK106" s="13"/>
      <c r="AL106" s="16"/>
      <c r="AM106" s="13"/>
      <c r="AN106" s="17" t="str">
        <f t="shared" si="64"/>
        <v/>
      </c>
      <c r="AO106" s="14" t="str">
        <f t="shared" ca="1" si="65"/>
        <v/>
      </c>
      <c r="AP106" s="13"/>
      <c r="AQ106" s="12"/>
      <c r="AR106" s="14" t="str">
        <f>IF($O106="","",1+COUNTIF($O$5:$O$154,"&gt;"&amp;$O106)+COUNTIFS($O$5:$O$154,$O106,$N$5:$N$154,"&gt;"&amp;$N106)+COUNTIFS($O$4:$O105,$O106,$N$4:$N105,$N106))</f>
        <v/>
      </c>
      <c r="AS106" s="62"/>
      <c r="AT106" s="62"/>
      <c r="AU106" s="63" t="str">
        <f t="shared" si="66"/>
        <v/>
      </c>
      <c r="AV106" s="64" t="str">
        <f t="shared" si="67"/>
        <v/>
      </c>
      <c r="AW106" s="129" t="str">
        <f t="shared" si="68"/>
        <v/>
      </c>
      <c r="AX106" s="13"/>
      <c r="AY106" s="16"/>
      <c r="AZ106" s="13"/>
      <c r="BA106" s="13"/>
      <c r="BB106" s="13"/>
      <c r="BC106" s="13"/>
      <c r="BD106" s="13"/>
      <c r="BE106" s="13"/>
      <c r="BF106" s="13"/>
      <c r="BG106" s="13"/>
      <c r="BH106" s="14" t="str">
        <f t="shared" si="69"/>
        <v/>
      </c>
      <c r="BI106" s="14" t="str">
        <f t="shared" si="70"/>
        <v/>
      </c>
      <c r="BJ106" s="14" t="str">
        <f t="shared" si="71"/>
        <v/>
      </c>
      <c r="BK106" s="15" t="str">
        <f t="shared" si="72"/>
        <v/>
      </c>
      <c r="BL106" s="15" t="str">
        <f t="shared" si="73"/>
        <v/>
      </c>
      <c r="BM106" s="13"/>
      <c r="BN106" s="13"/>
      <c r="BO106" s="13"/>
      <c r="BP106" s="13"/>
      <c r="BQ106" s="13"/>
      <c r="BR106" s="14" t="str">
        <f t="shared" si="74"/>
        <v/>
      </c>
      <c r="BS106" s="15" t="str">
        <f t="shared" si="75"/>
        <v/>
      </c>
      <c r="BT106" s="13"/>
    </row>
    <row r="107" spans="1:72">
      <c r="A107" s="115"/>
      <c r="B107" s="12"/>
      <c r="C107" s="13"/>
      <c r="D107" s="13"/>
      <c r="E107" s="12"/>
      <c r="F107" s="12"/>
      <c r="G107" s="13"/>
      <c r="H107" s="12"/>
      <c r="I107" s="13"/>
      <c r="J107" s="13"/>
      <c r="K107" s="13"/>
      <c r="L107" s="13"/>
      <c r="M107" s="12"/>
      <c r="N107" s="12"/>
      <c r="O107" s="14" t="str">
        <f t="shared" si="57"/>
        <v/>
      </c>
      <c r="P107" s="15" t="str">
        <f t="shared" si="58"/>
        <v/>
      </c>
      <c r="Q107" s="13"/>
      <c r="R107" s="13"/>
      <c r="S107" s="13"/>
      <c r="T107" s="13"/>
      <c r="U107" s="15" t="str">
        <f t="shared" si="59"/>
        <v/>
      </c>
      <c r="V107" s="14" t="str">
        <f t="shared" si="60"/>
        <v/>
      </c>
      <c r="W107" s="13"/>
      <c r="X107" s="13"/>
      <c r="Y107" s="13"/>
      <c r="Z107" s="13"/>
      <c r="AA107" s="16"/>
      <c r="AB107" s="12"/>
      <c r="AC107" s="12"/>
      <c r="AD107" s="14" t="str">
        <f t="shared" si="61"/>
        <v/>
      </c>
      <c r="AE107" s="14" t="str">
        <f t="shared" si="62"/>
        <v/>
      </c>
      <c r="AF107" s="17" t="str">
        <f t="shared" si="63"/>
        <v/>
      </c>
      <c r="AG107" s="13"/>
      <c r="AH107" s="16"/>
      <c r="AI107" s="12"/>
      <c r="AJ107" s="16"/>
      <c r="AK107" s="13"/>
      <c r="AL107" s="16"/>
      <c r="AM107" s="13"/>
      <c r="AN107" s="17" t="str">
        <f t="shared" si="64"/>
        <v/>
      </c>
      <c r="AO107" s="14" t="str">
        <f t="shared" ca="1" si="65"/>
        <v/>
      </c>
      <c r="AP107" s="13"/>
      <c r="AQ107" s="12"/>
      <c r="AR107" s="14" t="str">
        <f>IF($O107="","",1+COUNTIF($O$5:$O$154,"&gt;"&amp;$O107)+COUNTIFS($O$5:$O$154,$O107,$N$5:$N$154,"&gt;"&amp;$N107)+COUNTIFS($O$4:$O106,$O107,$N$4:$N106,$N107))</f>
        <v/>
      </c>
      <c r="AS107" s="62"/>
      <c r="AT107" s="62"/>
      <c r="AU107" s="63" t="str">
        <f t="shared" si="66"/>
        <v/>
      </c>
      <c r="AV107" s="64" t="str">
        <f t="shared" si="67"/>
        <v/>
      </c>
      <c r="AW107" s="129" t="str">
        <f t="shared" si="68"/>
        <v/>
      </c>
      <c r="AX107" s="13"/>
      <c r="AY107" s="16"/>
      <c r="AZ107" s="13"/>
      <c r="BA107" s="13"/>
      <c r="BB107" s="13"/>
      <c r="BC107" s="13"/>
      <c r="BD107" s="13"/>
      <c r="BE107" s="13"/>
      <c r="BF107" s="13"/>
      <c r="BG107" s="13"/>
      <c r="BH107" s="14" t="str">
        <f t="shared" si="69"/>
        <v/>
      </c>
      <c r="BI107" s="14" t="str">
        <f t="shared" si="70"/>
        <v/>
      </c>
      <c r="BJ107" s="14" t="str">
        <f t="shared" si="71"/>
        <v/>
      </c>
      <c r="BK107" s="15" t="str">
        <f t="shared" si="72"/>
        <v/>
      </c>
      <c r="BL107" s="15" t="str">
        <f t="shared" si="73"/>
        <v/>
      </c>
      <c r="BM107" s="13"/>
      <c r="BN107" s="13"/>
      <c r="BO107" s="13"/>
      <c r="BP107" s="13"/>
      <c r="BQ107" s="13"/>
      <c r="BR107" s="14" t="str">
        <f t="shared" si="74"/>
        <v/>
      </c>
      <c r="BS107" s="15" t="str">
        <f t="shared" si="75"/>
        <v/>
      </c>
      <c r="BT107" s="13"/>
    </row>
    <row r="108" spans="1:72">
      <c r="A108" s="115"/>
      <c r="B108" s="12"/>
      <c r="C108" s="13"/>
      <c r="D108" s="13"/>
      <c r="E108" s="12"/>
      <c r="F108" s="12"/>
      <c r="G108" s="13"/>
      <c r="H108" s="12"/>
      <c r="I108" s="13"/>
      <c r="J108" s="13"/>
      <c r="K108" s="13"/>
      <c r="L108" s="13"/>
      <c r="M108" s="12"/>
      <c r="N108" s="12"/>
      <c r="O108" s="14" t="str">
        <f t="shared" si="57"/>
        <v/>
      </c>
      <c r="P108" s="15" t="str">
        <f t="shared" si="58"/>
        <v/>
      </c>
      <c r="Q108" s="13"/>
      <c r="R108" s="13"/>
      <c r="S108" s="13"/>
      <c r="T108" s="13"/>
      <c r="U108" s="15" t="str">
        <f t="shared" si="59"/>
        <v/>
      </c>
      <c r="V108" s="14" t="str">
        <f t="shared" si="60"/>
        <v/>
      </c>
      <c r="W108" s="13"/>
      <c r="X108" s="13"/>
      <c r="Y108" s="13"/>
      <c r="Z108" s="13"/>
      <c r="AA108" s="16"/>
      <c r="AB108" s="12"/>
      <c r="AC108" s="12"/>
      <c r="AD108" s="14" t="str">
        <f t="shared" si="61"/>
        <v/>
      </c>
      <c r="AE108" s="14" t="str">
        <f t="shared" si="62"/>
        <v/>
      </c>
      <c r="AF108" s="17" t="str">
        <f t="shared" si="63"/>
        <v/>
      </c>
      <c r="AG108" s="13"/>
      <c r="AH108" s="16"/>
      <c r="AI108" s="12"/>
      <c r="AJ108" s="16"/>
      <c r="AK108" s="13"/>
      <c r="AL108" s="16"/>
      <c r="AM108" s="13"/>
      <c r="AN108" s="17" t="str">
        <f t="shared" si="64"/>
        <v/>
      </c>
      <c r="AO108" s="14" t="str">
        <f t="shared" ca="1" si="65"/>
        <v/>
      </c>
      <c r="AP108" s="13"/>
      <c r="AQ108" s="12"/>
      <c r="AR108" s="14" t="str">
        <f>IF($O108="","",1+COUNTIF($O$5:$O$154,"&gt;"&amp;$O108)+COUNTIFS($O$5:$O$154,$O108,$N$5:$N$154,"&gt;"&amp;$N108)+COUNTIFS($O$4:$O107,$O108,$N$4:$N107,$N108))</f>
        <v/>
      </c>
      <c r="AS108" s="62"/>
      <c r="AT108" s="62"/>
      <c r="AU108" s="63" t="str">
        <f t="shared" si="66"/>
        <v/>
      </c>
      <c r="AV108" s="64" t="str">
        <f t="shared" si="67"/>
        <v/>
      </c>
      <c r="AW108" s="129" t="str">
        <f t="shared" si="68"/>
        <v/>
      </c>
      <c r="AX108" s="13"/>
      <c r="AY108" s="16"/>
      <c r="AZ108" s="13"/>
      <c r="BA108" s="13"/>
      <c r="BB108" s="13"/>
      <c r="BC108" s="13"/>
      <c r="BD108" s="13"/>
      <c r="BE108" s="13"/>
      <c r="BF108" s="13"/>
      <c r="BG108" s="13"/>
      <c r="BH108" s="14" t="str">
        <f t="shared" si="69"/>
        <v/>
      </c>
      <c r="BI108" s="14" t="str">
        <f t="shared" si="70"/>
        <v/>
      </c>
      <c r="BJ108" s="14" t="str">
        <f t="shared" si="71"/>
        <v/>
      </c>
      <c r="BK108" s="15" t="str">
        <f t="shared" si="72"/>
        <v/>
      </c>
      <c r="BL108" s="15" t="str">
        <f t="shared" si="73"/>
        <v/>
      </c>
      <c r="BM108" s="13"/>
      <c r="BN108" s="13"/>
      <c r="BO108" s="13"/>
      <c r="BP108" s="13"/>
      <c r="BQ108" s="13"/>
      <c r="BR108" s="14" t="str">
        <f t="shared" si="74"/>
        <v/>
      </c>
      <c r="BS108" s="15" t="str">
        <f t="shared" si="75"/>
        <v/>
      </c>
      <c r="BT108" s="13"/>
    </row>
    <row r="109" spans="1:72">
      <c r="A109" s="115"/>
      <c r="B109" s="12"/>
      <c r="C109" s="13"/>
      <c r="D109" s="13"/>
      <c r="E109" s="12"/>
      <c r="F109" s="12"/>
      <c r="G109" s="13"/>
      <c r="H109" s="12"/>
      <c r="I109" s="13"/>
      <c r="J109" s="13"/>
      <c r="K109" s="13"/>
      <c r="L109" s="13"/>
      <c r="M109" s="12"/>
      <c r="N109" s="12"/>
      <c r="O109" s="14" t="str">
        <f t="shared" si="57"/>
        <v/>
      </c>
      <c r="P109" s="15" t="str">
        <f t="shared" si="58"/>
        <v/>
      </c>
      <c r="Q109" s="13"/>
      <c r="R109" s="13"/>
      <c r="S109" s="13"/>
      <c r="T109" s="13"/>
      <c r="U109" s="15" t="str">
        <f t="shared" si="59"/>
        <v/>
      </c>
      <c r="V109" s="14" t="str">
        <f t="shared" si="60"/>
        <v/>
      </c>
      <c r="W109" s="13"/>
      <c r="X109" s="13"/>
      <c r="Y109" s="13"/>
      <c r="Z109" s="13"/>
      <c r="AA109" s="16"/>
      <c r="AB109" s="12"/>
      <c r="AC109" s="12"/>
      <c r="AD109" s="14" t="str">
        <f t="shared" si="61"/>
        <v/>
      </c>
      <c r="AE109" s="14" t="str">
        <f t="shared" si="62"/>
        <v/>
      </c>
      <c r="AF109" s="17" t="str">
        <f t="shared" si="63"/>
        <v/>
      </c>
      <c r="AG109" s="13"/>
      <c r="AH109" s="16"/>
      <c r="AI109" s="12"/>
      <c r="AJ109" s="16"/>
      <c r="AK109" s="13"/>
      <c r="AL109" s="16"/>
      <c r="AM109" s="13"/>
      <c r="AN109" s="17" t="str">
        <f t="shared" si="64"/>
        <v/>
      </c>
      <c r="AO109" s="14" t="str">
        <f t="shared" ca="1" si="65"/>
        <v/>
      </c>
      <c r="AP109" s="13"/>
      <c r="AQ109" s="12"/>
      <c r="AR109" s="14" t="str">
        <f>IF($O109="","",1+COUNTIF($O$5:$O$154,"&gt;"&amp;$O109)+COUNTIFS($O$5:$O$154,$O109,$N$5:$N$154,"&gt;"&amp;$N109)+COUNTIFS($O$4:$O108,$O109,$N$4:$N108,$N109))</f>
        <v/>
      </c>
      <c r="AS109" s="62"/>
      <c r="AT109" s="62"/>
      <c r="AU109" s="63" t="str">
        <f t="shared" si="66"/>
        <v/>
      </c>
      <c r="AV109" s="64" t="str">
        <f t="shared" si="67"/>
        <v/>
      </c>
      <c r="AW109" s="129" t="str">
        <f t="shared" si="68"/>
        <v/>
      </c>
      <c r="AX109" s="13"/>
      <c r="AY109" s="16"/>
      <c r="AZ109" s="13"/>
      <c r="BA109" s="13"/>
      <c r="BB109" s="13"/>
      <c r="BC109" s="13"/>
      <c r="BD109" s="13"/>
      <c r="BE109" s="13"/>
      <c r="BF109" s="13"/>
      <c r="BG109" s="13"/>
      <c r="BH109" s="14" t="str">
        <f t="shared" si="69"/>
        <v/>
      </c>
      <c r="BI109" s="14" t="str">
        <f t="shared" si="70"/>
        <v/>
      </c>
      <c r="BJ109" s="14" t="str">
        <f t="shared" si="71"/>
        <v/>
      </c>
      <c r="BK109" s="15" t="str">
        <f t="shared" si="72"/>
        <v/>
      </c>
      <c r="BL109" s="15" t="str">
        <f t="shared" si="73"/>
        <v/>
      </c>
      <c r="BM109" s="13"/>
      <c r="BN109" s="13"/>
      <c r="BO109" s="13"/>
      <c r="BP109" s="13"/>
      <c r="BQ109" s="13"/>
      <c r="BR109" s="14" t="str">
        <f t="shared" si="74"/>
        <v/>
      </c>
      <c r="BS109" s="15" t="str">
        <f t="shared" si="75"/>
        <v/>
      </c>
      <c r="BT109" s="13"/>
    </row>
    <row r="110" spans="1:72">
      <c r="A110" s="115"/>
      <c r="B110" s="12"/>
      <c r="C110" s="13"/>
      <c r="D110" s="13"/>
      <c r="E110" s="12"/>
      <c r="F110" s="12"/>
      <c r="G110" s="13"/>
      <c r="H110" s="12"/>
      <c r="I110" s="13"/>
      <c r="J110" s="13"/>
      <c r="K110" s="13"/>
      <c r="L110" s="13"/>
      <c r="M110" s="12"/>
      <c r="N110" s="12"/>
      <c r="O110" s="14" t="str">
        <f t="shared" si="57"/>
        <v/>
      </c>
      <c r="P110" s="15" t="str">
        <f t="shared" si="58"/>
        <v/>
      </c>
      <c r="Q110" s="13"/>
      <c r="R110" s="13"/>
      <c r="S110" s="13"/>
      <c r="T110" s="13"/>
      <c r="U110" s="15" t="str">
        <f t="shared" si="59"/>
        <v/>
      </c>
      <c r="V110" s="14" t="str">
        <f t="shared" si="60"/>
        <v/>
      </c>
      <c r="W110" s="13"/>
      <c r="X110" s="13"/>
      <c r="Y110" s="13"/>
      <c r="Z110" s="13"/>
      <c r="AA110" s="16"/>
      <c r="AB110" s="12"/>
      <c r="AC110" s="12"/>
      <c r="AD110" s="14" t="str">
        <f t="shared" si="61"/>
        <v/>
      </c>
      <c r="AE110" s="14" t="str">
        <f t="shared" si="62"/>
        <v/>
      </c>
      <c r="AF110" s="17" t="str">
        <f t="shared" si="63"/>
        <v/>
      </c>
      <c r="AG110" s="13"/>
      <c r="AH110" s="16"/>
      <c r="AI110" s="12"/>
      <c r="AJ110" s="16"/>
      <c r="AK110" s="13"/>
      <c r="AL110" s="16"/>
      <c r="AM110" s="13"/>
      <c r="AN110" s="17" t="str">
        <f t="shared" si="64"/>
        <v/>
      </c>
      <c r="AO110" s="14" t="str">
        <f t="shared" ca="1" si="65"/>
        <v/>
      </c>
      <c r="AP110" s="13"/>
      <c r="AQ110" s="12"/>
      <c r="AR110" s="14" t="str">
        <f>IF($O110="","",1+COUNTIF($O$5:$O$154,"&gt;"&amp;$O110)+COUNTIFS($O$5:$O$154,$O110,$N$5:$N$154,"&gt;"&amp;$N110)+COUNTIFS($O$4:$O109,$O110,$N$4:$N109,$N110))</f>
        <v/>
      </c>
      <c r="AS110" s="62"/>
      <c r="AT110" s="62"/>
      <c r="AU110" s="63" t="str">
        <f t="shared" si="66"/>
        <v/>
      </c>
      <c r="AV110" s="64" t="str">
        <f t="shared" si="67"/>
        <v/>
      </c>
      <c r="AW110" s="129" t="str">
        <f t="shared" si="68"/>
        <v/>
      </c>
      <c r="AX110" s="13"/>
      <c r="AY110" s="16"/>
      <c r="AZ110" s="13"/>
      <c r="BA110" s="13"/>
      <c r="BB110" s="13"/>
      <c r="BC110" s="13"/>
      <c r="BD110" s="13"/>
      <c r="BE110" s="13"/>
      <c r="BF110" s="13"/>
      <c r="BG110" s="13"/>
      <c r="BH110" s="14" t="str">
        <f t="shared" si="69"/>
        <v/>
      </c>
      <c r="BI110" s="14" t="str">
        <f t="shared" si="70"/>
        <v/>
      </c>
      <c r="BJ110" s="14" t="str">
        <f t="shared" si="71"/>
        <v/>
      </c>
      <c r="BK110" s="15" t="str">
        <f t="shared" si="72"/>
        <v/>
      </c>
      <c r="BL110" s="15" t="str">
        <f t="shared" si="73"/>
        <v/>
      </c>
      <c r="BM110" s="13"/>
      <c r="BN110" s="13"/>
      <c r="BO110" s="13"/>
      <c r="BP110" s="13"/>
      <c r="BQ110" s="13"/>
      <c r="BR110" s="14" t="str">
        <f t="shared" si="74"/>
        <v/>
      </c>
      <c r="BS110" s="15" t="str">
        <f t="shared" si="75"/>
        <v/>
      </c>
      <c r="BT110" s="13"/>
    </row>
    <row r="111" spans="1:72">
      <c r="A111" s="115"/>
      <c r="B111" s="12"/>
      <c r="C111" s="13"/>
      <c r="D111" s="13"/>
      <c r="E111" s="12"/>
      <c r="F111" s="12"/>
      <c r="G111" s="13"/>
      <c r="H111" s="12"/>
      <c r="I111" s="13"/>
      <c r="J111" s="13"/>
      <c r="K111" s="13"/>
      <c r="L111" s="13"/>
      <c r="M111" s="12"/>
      <c r="N111" s="12"/>
      <c r="O111" s="14" t="str">
        <f t="shared" si="57"/>
        <v/>
      </c>
      <c r="P111" s="15" t="str">
        <f t="shared" si="58"/>
        <v/>
      </c>
      <c r="Q111" s="13"/>
      <c r="R111" s="13"/>
      <c r="S111" s="13"/>
      <c r="T111" s="13"/>
      <c r="U111" s="15" t="str">
        <f t="shared" si="59"/>
        <v/>
      </c>
      <c r="V111" s="14" t="str">
        <f t="shared" si="60"/>
        <v/>
      </c>
      <c r="W111" s="13"/>
      <c r="X111" s="13"/>
      <c r="Y111" s="13"/>
      <c r="Z111" s="13"/>
      <c r="AA111" s="16"/>
      <c r="AB111" s="12"/>
      <c r="AC111" s="12"/>
      <c r="AD111" s="14" t="str">
        <f t="shared" si="61"/>
        <v/>
      </c>
      <c r="AE111" s="14" t="str">
        <f t="shared" si="62"/>
        <v/>
      </c>
      <c r="AF111" s="17" t="str">
        <f t="shared" si="63"/>
        <v/>
      </c>
      <c r="AG111" s="13"/>
      <c r="AH111" s="16"/>
      <c r="AI111" s="12"/>
      <c r="AJ111" s="16"/>
      <c r="AK111" s="13"/>
      <c r="AL111" s="16"/>
      <c r="AM111" s="13"/>
      <c r="AN111" s="17" t="str">
        <f t="shared" si="64"/>
        <v/>
      </c>
      <c r="AO111" s="14" t="str">
        <f t="shared" ca="1" si="65"/>
        <v/>
      </c>
      <c r="AP111" s="13"/>
      <c r="AQ111" s="12"/>
      <c r="AR111" s="14" t="str">
        <f>IF($O111="","",1+COUNTIF($O$5:$O$154,"&gt;"&amp;$O111)+COUNTIFS($O$5:$O$154,$O111,$N$5:$N$154,"&gt;"&amp;$N111)+COUNTIFS($O$4:$O110,$O111,$N$4:$N110,$N111))</f>
        <v/>
      </c>
      <c r="AS111" s="62"/>
      <c r="AT111" s="62"/>
      <c r="AU111" s="63" t="str">
        <f t="shared" si="66"/>
        <v/>
      </c>
      <c r="AV111" s="64" t="str">
        <f t="shared" si="67"/>
        <v/>
      </c>
      <c r="AW111" s="129" t="str">
        <f t="shared" si="68"/>
        <v/>
      </c>
      <c r="AX111" s="13"/>
      <c r="AY111" s="16"/>
      <c r="AZ111" s="13"/>
      <c r="BA111" s="13"/>
      <c r="BB111" s="13"/>
      <c r="BC111" s="13"/>
      <c r="BD111" s="13"/>
      <c r="BE111" s="13"/>
      <c r="BF111" s="13"/>
      <c r="BG111" s="13"/>
      <c r="BH111" s="14" t="str">
        <f t="shared" si="69"/>
        <v/>
      </c>
      <c r="BI111" s="14" t="str">
        <f t="shared" si="70"/>
        <v/>
      </c>
      <c r="BJ111" s="14" t="str">
        <f t="shared" si="71"/>
        <v/>
      </c>
      <c r="BK111" s="15" t="str">
        <f t="shared" si="72"/>
        <v/>
      </c>
      <c r="BL111" s="15" t="str">
        <f t="shared" si="73"/>
        <v/>
      </c>
      <c r="BM111" s="13"/>
      <c r="BN111" s="13"/>
      <c r="BO111" s="13"/>
      <c r="BP111" s="13"/>
      <c r="BQ111" s="13"/>
      <c r="BR111" s="14" t="str">
        <f t="shared" si="74"/>
        <v/>
      </c>
      <c r="BS111" s="15" t="str">
        <f t="shared" si="75"/>
        <v/>
      </c>
      <c r="BT111" s="13"/>
    </row>
    <row r="112" spans="1:72">
      <c r="A112" s="115"/>
      <c r="B112" s="12"/>
      <c r="C112" s="13"/>
      <c r="D112" s="13"/>
      <c r="E112" s="12"/>
      <c r="F112" s="12"/>
      <c r="G112" s="13"/>
      <c r="H112" s="12"/>
      <c r="I112" s="13"/>
      <c r="J112" s="13"/>
      <c r="K112" s="13"/>
      <c r="L112" s="13"/>
      <c r="M112" s="12"/>
      <c r="N112" s="12"/>
      <c r="O112" s="14" t="str">
        <f t="shared" si="57"/>
        <v/>
      </c>
      <c r="P112" s="15" t="str">
        <f t="shared" si="58"/>
        <v/>
      </c>
      <c r="Q112" s="13"/>
      <c r="R112" s="13"/>
      <c r="S112" s="13"/>
      <c r="T112" s="13"/>
      <c r="U112" s="15" t="str">
        <f t="shared" si="59"/>
        <v/>
      </c>
      <c r="V112" s="14" t="str">
        <f t="shared" si="60"/>
        <v/>
      </c>
      <c r="W112" s="13"/>
      <c r="X112" s="13"/>
      <c r="Y112" s="13"/>
      <c r="Z112" s="13"/>
      <c r="AA112" s="16"/>
      <c r="AB112" s="12"/>
      <c r="AC112" s="12"/>
      <c r="AD112" s="14" t="str">
        <f t="shared" si="61"/>
        <v/>
      </c>
      <c r="AE112" s="14" t="str">
        <f t="shared" si="62"/>
        <v/>
      </c>
      <c r="AF112" s="17" t="str">
        <f t="shared" si="63"/>
        <v/>
      </c>
      <c r="AG112" s="13"/>
      <c r="AH112" s="16"/>
      <c r="AI112" s="12"/>
      <c r="AJ112" s="16"/>
      <c r="AK112" s="13"/>
      <c r="AL112" s="16"/>
      <c r="AM112" s="13"/>
      <c r="AN112" s="17" t="str">
        <f t="shared" si="64"/>
        <v/>
      </c>
      <c r="AO112" s="14" t="str">
        <f t="shared" ca="1" si="65"/>
        <v/>
      </c>
      <c r="AP112" s="13"/>
      <c r="AQ112" s="12"/>
      <c r="AR112" s="14" t="str">
        <f>IF($O112="","",1+COUNTIF($O$5:$O$154,"&gt;"&amp;$O112)+COUNTIFS($O$5:$O$154,$O112,$N$5:$N$154,"&gt;"&amp;$N112)+COUNTIFS($O$4:$O111,$O112,$N$4:$N111,$N112))</f>
        <v/>
      </c>
      <c r="AS112" s="62"/>
      <c r="AT112" s="62"/>
      <c r="AU112" s="63" t="str">
        <f t="shared" si="66"/>
        <v/>
      </c>
      <c r="AV112" s="64" t="str">
        <f t="shared" si="67"/>
        <v/>
      </c>
      <c r="AW112" s="129" t="str">
        <f t="shared" si="68"/>
        <v/>
      </c>
      <c r="AX112" s="13"/>
      <c r="AY112" s="16"/>
      <c r="AZ112" s="13"/>
      <c r="BA112" s="13"/>
      <c r="BB112" s="13"/>
      <c r="BC112" s="13"/>
      <c r="BD112" s="13"/>
      <c r="BE112" s="13"/>
      <c r="BF112" s="13"/>
      <c r="BG112" s="13"/>
      <c r="BH112" s="14" t="str">
        <f t="shared" si="69"/>
        <v/>
      </c>
      <c r="BI112" s="14" t="str">
        <f t="shared" si="70"/>
        <v/>
      </c>
      <c r="BJ112" s="14" t="str">
        <f t="shared" si="71"/>
        <v/>
      </c>
      <c r="BK112" s="15" t="str">
        <f t="shared" si="72"/>
        <v/>
      </c>
      <c r="BL112" s="15" t="str">
        <f t="shared" si="73"/>
        <v/>
      </c>
      <c r="BM112" s="13"/>
      <c r="BN112" s="13"/>
      <c r="BO112" s="13"/>
      <c r="BP112" s="13"/>
      <c r="BQ112" s="13"/>
      <c r="BR112" s="14" t="str">
        <f t="shared" si="74"/>
        <v/>
      </c>
      <c r="BS112" s="15" t="str">
        <f t="shared" si="75"/>
        <v/>
      </c>
      <c r="BT112" s="13"/>
    </row>
    <row r="113" spans="1:72">
      <c r="A113" s="115"/>
      <c r="B113" s="12"/>
      <c r="C113" s="13"/>
      <c r="D113" s="13"/>
      <c r="E113" s="12"/>
      <c r="F113" s="12"/>
      <c r="G113" s="13"/>
      <c r="H113" s="12"/>
      <c r="I113" s="13"/>
      <c r="J113" s="13"/>
      <c r="K113" s="13"/>
      <c r="L113" s="13"/>
      <c r="M113" s="12"/>
      <c r="N113" s="12"/>
      <c r="O113" s="14" t="str">
        <f t="shared" si="57"/>
        <v/>
      </c>
      <c r="P113" s="15" t="str">
        <f t="shared" si="58"/>
        <v/>
      </c>
      <c r="Q113" s="13"/>
      <c r="R113" s="13"/>
      <c r="S113" s="13"/>
      <c r="T113" s="13"/>
      <c r="U113" s="15" t="str">
        <f t="shared" si="59"/>
        <v/>
      </c>
      <c r="V113" s="14" t="str">
        <f t="shared" si="60"/>
        <v/>
      </c>
      <c r="W113" s="13"/>
      <c r="X113" s="13"/>
      <c r="Y113" s="13"/>
      <c r="Z113" s="13"/>
      <c r="AA113" s="16"/>
      <c r="AB113" s="12"/>
      <c r="AC113" s="12"/>
      <c r="AD113" s="14" t="str">
        <f t="shared" si="61"/>
        <v/>
      </c>
      <c r="AE113" s="14" t="str">
        <f t="shared" si="62"/>
        <v/>
      </c>
      <c r="AF113" s="17" t="str">
        <f t="shared" si="63"/>
        <v/>
      </c>
      <c r="AG113" s="13"/>
      <c r="AH113" s="16"/>
      <c r="AI113" s="12"/>
      <c r="AJ113" s="16"/>
      <c r="AK113" s="13"/>
      <c r="AL113" s="16"/>
      <c r="AM113" s="13"/>
      <c r="AN113" s="17" t="str">
        <f t="shared" si="64"/>
        <v/>
      </c>
      <c r="AO113" s="14" t="str">
        <f t="shared" ca="1" si="65"/>
        <v/>
      </c>
      <c r="AP113" s="13"/>
      <c r="AQ113" s="12"/>
      <c r="AR113" s="14" t="str">
        <f>IF($O113="","",1+COUNTIF($O$5:$O$154,"&gt;"&amp;$O113)+COUNTIFS($O$5:$O$154,$O113,$N$5:$N$154,"&gt;"&amp;$N113)+COUNTIFS($O$4:$O112,$O113,$N$4:$N112,$N113))</f>
        <v/>
      </c>
      <c r="AS113" s="62"/>
      <c r="AT113" s="62"/>
      <c r="AU113" s="63" t="str">
        <f t="shared" si="66"/>
        <v/>
      </c>
      <c r="AV113" s="64" t="str">
        <f t="shared" si="67"/>
        <v/>
      </c>
      <c r="AW113" s="129" t="str">
        <f t="shared" si="68"/>
        <v/>
      </c>
      <c r="AX113" s="13"/>
      <c r="AY113" s="16"/>
      <c r="AZ113" s="13"/>
      <c r="BA113" s="13"/>
      <c r="BB113" s="13"/>
      <c r="BC113" s="13"/>
      <c r="BD113" s="13"/>
      <c r="BE113" s="13"/>
      <c r="BF113" s="13"/>
      <c r="BG113" s="13"/>
      <c r="BH113" s="14" t="str">
        <f t="shared" si="69"/>
        <v/>
      </c>
      <c r="BI113" s="14" t="str">
        <f t="shared" si="70"/>
        <v/>
      </c>
      <c r="BJ113" s="14" t="str">
        <f t="shared" si="71"/>
        <v/>
      </c>
      <c r="BK113" s="15" t="str">
        <f t="shared" si="72"/>
        <v/>
      </c>
      <c r="BL113" s="15" t="str">
        <f t="shared" si="73"/>
        <v/>
      </c>
      <c r="BM113" s="13"/>
      <c r="BN113" s="13"/>
      <c r="BO113" s="13"/>
      <c r="BP113" s="13"/>
      <c r="BQ113" s="13"/>
      <c r="BR113" s="14" t="str">
        <f t="shared" si="74"/>
        <v/>
      </c>
      <c r="BS113" s="15" t="str">
        <f t="shared" si="75"/>
        <v/>
      </c>
      <c r="BT113" s="13"/>
    </row>
    <row r="114" spans="1:72">
      <c r="A114" s="115"/>
      <c r="B114" s="12"/>
      <c r="C114" s="13"/>
      <c r="D114" s="13"/>
      <c r="E114" s="12"/>
      <c r="F114" s="12"/>
      <c r="G114" s="13"/>
      <c r="H114" s="12"/>
      <c r="I114" s="13"/>
      <c r="J114" s="13"/>
      <c r="K114" s="13"/>
      <c r="L114" s="13"/>
      <c r="M114" s="12"/>
      <c r="N114" s="12"/>
      <c r="O114" s="14" t="str">
        <f t="shared" si="57"/>
        <v/>
      </c>
      <c r="P114" s="15" t="str">
        <f t="shared" si="58"/>
        <v/>
      </c>
      <c r="Q114" s="13"/>
      <c r="R114" s="13"/>
      <c r="S114" s="13"/>
      <c r="T114" s="13"/>
      <c r="U114" s="15" t="str">
        <f t="shared" si="59"/>
        <v/>
      </c>
      <c r="V114" s="14" t="str">
        <f t="shared" si="60"/>
        <v/>
      </c>
      <c r="W114" s="13"/>
      <c r="X114" s="13"/>
      <c r="Y114" s="13"/>
      <c r="Z114" s="13"/>
      <c r="AA114" s="16"/>
      <c r="AB114" s="12"/>
      <c r="AC114" s="12"/>
      <c r="AD114" s="14" t="str">
        <f t="shared" si="61"/>
        <v/>
      </c>
      <c r="AE114" s="14" t="str">
        <f t="shared" si="62"/>
        <v/>
      </c>
      <c r="AF114" s="17" t="str">
        <f t="shared" si="63"/>
        <v/>
      </c>
      <c r="AG114" s="13"/>
      <c r="AH114" s="16"/>
      <c r="AI114" s="12"/>
      <c r="AJ114" s="16"/>
      <c r="AK114" s="13"/>
      <c r="AL114" s="16"/>
      <c r="AM114" s="13"/>
      <c r="AN114" s="17" t="str">
        <f t="shared" si="64"/>
        <v/>
      </c>
      <c r="AO114" s="14" t="str">
        <f t="shared" ca="1" si="65"/>
        <v/>
      </c>
      <c r="AP114" s="13"/>
      <c r="AQ114" s="12"/>
      <c r="AR114" s="14" t="str">
        <f>IF($O114="","",1+COUNTIF($O$5:$O$154,"&gt;"&amp;$O114)+COUNTIFS($O$5:$O$154,$O114,$N$5:$N$154,"&gt;"&amp;$N114)+COUNTIFS($O$4:$O113,$O114,$N$4:$N113,$N114))</f>
        <v/>
      </c>
      <c r="AS114" s="62"/>
      <c r="AT114" s="62"/>
      <c r="AU114" s="63" t="str">
        <f t="shared" si="66"/>
        <v/>
      </c>
      <c r="AV114" s="64" t="str">
        <f t="shared" si="67"/>
        <v/>
      </c>
      <c r="AW114" s="129" t="str">
        <f t="shared" si="68"/>
        <v/>
      </c>
      <c r="AX114" s="13"/>
      <c r="AY114" s="16"/>
      <c r="AZ114" s="13"/>
      <c r="BA114" s="13"/>
      <c r="BB114" s="13"/>
      <c r="BC114" s="13"/>
      <c r="BD114" s="13"/>
      <c r="BE114" s="13"/>
      <c r="BF114" s="13"/>
      <c r="BG114" s="13"/>
      <c r="BH114" s="14" t="str">
        <f t="shared" si="69"/>
        <v/>
      </c>
      <c r="BI114" s="14" t="str">
        <f t="shared" si="70"/>
        <v/>
      </c>
      <c r="BJ114" s="14" t="str">
        <f t="shared" si="71"/>
        <v/>
      </c>
      <c r="BK114" s="15" t="str">
        <f t="shared" si="72"/>
        <v/>
      </c>
      <c r="BL114" s="15" t="str">
        <f t="shared" si="73"/>
        <v/>
      </c>
      <c r="BM114" s="13"/>
      <c r="BN114" s="13"/>
      <c r="BO114" s="13"/>
      <c r="BP114" s="13"/>
      <c r="BQ114" s="13"/>
      <c r="BR114" s="14" t="str">
        <f t="shared" si="74"/>
        <v/>
      </c>
      <c r="BS114" s="15" t="str">
        <f t="shared" si="75"/>
        <v/>
      </c>
      <c r="BT114" s="13"/>
    </row>
    <row r="115" spans="1:72">
      <c r="A115" s="115"/>
      <c r="B115" s="12"/>
      <c r="C115" s="13"/>
      <c r="D115" s="13"/>
      <c r="E115" s="12"/>
      <c r="F115" s="12"/>
      <c r="G115" s="13"/>
      <c r="H115" s="12"/>
      <c r="I115" s="13"/>
      <c r="J115" s="13"/>
      <c r="K115" s="13"/>
      <c r="L115" s="13"/>
      <c r="M115" s="12"/>
      <c r="N115" s="12"/>
      <c r="O115" s="14" t="str">
        <f t="shared" si="57"/>
        <v/>
      </c>
      <c r="P115" s="15" t="str">
        <f t="shared" si="58"/>
        <v/>
      </c>
      <c r="Q115" s="13"/>
      <c r="R115" s="13"/>
      <c r="S115" s="13"/>
      <c r="T115" s="13"/>
      <c r="U115" s="15" t="str">
        <f t="shared" si="59"/>
        <v/>
      </c>
      <c r="V115" s="14" t="str">
        <f t="shared" si="60"/>
        <v/>
      </c>
      <c r="W115" s="13"/>
      <c r="X115" s="13"/>
      <c r="Y115" s="13"/>
      <c r="Z115" s="13"/>
      <c r="AA115" s="16"/>
      <c r="AB115" s="12"/>
      <c r="AC115" s="12"/>
      <c r="AD115" s="14" t="str">
        <f t="shared" si="61"/>
        <v/>
      </c>
      <c r="AE115" s="14" t="str">
        <f t="shared" si="62"/>
        <v/>
      </c>
      <c r="AF115" s="17" t="str">
        <f t="shared" si="63"/>
        <v/>
      </c>
      <c r="AG115" s="13"/>
      <c r="AH115" s="16"/>
      <c r="AI115" s="12"/>
      <c r="AJ115" s="16"/>
      <c r="AK115" s="13"/>
      <c r="AL115" s="16"/>
      <c r="AM115" s="13"/>
      <c r="AN115" s="17" t="str">
        <f t="shared" si="64"/>
        <v/>
      </c>
      <c r="AO115" s="14" t="str">
        <f t="shared" ca="1" si="65"/>
        <v/>
      </c>
      <c r="AP115" s="13"/>
      <c r="AQ115" s="12"/>
      <c r="AR115" s="14" t="str">
        <f>IF($O115="","",1+COUNTIF($O$5:$O$154,"&gt;"&amp;$O115)+COUNTIFS($O$5:$O$154,$O115,$N$5:$N$154,"&gt;"&amp;$N115)+COUNTIFS($O$4:$O114,$O115,$N$4:$N114,$N115))</f>
        <v/>
      </c>
      <c r="AS115" s="62"/>
      <c r="AT115" s="62"/>
      <c r="AU115" s="63" t="str">
        <f t="shared" si="66"/>
        <v/>
      </c>
      <c r="AV115" s="64" t="str">
        <f t="shared" si="67"/>
        <v/>
      </c>
      <c r="AW115" s="129" t="str">
        <f t="shared" si="68"/>
        <v/>
      </c>
      <c r="AX115" s="13"/>
      <c r="AY115" s="16"/>
      <c r="AZ115" s="13"/>
      <c r="BA115" s="13"/>
      <c r="BB115" s="13"/>
      <c r="BC115" s="13"/>
      <c r="BD115" s="13"/>
      <c r="BE115" s="13"/>
      <c r="BF115" s="13"/>
      <c r="BG115" s="13"/>
      <c r="BH115" s="14" t="str">
        <f t="shared" si="69"/>
        <v/>
      </c>
      <c r="BI115" s="14" t="str">
        <f t="shared" si="70"/>
        <v/>
      </c>
      <c r="BJ115" s="14" t="str">
        <f t="shared" si="71"/>
        <v/>
      </c>
      <c r="BK115" s="15" t="str">
        <f t="shared" si="72"/>
        <v/>
      </c>
      <c r="BL115" s="15" t="str">
        <f t="shared" si="73"/>
        <v/>
      </c>
      <c r="BM115" s="13"/>
      <c r="BN115" s="13"/>
      <c r="BO115" s="13"/>
      <c r="BP115" s="13"/>
      <c r="BQ115" s="13"/>
      <c r="BR115" s="14" t="str">
        <f t="shared" si="74"/>
        <v/>
      </c>
      <c r="BS115" s="15" t="str">
        <f t="shared" si="75"/>
        <v/>
      </c>
      <c r="BT115" s="13"/>
    </row>
    <row r="116" spans="1:72">
      <c r="A116" s="115"/>
      <c r="B116" s="12"/>
      <c r="C116" s="13"/>
      <c r="D116" s="13"/>
      <c r="E116" s="12"/>
      <c r="F116" s="12"/>
      <c r="G116" s="13"/>
      <c r="H116" s="12"/>
      <c r="I116" s="13"/>
      <c r="J116" s="13"/>
      <c r="K116" s="13"/>
      <c r="L116" s="13"/>
      <c r="M116" s="12"/>
      <c r="N116" s="12"/>
      <c r="O116" s="14" t="str">
        <f t="shared" si="57"/>
        <v/>
      </c>
      <c r="P116" s="15" t="str">
        <f t="shared" si="58"/>
        <v/>
      </c>
      <c r="Q116" s="13"/>
      <c r="R116" s="13"/>
      <c r="S116" s="13"/>
      <c r="T116" s="13"/>
      <c r="U116" s="15" t="str">
        <f t="shared" si="59"/>
        <v/>
      </c>
      <c r="V116" s="14" t="str">
        <f t="shared" si="60"/>
        <v/>
      </c>
      <c r="W116" s="13"/>
      <c r="X116" s="13"/>
      <c r="Y116" s="13"/>
      <c r="Z116" s="13"/>
      <c r="AA116" s="16"/>
      <c r="AB116" s="12"/>
      <c r="AC116" s="12"/>
      <c r="AD116" s="14" t="str">
        <f t="shared" si="61"/>
        <v/>
      </c>
      <c r="AE116" s="14" t="str">
        <f t="shared" si="62"/>
        <v/>
      </c>
      <c r="AF116" s="17" t="str">
        <f t="shared" si="63"/>
        <v/>
      </c>
      <c r="AG116" s="13"/>
      <c r="AH116" s="16"/>
      <c r="AI116" s="12"/>
      <c r="AJ116" s="16"/>
      <c r="AK116" s="13"/>
      <c r="AL116" s="16"/>
      <c r="AM116" s="13"/>
      <c r="AN116" s="17" t="str">
        <f t="shared" si="64"/>
        <v/>
      </c>
      <c r="AO116" s="14" t="str">
        <f t="shared" ca="1" si="65"/>
        <v/>
      </c>
      <c r="AP116" s="13"/>
      <c r="AQ116" s="12"/>
      <c r="AR116" s="14" t="str">
        <f>IF($O116="","",1+COUNTIF($O$5:$O$154,"&gt;"&amp;$O116)+COUNTIFS($O$5:$O$154,$O116,$N$5:$N$154,"&gt;"&amp;$N116)+COUNTIFS($O$4:$O115,$O116,$N$4:$N115,$N116))</f>
        <v/>
      </c>
      <c r="AS116" s="62"/>
      <c r="AT116" s="62"/>
      <c r="AU116" s="63" t="str">
        <f t="shared" si="66"/>
        <v/>
      </c>
      <c r="AV116" s="64" t="str">
        <f t="shared" si="67"/>
        <v/>
      </c>
      <c r="AW116" s="129" t="str">
        <f t="shared" si="68"/>
        <v/>
      </c>
      <c r="AX116" s="13"/>
      <c r="AY116" s="16"/>
      <c r="AZ116" s="13"/>
      <c r="BA116" s="13"/>
      <c r="BB116" s="13"/>
      <c r="BC116" s="13"/>
      <c r="BD116" s="13"/>
      <c r="BE116" s="13"/>
      <c r="BF116" s="13"/>
      <c r="BG116" s="13"/>
      <c r="BH116" s="14" t="str">
        <f t="shared" si="69"/>
        <v/>
      </c>
      <c r="BI116" s="14" t="str">
        <f t="shared" si="70"/>
        <v/>
      </c>
      <c r="BJ116" s="14" t="str">
        <f t="shared" si="71"/>
        <v/>
      </c>
      <c r="BK116" s="15" t="str">
        <f t="shared" si="72"/>
        <v/>
      </c>
      <c r="BL116" s="15" t="str">
        <f t="shared" si="73"/>
        <v/>
      </c>
      <c r="BM116" s="13"/>
      <c r="BN116" s="13"/>
      <c r="BO116" s="13"/>
      <c r="BP116" s="13"/>
      <c r="BQ116" s="13"/>
      <c r="BR116" s="14" t="str">
        <f t="shared" si="74"/>
        <v/>
      </c>
      <c r="BS116" s="15" t="str">
        <f t="shared" si="75"/>
        <v/>
      </c>
      <c r="BT116" s="13"/>
    </row>
    <row r="117" spans="1:72">
      <c r="A117" s="115"/>
      <c r="B117" s="12"/>
      <c r="C117" s="13"/>
      <c r="D117" s="13"/>
      <c r="E117" s="12"/>
      <c r="F117" s="12"/>
      <c r="G117" s="13"/>
      <c r="H117" s="12"/>
      <c r="I117" s="13"/>
      <c r="J117" s="13"/>
      <c r="K117" s="13"/>
      <c r="L117" s="13"/>
      <c r="M117" s="12"/>
      <c r="N117" s="12"/>
      <c r="O117" s="14" t="str">
        <f t="shared" si="57"/>
        <v/>
      </c>
      <c r="P117" s="15" t="str">
        <f t="shared" si="58"/>
        <v/>
      </c>
      <c r="Q117" s="13"/>
      <c r="R117" s="13"/>
      <c r="S117" s="13"/>
      <c r="T117" s="13"/>
      <c r="U117" s="15" t="str">
        <f t="shared" si="59"/>
        <v/>
      </c>
      <c r="V117" s="14" t="str">
        <f t="shared" si="60"/>
        <v/>
      </c>
      <c r="W117" s="13"/>
      <c r="X117" s="13"/>
      <c r="Y117" s="13"/>
      <c r="Z117" s="13"/>
      <c r="AA117" s="16"/>
      <c r="AB117" s="12"/>
      <c r="AC117" s="12"/>
      <c r="AD117" s="14" t="str">
        <f t="shared" si="61"/>
        <v/>
      </c>
      <c r="AE117" s="14" t="str">
        <f t="shared" si="62"/>
        <v/>
      </c>
      <c r="AF117" s="17" t="str">
        <f t="shared" si="63"/>
        <v/>
      </c>
      <c r="AG117" s="13"/>
      <c r="AH117" s="16"/>
      <c r="AI117" s="12"/>
      <c r="AJ117" s="16"/>
      <c r="AK117" s="13"/>
      <c r="AL117" s="16"/>
      <c r="AM117" s="13"/>
      <c r="AN117" s="17" t="str">
        <f t="shared" si="64"/>
        <v/>
      </c>
      <c r="AO117" s="14" t="str">
        <f t="shared" ca="1" si="65"/>
        <v/>
      </c>
      <c r="AP117" s="13"/>
      <c r="AQ117" s="12"/>
      <c r="AR117" s="14" t="str">
        <f>IF($O117="","",1+COUNTIF($O$5:$O$154,"&gt;"&amp;$O117)+COUNTIFS($O$5:$O$154,$O117,$N$5:$N$154,"&gt;"&amp;$N117)+COUNTIFS($O$4:$O116,$O117,$N$4:$N116,$N117))</f>
        <v/>
      </c>
      <c r="AS117" s="62"/>
      <c r="AT117" s="62"/>
      <c r="AU117" s="63" t="str">
        <f t="shared" si="66"/>
        <v/>
      </c>
      <c r="AV117" s="64" t="str">
        <f t="shared" si="67"/>
        <v/>
      </c>
      <c r="AW117" s="129" t="str">
        <f t="shared" si="68"/>
        <v/>
      </c>
      <c r="AX117" s="13"/>
      <c r="AY117" s="16"/>
      <c r="AZ117" s="13"/>
      <c r="BA117" s="13"/>
      <c r="BB117" s="13"/>
      <c r="BC117" s="13"/>
      <c r="BD117" s="13"/>
      <c r="BE117" s="13"/>
      <c r="BF117" s="13"/>
      <c r="BG117" s="13"/>
      <c r="BH117" s="14" t="str">
        <f t="shared" si="69"/>
        <v/>
      </c>
      <c r="BI117" s="14" t="str">
        <f t="shared" si="70"/>
        <v/>
      </c>
      <c r="BJ117" s="14" t="str">
        <f t="shared" si="71"/>
        <v/>
      </c>
      <c r="BK117" s="15" t="str">
        <f t="shared" si="72"/>
        <v/>
      </c>
      <c r="BL117" s="15" t="str">
        <f t="shared" si="73"/>
        <v/>
      </c>
      <c r="BM117" s="13"/>
      <c r="BN117" s="13"/>
      <c r="BO117" s="13"/>
      <c r="BP117" s="13"/>
      <c r="BQ117" s="13"/>
      <c r="BR117" s="14" t="str">
        <f t="shared" si="74"/>
        <v/>
      </c>
      <c r="BS117" s="15" t="str">
        <f t="shared" si="75"/>
        <v/>
      </c>
      <c r="BT117" s="13"/>
    </row>
    <row r="118" spans="1:72">
      <c r="A118" s="115"/>
      <c r="B118" s="12"/>
      <c r="C118" s="13"/>
      <c r="D118" s="13"/>
      <c r="E118" s="12"/>
      <c r="F118" s="12"/>
      <c r="G118" s="13"/>
      <c r="H118" s="12"/>
      <c r="I118" s="13"/>
      <c r="J118" s="13"/>
      <c r="K118" s="13"/>
      <c r="L118" s="13"/>
      <c r="M118" s="12"/>
      <c r="N118" s="12"/>
      <c r="O118" s="14" t="str">
        <f t="shared" si="57"/>
        <v/>
      </c>
      <c r="P118" s="15" t="str">
        <f t="shared" si="58"/>
        <v/>
      </c>
      <c r="Q118" s="13"/>
      <c r="R118" s="13"/>
      <c r="S118" s="13"/>
      <c r="T118" s="13"/>
      <c r="U118" s="15" t="str">
        <f t="shared" si="59"/>
        <v/>
      </c>
      <c r="V118" s="14" t="str">
        <f t="shared" si="60"/>
        <v/>
      </c>
      <c r="W118" s="13"/>
      <c r="X118" s="13"/>
      <c r="Y118" s="13"/>
      <c r="Z118" s="13"/>
      <c r="AA118" s="16"/>
      <c r="AB118" s="12"/>
      <c r="AC118" s="12"/>
      <c r="AD118" s="14" t="str">
        <f t="shared" si="61"/>
        <v/>
      </c>
      <c r="AE118" s="14" t="str">
        <f t="shared" si="62"/>
        <v/>
      </c>
      <c r="AF118" s="17" t="str">
        <f t="shared" si="63"/>
        <v/>
      </c>
      <c r="AG118" s="13"/>
      <c r="AH118" s="16"/>
      <c r="AI118" s="12"/>
      <c r="AJ118" s="16"/>
      <c r="AK118" s="13"/>
      <c r="AL118" s="16"/>
      <c r="AM118" s="13"/>
      <c r="AN118" s="17" t="str">
        <f t="shared" si="64"/>
        <v/>
      </c>
      <c r="AO118" s="14" t="str">
        <f t="shared" ca="1" si="65"/>
        <v/>
      </c>
      <c r="AP118" s="13"/>
      <c r="AQ118" s="12"/>
      <c r="AR118" s="14" t="str">
        <f>IF($O118="","",1+COUNTIF($O$5:$O$154,"&gt;"&amp;$O118)+COUNTIFS($O$5:$O$154,$O118,$N$5:$N$154,"&gt;"&amp;$N118)+COUNTIFS($O$4:$O117,$O118,$N$4:$N117,$N118))</f>
        <v/>
      </c>
      <c r="AS118" s="62"/>
      <c r="AT118" s="62"/>
      <c r="AU118" s="63" t="str">
        <f t="shared" si="66"/>
        <v/>
      </c>
      <c r="AV118" s="64" t="str">
        <f t="shared" si="67"/>
        <v/>
      </c>
      <c r="AW118" s="129" t="str">
        <f t="shared" si="68"/>
        <v/>
      </c>
      <c r="AX118" s="13"/>
      <c r="AY118" s="16"/>
      <c r="AZ118" s="13"/>
      <c r="BA118" s="13"/>
      <c r="BB118" s="13"/>
      <c r="BC118" s="13"/>
      <c r="BD118" s="13"/>
      <c r="BE118" s="13"/>
      <c r="BF118" s="13"/>
      <c r="BG118" s="13"/>
      <c r="BH118" s="14" t="str">
        <f t="shared" si="69"/>
        <v/>
      </c>
      <c r="BI118" s="14" t="str">
        <f t="shared" si="70"/>
        <v/>
      </c>
      <c r="BJ118" s="14" t="str">
        <f t="shared" si="71"/>
        <v/>
      </c>
      <c r="BK118" s="15" t="str">
        <f t="shared" si="72"/>
        <v/>
      </c>
      <c r="BL118" s="15" t="str">
        <f t="shared" si="73"/>
        <v/>
      </c>
      <c r="BM118" s="13"/>
      <c r="BN118" s="13"/>
      <c r="BO118" s="13"/>
      <c r="BP118" s="13"/>
      <c r="BQ118" s="13"/>
      <c r="BR118" s="14" t="str">
        <f t="shared" si="74"/>
        <v/>
      </c>
      <c r="BS118" s="15" t="str">
        <f t="shared" si="75"/>
        <v/>
      </c>
      <c r="BT118" s="13"/>
    </row>
    <row r="119" spans="1:72">
      <c r="A119" s="115"/>
      <c r="B119" s="12"/>
      <c r="C119" s="13"/>
      <c r="D119" s="13"/>
      <c r="E119" s="12"/>
      <c r="F119" s="12"/>
      <c r="G119" s="13"/>
      <c r="H119" s="12"/>
      <c r="I119" s="13"/>
      <c r="J119" s="13"/>
      <c r="K119" s="13"/>
      <c r="L119" s="13"/>
      <c r="M119" s="12"/>
      <c r="N119" s="12"/>
      <c r="O119" s="14" t="str">
        <f t="shared" si="57"/>
        <v/>
      </c>
      <c r="P119" s="15" t="str">
        <f t="shared" si="58"/>
        <v/>
      </c>
      <c r="Q119" s="13"/>
      <c r="R119" s="13"/>
      <c r="S119" s="13"/>
      <c r="T119" s="13"/>
      <c r="U119" s="15" t="str">
        <f t="shared" si="59"/>
        <v/>
      </c>
      <c r="V119" s="14" t="str">
        <f t="shared" si="60"/>
        <v/>
      </c>
      <c r="W119" s="13"/>
      <c r="X119" s="13"/>
      <c r="Y119" s="13"/>
      <c r="Z119" s="13"/>
      <c r="AA119" s="16"/>
      <c r="AB119" s="12"/>
      <c r="AC119" s="12"/>
      <c r="AD119" s="14" t="str">
        <f t="shared" si="61"/>
        <v/>
      </c>
      <c r="AE119" s="14" t="str">
        <f t="shared" si="62"/>
        <v/>
      </c>
      <c r="AF119" s="17" t="str">
        <f t="shared" si="63"/>
        <v/>
      </c>
      <c r="AG119" s="13"/>
      <c r="AH119" s="16"/>
      <c r="AI119" s="12"/>
      <c r="AJ119" s="16"/>
      <c r="AK119" s="13"/>
      <c r="AL119" s="16"/>
      <c r="AM119" s="13"/>
      <c r="AN119" s="17" t="str">
        <f t="shared" si="64"/>
        <v/>
      </c>
      <c r="AO119" s="14" t="str">
        <f t="shared" ca="1" si="65"/>
        <v/>
      </c>
      <c r="AP119" s="13"/>
      <c r="AQ119" s="12"/>
      <c r="AR119" s="14" t="str">
        <f>IF($O119="","",1+COUNTIF($O$5:$O$154,"&gt;"&amp;$O119)+COUNTIFS($O$5:$O$154,$O119,$N$5:$N$154,"&gt;"&amp;$N119)+COUNTIFS($O$4:$O118,$O119,$N$4:$N118,$N119))</f>
        <v/>
      </c>
      <c r="AS119" s="62"/>
      <c r="AT119" s="62"/>
      <c r="AU119" s="63" t="str">
        <f t="shared" si="66"/>
        <v/>
      </c>
      <c r="AV119" s="64" t="str">
        <f t="shared" si="67"/>
        <v/>
      </c>
      <c r="AW119" s="129" t="str">
        <f t="shared" si="68"/>
        <v/>
      </c>
      <c r="AX119" s="13"/>
      <c r="AY119" s="16"/>
      <c r="AZ119" s="13"/>
      <c r="BA119" s="13"/>
      <c r="BB119" s="13"/>
      <c r="BC119" s="13"/>
      <c r="BD119" s="13"/>
      <c r="BE119" s="13"/>
      <c r="BF119" s="13"/>
      <c r="BG119" s="13"/>
      <c r="BH119" s="14" t="str">
        <f t="shared" si="69"/>
        <v/>
      </c>
      <c r="BI119" s="14" t="str">
        <f t="shared" si="70"/>
        <v/>
      </c>
      <c r="BJ119" s="14" t="str">
        <f t="shared" si="71"/>
        <v/>
      </c>
      <c r="BK119" s="15" t="str">
        <f t="shared" si="72"/>
        <v/>
      </c>
      <c r="BL119" s="15" t="str">
        <f t="shared" si="73"/>
        <v/>
      </c>
      <c r="BM119" s="13"/>
      <c r="BN119" s="13"/>
      <c r="BO119" s="13"/>
      <c r="BP119" s="13"/>
      <c r="BQ119" s="13"/>
      <c r="BR119" s="14" t="str">
        <f t="shared" si="74"/>
        <v/>
      </c>
      <c r="BS119" s="15" t="str">
        <f t="shared" si="75"/>
        <v/>
      </c>
      <c r="BT119" s="13"/>
    </row>
    <row r="120" spans="1:72">
      <c r="A120" s="115"/>
      <c r="B120" s="12"/>
      <c r="C120" s="13"/>
      <c r="D120" s="13"/>
      <c r="E120" s="12"/>
      <c r="F120" s="12"/>
      <c r="G120" s="13"/>
      <c r="H120" s="12"/>
      <c r="I120" s="13"/>
      <c r="J120" s="13"/>
      <c r="K120" s="13"/>
      <c r="L120" s="13"/>
      <c r="M120" s="12"/>
      <c r="N120" s="12"/>
      <c r="O120" s="14" t="str">
        <f t="shared" si="57"/>
        <v/>
      </c>
      <c r="P120" s="15" t="str">
        <f t="shared" si="58"/>
        <v/>
      </c>
      <c r="Q120" s="13"/>
      <c r="R120" s="13"/>
      <c r="S120" s="13"/>
      <c r="T120" s="13"/>
      <c r="U120" s="15" t="str">
        <f t="shared" si="59"/>
        <v/>
      </c>
      <c r="V120" s="14" t="str">
        <f t="shared" si="60"/>
        <v/>
      </c>
      <c r="W120" s="13"/>
      <c r="X120" s="13"/>
      <c r="Y120" s="13"/>
      <c r="Z120" s="13"/>
      <c r="AA120" s="16"/>
      <c r="AB120" s="12"/>
      <c r="AC120" s="12"/>
      <c r="AD120" s="14" t="str">
        <f t="shared" si="61"/>
        <v/>
      </c>
      <c r="AE120" s="14" t="str">
        <f t="shared" si="62"/>
        <v/>
      </c>
      <c r="AF120" s="17" t="str">
        <f t="shared" si="63"/>
        <v/>
      </c>
      <c r="AG120" s="13"/>
      <c r="AH120" s="16"/>
      <c r="AI120" s="12"/>
      <c r="AJ120" s="16"/>
      <c r="AK120" s="13"/>
      <c r="AL120" s="16"/>
      <c r="AM120" s="13"/>
      <c r="AN120" s="17" t="str">
        <f t="shared" si="64"/>
        <v/>
      </c>
      <c r="AO120" s="14" t="str">
        <f t="shared" ca="1" si="65"/>
        <v/>
      </c>
      <c r="AP120" s="13"/>
      <c r="AQ120" s="12"/>
      <c r="AR120" s="14" t="str">
        <f>IF($O120="","",1+COUNTIF($O$5:$O$154,"&gt;"&amp;$O120)+COUNTIFS($O$5:$O$154,$O120,$N$5:$N$154,"&gt;"&amp;$N120)+COUNTIFS($O$4:$O119,$O120,$N$4:$N119,$N120))</f>
        <v/>
      </c>
      <c r="AS120" s="62"/>
      <c r="AT120" s="62"/>
      <c r="AU120" s="63" t="str">
        <f t="shared" si="66"/>
        <v/>
      </c>
      <c r="AV120" s="64" t="str">
        <f t="shared" si="67"/>
        <v/>
      </c>
      <c r="AW120" s="129" t="str">
        <f t="shared" si="68"/>
        <v/>
      </c>
      <c r="AX120" s="13"/>
      <c r="AY120" s="16"/>
      <c r="AZ120" s="13"/>
      <c r="BA120" s="13"/>
      <c r="BB120" s="13"/>
      <c r="BC120" s="13"/>
      <c r="BD120" s="13"/>
      <c r="BE120" s="13"/>
      <c r="BF120" s="13"/>
      <c r="BG120" s="13"/>
      <c r="BH120" s="14" t="str">
        <f t="shared" si="69"/>
        <v/>
      </c>
      <c r="BI120" s="14" t="str">
        <f t="shared" si="70"/>
        <v/>
      </c>
      <c r="BJ120" s="14" t="str">
        <f t="shared" si="71"/>
        <v/>
      </c>
      <c r="BK120" s="15" t="str">
        <f t="shared" si="72"/>
        <v/>
      </c>
      <c r="BL120" s="15" t="str">
        <f t="shared" si="73"/>
        <v/>
      </c>
      <c r="BM120" s="13"/>
      <c r="BN120" s="13"/>
      <c r="BO120" s="13"/>
      <c r="BP120" s="13"/>
      <c r="BQ120" s="13"/>
      <c r="BR120" s="14" t="str">
        <f t="shared" si="74"/>
        <v/>
      </c>
      <c r="BS120" s="15" t="str">
        <f t="shared" si="75"/>
        <v/>
      </c>
      <c r="BT120" s="13"/>
    </row>
    <row r="121" spans="1:72">
      <c r="A121" s="115"/>
      <c r="B121" s="12"/>
      <c r="C121" s="13"/>
      <c r="D121" s="13"/>
      <c r="E121" s="12"/>
      <c r="F121" s="12"/>
      <c r="G121" s="13"/>
      <c r="H121" s="12"/>
      <c r="I121" s="13"/>
      <c r="J121" s="13"/>
      <c r="K121" s="13"/>
      <c r="L121" s="13"/>
      <c r="M121" s="12"/>
      <c r="N121" s="12"/>
      <c r="O121" s="14" t="str">
        <f t="shared" si="57"/>
        <v/>
      </c>
      <c r="P121" s="15" t="str">
        <f t="shared" si="58"/>
        <v/>
      </c>
      <c r="Q121" s="13"/>
      <c r="R121" s="13"/>
      <c r="S121" s="13"/>
      <c r="T121" s="13"/>
      <c r="U121" s="15" t="str">
        <f t="shared" si="59"/>
        <v/>
      </c>
      <c r="V121" s="14" t="str">
        <f t="shared" si="60"/>
        <v/>
      </c>
      <c r="W121" s="13"/>
      <c r="X121" s="13"/>
      <c r="Y121" s="13"/>
      <c r="Z121" s="13"/>
      <c r="AA121" s="16"/>
      <c r="AB121" s="12"/>
      <c r="AC121" s="12"/>
      <c r="AD121" s="14" t="str">
        <f t="shared" si="61"/>
        <v/>
      </c>
      <c r="AE121" s="14" t="str">
        <f t="shared" si="62"/>
        <v/>
      </c>
      <c r="AF121" s="17" t="str">
        <f t="shared" si="63"/>
        <v/>
      </c>
      <c r="AG121" s="13"/>
      <c r="AH121" s="16"/>
      <c r="AI121" s="12"/>
      <c r="AJ121" s="16"/>
      <c r="AK121" s="13"/>
      <c r="AL121" s="16"/>
      <c r="AM121" s="13"/>
      <c r="AN121" s="17" t="str">
        <f t="shared" si="64"/>
        <v/>
      </c>
      <c r="AO121" s="14" t="str">
        <f t="shared" ca="1" si="65"/>
        <v/>
      </c>
      <c r="AP121" s="13"/>
      <c r="AQ121" s="12"/>
      <c r="AR121" s="14" t="str">
        <f>IF($O121="","",1+COUNTIF($O$5:$O$154,"&gt;"&amp;$O121)+COUNTIFS($O$5:$O$154,$O121,$N$5:$N$154,"&gt;"&amp;$N121)+COUNTIFS($O$4:$O120,$O121,$N$4:$N120,$N121))</f>
        <v/>
      </c>
      <c r="AS121" s="62"/>
      <c r="AT121" s="62"/>
      <c r="AU121" s="63" t="str">
        <f t="shared" si="66"/>
        <v/>
      </c>
      <c r="AV121" s="64" t="str">
        <f t="shared" si="67"/>
        <v/>
      </c>
      <c r="AW121" s="129" t="str">
        <f t="shared" si="68"/>
        <v/>
      </c>
      <c r="AX121" s="13"/>
      <c r="AY121" s="16"/>
      <c r="AZ121" s="13"/>
      <c r="BA121" s="13"/>
      <c r="BB121" s="13"/>
      <c r="BC121" s="13"/>
      <c r="BD121" s="13"/>
      <c r="BE121" s="13"/>
      <c r="BF121" s="13"/>
      <c r="BG121" s="13"/>
      <c r="BH121" s="14" t="str">
        <f t="shared" si="69"/>
        <v/>
      </c>
      <c r="BI121" s="14" t="str">
        <f t="shared" si="70"/>
        <v/>
      </c>
      <c r="BJ121" s="14" t="str">
        <f t="shared" si="71"/>
        <v/>
      </c>
      <c r="BK121" s="15" t="str">
        <f t="shared" si="72"/>
        <v/>
      </c>
      <c r="BL121" s="15" t="str">
        <f t="shared" si="73"/>
        <v/>
      </c>
      <c r="BM121" s="13"/>
      <c r="BN121" s="13"/>
      <c r="BO121" s="13"/>
      <c r="BP121" s="13"/>
      <c r="BQ121" s="13"/>
      <c r="BR121" s="14" t="str">
        <f t="shared" si="74"/>
        <v/>
      </c>
      <c r="BS121" s="15" t="str">
        <f t="shared" si="75"/>
        <v/>
      </c>
      <c r="BT121" s="13"/>
    </row>
    <row r="122" spans="1:72">
      <c r="A122" s="115"/>
      <c r="B122" s="12"/>
      <c r="C122" s="13"/>
      <c r="D122" s="13"/>
      <c r="E122" s="12"/>
      <c r="F122" s="12"/>
      <c r="G122" s="13"/>
      <c r="H122" s="12"/>
      <c r="I122" s="13"/>
      <c r="J122" s="13"/>
      <c r="K122" s="13"/>
      <c r="L122" s="13"/>
      <c r="M122" s="12"/>
      <c r="N122" s="12"/>
      <c r="O122" s="14" t="str">
        <f t="shared" si="57"/>
        <v/>
      </c>
      <c r="P122" s="15" t="str">
        <f t="shared" si="58"/>
        <v/>
      </c>
      <c r="Q122" s="13"/>
      <c r="R122" s="13"/>
      <c r="S122" s="13"/>
      <c r="T122" s="13"/>
      <c r="U122" s="15" t="str">
        <f t="shared" si="59"/>
        <v/>
      </c>
      <c r="V122" s="14" t="str">
        <f t="shared" si="60"/>
        <v/>
      </c>
      <c r="W122" s="13"/>
      <c r="X122" s="13"/>
      <c r="Y122" s="13"/>
      <c r="Z122" s="13"/>
      <c r="AA122" s="16"/>
      <c r="AB122" s="12"/>
      <c r="AC122" s="12"/>
      <c r="AD122" s="14" t="str">
        <f t="shared" si="61"/>
        <v/>
      </c>
      <c r="AE122" s="14" t="str">
        <f t="shared" si="62"/>
        <v/>
      </c>
      <c r="AF122" s="17" t="str">
        <f t="shared" si="63"/>
        <v/>
      </c>
      <c r="AG122" s="13"/>
      <c r="AH122" s="16"/>
      <c r="AI122" s="12"/>
      <c r="AJ122" s="16"/>
      <c r="AK122" s="13"/>
      <c r="AL122" s="16"/>
      <c r="AM122" s="13"/>
      <c r="AN122" s="17" t="str">
        <f t="shared" si="64"/>
        <v/>
      </c>
      <c r="AO122" s="14" t="str">
        <f t="shared" ca="1" si="65"/>
        <v/>
      </c>
      <c r="AP122" s="13"/>
      <c r="AQ122" s="12"/>
      <c r="AR122" s="14" t="str">
        <f>IF($O122="","",1+COUNTIF($O$5:$O$154,"&gt;"&amp;$O122)+COUNTIFS($O$5:$O$154,$O122,$N$5:$N$154,"&gt;"&amp;$N122)+COUNTIFS($O$4:$O121,$O122,$N$4:$N121,$N122))</f>
        <v/>
      </c>
      <c r="AS122" s="62"/>
      <c r="AT122" s="62"/>
      <c r="AU122" s="63" t="str">
        <f t="shared" si="66"/>
        <v/>
      </c>
      <c r="AV122" s="64" t="str">
        <f t="shared" si="67"/>
        <v/>
      </c>
      <c r="AW122" s="129" t="str">
        <f t="shared" si="68"/>
        <v/>
      </c>
      <c r="AX122" s="13"/>
      <c r="AY122" s="16"/>
      <c r="AZ122" s="13"/>
      <c r="BA122" s="13"/>
      <c r="BB122" s="13"/>
      <c r="BC122" s="13"/>
      <c r="BD122" s="13"/>
      <c r="BE122" s="13"/>
      <c r="BF122" s="13"/>
      <c r="BG122" s="13"/>
      <c r="BH122" s="14" t="str">
        <f t="shared" si="69"/>
        <v/>
      </c>
      <c r="BI122" s="14" t="str">
        <f t="shared" si="70"/>
        <v/>
      </c>
      <c r="BJ122" s="14" t="str">
        <f t="shared" si="71"/>
        <v/>
      </c>
      <c r="BK122" s="15" t="str">
        <f t="shared" si="72"/>
        <v/>
      </c>
      <c r="BL122" s="15" t="str">
        <f t="shared" si="73"/>
        <v/>
      </c>
      <c r="BM122" s="13"/>
      <c r="BN122" s="13"/>
      <c r="BO122" s="13"/>
      <c r="BP122" s="13"/>
      <c r="BQ122" s="13"/>
      <c r="BR122" s="14" t="str">
        <f t="shared" si="74"/>
        <v/>
      </c>
      <c r="BS122" s="15" t="str">
        <f t="shared" si="75"/>
        <v/>
      </c>
      <c r="BT122" s="13"/>
    </row>
    <row r="123" spans="1:72">
      <c r="A123" s="115"/>
      <c r="B123" s="12"/>
      <c r="C123" s="13"/>
      <c r="D123" s="13"/>
      <c r="E123" s="12"/>
      <c r="F123" s="12"/>
      <c r="G123" s="13"/>
      <c r="H123" s="12"/>
      <c r="I123" s="13"/>
      <c r="J123" s="13"/>
      <c r="K123" s="13"/>
      <c r="L123" s="13"/>
      <c r="M123" s="12"/>
      <c r="N123" s="12"/>
      <c r="O123" s="14" t="str">
        <f t="shared" si="57"/>
        <v/>
      </c>
      <c r="P123" s="15" t="str">
        <f t="shared" si="58"/>
        <v/>
      </c>
      <c r="Q123" s="13"/>
      <c r="R123" s="13"/>
      <c r="S123" s="13"/>
      <c r="T123" s="13"/>
      <c r="U123" s="15" t="str">
        <f t="shared" si="59"/>
        <v/>
      </c>
      <c r="V123" s="14" t="str">
        <f t="shared" si="60"/>
        <v/>
      </c>
      <c r="W123" s="13"/>
      <c r="X123" s="13"/>
      <c r="Y123" s="13"/>
      <c r="Z123" s="13"/>
      <c r="AA123" s="16"/>
      <c r="AB123" s="12"/>
      <c r="AC123" s="12"/>
      <c r="AD123" s="14" t="str">
        <f t="shared" si="61"/>
        <v/>
      </c>
      <c r="AE123" s="14" t="str">
        <f t="shared" si="62"/>
        <v/>
      </c>
      <c r="AF123" s="17" t="str">
        <f t="shared" si="63"/>
        <v/>
      </c>
      <c r="AG123" s="13"/>
      <c r="AH123" s="16"/>
      <c r="AI123" s="12"/>
      <c r="AJ123" s="16"/>
      <c r="AK123" s="13"/>
      <c r="AL123" s="16"/>
      <c r="AM123" s="13"/>
      <c r="AN123" s="17" t="str">
        <f t="shared" si="64"/>
        <v/>
      </c>
      <c r="AO123" s="14" t="str">
        <f t="shared" ca="1" si="65"/>
        <v/>
      </c>
      <c r="AP123" s="13"/>
      <c r="AQ123" s="12"/>
      <c r="AR123" s="14" t="str">
        <f>IF($O123="","",1+COUNTIF($O$5:$O$154,"&gt;"&amp;$O123)+COUNTIFS($O$5:$O$154,$O123,$N$5:$N$154,"&gt;"&amp;$N123)+COUNTIFS($O$4:$O122,$O123,$N$4:$N122,$N123))</f>
        <v/>
      </c>
      <c r="AS123" s="62"/>
      <c r="AT123" s="62"/>
      <c r="AU123" s="63" t="str">
        <f t="shared" si="66"/>
        <v/>
      </c>
      <c r="AV123" s="64" t="str">
        <f t="shared" si="67"/>
        <v/>
      </c>
      <c r="AW123" s="129" t="str">
        <f t="shared" si="68"/>
        <v/>
      </c>
      <c r="AX123" s="13"/>
      <c r="AY123" s="16"/>
      <c r="AZ123" s="13"/>
      <c r="BA123" s="13"/>
      <c r="BB123" s="13"/>
      <c r="BC123" s="13"/>
      <c r="BD123" s="13"/>
      <c r="BE123" s="13"/>
      <c r="BF123" s="13"/>
      <c r="BG123" s="13"/>
      <c r="BH123" s="14" t="str">
        <f t="shared" si="69"/>
        <v/>
      </c>
      <c r="BI123" s="14" t="str">
        <f t="shared" si="70"/>
        <v/>
      </c>
      <c r="BJ123" s="14" t="str">
        <f t="shared" si="71"/>
        <v/>
      </c>
      <c r="BK123" s="15" t="str">
        <f t="shared" si="72"/>
        <v/>
      </c>
      <c r="BL123" s="15" t="str">
        <f t="shared" si="73"/>
        <v/>
      </c>
      <c r="BM123" s="13"/>
      <c r="BN123" s="13"/>
      <c r="BO123" s="13"/>
      <c r="BP123" s="13"/>
      <c r="BQ123" s="13"/>
      <c r="BR123" s="14" t="str">
        <f t="shared" si="74"/>
        <v/>
      </c>
      <c r="BS123" s="15" t="str">
        <f t="shared" si="75"/>
        <v/>
      </c>
      <c r="BT123" s="13"/>
    </row>
    <row r="124" spans="1:72">
      <c r="A124" s="115"/>
      <c r="B124" s="12"/>
      <c r="C124" s="13"/>
      <c r="D124" s="13"/>
      <c r="E124" s="12"/>
      <c r="F124" s="12"/>
      <c r="G124" s="13"/>
      <c r="H124" s="12"/>
      <c r="I124" s="13"/>
      <c r="J124" s="13"/>
      <c r="K124" s="13"/>
      <c r="L124" s="13"/>
      <c r="M124" s="12"/>
      <c r="N124" s="12"/>
      <c r="O124" s="14" t="str">
        <f t="shared" si="57"/>
        <v/>
      </c>
      <c r="P124" s="15" t="str">
        <f t="shared" si="58"/>
        <v/>
      </c>
      <c r="Q124" s="13"/>
      <c r="R124" s="13"/>
      <c r="S124" s="13"/>
      <c r="T124" s="13"/>
      <c r="U124" s="15" t="str">
        <f t="shared" si="59"/>
        <v/>
      </c>
      <c r="V124" s="14" t="str">
        <f t="shared" si="60"/>
        <v/>
      </c>
      <c r="W124" s="13"/>
      <c r="X124" s="13"/>
      <c r="Y124" s="13"/>
      <c r="Z124" s="13"/>
      <c r="AA124" s="16"/>
      <c r="AB124" s="12"/>
      <c r="AC124" s="12"/>
      <c r="AD124" s="14" t="str">
        <f t="shared" si="61"/>
        <v/>
      </c>
      <c r="AE124" s="14" t="str">
        <f t="shared" si="62"/>
        <v/>
      </c>
      <c r="AF124" s="17" t="str">
        <f t="shared" si="63"/>
        <v/>
      </c>
      <c r="AG124" s="13"/>
      <c r="AH124" s="16"/>
      <c r="AI124" s="12"/>
      <c r="AJ124" s="16"/>
      <c r="AK124" s="13"/>
      <c r="AL124" s="16"/>
      <c r="AM124" s="13"/>
      <c r="AN124" s="17" t="str">
        <f t="shared" si="64"/>
        <v/>
      </c>
      <c r="AO124" s="14" t="str">
        <f t="shared" ca="1" si="65"/>
        <v/>
      </c>
      <c r="AP124" s="13"/>
      <c r="AQ124" s="12"/>
      <c r="AR124" s="14" t="str">
        <f>IF($O124="","",1+COUNTIF($O$5:$O$154,"&gt;"&amp;$O124)+COUNTIFS($O$5:$O$154,$O124,$N$5:$N$154,"&gt;"&amp;$N124)+COUNTIFS($O$4:$O123,$O124,$N$4:$N123,$N124))</f>
        <v/>
      </c>
      <c r="AS124" s="62"/>
      <c r="AT124" s="62"/>
      <c r="AU124" s="63" t="str">
        <f t="shared" si="66"/>
        <v/>
      </c>
      <c r="AV124" s="64" t="str">
        <f t="shared" si="67"/>
        <v/>
      </c>
      <c r="AW124" s="129" t="str">
        <f t="shared" si="68"/>
        <v/>
      </c>
      <c r="AX124" s="13"/>
      <c r="AY124" s="16"/>
      <c r="AZ124" s="13"/>
      <c r="BA124" s="13"/>
      <c r="BB124" s="13"/>
      <c r="BC124" s="13"/>
      <c r="BD124" s="13"/>
      <c r="BE124" s="13"/>
      <c r="BF124" s="13"/>
      <c r="BG124" s="13"/>
      <c r="BH124" s="14" t="str">
        <f t="shared" si="69"/>
        <v/>
      </c>
      <c r="BI124" s="14" t="str">
        <f t="shared" si="70"/>
        <v/>
      </c>
      <c r="BJ124" s="14" t="str">
        <f t="shared" si="71"/>
        <v/>
      </c>
      <c r="BK124" s="15" t="str">
        <f t="shared" si="72"/>
        <v/>
      </c>
      <c r="BL124" s="15" t="str">
        <f t="shared" si="73"/>
        <v/>
      </c>
      <c r="BM124" s="13"/>
      <c r="BN124" s="13"/>
      <c r="BO124" s="13"/>
      <c r="BP124" s="13"/>
      <c r="BQ124" s="13"/>
      <c r="BR124" s="14" t="str">
        <f t="shared" si="74"/>
        <v/>
      </c>
      <c r="BS124" s="15" t="str">
        <f t="shared" si="75"/>
        <v/>
      </c>
      <c r="BT124" s="13"/>
    </row>
    <row r="125" spans="1:72">
      <c r="A125" s="115"/>
      <c r="B125" s="12"/>
      <c r="C125" s="13"/>
      <c r="D125" s="13"/>
      <c r="E125" s="12"/>
      <c r="F125" s="12"/>
      <c r="G125" s="13"/>
      <c r="H125" s="12"/>
      <c r="I125" s="13"/>
      <c r="J125" s="13"/>
      <c r="K125" s="13"/>
      <c r="L125" s="13"/>
      <c r="M125" s="12"/>
      <c r="N125" s="12"/>
      <c r="O125" s="14" t="str">
        <f t="shared" si="57"/>
        <v/>
      </c>
      <c r="P125" s="15" t="str">
        <f t="shared" si="58"/>
        <v/>
      </c>
      <c r="Q125" s="13"/>
      <c r="R125" s="13"/>
      <c r="S125" s="13"/>
      <c r="T125" s="13"/>
      <c r="U125" s="15" t="str">
        <f t="shared" si="59"/>
        <v/>
      </c>
      <c r="V125" s="14" t="str">
        <f t="shared" si="60"/>
        <v/>
      </c>
      <c r="W125" s="13"/>
      <c r="X125" s="13"/>
      <c r="Y125" s="13"/>
      <c r="Z125" s="13"/>
      <c r="AA125" s="16"/>
      <c r="AB125" s="12"/>
      <c r="AC125" s="12"/>
      <c r="AD125" s="14" t="str">
        <f t="shared" si="61"/>
        <v/>
      </c>
      <c r="AE125" s="14" t="str">
        <f t="shared" si="62"/>
        <v/>
      </c>
      <c r="AF125" s="17" t="str">
        <f t="shared" si="63"/>
        <v/>
      </c>
      <c r="AG125" s="13"/>
      <c r="AH125" s="16"/>
      <c r="AI125" s="12"/>
      <c r="AJ125" s="16"/>
      <c r="AK125" s="13"/>
      <c r="AL125" s="16"/>
      <c r="AM125" s="13"/>
      <c r="AN125" s="17" t="str">
        <f t="shared" si="64"/>
        <v/>
      </c>
      <c r="AO125" s="14" t="str">
        <f t="shared" ca="1" si="65"/>
        <v/>
      </c>
      <c r="AP125" s="13"/>
      <c r="AQ125" s="12"/>
      <c r="AR125" s="14" t="str">
        <f>IF($O125="","",1+COUNTIF($O$5:$O$154,"&gt;"&amp;$O125)+COUNTIFS($O$5:$O$154,$O125,$N$5:$N$154,"&gt;"&amp;$N125)+COUNTIFS($O$4:$O124,$O125,$N$4:$N124,$N125))</f>
        <v/>
      </c>
      <c r="AS125" s="62"/>
      <c r="AT125" s="62"/>
      <c r="AU125" s="63" t="str">
        <f t="shared" si="66"/>
        <v/>
      </c>
      <c r="AV125" s="64" t="str">
        <f t="shared" si="67"/>
        <v/>
      </c>
      <c r="AW125" s="129" t="str">
        <f t="shared" si="68"/>
        <v/>
      </c>
      <c r="AX125" s="13"/>
      <c r="AY125" s="16"/>
      <c r="AZ125" s="13"/>
      <c r="BA125" s="13"/>
      <c r="BB125" s="13"/>
      <c r="BC125" s="13"/>
      <c r="BD125" s="13"/>
      <c r="BE125" s="13"/>
      <c r="BF125" s="13"/>
      <c r="BG125" s="13"/>
      <c r="BH125" s="14" t="str">
        <f t="shared" si="69"/>
        <v/>
      </c>
      <c r="BI125" s="14" t="str">
        <f t="shared" si="70"/>
        <v/>
      </c>
      <c r="BJ125" s="14" t="str">
        <f t="shared" si="71"/>
        <v/>
      </c>
      <c r="BK125" s="15" t="str">
        <f t="shared" si="72"/>
        <v/>
      </c>
      <c r="BL125" s="15" t="str">
        <f t="shared" si="73"/>
        <v/>
      </c>
      <c r="BM125" s="13"/>
      <c r="BN125" s="13"/>
      <c r="BO125" s="13"/>
      <c r="BP125" s="13"/>
      <c r="BQ125" s="13"/>
      <c r="BR125" s="14" t="str">
        <f t="shared" si="74"/>
        <v/>
      </c>
      <c r="BS125" s="15" t="str">
        <f t="shared" si="75"/>
        <v/>
      </c>
      <c r="BT125" s="13"/>
    </row>
    <row r="126" spans="1:72">
      <c r="A126" s="115"/>
      <c r="B126" s="12"/>
      <c r="C126" s="13"/>
      <c r="D126" s="13"/>
      <c r="E126" s="12"/>
      <c r="F126" s="12"/>
      <c r="G126" s="13"/>
      <c r="H126" s="12"/>
      <c r="I126" s="13"/>
      <c r="J126" s="13"/>
      <c r="K126" s="13"/>
      <c r="L126" s="13"/>
      <c r="M126" s="12"/>
      <c r="N126" s="12"/>
      <c r="O126" s="14" t="str">
        <f t="shared" si="57"/>
        <v/>
      </c>
      <c r="P126" s="15" t="str">
        <f t="shared" si="58"/>
        <v/>
      </c>
      <c r="Q126" s="13"/>
      <c r="R126" s="13"/>
      <c r="S126" s="13"/>
      <c r="T126" s="13"/>
      <c r="U126" s="15" t="str">
        <f t="shared" si="59"/>
        <v/>
      </c>
      <c r="V126" s="14" t="str">
        <f t="shared" si="60"/>
        <v/>
      </c>
      <c r="W126" s="13"/>
      <c r="X126" s="13"/>
      <c r="Y126" s="13"/>
      <c r="Z126" s="13"/>
      <c r="AA126" s="16"/>
      <c r="AB126" s="12"/>
      <c r="AC126" s="12"/>
      <c r="AD126" s="14" t="str">
        <f t="shared" si="61"/>
        <v/>
      </c>
      <c r="AE126" s="14" t="str">
        <f t="shared" si="62"/>
        <v/>
      </c>
      <c r="AF126" s="17" t="str">
        <f t="shared" si="63"/>
        <v/>
      </c>
      <c r="AG126" s="13"/>
      <c r="AH126" s="16"/>
      <c r="AI126" s="12"/>
      <c r="AJ126" s="16"/>
      <c r="AK126" s="13"/>
      <c r="AL126" s="16"/>
      <c r="AM126" s="13"/>
      <c r="AN126" s="17" t="str">
        <f t="shared" si="64"/>
        <v/>
      </c>
      <c r="AO126" s="14" t="str">
        <f t="shared" ca="1" si="65"/>
        <v/>
      </c>
      <c r="AP126" s="13"/>
      <c r="AQ126" s="12"/>
      <c r="AR126" s="14" t="str">
        <f>IF($O126="","",1+COUNTIF($O$5:$O$154,"&gt;"&amp;$O126)+COUNTIFS($O$5:$O$154,$O126,$N$5:$N$154,"&gt;"&amp;$N126)+COUNTIFS($O$4:$O125,$O126,$N$4:$N125,$N126))</f>
        <v/>
      </c>
      <c r="AS126" s="62"/>
      <c r="AT126" s="62"/>
      <c r="AU126" s="63" t="str">
        <f t="shared" si="66"/>
        <v/>
      </c>
      <c r="AV126" s="64" t="str">
        <f t="shared" si="67"/>
        <v/>
      </c>
      <c r="AW126" s="129" t="str">
        <f t="shared" si="68"/>
        <v/>
      </c>
      <c r="AX126" s="13"/>
      <c r="AY126" s="16"/>
      <c r="AZ126" s="13"/>
      <c r="BA126" s="13"/>
      <c r="BB126" s="13"/>
      <c r="BC126" s="13"/>
      <c r="BD126" s="13"/>
      <c r="BE126" s="13"/>
      <c r="BF126" s="13"/>
      <c r="BG126" s="13"/>
      <c r="BH126" s="14" t="str">
        <f t="shared" si="69"/>
        <v/>
      </c>
      <c r="BI126" s="14" t="str">
        <f t="shared" si="70"/>
        <v/>
      </c>
      <c r="BJ126" s="14" t="str">
        <f t="shared" si="71"/>
        <v/>
      </c>
      <c r="BK126" s="15" t="str">
        <f t="shared" si="72"/>
        <v/>
      </c>
      <c r="BL126" s="15" t="str">
        <f t="shared" si="73"/>
        <v/>
      </c>
      <c r="BM126" s="13"/>
      <c r="BN126" s="13"/>
      <c r="BO126" s="13"/>
      <c r="BP126" s="13"/>
      <c r="BQ126" s="13"/>
      <c r="BR126" s="14" t="str">
        <f t="shared" si="74"/>
        <v/>
      </c>
      <c r="BS126" s="15" t="str">
        <f t="shared" si="75"/>
        <v/>
      </c>
      <c r="BT126" s="13"/>
    </row>
    <row r="127" spans="1:72">
      <c r="A127" s="115"/>
      <c r="B127" s="12"/>
      <c r="C127" s="13"/>
      <c r="D127" s="13"/>
      <c r="E127" s="12"/>
      <c r="F127" s="12"/>
      <c r="G127" s="13"/>
      <c r="H127" s="12"/>
      <c r="I127" s="13"/>
      <c r="J127" s="13"/>
      <c r="K127" s="13"/>
      <c r="L127" s="13"/>
      <c r="M127" s="12"/>
      <c r="N127" s="12"/>
      <c r="O127" s="14" t="str">
        <f t="shared" si="57"/>
        <v/>
      </c>
      <c r="P127" s="15" t="str">
        <f t="shared" si="58"/>
        <v/>
      </c>
      <c r="Q127" s="13"/>
      <c r="R127" s="13"/>
      <c r="S127" s="13"/>
      <c r="T127" s="13"/>
      <c r="U127" s="15" t="str">
        <f t="shared" si="59"/>
        <v/>
      </c>
      <c r="V127" s="14" t="str">
        <f t="shared" si="60"/>
        <v/>
      </c>
      <c r="W127" s="13"/>
      <c r="X127" s="13"/>
      <c r="Y127" s="13"/>
      <c r="Z127" s="13"/>
      <c r="AA127" s="16"/>
      <c r="AB127" s="12"/>
      <c r="AC127" s="12"/>
      <c r="AD127" s="14" t="str">
        <f t="shared" si="61"/>
        <v/>
      </c>
      <c r="AE127" s="14" t="str">
        <f t="shared" si="62"/>
        <v/>
      </c>
      <c r="AF127" s="17" t="str">
        <f t="shared" si="63"/>
        <v/>
      </c>
      <c r="AG127" s="13"/>
      <c r="AH127" s="16"/>
      <c r="AI127" s="12"/>
      <c r="AJ127" s="16"/>
      <c r="AK127" s="13"/>
      <c r="AL127" s="16"/>
      <c r="AM127" s="13"/>
      <c r="AN127" s="17" t="str">
        <f t="shared" si="64"/>
        <v/>
      </c>
      <c r="AO127" s="14" t="str">
        <f t="shared" ca="1" si="65"/>
        <v/>
      </c>
      <c r="AP127" s="13"/>
      <c r="AQ127" s="12"/>
      <c r="AR127" s="14" t="str">
        <f>IF($O127="","",1+COUNTIF($O$5:$O$154,"&gt;"&amp;$O127)+COUNTIFS($O$5:$O$154,$O127,$N$5:$N$154,"&gt;"&amp;$N127)+COUNTIFS($O$4:$O126,$O127,$N$4:$N126,$N127))</f>
        <v/>
      </c>
      <c r="AS127" s="62"/>
      <c r="AT127" s="62"/>
      <c r="AU127" s="63" t="str">
        <f t="shared" si="66"/>
        <v/>
      </c>
      <c r="AV127" s="64" t="str">
        <f t="shared" si="67"/>
        <v/>
      </c>
      <c r="AW127" s="129" t="str">
        <f t="shared" si="68"/>
        <v/>
      </c>
      <c r="AX127" s="13"/>
      <c r="AY127" s="16"/>
      <c r="AZ127" s="13"/>
      <c r="BA127" s="13"/>
      <c r="BB127" s="13"/>
      <c r="BC127" s="13"/>
      <c r="BD127" s="13"/>
      <c r="BE127" s="13"/>
      <c r="BF127" s="13"/>
      <c r="BG127" s="13"/>
      <c r="BH127" s="14" t="str">
        <f t="shared" si="69"/>
        <v/>
      </c>
      <c r="BI127" s="14" t="str">
        <f t="shared" si="70"/>
        <v/>
      </c>
      <c r="BJ127" s="14" t="str">
        <f t="shared" si="71"/>
        <v/>
      </c>
      <c r="BK127" s="15" t="str">
        <f t="shared" si="72"/>
        <v/>
      </c>
      <c r="BL127" s="15" t="str">
        <f t="shared" si="73"/>
        <v/>
      </c>
      <c r="BM127" s="13"/>
      <c r="BN127" s="13"/>
      <c r="BO127" s="13"/>
      <c r="BP127" s="13"/>
      <c r="BQ127" s="13"/>
      <c r="BR127" s="14" t="str">
        <f t="shared" si="74"/>
        <v/>
      </c>
      <c r="BS127" s="15" t="str">
        <f t="shared" si="75"/>
        <v/>
      </c>
      <c r="BT127" s="13"/>
    </row>
    <row r="128" spans="1:72">
      <c r="A128" s="115"/>
      <c r="B128" s="12"/>
      <c r="C128" s="13"/>
      <c r="D128" s="13"/>
      <c r="E128" s="12"/>
      <c r="F128" s="12"/>
      <c r="G128" s="13"/>
      <c r="H128" s="12"/>
      <c r="I128" s="13"/>
      <c r="J128" s="13"/>
      <c r="K128" s="13"/>
      <c r="L128" s="13"/>
      <c r="M128" s="12"/>
      <c r="N128" s="12"/>
      <c r="O128" s="14" t="str">
        <f t="shared" si="57"/>
        <v/>
      </c>
      <c r="P128" s="15" t="str">
        <f t="shared" si="58"/>
        <v/>
      </c>
      <c r="Q128" s="13"/>
      <c r="R128" s="13"/>
      <c r="S128" s="13"/>
      <c r="T128" s="13"/>
      <c r="U128" s="15" t="str">
        <f t="shared" si="59"/>
        <v/>
      </c>
      <c r="V128" s="14" t="str">
        <f t="shared" si="60"/>
        <v/>
      </c>
      <c r="W128" s="13"/>
      <c r="X128" s="13"/>
      <c r="Y128" s="13"/>
      <c r="Z128" s="13"/>
      <c r="AA128" s="16"/>
      <c r="AB128" s="12"/>
      <c r="AC128" s="12"/>
      <c r="AD128" s="14" t="str">
        <f t="shared" si="61"/>
        <v/>
      </c>
      <c r="AE128" s="14" t="str">
        <f t="shared" si="62"/>
        <v/>
      </c>
      <c r="AF128" s="17" t="str">
        <f t="shared" si="63"/>
        <v/>
      </c>
      <c r="AG128" s="13"/>
      <c r="AH128" s="16"/>
      <c r="AI128" s="12"/>
      <c r="AJ128" s="16"/>
      <c r="AK128" s="13"/>
      <c r="AL128" s="16"/>
      <c r="AM128" s="13"/>
      <c r="AN128" s="17" t="str">
        <f t="shared" si="64"/>
        <v/>
      </c>
      <c r="AO128" s="14" t="str">
        <f t="shared" ca="1" si="65"/>
        <v/>
      </c>
      <c r="AP128" s="13"/>
      <c r="AQ128" s="12"/>
      <c r="AR128" s="14" t="str">
        <f>IF($O128="","",1+COUNTIF($O$5:$O$154,"&gt;"&amp;$O128)+COUNTIFS($O$5:$O$154,$O128,$N$5:$N$154,"&gt;"&amp;$N128)+COUNTIFS($O$4:$O127,$O128,$N$4:$N127,$N128))</f>
        <v/>
      </c>
      <c r="AS128" s="62"/>
      <c r="AT128" s="62"/>
      <c r="AU128" s="63" t="str">
        <f t="shared" si="66"/>
        <v/>
      </c>
      <c r="AV128" s="64" t="str">
        <f t="shared" si="67"/>
        <v/>
      </c>
      <c r="AW128" s="129" t="str">
        <f t="shared" si="68"/>
        <v/>
      </c>
      <c r="AX128" s="13"/>
      <c r="AY128" s="16"/>
      <c r="AZ128" s="13"/>
      <c r="BA128" s="13"/>
      <c r="BB128" s="13"/>
      <c r="BC128" s="13"/>
      <c r="BD128" s="13"/>
      <c r="BE128" s="13"/>
      <c r="BF128" s="13"/>
      <c r="BG128" s="13"/>
      <c r="BH128" s="14" t="str">
        <f t="shared" si="69"/>
        <v/>
      </c>
      <c r="BI128" s="14" t="str">
        <f t="shared" si="70"/>
        <v/>
      </c>
      <c r="BJ128" s="14" t="str">
        <f t="shared" si="71"/>
        <v/>
      </c>
      <c r="BK128" s="15" t="str">
        <f t="shared" si="72"/>
        <v/>
      </c>
      <c r="BL128" s="15" t="str">
        <f t="shared" si="73"/>
        <v/>
      </c>
      <c r="BM128" s="13"/>
      <c r="BN128" s="13"/>
      <c r="BO128" s="13"/>
      <c r="BP128" s="13"/>
      <c r="BQ128" s="13"/>
      <c r="BR128" s="14" t="str">
        <f t="shared" si="74"/>
        <v/>
      </c>
      <c r="BS128" s="15" t="str">
        <f t="shared" si="75"/>
        <v/>
      </c>
      <c r="BT128" s="13"/>
    </row>
    <row r="129" spans="1:72">
      <c r="A129" s="115"/>
      <c r="B129" s="12"/>
      <c r="C129" s="13"/>
      <c r="D129" s="13"/>
      <c r="E129" s="12"/>
      <c r="F129" s="12"/>
      <c r="G129" s="13"/>
      <c r="H129" s="12"/>
      <c r="I129" s="13"/>
      <c r="J129" s="13"/>
      <c r="K129" s="13"/>
      <c r="L129" s="13"/>
      <c r="M129" s="12"/>
      <c r="N129" s="12"/>
      <c r="O129" s="14" t="str">
        <f t="shared" si="57"/>
        <v/>
      </c>
      <c r="P129" s="15" t="str">
        <f t="shared" si="58"/>
        <v/>
      </c>
      <c r="Q129" s="13"/>
      <c r="R129" s="13"/>
      <c r="S129" s="13"/>
      <c r="T129" s="13"/>
      <c r="U129" s="15" t="str">
        <f t="shared" si="59"/>
        <v/>
      </c>
      <c r="V129" s="14" t="str">
        <f t="shared" si="60"/>
        <v/>
      </c>
      <c r="W129" s="13"/>
      <c r="X129" s="13"/>
      <c r="Y129" s="13"/>
      <c r="Z129" s="13"/>
      <c r="AA129" s="16"/>
      <c r="AB129" s="12"/>
      <c r="AC129" s="12"/>
      <c r="AD129" s="14" t="str">
        <f t="shared" si="61"/>
        <v/>
      </c>
      <c r="AE129" s="14" t="str">
        <f t="shared" si="62"/>
        <v/>
      </c>
      <c r="AF129" s="17" t="str">
        <f t="shared" si="63"/>
        <v/>
      </c>
      <c r="AG129" s="13"/>
      <c r="AH129" s="16"/>
      <c r="AI129" s="12"/>
      <c r="AJ129" s="16"/>
      <c r="AK129" s="13"/>
      <c r="AL129" s="16"/>
      <c r="AM129" s="13"/>
      <c r="AN129" s="17" t="str">
        <f t="shared" si="64"/>
        <v/>
      </c>
      <c r="AO129" s="14" t="str">
        <f t="shared" ca="1" si="65"/>
        <v/>
      </c>
      <c r="AP129" s="13"/>
      <c r="AQ129" s="12"/>
      <c r="AR129" s="14" t="str">
        <f>IF($O129="","",1+COUNTIF($O$5:$O$154,"&gt;"&amp;$O129)+COUNTIFS($O$5:$O$154,$O129,$N$5:$N$154,"&gt;"&amp;$N129)+COUNTIFS($O$4:$O128,$O129,$N$4:$N128,$N129))</f>
        <v/>
      </c>
      <c r="AS129" s="62"/>
      <c r="AT129" s="62"/>
      <c r="AU129" s="63" t="str">
        <f t="shared" si="66"/>
        <v/>
      </c>
      <c r="AV129" s="64" t="str">
        <f t="shared" si="67"/>
        <v/>
      </c>
      <c r="AW129" s="129" t="str">
        <f t="shared" si="68"/>
        <v/>
      </c>
      <c r="AX129" s="13"/>
      <c r="AY129" s="16"/>
      <c r="AZ129" s="13"/>
      <c r="BA129" s="13"/>
      <c r="BB129" s="13"/>
      <c r="BC129" s="13"/>
      <c r="BD129" s="13"/>
      <c r="BE129" s="13"/>
      <c r="BF129" s="13"/>
      <c r="BG129" s="13"/>
      <c r="BH129" s="14" t="str">
        <f t="shared" si="69"/>
        <v/>
      </c>
      <c r="BI129" s="14" t="str">
        <f t="shared" si="70"/>
        <v/>
      </c>
      <c r="BJ129" s="14" t="str">
        <f t="shared" si="71"/>
        <v/>
      </c>
      <c r="BK129" s="15" t="str">
        <f t="shared" si="72"/>
        <v/>
      </c>
      <c r="BL129" s="15" t="str">
        <f t="shared" si="73"/>
        <v/>
      </c>
      <c r="BM129" s="13"/>
      <c r="BN129" s="13"/>
      <c r="BO129" s="13"/>
      <c r="BP129" s="13"/>
      <c r="BQ129" s="13"/>
      <c r="BR129" s="14" t="str">
        <f t="shared" si="74"/>
        <v/>
      </c>
      <c r="BS129" s="15" t="str">
        <f t="shared" si="75"/>
        <v/>
      </c>
      <c r="BT129" s="13"/>
    </row>
    <row r="130" spans="1:72">
      <c r="A130" s="115"/>
      <c r="B130" s="12"/>
      <c r="C130" s="13"/>
      <c r="D130" s="13"/>
      <c r="E130" s="12"/>
      <c r="F130" s="12"/>
      <c r="G130" s="13"/>
      <c r="H130" s="12"/>
      <c r="I130" s="13"/>
      <c r="J130" s="13"/>
      <c r="K130" s="13"/>
      <c r="L130" s="13"/>
      <c r="M130" s="12"/>
      <c r="N130" s="12"/>
      <c r="O130" s="14" t="str">
        <f t="shared" si="57"/>
        <v/>
      </c>
      <c r="P130" s="15" t="str">
        <f t="shared" si="58"/>
        <v/>
      </c>
      <c r="Q130" s="13"/>
      <c r="R130" s="13"/>
      <c r="S130" s="13"/>
      <c r="T130" s="13"/>
      <c r="U130" s="15" t="str">
        <f t="shared" si="59"/>
        <v/>
      </c>
      <c r="V130" s="14" t="str">
        <f t="shared" si="60"/>
        <v/>
      </c>
      <c r="W130" s="13"/>
      <c r="X130" s="13"/>
      <c r="Y130" s="13"/>
      <c r="Z130" s="13"/>
      <c r="AA130" s="16"/>
      <c r="AB130" s="12"/>
      <c r="AC130" s="12"/>
      <c r="AD130" s="14" t="str">
        <f t="shared" si="61"/>
        <v/>
      </c>
      <c r="AE130" s="14" t="str">
        <f t="shared" si="62"/>
        <v/>
      </c>
      <c r="AF130" s="17" t="str">
        <f t="shared" si="63"/>
        <v/>
      </c>
      <c r="AG130" s="13"/>
      <c r="AH130" s="16"/>
      <c r="AI130" s="12"/>
      <c r="AJ130" s="16"/>
      <c r="AK130" s="13"/>
      <c r="AL130" s="16"/>
      <c r="AM130" s="13"/>
      <c r="AN130" s="17" t="str">
        <f t="shared" si="64"/>
        <v/>
      </c>
      <c r="AO130" s="14" t="str">
        <f t="shared" ca="1" si="65"/>
        <v/>
      </c>
      <c r="AP130" s="13"/>
      <c r="AQ130" s="12"/>
      <c r="AR130" s="14" t="str">
        <f>IF($O130="","",1+COUNTIF($O$5:$O$154,"&gt;"&amp;$O130)+COUNTIFS($O$5:$O$154,$O130,$N$5:$N$154,"&gt;"&amp;$N130)+COUNTIFS($O$4:$O129,$O130,$N$4:$N129,$N130))</f>
        <v/>
      </c>
      <c r="AS130" s="62"/>
      <c r="AT130" s="62"/>
      <c r="AU130" s="63" t="str">
        <f t="shared" si="66"/>
        <v/>
      </c>
      <c r="AV130" s="64" t="str">
        <f t="shared" si="67"/>
        <v/>
      </c>
      <c r="AW130" s="129" t="str">
        <f t="shared" si="68"/>
        <v/>
      </c>
      <c r="AX130" s="13"/>
      <c r="AY130" s="16"/>
      <c r="AZ130" s="13"/>
      <c r="BA130" s="13"/>
      <c r="BB130" s="13"/>
      <c r="BC130" s="13"/>
      <c r="BD130" s="13"/>
      <c r="BE130" s="13"/>
      <c r="BF130" s="13"/>
      <c r="BG130" s="13"/>
      <c r="BH130" s="14" t="str">
        <f t="shared" si="69"/>
        <v/>
      </c>
      <c r="BI130" s="14" t="str">
        <f t="shared" si="70"/>
        <v/>
      </c>
      <c r="BJ130" s="14" t="str">
        <f t="shared" si="71"/>
        <v/>
      </c>
      <c r="BK130" s="15" t="str">
        <f t="shared" si="72"/>
        <v/>
      </c>
      <c r="BL130" s="15" t="str">
        <f t="shared" si="73"/>
        <v/>
      </c>
      <c r="BM130" s="13"/>
      <c r="BN130" s="13"/>
      <c r="BO130" s="13"/>
      <c r="BP130" s="13"/>
      <c r="BQ130" s="13"/>
      <c r="BR130" s="14" t="str">
        <f t="shared" si="74"/>
        <v/>
      </c>
      <c r="BS130" s="15" t="str">
        <f t="shared" si="75"/>
        <v/>
      </c>
      <c r="BT130" s="13"/>
    </row>
    <row r="131" spans="1:72">
      <c r="A131" s="115"/>
      <c r="B131" s="12"/>
      <c r="C131" s="13"/>
      <c r="D131" s="13"/>
      <c r="E131" s="12"/>
      <c r="F131" s="12"/>
      <c r="G131" s="13"/>
      <c r="H131" s="12"/>
      <c r="I131" s="13"/>
      <c r="J131" s="13"/>
      <c r="K131" s="13"/>
      <c r="L131" s="13"/>
      <c r="M131" s="12"/>
      <c r="N131" s="12"/>
      <c r="O131" s="14" t="str">
        <f t="shared" si="57"/>
        <v/>
      </c>
      <c r="P131" s="15" t="str">
        <f t="shared" si="58"/>
        <v/>
      </c>
      <c r="Q131" s="13"/>
      <c r="R131" s="13"/>
      <c r="S131" s="13"/>
      <c r="T131" s="13"/>
      <c r="U131" s="15" t="str">
        <f t="shared" si="59"/>
        <v/>
      </c>
      <c r="V131" s="14" t="str">
        <f t="shared" si="60"/>
        <v/>
      </c>
      <c r="W131" s="13"/>
      <c r="X131" s="13"/>
      <c r="Y131" s="13"/>
      <c r="Z131" s="13"/>
      <c r="AA131" s="16"/>
      <c r="AB131" s="12"/>
      <c r="AC131" s="12"/>
      <c r="AD131" s="14" t="str">
        <f t="shared" si="61"/>
        <v/>
      </c>
      <c r="AE131" s="14" t="str">
        <f t="shared" si="62"/>
        <v/>
      </c>
      <c r="AF131" s="17" t="str">
        <f t="shared" si="63"/>
        <v/>
      </c>
      <c r="AG131" s="13"/>
      <c r="AH131" s="16"/>
      <c r="AI131" s="12"/>
      <c r="AJ131" s="16"/>
      <c r="AK131" s="13"/>
      <c r="AL131" s="16"/>
      <c r="AM131" s="13"/>
      <c r="AN131" s="17" t="str">
        <f t="shared" si="64"/>
        <v/>
      </c>
      <c r="AO131" s="14" t="str">
        <f t="shared" ca="1" si="65"/>
        <v/>
      </c>
      <c r="AP131" s="13"/>
      <c r="AQ131" s="12"/>
      <c r="AR131" s="14" t="str">
        <f>IF($O131="","",1+COUNTIF($O$5:$O$154,"&gt;"&amp;$O131)+COUNTIFS($O$5:$O$154,$O131,$N$5:$N$154,"&gt;"&amp;$N131)+COUNTIFS($O$4:$O130,$O131,$N$4:$N130,$N131))</f>
        <v/>
      </c>
      <c r="AS131" s="62"/>
      <c r="AT131" s="62"/>
      <c r="AU131" s="63" t="str">
        <f t="shared" si="66"/>
        <v/>
      </c>
      <c r="AV131" s="64" t="str">
        <f t="shared" si="67"/>
        <v/>
      </c>
      <c r="AW131" s="129" t="str">
        <f t="shared" si="68"/>
        <v/>
      </c>
      <c r="AX131" s="13"/>
      <c r="AY131" s="16"/>
      <c r="AZ131" s="13"/>
      <c r="BA131" s="13"/>
      <c r="BB131" s="13"/>
      <c r="BC131" s="13"/>
      <c r="BD131" s="13"/>
      <c r="BE131" s="13"/>
      <c r="BF131" s="13"/>
      <c r="BG131" s="13"/>
      <c r="BH131" s="14" t="str">
        <f t="shared" si="69"/>
        <v/>
      </c>
      <c r="BI131" s="14" t="str">
        <f t="shared" si="70"/>
        <v/>
      </c>
      <c r="BJ131" s="14" t="str">
        <f t="shared" si="71"/>
        <v/>
      </c>
      <c r="BK131" s="15" t="str">
        <f t="shared" si="72"/>
        <v/>
      </c>
      <c r="BL131" s="15" t="str">
        <f t="shared" si="73"/>
        <v/>
      </c>
      <c r="BM131" s="13"/>
      <c r="BN131" s="13"/>
      <c r="BO131" s="13"/>
      <c r="BP131" s="13"/>
      <c r="BQ131" s="13"/>
      <c r="BR131" s="14" t="str">
        <f t="shared" si="74"/>
        <v/>
      </c>
      <c r="BS131" s="15" t="str">
        <f t="shared" si="75"/>
        <v/>
      </c>
      <c r="BT131" s="13"/>
    </row>
    <row r="132" spans="1:72">
      <c r="A132" s="115"/>
      <c r="B132" s="12"/>
      <c r="C132" s="13"/>
      <c r="D132" s="13"/>
      <c r="E132" s="12"/>
      <c r="F132" s="12"/>
      <c r="G132" s="13"/>
      <c r="H132" s="12"/>
      <c r="I132" s="13"/>
      <c r="J132" s="13"/>
      <c r="K132" s="13"/>
      <c r="L132" s="13"/>
      <c r="M132" s="12"/>
      <c r="N132" s="12"/>
      <c r="O132" s="14" t="str">
        <f t="shared" si="57"/>
        <v/>
      </c>
      <c r="P132" s="15" t="str">
        <f t="shared" si="58"/>
        <v/>
      </c>
      <c r="Q132" s="13"/>
      <c r="R132" s="13"/>
      <c r="S132" s="13"/>
      <c r="T132" s="13"/>
      <c r="U132" s="15" t="str">
        <f t="shared" si="59"/>
        <v/>
      </c>
      <c r="V132" s="14" t="str">
        <f t="shared" si="60"/>
        <v/>
      </c>
      <c r="W132" s="13"/>
      <c r="X132" s="13"/>
      <c r="Y132" s="13"/>
      <c r="Z132" s="13"/>
      <c r="AA132" s="16"/>
      <c r="AB132" s="12"/>
      <c r="AC132" s="12"/>
      <c r="AD132" s="14" t="str">
        <f t="shared" si="61"/>
        <v/>
      </c>
      <c r="AE132" s="14" t="str">
        <f t="shared" si="62"/>
        <v/>
      </c>
      <c r="AF132" s="17" t="str">
        <f t="shared" si="63"/>
        <v/>
      </c>
      <c r="AG132" s="13"/>
      <c r="AH132" s="16"/>
      <c r="AI132" s="12"/>
      <c r="AJ132" s="16"/>
      <c r="AK132" s="13"/>
      <c r="AL132" s="16"/>
      <c r="AM132" s="13"/>
      <c r="AN132" s="17" t="str">
        <f t="shared" si="64"/>
        <v/>
      </c>
      <c r="AO132" s="14" t="str">
        <f t="shared" ca="1" si="65"/>
        <v/>
      </c>
      <c r="AP132" s="13"/>
      <c r="AQ132" s="12"/>
      <c r="AR132" s="14" t="str">
        <f>IF($O132="","",1+COUNTIF($O$5:$O$154,"&gt;"&amp;$O132)+COUNTIFS($O$5:$O$154,$O132,$N$5:$N$154,"&gt;"&amp;$N132)+COUNTIFS($O$4:$O131,$O132,$N$4:$N131,$N132))</f>
        <v/>
      </c>
      <c r="AS132" s="62"/>
      <c r="AT132" s="62"/>
      <c r="AU132" s="63" t="str">
        <f t="shared" si="66"/>
        <v/>
      </c>
      <c r="AV132" s="64" t="str">
        <f t="shared" si="67"/>
        <v/>
      </c>
      <c r="AW132" s="129" t="str">
        <f t="shared" si="68"/>
        <v/>
      </c>
      <c r="AX132" s="13"/>
      <c r="AY132" s="16"/>
      <c r="AZ132" s="13"/>
      <c r="BA132" s="13"/>
      <c r="BB132" s="13"/>
      <c r="BC132" s="13"/>
      <c r="BD132" s="13"/>
      <c r="BE132" s="13"/>
      <c r="BF132" s="13"/>
      <c r="BG132" s="13"/>
      <c r="BH132" s="14" t="str">
        <f t="shared" si="69"/>
        <v/>
      </c>
      <c r="BI132" s="14" t="str">
        <f t="shared" si="70"/>
        <v/>
      </c>
      <c r="BJ132" s="14" t="str">
        <f t="shared" si="71"/>
        <v/>
      </c>
      <c r="BK132" s="15" t="str">
        <f t="shared" si="72"/>
        <v/>
      </c>
      <c r="BL132" s="15" t="str">
        <f t="shared" si="73"/>
        <v/>
      </c>
      <c r="BM132" s="13"/>
      <c r="BN132" s="13"/>
      <c r="BO132" s="13"/>
      <c r="BP132" s="13"/>
      <c r="BQ132" s="13"/>
      <c r="BR132" s="14" t="str">
        <f t="shared" si="74"/>
        <v/>
      </c>
      <c r="BS132" s="15" t="str">
        <f t="shared" si="75"/>
        <v/>
      </c>
      <c r="BT132" s="13"/>
    </row>
    <row r="133" spans="1:72">
      <c r="A133" s="115"/>
      <c r="B133" s="12"/>
      <c r="C133" s="13"/>
      <c r="D133" s="13"/>
      <c r="E133" s="12"/>
      <c r="F133" s="12"/>
      <c r="G133" s="13"/>
      <c r="H133" s="12"/>
      <c r="I133" s="13"/>
      <c r="J133" s="13"/>
      <c r="K133" s="13"/>
      <c r="L133" s="13"/>
      <c r="M133" s="12"/>
      <c r="N133" s="12"/>
      <c r="O133" s="14" t="str">
        <f t="shared" ref="O133:O154" si="76">IF(COUNT($M133:$N133)=2,$M133*$N133,"")</f>
        <v/>
      </c>
      <c r="P133" s="15" t="str">
        <f t="shared" ref="P133:P154" si="77">IF($O133="","",INDEX(Niveis,IFERROR(MATCH($O133,Limites,1),1)))</f>
        <v/>
      </c>
      <c r="Q133" s="13"/>
      <c r="R133" s="13"/>
      <c r="S133" s="13"/>
      <c r="T133" s="13"/>
      <c r="U133" s="15" t="str">
        <f t="shared" ref="U133:U154" si="78">IF(COUNTA($R133:$T133)&lt;3,"",IFERROR((4-MATCH($R133,ListaFacil,0))+(4-MATCH($S133,ListaReducao,0))+(4-MATCH($T133,ListaAlinh,0)),""))</f>
        <v/>
      </c>
      <c r="V133" s="14" t="str">
        <f t="shared" ref="V133:V154" si="79">IF($P133="","",INDEX(AcaoOport,MATCH($P133,Niveis,0)))</f>
        <v/>
      </c>
      <c r="W133" s="13"/>
      <c r="X133" s="13"/>
      <c r="Y133" s="13"/>
      <c r="Z133" s="13"/>
      <c r="AA133" s="16"/>
      <c r="AB133" s="12"/>
      <c r="AC133" s="12"/>
      <c r="AD133" s="14" t="str">
        <f t="shared" ref="AD133:AD154" si="80">IF(OR($AC133="",PlanoUrl=""),"",HYPERLINK(SUBSTITUTE(PlanoUrl,"{COD}",SUBSTITUTE($AC133," ","%20")),"↗"))</f>
        <v/>
      </c>
      <c r="AE133" s="14" t="str">
        <f t="shared" ref="AE133:AE154" si="81">IF($C133="","",IF($AC133="",$AB133&amp;"",IFERROR(IF(INDEX(PlanosStatus,MATCH($AC133,PlanosCod,0))="",$AB133&amp;"",INDEX(PlanosStatus,MATCH($AC133,PlanosCod,0))),$AB133&amp;"")))</f>
        <v/>
      </c>
      <c r="AF133" s="17" t="str">
        <f t="shared" ref="AF133:AF154" si="82">IF($C133="","",IF($AC133="",IF($AA133="","",$AA133),IFERROR(IF(INDEX(PlanosPrazo,MATCH($AC133,PlanosCod,0))="",IF($AA133="","",$AA133),INDEX(PlanosPrazo,MATCH($AC133,PlanosCod,0))),IF($AA133="","",$AA133))))</f>
        <v/>
      </c>
      <c r="AG133" s="13"/>
      <c r="AH133" s="16"/>
      <c r="AI133" s="12"/>
      <c r="AJ133" s="16"/>
      <c r="AK133" s="13"/>
      <c r="AL133" s="16"/>
      <c r="AM133" s="13"/>
      <c r="AN133" s="17" t="str">
        <f t="shared" ref="AN133:AN154" si="83">IF(OR($AL133="",$P133=""),"",EDATE($AL133,INDEX(MesesRev,MATCH($P133,Niveis,0))))</f>
        <v/>
      </c>
      <c r="AO133" s="14" t="str">
        <f t="shared" ref="AO133:AO154" ca="1" si="84">IF($C133="","",IF($Y133="","Sem dono",IF($P133="","Falta avaliação",IF(AND($AC133&lt;&gt;"",COUNTIF(PlanosCod,$AC133)=0),"Código não encontrado",IF(AND($AC133&lt;&gt;"",IFERROR(INDEX(PlanosIdRef,MATCH($AC133,PlanosCod,0))&amp;"","")&lt;&gt;"",ISERROR(SEARCH(";"&amp;$A133&amp;";",";"&amp;SUBSTITUTE(SUBSTITUTE(IFERROR(INDEX(PlanosIdRef,MATCH($AC133,PlanosCod,0))&amp;"","")," ",""),",",";")&amp;";"))),"Vínculo divergente",IF(AND($W133="",$X133="",$AC133="",MATCH($P133,Niveis,0)&gt;=IdxExige),"Sem ação",IF(AND(OR($W133="Explorar",$W133="Melhorar",$W133="Analisar viabilidade e custo-benefício",$W133="Integrar ao planejamento estratégico",$W133="Compartilhar (parceria / contrato)"),$AK133=""),"Definir KPI",IF($AI133="Não eficaz","Ação ineficaz",IF(AND($AF133&lt;&gt;"",$AF133&lt;TODAY(),$AE133&lt;&gt;"Concluído",$AE133&lt;&gt;"Cancelado"),"Ação vencida",IF(AND($AI133&lt;&gt;"Eficaz",OR($AE133="Concluído",AND(ISNUMBER($AH133),$AH133&lt;TODAY()))),"Avaliar eficácia",IF(AND($AN133&lt;&gt;"",$AN133&lt;TODAY()),"Revisão vencida",IF(AND($AF133&lt;&gt;"",N($AF133)-TODAY()&lt;=DiasAlerta,$AE133&lt;&gt;"Concluído",$AE133&lt;&gt;"Cancelado"),"Vence em breve","OK"))))))))))))</f>
        <v/>
      </c>
      <c r="AP133" s="13"/>
      <c r="AQ133" s="12"/>
      <c r="AR133" s="14" t="str">
        <f>IF($O133="","",1+COUNTIF($O$5:$O$154,"&gt;"&amp;$O133)+COUNTIFS($O$5:$O$154,$O133,$N$5:$N$154,"&gt;"&amp;$N133)+COUNTIFS($O$4:$O132,$O133,$N$4:$N132,$N133))</f>
        <v/>
      </c>
      <c r="AS133" s="62"/>
      <c r="AT133" s="62"/>
      <c r="AU133" s="63" t="str">
        <f t="shared" ref="AU133:AU154" si="85">IF(OR($AT133="",$M133=""),"",IFERROR($AT133*INDEX(ProbMedia,$M133),""))</f>
        <v/>
      </c>
      <c r="AV133" s="64" t="str">
        <f t="shared" ref="AV133:AV154" si="86">IF(OR($AS133="",$AU133=""),"",IF($AS133=0,"",$AU133/$AS133))</f>
        <v/>
      </c>
      <c r="AW133" s="129" t="str">
        <f t="shared" ref="AW133:AW154" si="87">IF($AV133="","",IF($AV133&gt;=1.5,"Retorno cobre o custo com folga: priorizar",IF($AV133&gt;=1,"Retorno cobre o custo: viável","Retorno menor que o custo: reavaliar ou reter para avaliação futura")))</f>
        <v/>
      </c>
      <c r="AX133" s="13"/>
      <c r="AY133" s="16"/>
      <c r="AZ133" s="13"/>
      <c r="BA133" s="13"/>
      <c r="BB133" s="13"/>
      <c r="BC133" s="13"/>
      <c r="BD133" s="13"/>
      <c r="BE133" s="13"/>
      <c r="BF133" s="13"/>
      <c r="BG133" s="13"/>
      <c r="BH133" s="14" t="str">
        <f t="shared" ref="BH133:BH154" si="88">IF($BF133="","",IFERROR(INDEX(SgaProbValor,MATCH($BF133,SgaProbNivel,0)),""))</f>
        <v/>
      </c>
      <c r="BI133" s="14" t="str">
        <f t="shared" ref="BI133:BI154" si="89">IF($BG133="","",IFERROR(INDEX(SgaSevOpValor,MATCH($BG133,SgaSevOpNivel,0)),""))</f>
        <v/>
      </c>
      <c r="BJ133" s="14" t="str">
        <f t="shared" ref="BJ133:BJ154" si="90">IF(COUNT($BH133:$BI133)=2,$BH133*$BI133,"")</f>
        <v/>
      </c>
      <c r="BK133" s="15" t="str">
        <f t="shared" ref="BK133:BK154" si="91">IF($BJ133="","",IF($BJ133&gt;=SgaLimOpSig,"SIGNIFICATIVO",IF($BJ133&gt;=SgaLimOpTol,"TOLERÁVEL","BAIXO")))</f>
        <v/>
      </c>
      <c r="BL133" s="15" t="str">
        <f t="shared" ref="BL133:BL154" si="92">IF($BK133="","",IF($BK133="SIGNIFICATIVO","AÇÃO REQUERIDA","ACEITÁVEL"))</f>
        <v/>
      </c>
      <c r="BM133" s="13"/>
      <c r="BN133" s="13"/>
      <c r="BO133" s="13"/>
      <c r="BP133" s="13"/>
      <c r="BQ133" s="13"/>
      <c r="BR133" s="14" t="str">
        <f t="shared" ref="BR133:BR154" si="93">IF(OR($BP133="",$BQ133=""),"",IFERROR(INDEX(SgaProbValor,MATCH($BP133,SgaProbNivel,0))*INDEX(SgaSevOpValor,MATCH($BQ133,SgaSevOpNivel,0)),""))</f>
        <v/>
      </c>
      <c r="BS133" s="15" t="str">
        <f t="shared" ref="BS133:BS154" si="94">IF($BR133="","",IF($BR133&gt;=SgaLimOpSig,"SIGNIFICATIVO",IF($BR133&gt;=SgaLimOpTol,"TOLERÁVEL","BAIXO")))</f>
        <v/>
      </c>
      <c r="BT133" s="13"/>
    </row>
    <row r="134" spans="1:72">
      <c r="A134" s="115"/>
      <c r="B134" s="12"/>
      <c r="C134" s="13"/>
      <c r="D134" s="13"/>
      <c r="E134" s="12"/>
      <c r="F134" s="12"/>
      <c r="G134" s="13"/>
      <c r="H134" s="12"/>
      <c r="I134" s="13"/>
      <c r="J134" s="13"/>
      <c r="K134" s="13"/>
      <c r="L134" s="13"/>
      <c r="M134" s="12"/>
      <c r="N134" s="12"/>
      <c r="O134" s="14" t="str">
        <f t="shared" si="76"/>
        <v/>
      </c>
      <c r="P134" s="15" t="str">
        <f t="shared" si="77"/>
        <v/>
      </c>
      <c r="Q134" s="13"/>
      <c r="R134" s="13"/>
      <c r="S134" s="13"/>
      <c r="T134" s="13"/>
      <c r="U134" s="15" t="str">
        <f t="shared" si="78"/>
        <v/>
      </c>
      <c r="V134" s="14" t="str">
        <f t="shared" si="79"/>
        <v/>
      </c>
      <c r="W134" s="13"/>
      <c r="X134" s="13"/>
      <c r="Y134" s="13"/>
      <c r="Z134" s="13"/>
      <c r="AA134" s="16"/>
      <c r="AB134" s="12"/>
      <c r="AC134" s="12"/>
      <c r="AD134" s="14" t="str">
        <f t="shared" si="80"/>
        <v/>
      </c>
      <c r="AE134" s="14" t="str">
        <f t="shared" si="81"/>
        <v/>
      </c>
      <c r="AF134" s="17" t="str">
        <f t="shared" si="82"/>
        <v/>
      </c>
      <c r="AG134" s="13"/>
      <c r="AH134" s="16"/>
      <c r="AI134" s="12"/>
      <c r="AJ134" s="16"/>
      <c r="AK134" s="13"/>
      <c r="AL134" s="16"/>
      <c r="AM134" s="13"/>
      <c r="AN134" s="17" t="str">
        <f t="shared" si="83"/>
        <v/>
      </c>
      <c r="AO134" s="14" t="str">
        <f t="shared" ca="1" si="84"/>
        <v/>
      </c>
      <c r="AP134" s="13"/>
      <c r="AQ134" s="12"/>
      <c r="AR134" s="14" t="str">
        <f>IF($O134="","",1+COUNTIF($O$5:$O$154,"&gt;"&amp;$O134)+COUNTIFS($O$5:$O$154,$O134,$N$5:$N$154,"&gt;"&amp;$N134)+COUNTIFS($O$4:$O133,$O134,$N$4:$N133,$N134))</f>
        <v/>
      </c>
      <c r="AS134" s="62"/>
      <c r="AT134" s="62"/>
      <c r="AU134" s="63" t="str">
        <f t="shared" si="85"/>
        <v/>
      </c>
      <c r="AV134" s="64" t="str">
        <f t="shared" si="86"/>
        <v/>
      </c>
      <c r="AW134" s="129" t="str">
        <f t="shared" si="87"/>
        <v/>
      </c>
      <c r="AX134" s="13"/>
      <c r="AY134" s="16"/>
      <c r="AZ134" s="13"/>
      <c r="BA134" s="13"/>
      <c r="BB134" s="13"/>
      <c r="BC134" s="13"/>
      <c r="BD134" s="13"/>
      <c r="BE134" s="13"/>
      <c r="BF134" s="13"/>
      <c r="BG134" s="13"/>
      <c r="BH134" s="14" t="str">
        <f t="shared" si="88"/>
        <v/>
      </c>
      <c r="BI134" s="14" t="str">
        <f t="shared" si="89"/>
        <v/>
      </c>
      <c r="BJ134" s="14" t="str">
        <f t="shared" si="90"/>
        <v/>
      </c>
      <c r="BK134" s="15" t="str">
        <f t="shared" si="91"/>
        <v/>
      </c>
      <c r="BL134" s="15" t="str">
        <f t="shared" si="92"/>
        <v/>
      </c>
      <c r="BM134" s="13"/>
      <c r="BN134" s="13"/>
      <c r="BO134" s="13"/>
      <c r="BP134" s="13"/>
      <c r="BQ134" s="13"/>
      <c r="BR134" s="14" t="str">
        <f t="shared" si="93"/>
        <v/>
      </c>
      <c r="BS134" s="15" t="str">
        <f t="shared" si="94"/>
        <v/>
      </c>
      <c r="BT134" s="13"/>
    </row>
    <row r="135" spans="1:72">
      <c r="A135" s="115"/>
      <c r="B135" s="12"/>
      <c r="C135" s="13"/>
      <c r="D135" s="13"/>
      <c r="E135" s="12"/>
      <c r="F135" s="12"/>
      <c r="G135" s="13"/>
      <c r="H135" s="12"/>
      <c r="I135" s="13"/>
      <c r="J135" s="13"/>
      <c r="K135" s="13"/>
      <c r="L135" s="13"/>
      <c r="M135" s="12"/>
      <c r="N135" s="12"/>
      <c r="O135" s="14" t="str">
        <f t="shared" si="76"/>
        <v/>
      </c>
      <c r="P135" s="15" t="str">
        <f t="shared" si="77"/>
        <v/>
      </c>
      <c r="Q135" s="13"/>
      <c r="R135" s="13"/>
      <c r="S135" s="13"/>
      <c r="T135" s="13"/>
      <c r="U135" s="15" t="str">
        <f t="shared" si="78"/>
        <v/>
      </c>
      <c r="V135" s="14" t="str">
        <f t="shared" si="79"/>
        <v/>
      </c>
      <c r="W135" s="13"/>
      <c r="X135" s="13"/>
      <c r="Y135" s="13"/>
      <c r="Z135" s="13"/>
      <c r="AA135" s="16"/>
      <c r="AB135" s="12"/>
      <c r="AC135" s="12"/>
      <c r="AD135" s="14" t="str">
        <f t="shared" si="80"/>
        <v/>
      </c>
      <c r="AE135" s="14" t="str">
        <f t="shared" si="81"/>
        <v/>
      </c>
      <c r="AF135" s="17" t="str">
        <f t="shared" si="82"/>
        <v/>
      </c>
      <c r="AG135" s="13"/>
      <c r="AH135" s="16"/>
      <c r="AI135" s="12"/>
      <c r="AJ135" s="16"/>
      <c r="AK135" s="13"/>
      <c r="AL135" s="16"/>
      <c r="AM135" s="13"/>
      <c r="AN135" s="17" t="str">
        <f t="shared" si="83"/>
        <v/>
      </c>
      <c r="AO135" s="14" t="str">
        <f t="shared" ca="1" si="84"/>
        <v/>
      </c>
      <c r="AP135" s="13"/>
      <c r="AQ135" s="12"/>
      <c r="AR135" s="14" t="str">
        <f>IF($O135="","",1+COUNTIF($O$5:$O$154,"&gt;"&amp;$O135)+COUNTIFS($O$5:$O$154,$O135,$N$5:$N$154,"&gt;"&amp;$N135)+COUNTIFS($O$4:$O134,$O135,$N$4:$N134,$N135))</f>
        <v/>
      </c>
      <c r="AS135" s="62"/>
      <c r="AT135" s="62"/>
      <c r="AU135" s="63" t="str">
        <f t="shared" si="85"/>
        <v/>
      </c>
      <c r="AV135" s="64" t="str">
        <f t="shared" si="86"/>
        <v/>
      </c>
      <c r="AW135" s="129" t="str">
        <f t="shared" si="87"/>
        <v/>
      </c>
      <c r="AX135" s="13"/>
      <c r="AY135" s="16"/>
      <c r="AZ135" s="13"/>
      <c r="BA135" s="13"/>
      <c r="BB135" s="13"/>
      <c r="BC135" s="13"/>
      <c r="BD135" s="13"/>
      <c r="BE135" s="13"/>
      <c r="BF135" s="13"/>
      <c r="BG135" s="13"/>
      <c r="BH135" s="14" t="str">
        <f t="shared" si="88"/>
        <v/>
      </c>
      <c r="BI135" s="14" t="str">
        <f t="shared" si="89"/>
        <v/>
      </c>
      <c r="BJ135" s="14" t="str">
        <f t="shared" si="90"/>
        <v/>
      </c>
      <c r="BK135" s="15" t="str">
        <f t="shared" si="91"/>
        <v/>
      </c>
      <c r="BL135" s="15" t="str">
        <f t="shared" si="92"/>
        <v/>
      </c>
      <c r="BM135" s="13"/>
      <c r="BN135" s="13"/>
      <c r="BO135" s="13"/>
      <c r="BP135" s="13"/>
      <c r="BQ135" s="13"/>
      <c r="BR135" s="14" t="str">
        <f t="shared" si="93"/>
        <v/>
      </c>
      <c r="BS135" s="15" t="str">
        <f t="shared" si="94"/>
        <v/>
      </c>
      <c r="BT135" s="13"/>
    </row>
    <row r="136" spans="1:72">
      <c r="A136" s="115"/>
      <c r="B136" s="12"/>
      <c r="C136" s="13"/>
      <c r="D136" s="13"/>
      <c r="E136" s="12"/>
      <c r="F136" s="12"/>
      <c r="G136" s="13"/>
      <c r="H136" s="12"/>
      <c r="I136" s="13"/>
      <c r="J136" s="13"/>
      <c r="K136" s="13"/>
      <c r="L136" s="13"/>
      <c r="M136" s="12"/>
      <c r="N136" s="12"/>
      <c r="O136" s="14" t="str">
        <f t="shared" si="76"/>
        <v/>
      </c>
      <c r="P136" s="15" t="str">
        <f t="shared" si="77"/>
        <v/>
      </c>
      <c r="Q136" s="13"/>
      <c r="R136" s="13"/>
      <c r="S136" s="13"/>
      <c r="T136" s="13"/>
      <c r="U136" s="15" t="str">
        <f t="shared" si="78"/>
        <v/>
      </c>
      <c r="V136" s="14" t="str">
        <f t="shared" si="79"/>
        <v/>
      </c>
      <c r="W136" s="13"/>
      <c r="X136" s="13"/>
      <c r="Y136" s="13"/>
      <c r="Z136" s="13"/>
      <c r="AA136" s="16"/>
      <c r="AB136" s="12"/>
      <c r="AC136" s="12"/>
      <c r="AD136" s="14" t="str">
        <f t="shared" si="80"/>
        <v/>
      </c>
      <c r="AE136" s="14" t="str">
        <f t="shared" si="81"/>
        <v/>
      </c>
      <c r="AF136" s="17" t="str">
        <f t="shared" si="82"/>
        <v/>
      </c>
      <c r="AG136" s="13"/>
      <c r="AH136" s="16"/>
      <c r="AI136" s="12"/>
      <c r="AJ136" s="16"/>
      <c r="AK136" s="13"/>
      <c r="AL136" s="16"/>
      <c r="AM136" s="13"/>
      <c r="AN136" s="17" t="str">
        <f t="shared" si="83"/>
        <v/>
      </c>
      <c r="AO136" s="14" t="str">
        <f t="shared" ca="1" si="84"/>
        <v/>
      </c>
      <c r="AP136" s="13"/>
      <c r="AQ136" s="12"/>
      <c r="AR136" s="14" t="str">
        <f>IF($O136="","",1+COUNTIF($O$5:$O$154,"&gt;"&amp;$O136)+COUNTIFS($O$5:$O$154,$O136,$N$5:$N$154,"&gt;"&amp;$N136)+COUNTIFS($O$4:$O135,$O136,$N$4:$N135,$N136))</f>
        <v/>
      </c>
      <c r="AS136" s="62"/>
      <c r="AT136" s="62"/>
      <c r="AU136" s="63" t="str">
        <f t="shared" si="85"/>
        <v/>
      </c>
      <c r="AV136" s="64" t="str">
        <f t="shared" si="86"/>
        <v/>
      </c>
      <c r="AW136" s="129" t="str">
        <f t="shared" si="87"/>
        <v/>
      </c>
      <c r="AX136" s="13"/>
      <c r="AY136" s="16"/>
      <c r="AZ136" s="13"/>
      <c r="BA136" s="13"/>
      <c r="BB136" s="13"/>
      <c r="BC136" s="13"/>
      <c r="BD136" s="13"/>
      <c r="BE136" s="13"/>
      <c r="BF136" s="13"/>
      <c r="BG136" s="13"/>
      <c r="BH136" s="14" t="str">
        <f t="shared" si="88"/>
        <v/>
      </c>
      <c r="BI136" s="14" t="str">
        <f t="shared" si="89"/>
        <v/>
      </c>
      <c r="BJ136" s="14" t="str">
        <f t="shared" si="90"/>
        <v/>
      </c>
      <c r="BK136" s="15" t="str">
        <f t="shared" si="91"/>
        <v/>
      </c>
      <c r="BL136" s="15" t="str">
        <f t="shared" si="92"/>
        <v/>
      </c>
      <c r="BM136" s="13"/>
      <c r="BN136" s="13"/>
      <c r="BO136" s="13"/>
      <c r="BP136" s="13"/>
      <c r="BQ136" s="13"/>
      <c r="BR136" s="14" t="str">
        <f t="shared" si="93"/>
        <v/>
      </c>
      <c r="BS136" s="15" t="str">
        <f t="shared" si="94"/>
        <v/>
      </c>
      <c r="BT136" s="13"/>
    </row>
    <row r="137" spans="1:72">
      <c r="A137" s="115"/>
      <c r="B137" s="12"/>
      <c r="C137" s="13"/>
      <c r="D137" s="13"/>
      <c r="E137" s="12"/>
      <c r="F137" s="12"/>
      <c r="G137" s="13"/>
      <c r="H137" s="12"/>
      <c r="I137" s="13"/>
      <c r="J137" s="13"/>
      <c r="K137" s="13"/>
      <c r="L137" s="13"/>
      <c r="M137" s="12"/>
      <c r="N137" s="12"/>
      <c r="O137" s="14" t="str">
        <f t="shared" si="76"/>
        <v/>
      </c>
      <c r="P137" s="15" t="str">
        <f t="shared" si="77"/>
        <v/>
      </c>
      <c r="Q137" s="13"/>
      <c r="R137" s="13"/>
      <c r="S137" s="13"/>
      <c r="T137" s="13"/>
      <c r="U137" s="15" t="str">
        <f t="shared" si="78"/>
        <v/>
      </c>
      <c r="V137" s="14" t="str">
        <f t="shared" si="79"/>
        <v/>
      </c>
      <c r="W137" s="13"/>
      <c r="X137" s="13"/>
      <c r="Y137" s="13"/>
      <c r="Z137" s="13"/>
      <c r="AA137" s="16"/>
      <c r="AB137" s="12"/>
      <c r="AC137" s="12"/>
      <c r="AD137" s="14" t="str">
        <f t="shared" si="80"/>
        <v/>
      </c>
      <c r="AE137" s="14" t="str">
        <f t="shared" si="81"/>
        <v/>
      </c>
      <c r="AF137" s="17" t="str">
        <f t="shared" si="82"/>
        <v/>
      </c>
      <c r="AG137" s="13"/>
      <c r="AH137" s="16"/>
      <c r="AI137" s="12"/>
      <c r="AJ137" s="16"/>
      <c r="AK137" s="13"/>
      <c r="AL137" s="16"/>
      <c r="AM137" s="13"/>
      <c r="AN137" s="17" t="str">
        <f t="shared" si="83"/>
        <v/>
      </c>
      <c r="AO137" s="14" t="str">
        <f t="shared" ca="1" si="84"/>
        <v/>
      </c>
      <c r="AP137" s="13"/>
      <c r="AQ137" s="12"/>
      <c r="AR137" s="14" t="str">
        <f>IF($O137="","",1+COUNTIF($O$5:$O$154,"&gt;"&amp;$O137)+COUNTIFS($O$5:$O$154,$O137,$N$5:$N$154,"&gt;"&amp;$N137)+COUNTIFS($O$4:$O136,$O137,$N$4:$N136,$N137))</f>
        <v/>
      </c>
      <c r="AS137" s="62"/>
      <c r="AT137" s="62"/>
      <c r="AU137" s="63" t="str">
        <f t="shared" si="85"/>
        <v/>
      </c>
      <c r="AV137" s="64" t="str">
        <f t="shared" si="86"/>
        <v/>
      </c>
      <c r="AW137" s="129" t="str">
        <f t="shared" si="87"/>
        <v/>
      </c>
      <c r="AX137" s="13"/>
      <c r="AY137" s="16"/>
      <c r="AZ137" s="13"/>
      <c r="BA137" s="13"/>
      <c r="BB137" s="13"/>
      <c r="BC137" s="13"/>
      <c r="BD137" s="13"/>
      <c r="BE137" s="13"/>
      <c r="BF137" s="13"/>
      <c r="BG137" s="13"/>
      <c r="BH137" s="14" t="str">
        <f t="shared" si="88"/>
        <v/>
      </c>
      <c r="BI137" s="14" t="str">
        <f t="shared" si="89"/>
        <v/>
      </c>
      <c r="BJ137" s="14" t="str">
        <f t="shared" si="90"/>
        <v/>
      </c>
      <c r="BK137" s="15" t="str">
        <f t="shared" si="91"/>
        <v/>
      </c>
      <c r="BL137" s="15" t="str">
        <f t="shared" si="92"/>
        <v/>
      </c>
      <c r="BM137" s="13"/>
      <c r="BN137" s="13"/>
      <c r="BO137" s="13"/>
      <c r="BP137" s="13"/>
      <c r="BQ137" s="13"/>
      <c r="BR137" s="14" t="str">
        <f t="shared" si="93"/>
        <v/>
      </c>
      <c r="BS137" s="15" t="str">
        <f t="shared" si="94"/>
        <v/>
      </c>
      <c r="BT137" s="13"/>
    </row>
    <row r="138" spans="1:72">
      <c r="A138" s="115"/>
      <c r="B138" s="12"/>
      <c r="C138" s="13"/>
      <c r="D138" s="13"/>
      <c r="E138" s="12"/>
      <c r="F138" s="12"/>
      <c r="G138" s="13"/>
      <c r="H138" s="12"/>
      <c r="I138" s="13"/>
      <c r="J138" s="13"/>
      <c r="K138" s="13"/>
      <c r="L138" s="13"/>
      <c r="M138" s="12"/>
      <c r="N138" s="12"/>
      <c r="O138" s="14" t="str">
        <f t="shared" si="76"/>
        <v/>
      </c>
      <c r="P138" s="15" t="str">
        <f t="shared" si="77"/>
        <v/>
      </c>
      <c r="Q138" s="13"/>
      <c r="R138" s="13"/>
      <c r="S138" s="13"/>
      <c r="T138" s="13"/>
      <c r="U138" s="15" t="str">
        <f t="shared" si="78"/>
        <v/>
      </c>
      <c r="V138" s="14" t="str">
        <f t="shared" si="79"/>
        <v/>
      </c>
      <c r="W138" s="13"/>
      <c r="X138" s="13"/>
      <c r="Y138" s="13"/>
      <c r="Z138" s="13"/>
      <c r="AA138" s="16"/>
      <c r="AB138" s="12"/>
      <c r="AC138" s="12"/>
      <c r="AD138" s="14" t="str">
        <f t="shared" si="80"/>
        <v/>
      </c>
      <c r="AE138" s="14" t="str">
        <f t="shared" si="81"/>
        <v/>
      </c>
      <c r="AF138" s="17" t="str">
        <f t="shared" si="82"/>
        <v/>
      </c>
      <c r="AG138" s="13"/>
      <c r="AH138" s="16"/>
      <c r="AI138" s="12"/>
      <c r="AJ138" s="16"/>
      <c r="AK138" s="13"/>
      <c r="AL138" s="16"/>
      <c r="AM138" s="13"/>
      <c r="AN138" s="17" t="str">
        <f t="shared" si="83"/>
        <v/>
      </c>
      <c r="AO138" s="14" t="str">
        <f t="shared" ca="1" si="84"/>
        <v/>
      </c>
      <c r="AP138" s="13"/>
      <c r="AQ138" s="12"/>
      <c r="AR138" s="14" t="str">
        <f>IF($O138="","",1+COUNTIF($O$5:$O$154,"&gt;"&amp;$O138)+COUNTIFS($O$5:$O$154,$O138,$N$5:$N$154,"&gt;"&amp;$N138)+COUNTIFS($O$4:$O137,$O138,$N$4:$N137,$N138))</f>
        <v/>
      </c>
      <c r="AS138" s="62"/>
      <c r="AT138" s="62"/>
      <c r="AU138" s="63" t="str">
        <f t="shared" si="85"/>
        <v/>
      </c>
      <c r="AV138" s="64" t="str">
        <f t="shared" si="86"/>
        <v/>
      </c>
      <c r="AW138" s="129" t="str">
        <f t="shared" si="87"/>
        <v/>
      </c>
      <c r="AX138" s="13"/>
      <c r="AY138" s="16"/>
      <c r="AZ138" s="13"/>
      <c r="BA138" s="13"/>
      <c r="BB138" s="13"/>
      <c r="BC138" s="13"/>
      <c r="BD138" s="13"/>
      <c r="BE138" s="13"/>
      <c r="BF138" s="13"/>
      <c r="BG138" s="13"/>
      <c r="BH138" s="14" t="str">
        <f t="shared" si="88"/>
        <v/>
      </c>
      <c r="BI138" s="14" t="str">
        <f t="shared" si="89"/>
        <v/>
      </c>
      <c r="BJ138" s="14" t="str">
        <f t="shared" si="90"/>
        <v/>
      </c>
      <c r="BK138" s="15" t="str">
        <f t="shared" si="91"/>
        <v/>
      </c>
      <c r="BL138" s="15" t="str">
        <f t="shared" si="92"/>
        <v/>
      </c>
      <c r="BM138" s="13"/>
      <c r="BN138" s="13"/>
      <c r="BO138" s="13"/>
      <c r="BP138" s="13"/>
      <c r="BQ138" s="13"/>
      <c r="BR138" s="14" t="str">
        <f t="shared" si="93"/>
        <v/>
      </c>
      <c r="BS138" s="15" t="str">
        <f t="shared" si="94"/>
        <v/>
      </c>
      <c r="BT138" s="13"/>
    </row>
    <row r="139" spans="1:72">
      <c r="A139" s="115"/>
      <c r="B139" s="12"/>
      <c r="C139" s="13"/>
      <c r="D139" s="13"/>
      <c r="E139" s="12"/>
      <c r="F139" s="12"/>
      <c r="G139" s="13"/>
      <c r="H139" s="12"/>
      <c r="I139" s="13"/>
      <c r="J139" s="13"/>
      <c r="K139" s="13"/>
      <c r="L139" s="13"/>
      <c r="M139" s="12"/>
      <c r="N139" s="12"/>
      <c r="O139" s="14" t="str">
        <f t="shared" si="76"/>
        <v/>
      </c>
      <c r="P139" s="15" t="str">
        <f t="shared" si="77"/>
        <v/>
      </c>
      <c r="Q139" s="13"/>
      <c r="R139" s="13"/>
      <c r="S139" s="13"/>
      <c r="T139" s="13"/>
      <c r="U139" s="15" t="str">
        <f t="shared" si="78"/>
        <v/>
      </c>
      <c r="V139" s="14" t="str">
        <f t="shared" si="79"/>
        <v/>
      </c>
      <c r="W139" s="13"/>
      <c r="X139" s="13"/>
      <c r="Y139" s="13"/>
      <c r="Z139" s="13"/>
      <c r="AA139" s="16"/>
      <c r="AB139" s="12"/>
      <c r="AC139" s="12"/>
      <c r="AD139" s="14" t="str">
        <f t="shared" si="80"/>
        <v/>
      </c>
      <c r="AE139" s="14" t="str">
        <f t="shared" si="81"/>
        <v/>
      </c>
      <c r="AF139" s="17" t="str">
        <f t="shared" si="82"/>
        <v/>
      </c>
      <c r="AG139" s="13"/>
      <c r="AH139" s="16"/>
      <c r="AI139" s="12"/>
      <c r="AJ139" s="16"/>
      <c r="AK139" s="13"/>
      <c r="AL139" s="16"/>
      <c r="AM139" s="13"/>
      <c r="AN139" s="17" t="str">
        <f t="shared" si="83"/>
        <v/>
      </c>
      <c r="AO139" s="14" t="str">
        <f t="shared" ca="1" si="84"/>
        <v/>
      </c>
      <c r="AP139" s="13"/>
      <c r="AQ139" s="12"/>
      <c r="AR139" s="14" t="str">
        <f>IF($O139="","",1+COUNTIF($O$5:$O$154,"&gt;"&amp;$O139)+COUNTIFS($O$5:$O$154,$O139,$N$5:$N$154,"&gt;"&amp;$N139)+COUNTIFS($O$4:$O138,$O139,$N$4:$N138,$N139))</f>
        <v/>
      </c>
      <c r="AS139" s="62"/>
      <c r="AT139" s="62"/>
      <c r="AU139" s="63" t="str">
        <f t="shared" si="85"/>
        <v/>
      </c>
      <c r="AV139" s="64" t="str">
        <f t="shared" si="86"/>
        <v/>
      </c>
      <c r="AW139" s="129" t="str">
        <f t="shared" si="87"/>
        <v/>
      </c>
      <c r="AX139" s="13"/>
      <c r="AY139" s="16"/>
      <c r="AZ139" s="13"/>
      <c r="BA139" s="13"/>
      <c r="BB139" s="13"/>
      <c r="BC139" s="13"/>
      <c r="BD139" s="13"/>
      <c r="BE139" s="13"/>
      <c r="BF139" s="13"/>
      <c r="BG139" s="13"/>
      <c r="BH139" s="14" t="str">
        <f t="shared" si="88"/>
        <v/>
      </c>
      <c r="BI139" s="14" t="str">
        <f t="shared" si="89"/>
        <v/>
      </c>
      <c r="BJ139" s="14" t="str">
        <f t="shared" si="90"/>
        <v/>
      </c>
      <c r="BK139" s="15" t="str">
        <f t="shared" si="91"/>
        <v/>
      </c>
      <c r="BL139" s="15" t="str">
        <f t="shared" si="92"/>
        <v/>
      </c>
      <c r="BM139" s="13"/>
      <c r="BN139" s="13"/>
      <c r="BO139" s="13"/>
      <c r="BP139" s="13"/>
      <c r="BQ139" s="13"/>
      <c r="BR139" s="14" t="str">
        <f t="shared" si="93"/>
        <v/>
      </c>
      <c r="BS139" s="15" t="str">
        <f t="shared" si="94"/>
        <v/>
      </c>
      <c r="BT139" s="13"/>
    </row>
    <row r="140" spans="1:72">
      <c r="A140" s="115"/>
      <c r="B140" s="12"/>
      <c r="C140" s="13"/>
      <c r="D140" s="13"/>
      <c r="E140" s="12"/>
      <c r="F140" s="12"/>
      <c r="G140" s="13"/>
      <c r="H140" s="12"/>
      <c r="I140" s="13"/>
      <c r="J140" s="13"/>
      <c r="K140" s="13"/>
      <c r="L140" s="13"/>
      <c r="M140" s="12"/>
      <c r="N140" s="12"/>
      <c r="O140" s="14" t="str">
        <f t="shared" si="76"/>
        <v/>
      </c>
      <c r="P140" s="15" t="str">
        <f t="shared" si="77"/>
        <v/>
      </c>
      <c r="Q140" s="13"/>
      <c r="R140" s="13"/>
      <c r="S140" s="13"/>
      <c r="T140" s="13"/>
      <c r="U140" s="15" t="str">
        <f t="shared" si="78"/>
        <v/>
      </c>
      <c r="V140" s="14" t="str">
        <f t="shared" si="79"/>
        <v/>
      </c>
      <c r="W140" s="13"/>
      <c r="X140" s="13"/>
      <c r="Y140" s="13"/>
      <c r="Z140" s="13"/>
      <c r="AA140" s="16"/>
      <c r="AB140" s="12"/>
      <c r="AC140" s="12"/>
      <c r="AD140" s="14" t="str">
        <f t="shared" si="80"/>
        <v/>
      </c>
      <c r="AE140" s="14" t="str">
        <f t="shared" si="81"/>
        <v/>
      </c>
      <c r="AF140" s="17" t="str">
        <f t="shared" si="82"/>
        <v/>
      </c>
      <c r="AG140" s="13"/>
      <c r="AH140" s="16"/>
      <c r="AI140" s="12"/>
      <c r="AJ140" s="16"/>
      <c r="AK140" s="13"/>
      <c r="AL140" s="16"/>
      <c r="AM140" s="13"/>
      <c r="AN140" s="17" t="str">
        <f t="shared" si="83"/>
        <v/>
      </c>
      <c r="AO140" s="14" t="str">
        <f t="shared" ca="1" si="84"/>
        <v/>
      </c>
      <c r="AP140" s="13"/>
      <c r="AQ140" s="12"/>
      <c r="AR140" s="14" t="str">
        <f>IF($O140="","",1+COUNTIF($O$5:$O$154,"&gt;"&amp;$O140)+COUNTIFS($O$5:$O$154,$O140,$N$5:$N$154,"&gt;"&amp;$N140)+COUNTIFS($O$4:$O139,$O140,$N$4:$N139,$N140))</f>
        <v/>
      </c>
      <c r="AS140" s="62"/>
      <c r="AT140" s="62"/>
      <c r="AU140" s="63" t="str">
        <f t="shared" si="85"/>
        <v/>
      </c>
      <c r="AV140" s="64" t="str">
        <f t="shared" si="86"/>
        <v/>
      </c>
      <c r="AW140" s="129" t="str">
        <f t="shared" si="87"/>
        <v/>
      </c>
      <c r="AX140" s="13"/>
      <c r="AY140" s="16"/>
      <c r="AZ140" s="13"/>
      <c r="BA140" s="13"/>
      <c r="BB140" s="13"/>
      <c r="BC140" s="13"/>
      <c r="BD140" s="13"/>
      <c r="BE140" s="13"/>
      <c r="BF140" s="13"/>
      <c r="BG140" s="13"/>
      <c r="BH140" s="14" t="str">
        <f t="shared" si="88"/>
        <v/>
      </c>
      <c r="BI140" s="14" t="str">
        <f t="shared" si="89"/>
        <v/>
      </c>
      <c r="BJ140" s="14" t="str">
        <f t="shared" si="90"/>
        <v/>
      </c>
      <c r="BK140" s="15" t="str">
        <f t="shared" si="91"/>
        <v/>
      </c>
      <c r="BL140" s="15" t="str">
        <f t="shared" si="92"/>
        <v/>
      </c>
      <c r="BM140" s="13"/>
      <c r="BN140" s="13"/>
      <c r="BO140" s="13"/>
      <c r="BP140" s="13"/>
      <c r="BQ140" s="13"/>
      <c r="BR140" s="14" t="str">
        <f t="shared" si="93"/>
        <v/>
      </c>
      <c r="BS140" s="15" t="str">
        <f t="shared" si="94"/>
        <v/>
      </c>
      <c r="BT140" s="13"/>
    </row>
    <row r="141" spans="1:72">
      <c r="A141" s="115"/>
      <c r="B141" s="12"/>
      <c r="C141" s="13"/>
      <c r="D141" s="13"/>
      <c r="E141" s="12"/>
      <c r="F141" s="12"/>
      <c r="G141" s="13"/>
      <c r="H141" s="12"/>
      <c r="I141" s="13"/>
      <c r="J141" s="13"/>
      <c r="K141" s="13"/>
      <c r="L141" s="13"/>
      <c r="M141" s="12"/>
      <c r="N141" s="12"/>
      <c r="O141" s="14" t="str">
        <f t="shared" si="76"/>
        <v/>
      </c>
      <c r="P141" s="15" t="str">
        <f t="shared" si="77"/>
        <v/>
      </c>
      <c r="Q141" s="13"/>
      <c r="R141" s="13"/>
      <c r="S141" s="13"/>
      <c r="T141" s="13"/>
      <c r="U141" s="15" t="str">
        <f t="shared" si="78"/>
        <v/>
      </c>
      <c r="V141" s="14" t="str">
        <f t="shared" si="79"/>
        <v/>
      </c>
      <c r="W141" s="13"/>
      <c r="X141" s="13"/>
      <c r="Y141" s="13"/>
      <c r="Z141" s="13"/>
      <c r="AA141" s="16"/>
      <c r="AB141" s="12"/>
      <c r="AC141" s="12"/>
      <c r="AD141" s="14" t="str">
        <f t="shared" si="80"/>
        <v/>
      </c>
      <c r="AE141" s="14" t="str">
        <f t="shared" si="81"/>
        <v/>
      </c>
      <c r="AF141" s="17" t="str">
        <f t="shared" si="82"/>
        <v/>
      </c>
      <c r="AG141" s="13"/>
      <c r="AH141" s="16"/>
      <c r="AI141" s="12"/>
      <c r="AJ141" s="16"/>
      <c r="AK141" s="13"/>
      <c r="AL141" s="16"/>
      <c r="AM141" s="13"/>
      <c r="AN141" s="17" t="str">
        <f t="shared" si="83"/>
        <v/>
      </c>
      <c r="AO141" s="14" t="str">
        <f t="shared" ca="1" si="84"/>
        <v/>
      </c>
      <c r="AP141" s="13"/>
      <c r="AQ141" s="12"/>
      <c r="AR141" s="14" t="str">
        <f>IF($O141="","",1+COUNTIF($O$5:$O$154,"&gt;"&amp;$O141)+COUNTIFS($O$5:$O$154,$O141,$N$5:$N$154,"&gt;"&amp;$N141)+COUNTIFS($O$4:$O140,$O141,$N$4:$N140,$N141))</f>
        <v/>
      </c>
      <c r="AS141" s="62"/>
      <c r="AT141" s="62"/>
      <c r="AU141" s="63" t="str">
        <f t="shared" si="85"/>
        <v/>
      </c>
      <c r="AV141" s="64" t="str">
        <f t="shared" si="86"/>
        <v/>
      </c>
      <c r="AW141" s="129" t="str">
        <f t="shared" si="87"/>
        <v/>
      </c>
      <c r="AX141" s="13"/>
      <c r="AY141" s="16"/>
      <c r="AZ141" s="13"/>
      <c r="BA141" s="13"/>
      <c r="BB141" s="13"/>
      <c r="BC141" s="13"/>
      <c r="BD141" s="13"/>
      <c r="BE141" s="13"/>
      <c r="BF141" s="13"/>
      <c r="BG141" s="13"/>
      <c r="BH141" s="14" t="str">
        <f t="shared" si="88"/>
        <v/>
      </c>
      <c r="BI141" s="14" t="str">
        <f t="shared" si="89"/>
        <v/>
      </c>
      <c r="BJ141" s="14" t="str">
        <f t="shared" si="90"/>
        <v/>
      </c>
      <c r="BK141" s="15" t="str">
        <f t="shared" si="91"/>
        <v/>
      </c>
      <c r="BL141" s="15" t="str">
        <f t="shared" si="92"/>
        <v/>
      </c>
      <c r="BM141" s="13"/>
      <c r="BN141" s="13"/>
      <c r="BO141" s="13"/>
      <c r="BP141" s="13"/>
      <c r="BQ141" s="13"/>
      <c r="BR141" s="14" t="str">
        <f t="shared" si="93"/>
        <v/>
      </c>
      <c r="BS141" s="15" t="str">
        <f t="shared" si="94"/>
        <v/>
      </c>
      <c r="BT141" s="13"/>
    </row>
    <row r="142" spans="1:72">
      <c r="A142" s="115"/>
      <c r="B142" s="12"/>
      <c r="C142" s="13"/>
      <c r="D142" s="13"/>
      <c r="E142" s="12"/>
      <c r="F142" s="12"/>
      <c r="G142" s="13"/>
      <c r="H142" s="12"/>
      <c r="I142" s="13"/>
      <c r="J142" s="13"/>
      <c r="K142" s="13"/>
      <c r="L142" s="13"/>
      <c r="M142" s="12"/>
      <c r="N142" s="12"/>
      <c r="O142" s="14" t="str">
        <f t="shared" si="76"/>
        <v/>
      </c>
      <c r="P142" s="15" t="str">
        <f t="shared" si="77"/>
        <v/>
      </c>
      <c r="Q142" s="13"/>
      <c r="R142" s="13"/>
      <c r="S142" s="13"/>
      <c r="T142" s="13"/>
      <c r="U142" s="15" t="str">
        <f t="shared" si="78"/>
        <v/>
      </c>
      <c r="V142" s="14" t="str">
        <f t="shared" si="79"/>
        <v/>
      </c>
      <c r="W142" s="13"/>
      <c r="X142" s="13"/>
      <c r="Y142" s="13"/>
      <c r="Z142" s="13"/>
      <c r="AA142" s="16"/>
      <c r="AB142" s="12"/>
      <c r="AC142" s="12"/>
      <c r="AD142" s="14" t="str">
        <f t="shared" si="80"/>
        <v/>
      </c>
      <c r="AE142" s="14" t="str">
        <f t="shared" si="81"/>
        <v/>
      </c>
      <c r="AF142" s="17" t="str">
        <f t="shared" si="82"/>
        <v/>
      </c>
      <c r="AG142" s="13"/>
      <c r="AH142" s="16"/>
      <c r="AI142" s="12"/>
      <c r="AJ142" s="16"/>
      <c r="AK142" s="13"/>
      <c r="AL142" s="16"/>
      <c r="AM142" s="13"/>
      <c r="AN142" s="17" t="str">
        <f t="shared" si="83"/>
        <v/>
      </c>
      <c r="AO142" s="14" t="str">
        <f t="shared" ca="1" si="84"/>
        <v/>
      </c>
      <c r="AP142" s="13"/>
      <c r="AQ142" s="12"/>
      <c r="AR142" s="14" t="str">
        <f>IF($O142="","",1+COUNTIF($O$5:$O$154,"&gt;"&amp;$O142)+COUNTIFS($O$5:$O$154,$O142,$N$5:$N$154,"&gt;"&amp;$N142)+COUNTIFS($O$4:$O141,$O142,$N$4:$N141,$N142))</f>
        <v/>
      </c>
      <c r="AS142" s="62"/>
      <c r="AT142" s="62"/>
      <c r="AU142" s="63" t="str">
        <f t="shared" si="85"/>
        <v/>
      </c>
      <c r="AV142" s="64" t="str">
        <f t="shared" si="86"/>
        <v/>
      </c>
      <c r="AW142" s="129" t="str">
        <f t="shared" si="87"/>
        <v/>
      </c>
      <c r="AX142" s="13"/>
      <c r="AY142" s="16"/>
      <c r="AZ142" s="13"/>
      <c r="BA142" s="13"/>
      <c r="BB142" s="13"/>
      <c r="BC142" s="13"/>
      <c r="BD142" s="13"/>
      <c r="BE142" s="13"/>
      <c r="BF142" s="13"/>
      <c r="BG142" s="13"/>
      <c r="BH142" s="14" t="str">
        <f t="shared" si="88"/>
        <v/>
      </c>
      <c r="BI142" s="14" t="str">
        <f t="shared" si="89"/>
        <v/>
      </c>
      <c r="BJ142" s="14" t="str">
        <f t="shared" si="90"/>
        <v/>
      </c>
      <c r="BK142" s="15" t="str">
        <f t="shared" si="91"/>
        <v/>
      </c>
      <c r="BL142" s="15" t="str">
        <f t="shared" si="92"/>
        <v/>
      </c>
      <c r="BM142" s="13"/>
      <c r="BN142" s="13"/>
      <c r="BO142" s="13"/>
      <c r="BP142" s="13"/>
      <c r="BQ142" s="13"/>
      <c r="BR142" s="14" t="str">
        <f t="shared" si="93"/>
        <v/>
      </c>
      <c r="BS142" s="15" t="str">
        <f t="shared" si="94"/>
        <v/>
      </c>
      <c r="BT142" s="13"/>
    </row>
    <row r="143" spans="1:72">
      <c r="A143" s="115"/>
      <c r="B143" s="12"/>
      <c r="C143" s="13"/>
      <c r="D143" s="13"/>
      <c r="E143" s="12"/>
      <c r="F143" s="12"/>
      <c r="G143" s="13"/>
      <c r="H143" s="12"/>
      <c r="I143" s="13"/>
      <c r="J143" s="13"/>
      <c r="K143" s="13"/>
      <c r="L143" s="13"/>
      <c r="M143" s="12"/>
      <c r="N143" s="12"/>
      <c r="O143" s="14" t="str">
        <f t="shared" si="76"/>
        <v/>
      </c>
      <c r="P143" s="15" t="str">
        <f t="shared" si="77"/>
        <v/>
      </c>
      <c r="Q143" s="13"/>
      <c r="R143" s="13"/>
      <c r="S143" s="13"/>
      <c r="T143" s="13"/>
      <c r="U143" s="15" t="str">
        <f t="shared" si="78"/>
        <v/>
      </c>
      <c r="V143" s="14" t="str">
        <f t="shared" si="79"/>
        <v/>
      </c>
      <c r="W143" s="13"/>
      <c r="X143" s="13"/>
      <c r="Y143" s="13"/>
      <c r="Z143" s="13"/>
      <c r="AA143" s="16"/>
      <c r="AB143" s="12"/>
      <c r="AC143" s="12"/>
      <c r="AD143" s="14" t="str">
        <f t="shared" si="80"/>
        <v/>
      </c>
      <c r="AE143" s="14" t="str">
        <f t="shared" si="81"/>
        <v/>
      </c>
      <c r="AF143" s="17" t="str">
        <f t="shared" si="82"/>
        <v/>
      </c>
      <c r="AG143" s="13"/>
      <c r="AH143" s="16"/>
      <c r="AI143" s="12"/>
      <c r="AJ143" s="16"/>
      <c r="AK143" s="13"/>
      <c r="AL143" s="16"/>
      <c r="AM143" s="13"/>
      <c r="AN143" s="17" t="str">
        <f t="shared" si="83"/>
        <v/>
      </c>
      <c r="AO143" s="14" t="str">
        <f t="shared" ca="1" si="84"/>
        <v/>
      </c>
      <c r="AP143" s="13"/>
      <c r="AQ143" s="12"/>
      <c r="AR143" s="14" t="str">
        <f>IF($O143="","",1+COUNTIF($O$5:$O$154,"&gt;"&amp;$O143)+COUNTIFS($O$5:$O$154,$O143,$N$5:$N$154,"&gt;"&amp;$N143)+COUNTIFS($O$4:$O142,$O143,$N$4:$N142,$N143))</f>
        <v/>
      </c>
      <c r="AS143" s="62"/>
      <c r="AT143" s="62"/>
      <c r="AU143" s="63" t="str">
        <f t="shared" si="85"/>
        <v/>
      </c>
      <c r="AV143" s="64" t="str">
        <f t="shared" si="86"/>
        <v/>
      </c>
      <c r="AW143" s="129" t="str">
        <f t="shared" si="87"/>
        <v/>
      </c>
      <c r="AX143" s="13"/>
      <c r="AY143" s="16"/>
      <c r="AZ143" s="13"/>
      <c r="BA143" s="13"/>
      <c r="BB143" s="13"/>
      <c r="BC143" s="13"/>
      <c r="BD143" s="13"/>
      <c r="BE143" s="13"/>
      <c r="BF143" s="13"/>
      <c r="BG143" s="13"/>
      <c r="BH143" s="14" t="str">
        <f t="shared" si="88"/>
        <v/>
      </c>
      <c r="BI143" s="14" t="str">
        <f t="shared" si="89"/>
        <v/>
      </c>
      <c r="BJ143" s="14" t="str">
        <f t="shared" si="90"/>
        <v/>
      </c>
      <c r="BK143" s="15" t="str">
        <f t="shared" si="91"/>
        <v/>
      </c>
      <c r="BL143" s="15" t="str">
        <f t="shared" si="92"/>
        <v/>
      </c>
      <c r="BM143" s="13"/>
      <c r="BN143" s="13"/>
      <c r="BO143" s="13"/>
      <c r="BP143" s="13"/>
      <c r="BQ143" s="13"/>
      <c r="BR143" s="14" t="str">
        <f t="shared" si="93"/>
        <v/>
      </c>
      <c r="BS143" s="15" t="str">
        <f t="shared" si="94"/>
        <v/>
      </c>
      <c r="BT143" s="13"/>
    </row>
    <row r="144" spans="1:72">
      <c r="A144" s="115"/>
      <c r="B144" s="12"/>
      <c r="C144" s="13"/>
      <c r="D144" s="13"/>
      <c r="E144" s="12"/>
      <c r="F144" s="12"/>
      <c r="G144" s="13"/>
      <c r="H144" s="12"/>
      <c r="I144" s="13"/>
      <c r="J144" s="13"/>
      <c r="K144" s="13"/>
      <c r="L144" s="13"/>
      <c r="M144" s="12"/>
      <c r="N144" s="12"/>
      <c r="O144" s="14" t="str">
        <f t="shared" si="76"/>
        <v/>
      </c>
      <c r="P144" s="15" t="str">
        <f t="shared" si="77"/>
        <v/>
      </c>
      <c r="Q144" s="13"/>
      <c r="R144" s="13"/>
      <c r="S144" s="13"/>
      <c r="T144" s="13"/>
      <c r="U144" s="15" t="str">
        <f t="shared" si="78"/>
        <v/>
      </c>
      <c r="V144" s="14" t="str">
        <f t="shared" si="79"/>
        <v/>
      </c>
      <c r="W144" s="13"/>
      <c r="X144" s="13"/>
      <c r="Y144" s="13"/>
      <c r="Z144" s="13"/>
      <c r="AA144" s="16"/>
      <c r="AB144" s="12"/>
      <c r="AC144" s="12"/>
      <c r="AD144" s="14" t="str">
        <f t="shared" si="80"/>
        <v/>
      </c>
      <c r="AE144" s="14" t="str">
        <f t="shared" si="81"/>
        <v/>
      </c>
      <c r="AF144" s="17" t="str">
        <f t="shared" si="82"/>
        <v/>
      </c>
      <c r="AG144" s="13"/>
      <c r="AH144" s="16"/>
      <c r="AI144" s="12"/>
      <c r="AJ144" s="16"/>
      <c r="AK144" s="13"/>
      <c r="AL144" s="16"/>
      <c r="AM144" s="13"/>
      <c r="AN144" s="17" t="str">
        <f t="shared" si="83"/>
        <v/>
      </c>
      <c r="AO144" s="14" t="str">
        <f t="shared" ca="1" si="84"/>
        <v/>
      </c>
      <c r="AP144" s="13"/>
      <c r="AQ144" s="12"/>
      <c r="AR144" s="14" t="str">
        <f>IF($O144="","",1+COUNTIF($O$5:$O$154,"&gt;"&amp;$O144)+COUNTIFS($O$5:$O$154,$O144,$N$5:$N$154,"&gt;"&amp;$N144)+COUNTIFS($O$4:$O143,$O144,$N$4:$N143,$N144))</f>
        <v/>
      </c>
      <c r="AS144" s="62"/>
      <c r="AT144" s="62"/>
      <c r="AU144" s="63" t="str">
        <f t="shared" si="85"/>
        <v/>
      </c>
      <c r="AV144" s="64" t="str">
        <f t="shared" si="86"/>
        <v/>
      </c>
      <c r="AW144" s="129" t="str">
        <f t="shared" si="87"/>
        <v/>
      </c>
      <c r="AX144" s="13"/>
      <c r="AY144" s="16"/>
      <c r="AZ144" s="13"/>
      <c r="BA144" s="13"/>
      <c r="BB144" s="13"/>
      <c r="BC144" s="13"/>
      <c r="BD144" s="13"/>
      <c r="BE144" s="13"/>
      <c r="BF144" s="13"/>
      <c r="BG144" s="13"/>
      <c r="BH144" s="14" t="str">
        <f t="shared" si="88"/>
        <v/>
      </c>
      <c r="BI144" s="14" t="str">
        <f t="shared" si="89"/>
        <v/>
      </c>
      <c r="BJ144" s="14" t="str">
        <f t="shared" si="90"/>
        <v/>
      </c>
      <c r="BK144" s="15" t="str">
        <f t="shared" si="91"/>
        <v/>
      </c>
      <c r="BL144" s="15" t="str">
        <f t="shared" si="92"/>
        <v/>
      </c>
      <c r="BM144" s="13"/>
      <c r="BN144" s="13"/>
      <c r="BO144" s="13"/>
      <c r="BP144" s="13"/>
      <c r="BQ144" s="13"/>
      <c r="BR144" s="14" t="str">
        <f t="shared" si="93"/>
        <v/>
      </c>
      <c r="BS144" s="15" t="str">
        <f t="shared" si="94"/>
        <v/>
      </c>
      <c r="BT144" s="13"/>
    </row>
    <row r="145" spans="1:72">
      <c r="A145" s="115"/>
      <c r="B145" s="12"/>
      <c r="C145" s="13"/>
      <c r="D145" s="13"/>
      <c r="E145" s="12"/>
      <c r="F145" s="12"/>
      <c r="G145" s="13"/>
      <c r="H145" s="12"/>
      <c r="I145" s="13"/>
      <c r="J145" s="13"/>
      <c r="K145" s="13"/>
      <c r="L145" s="13"/>
      <c r="M145" s="12"/>
      <c r="N145" s="12"/>
      <c r="O145" s="14" t="str">
        <f t="shared" si="76"/>
        <v/>
      </c>
      <c r="P145" s="15" t="str">
        <f t="shared" si="77"/>
        <v/>
      </c>
      <c r="Q145" s="13"/>
      <c r="R145" s="13"/>
      <c r="S145" s="13"/>
      <c r="T145" s="13"/>
      <c r="U145" s="15" t="str">
        <f t="shared" si="78"/>
        <v/>
      </c>
      <c r="V145" s="14" t="str">
        <f t="shared" si="79"/>
        <v/>
      </c>
      <c r="W145" s="13"/>
      <c r="X145" s="13"/>
      <c r="Y145" s="13"/>
      <c r="Z145" s="13"/>
      <c r="AA145" s="16"/>
      <c r="AB145" s="12"/>
      <c r="AC145" s="12"/>
      <c r="AD145" s="14" t="str">
        <f t="shared" si="80"/>
        <v/>
      </c>
      <c r="AE145" s="14" t="str">
        <f t="shared" si="81"/>
        <v/>
      </c>
      <c r="AF145" s="17" t="str">
        <f t="shared" si="82"/>
        <v/>
      </c>
      <c r="AG145" s="13"/>
      <c r="AH145" s="16"/>
      <c r="AI145" s="12"/>
      <c r="AJ145" s="16"/>
      <c r="AK145" s="13"/>
      <c r="AL145" s="16"/>
      <c r="AM145" s="13"/>
      <c r="AN145" s="17" t="str">
        <f t="shared" si="83"/>
        <v/>
      </c>
      <c r="AO145" s="14" t="str">
        <f t="shared" ca="1" si="84"/>
        <v/>
      </c>
      <c r="AP145" s="13"/>
      <c r="AQ145" s="12"/>
      <c r="AR145" s="14" t="str">
        <f>IF($O145="","",1+COUNTIF($O$5:$O$154,"&gt;"&amp;$O145)+COUNTIFS($O$5:$O$154,$O145,$N$5:$N$154,"&gt;"&amp;$N145)+COUNTIFS($O$4:$O144,$O145,$N$4:$N144,$N145))</f>
        <v/>
      </c>
      <c r="AS145" s="62"/>
      <c r="AT145" s="62"/>
      <c r="AU145" s="63" t="str">
        <f t="shared" si="85"/>
        <v/>
      </c>
      <c r="AV145" s="64" t="str">
        <f t="shared" si="86"/>
        <v/>
      </c>
      <c r="AW145" s="129" t="str">
        <f t="shared" si="87"/>
        <v/>
      </c>
      <c r="AX145" s="13"/>
      <c r="AY145" s="16"/>
      <c r="AZ145" s="13"/>
      <c r="BA145" s="13"/>
      <c r="BB145" s="13"/>
      <c r="BC145" s="13"/>
      <c r="BD145" s="13"/>
      <c r="BE145" s="13"/>
      <c r="BF145" s="13"/>
      <c r="BG145" s="13"/>
      <c r="BH145" s="14" t="str">
        <f t="shared" si="88"/>
        <v/>
      </c>
      <c r="BI145" s="14" t="str">
        <f t="shared" si="89"/>
        <v/>
      </c>
      <c r="BJ145" s="14" t="str">
        <f t="shared" si="90"/>
        <v/>
      </c>
      <c r="BK145" s="15" t="str">
        <f t="shared" si="91"/>
        <v/>
      </c>
      <c r="BL145" s="15" t="str">
        <f t="shared" si="92"/>
        <v/>
      </c>
      <c r="BM145" s="13"/>
      <c r="BN145" s="13"/>
      <c r="BO145" s="13"/>
      <c r="BP145" s="13"/>
      <c r="BQ145" s="13"/>
      <c r="BR145" s="14" t="str">
        <f t="shared" si="93"/>
        <v/>
      </c>
      <c r="BS145" s="15" t="str">
        <f t="shared" si="94"/>
        <v/>
      </c>
      <c r="BT145" s="13"/>
    </row>
    <row r="146" spans="1:72">
      <c r="A146" s="115"/>
      <c r="B146" s="12"/>
      <c r="C146" s="13"/>
      <c r="D146" s="13"/>
      <c r="E146" s="12"/>
      <c r="F146" s="12"/>
      <c r="G146" s="13"/>
      <c r="H146" s="12"/>
      <c r="I146" s="13"/>
      <c r="J146" s="13"/>
      <c r="K146" s="13"/>
      <c r="L146" s="13"/>
      <c r="M146" s="12"/>
      <c r="N146" s="12"/>
      <c r="O146" s="14" t="str">
        <f t="shared" si="76"/>
        <v/>
      </c>
      <c r="P146" s="15" t="str">
        <f t="shared" si="77"/>
        <v/>
      </c>
      <c r="Q146" s="13"/>
      <c r="R146" s="13"/>
      <c r="S146" s="13"/>
      <c r="T146" s="13"/>
      <c r="U146" s="15" t="str">
        <f t="shared" si="78"/>
        <v/>
      </c>
      <c r="V146" s="14" t="str">
        <f t="shared" si="79"/>
        <v/>
      </c>
      <c r="W146" s="13"/>
      <c r="X146" s="13"/>
      <c r="Y146" s="13"/>
      <c r="Z146" s="13"/>
      <c r="AA146" s="16"/>
      <c r="AB146" s="12"/>
      <c r="AC146" s="12"/>
      <c r="AD146" s="14" t="str">
        <f t="shared" si="80"/>
        <v/>
      </c>
      <c r="AE146" s="14" t="str">
        <f t="shared" si="81"/>
        <v/>
      </c>
      <c r="AF146" s="17" t="str">
        <f t="shared" si="82"/>
        <v/>
      </c>
      <c r="AG146" s="13"/>
      <c r="AH146" s="16"/>
      <c r="AI146" s="12"/>
      <c r="AJ146" s="16"/>
      <c r="AK146" s="13"/>
      <c r="AL146" s="16"/>
      <c r="AM146" s="13"/>
      <c r="AN146" s="17" t="str">
        <f t="shared" si="83"/>
        <v/>
      </c>
      <c r="AO146" s="14" t="str">
        <f t="shared" ca="1" si="84"/>
        <v/>
      </c>
      <c r="AP146" s="13"/>
      <c r="AQ146" s="12"/>
      <c r="AR146" s="14" t="str">
        <f>IF($O146="","",1+COUNTIF($O$5:$O$154,"&gt;"&amp;$O146)+COUNTIFS($O$5:$O$154,$O146,$N$5:$N$154,"&gt;"&amp;$N146)+COUNTIFS($O$4:$O145,$O146,$N$4:$N145,$N146))</f>
        <v/>
      </c>
      <c r="AS146" s="62"/>
      <c r="AT146" s="62"/>
      <c r="AU146" s="63" t="str">
        <f t="shared" si="85"/>
        <v/>
      </c>
      <c r="AV146" s="64" t="str">
        <f t="shared" si="86"/>
        <v/>
      </c>
      <c r="AW146" s="129" t="str">
        <f t="shared" si="87"/>
        <v/>
      </c>
      <c r="AX146" s="13"/>
      <c r="AY146" s="16"/>
      <c r="AZ146" s="13"/>
      <c r="BA146" s="13"/>
      <c r="BB146" s="13"/>
      <c r="BC146" s="13"/>
      <c r="BD146" s="13"/>
      <c r="BE146" s="13"/>
      <c r="BF146" s="13"/>
      <c r="BG146" s="13"/>
      <c r="BH146" s="14" t="str">
        <f t="shared" si="88"/>
        <v/>
      </c>
      <c r="BI146" s="14" t="str">
        <f t="shared" si="89"/>
        <v/>
      </c>
      <c r="BJ146" s="14" t="str">
        <f t="shared" si="90"/>
        <v/>
      </c>
      <c r="BK146" s="15" t="str">
        <f t="shared" si="91"/>
        <v/>
      </c>
      <c r="BL146" s="15" t="str">
        <f t="shared" si="92"/>
        <v/>
      </c>
      <c r="BM146" s="13"/>
      <c r="BN146" s="13"/>
      <c r="BO146" s="13"/>
      <c r="BP146" s="13"/>
      <c r="BQ146" s="13"/>
      <c r="BR146" s="14" t="str">
        <f t="shared" si="93"/>
        <v/>
      </c>
      <c r="BS146" s="15" t="str">
        <f t="shared" si="94"/>
        <v/>
      </c>
      <c r="BT146" s="13"/>
    </row>
    <row r="147" spans="1:72">
      <c r="A147" s="115"/>
      <c r="B147" s="12"/>
      <c r="C147" s="13"/>
      <c r="D147" s="13"/>
      <c r="E147" s="12"/>
      <c r="F147" s="12"/>
      <c r="G147" s="13"/>
      <c r="H147" s="12"/>
      <c r="I147" s="13"/>
      <c r="J147" s="13"/>
      <c r="K147" s="13"/>
      <c r="L147" s="13"/>
      <c r="M147" s="12"/>
      <c r="N147" s="12"/>
      <c r="O147" s="14" t="str">
        <f t="shared" si="76"/>
        <v/>
      </c>
      <c r="P147" s="15" t="str">
        <f t="shared" si="77"/>
        <v/>
      </c>
      <c r="Q147" s="13"/>
      <c r="R147" s="13"/>
      <c r="S147" s="13"/>
      <c r="T147" s="13"/>
      <c r="U147" s="15" t="str">
        <f t="shared" si="78"/>
        <v/>
      </c>
      <c r="V147" s="14" t="str">
        <f t="shared" si="79"/>
        <v/>
      </c>
      <c r="W147" s="13"/>
      <c r="X147" s="13"/>
      <c r="Y147" s="13"/>
      <c r="Z147" s="13"/>
      <c r="AA147" s="16"/>
      <c r="AB147" s="12"/>
      <c r="AC147" s="12"/>
      <c r="AD147" s="14" t="str">
        <f t="shared" si="80"/>
        <v/>
      </c>
      <c r="AE147" s="14" t="str">
        <f t="shared" si="81"/>
        <v/>
      </c>
      <c r="AF147" s="17" t="str">
        <f t="shared" si="82"/>
        <v/>
      </c>
      <c r="AG147" s="13"/>
      <c r="AH147" s="16"/>
      <c r="AI147" s="12"/>
      <c r="AJ147" s="16"/>
      <c r="AK147" s="13"/>
      <c r="AL147" s="16"/>
      <c r="AM147" s="13"/>
      <c r="AN147" s="17" t="str">
        <f t="shared" si="83"/>
        <v/>
      </c>
      <c r="AO147" s="14" t="str">
        <f t="shared" ca="1" si="84"/>
        <v/>
      </c>
      <c r="AP147" s="13"/>
      <c r="AQ147" s="12"/>
      <c r="AR147" s="14" t="str">
        <f>IF($O147="","",1+COUNTIF($O$5:$O$154,"&gt;"&amp;$O147)+COUNTIFS($O$5:$O$154,$O147,$N$5:$N$154,"&gt;"&amp;$N147)+COUNTIFS($O$4:$O146,$O147,$N$4:$N146,$N147))</f>
        <v/>
      </c>
      <c r="AS147" s="62"/>
      <c r="AT147" s="62"/>
      <c r="AU147" s="63" t="str">
        <f t="shared" si="85"/>
        <v/>
      </c>
      <c r="AV147" s="64" t="str">
        <f t="shared" si="86"/>
        <v/>
      </c>
      <c r="AW147" s="129" t="str">
        <f t="shared" si="87"/>
        <v/>
      </c>
      <c r="AX147" s="13"/>
      <c r="AY147" s="16"/>
      <c r="AZ147" s="13"/>
      <c r="BA147" s="13"/>
      <c r="BB147" s="13"/>
      <c r="BC147" s="13"/>
      <c r="BD147" s="13"/>
      <c r="BE147" s="13"/>
      <c r="BF147" s="13"/>
      <c r="BG147" s="13"/>
      <c r="BH147" s="14" t="str">
        <f t="shared" si="88"/>
        <v/>
      </c>
      <c r="BI147" s="14" t="str">
        <f t="shared" si="89"/>
        <v/>
      </c>
      <c r="BJ147" s="14" t="str">
        <f t="shared" si="90"/>
        <v/>
      </c>
      <c r="BK147" s="15" t="str">
        <f t="shared" si="91"/>
        <v/>
      </c>
      <c r="BL147" s="15" t="str">
        <f t="shared" si="92"/>
        <v/>
      </c>
      <c r="BM147" s="13"/>
      <c r="BN147" s="13"/>
      <c r="BO147" s="13"/>
      <c r="BP147" s="13"/>
      <c r="BQ147" s="13"/>
      <c r="BR147" s="14" t="str">
        <f t="shared" si="93"/>
        <v/>
      </c>
      <c r="BS147" s="15" t="str">
        <f t="shared" si="94"/>
        <v/>
      </c>
      <c r="BT147" s="13"/>
    </row>
    <row r="148" spans="1:72">
      <c r="A148" s="115"/>
      <c r="B148" s="12"/>
      <c r="C148" s="13"/>
      <c r="D148" s="13"/>
      <c r="E148" s="12"/>
      <c r="F148" s="12"/>
      <c r="G148" s="13"/>
      <c r="H148" s="12"/>
      <c r="I148" s="13"/>
      <c r="J148" s="13"/>
      <c r="K148" s="13"/>
      <c r="L148" s="13"/>
      <c r="M148" s="12"/>
      <c r="N148" s="12"/>
      <c r="O148" s="14" t="str">
        <f t="shared" si="76"/>
        <v/>
      </c>
      <c r="P148" s="15" t="str">
        <f t="shared" si="77"/>
        <v/>
      </c>
      <c r="Q148" s="13"/>
      <c r="R148" s="13"/>
      <c r="S148" s="13"/>
      <c r="T148" s="13"/>
      <c r="U148" s="15" t="str">
        <f t="shared" si="78"/>
        <v/>
      </c>
      <c r="V148" s="14" t="str">
        <f t="shared" si="79"/>
        <v/>
      </c>
      <c r="W148" s="13"/>
      <c r="X148" s="13"/>
      <c r="Y148" s="13"/>
      <c r="Z148" s="13"/>
      <c r="AA148" s="16"/>
      <c r="AB148" s="12"/>
      <c r="AC148" s="12"/>
      <c r="AD148" s="14" t="str">
        <f t="shared" si="80"/>
        <v/>
      </c>
      <c r="AE148" s="14" t="str">
        <f t="shared" si="81"/>
        <v/>
      </c>
      <c r="AF148" s="17" t="str">
        <f t="shared" si="82"/>
        <v/>
      </c>
      <c r="AG148" s="13"/>
      <c r="AH148" s="16"/>
      <c r="AI148" s="12"/>
      <c r="AJ148" s="16"/>
      <c r="AK148" s="13"/>
      <c r="AL148" s="16"/>
      <c r="AM148" s="13"/>
      <c r="AN148" s="17" t="str">
        <f t="shared" si="83"/>
        <v/>
      </c>
      <c r="AO148" s="14" t="str">
        <f t="shared" ca="1" si="84"/>
        <v/>
      </c>
      <c r="AP148" s="13"/>
      <c r="AQ148" s="12"/>
      <c r="AR148" s="14" t="str">
        <f>IF($O148="","",1+COUNTIF($O$5:$O$154,"&gt;"&amp;$O148)+COUNTIFS($O$5:$O$154,$O148,$N$5:$N$154,"&gt;"&amp;$N148)+COUNTIFS($O$4:$O147,$O148,$N$4:$N147,$N148))</f>
        <v/>
      </c>
      <c r="AS148" s="62"/>
      <c r="AT148" s="62"/>
      <c r="AU148" s="63" t="str">
        <f t="shared" si="85"/>
        <v/>
      </c>
      <c r="AV148" s="64" t="str">
        <f t="shared" si="86"/>
        <v/>
      </c>
      <c r="AW148" s="129" t="str">
        <f t="shared" si="87"/>
        <v/>
      </c>
      <c r="AX148" s="13"/>
      <c r="AY148" s="16"/>
      <c r="AZ148" s="13"/>
      <c r="BA148" s="13"/>
      <c r="BB148" s="13"/>
      <c r="BC148" s="13"/>
      <c r="BD148" s="13"/>
      <c r="BE148" s="13"/>
      <c r="BF148" s="13"/>
      <c r="BG148" s="13"/>
      <c r="BH148" s="14" t="str">
        <f t="shared" si="88"/>
        <v/>
      </c>
      <c r="BI148" s="14" t="str">
        <f t="shared" si="89"/>
        <v/>
      </c>
      <c r="BJ148" s="14" t="str">
        <f t="shared" si="90"/>
        <v/>
      </c>
      <c r="BK148" s="15" t="str">
        <f t="shared" si="91"/>
        <v/>
      </c>
      <c r="BL148" s="15" t="str">
        <f t="shared" si="92"/>
        <v/>
      </c>
      <c r="BM148" s="13"/>
      <c r="BN148" s="13"/>
      <c r="BO148" s="13"/>
      <c r="BP148" s="13"/>
      <c r="BQ148" s="13"/>
      <c r="BR148" s="14" t="str">
        <f t="shared" si="93"/>
        <v/>
      </c>
      <c r="BS148" s="15" t="str">
        <f t="shared" si="94"/>
        <v/>
      </c>
      <c r="BT148" s="13"/>
    </row>
    <row r="149" spans="1:72">
      <c r="A149" s="115"/>
      <c r="B149" s="12"/>
      <c r="C149" s="13"/>
      <c r="D149" s="13"/>
      <c r="E149" s="12"/>
      <c r="F149" s="12"/>
      <c r="G149" s="13"/>
      <c r="H149" s="12"/>
      <c r="I149" s="13"/>
      <c r="J149" s="13"/>
      <c r="K149" s="13"/>
      <c r="L149" s="13"/>
      <c r="M149" s="12"/>
      <c r="N149" s="12"/>
      <c r="O149" s="14" t="str">
        <f t="shared" si="76"/>
        <v/>
      </c>
      <c r="P149" s="15" t="str">
        <f t="shared" si="77"/>
        <v/>
      </c>
      <c r="Q149" s="13"/>
      <c r="R149" s="13"/>
      <c r="S149" s="13"/>
      <c r="T149" s="13"/>
      <c r="U149" s="15" t="str">
        <f t="shared" si="78"/>
        <v/>
      </c>
      <c r="V149" s="14" t="str">
        <f t="shared" si="79"/>
        <v/>
      </c>
      <c r="W149" s="13"/>
      <c r="X149" s="13"/>
      <c r="Y149" s="13"/>
      <c r="Z149" s="13"/>
      <c r="AA149" s="16"/>
      <c r="AB149" s="12"/>
      <c r="AC149" s="12"/>
      <c r="AD149" s="14" t="str">
        <f t="shared" si="80"/>
        <v/>
      </c>
      <c r="AE149" s="14" t="str">
        <f t="shared" si="81"/>
        <v/>
      </c>
      <c r="AF149" s="17" t="str">
        <f t="shared" si="82"/>
        <v/>
      </c>
      <c r="AG149" s="13"/>
      <c r="AH149" s="16"/>
      <c r="AI149" s="12"/>
      <c r="AJ149" s="16"/>
      <c r="AK149" s="13"/>
      <c r="AL149" s="16"/>
      <c r="AM149" s="13"/>
      <c r="AN149" s="17" t="str">
        <f t="shared" si="83"/>
        <v/>
      </c>
      <c r="AO149" s="14" t="str">
        <f t="shared" ca="1" si="84"/>
        <v/>
      </c>
      <c r="AP149" s="13"/>
      <c r="AQ149" s="12"/>
      <c r="AR149" s="14" t="str">
        <f>IF($O149="","",1+COUNTIF($O$5:$O$154,"&gt;"&amp;$O149)+COUNTIFS($O$5:$O$154,$O149,$N$5:$N$154,"&gt;"&amp;$N149)+COUNTIFS($O$4:$O148,$O149,$N$4:$N148,$N149))</f>
        <v/>
      </c>
      <c r="AS149" s="62"/>
      <c r="AT149" s="62"/>
      <c r="AU149" s="63" t="str">
        <f t="shared" si="85"/>
        <v/>
      </c>
      <c r="AV149" s="64" t="str">
        <f t="shared" si="86"/>
        <v/>
      </c>
      <c r="AW149" s="129" t="str">
        <f t="shared" si="87"/>
        <v/>
      </c>
      <c r="AX149" s="13"/>
      <c r="AY149" s="16"/>
      <c r="AZ149" s="13"/>
      <c r="BA149" s="13"/>
      <c r="BB149" s="13"/>
      <c r="BC149" s="13"/>
      <c r="BD149" s="13"/>
      <c r="BE149" s="13"/>
      <c r="BF149" s="13"/>
      <c r="BG149" s="13"/>
      <c r="BH149" s="14" t="str">
        <f t="shared" si="88"/>
        <v/>
      </c>
      <c r="BI149" s="14" t="str">
        <f t="shared" si="89"/>
        <v/>
      </c>
      <c r="BJ149" s="14" t="str">
        <f t="shared" si="90"/>
        <v/>
      </c>
      <c r="BK149" s="15" t="str">
        <f t="shared" si="91"/>
        <v/>
      </c>
      <c r="BL149" s="15" t="str">
        <f t="shared" si="92"/>
        <v/>
      </c>
      <c r="BM149" s="13"/>
      <c r="BN149" s="13"/>
      <c r="BO149" s="13"/>
      <c r="BP149" s="13"/>
      <c r="BQ149" s="13"/>
      <c r="BR149" s="14" t="str">
        <f t="shared" si="93"/>
        <v/>
      </c>
      <c r="BS149" s="15" t="str">
        <f t="shared" si="94"/>
        <v/>
      </c>
      <c r="BT149" s="13"/>
    </row>
    <row r="150" spans="1:72">
      <c r="A150" s="115"/>
      <c r="B150" s="12"/>
      <c r="C150" s="13"/>
      <c r="D150" s="13"/>
      <c r="E150" s="12"/>
      <c r="F150" s="12"/>
      <c r="G150" s="13"/>
      <c r="H150" s="12"/>
      <c r="I150" s="13"/>
      <c r="J150" s="13"/>
      <c r="K150" s="13"/>
      <c r="L150" s="13"/>
      <c r="M150" s="12"/>
      <c r="N150" s="12"/>
      <c r="O150" s="14" t="str">
        <f t="shared" si="76"/>
        <v/>
      </c>
      <c r="P150" s="15" t="str">
        <f t="shared" si="77"/>
        <v/>
      </c>
      <c r="Q150" s="13"/>
      <c r="R150" s="13"/>
      <c r="S150" s="13"/>
      <c r="T150" s="13"/>
      <c r="U150" s="15" t="str">
        <f t="shared" si="78"/>
        <v/>
      </c>
      <c r="V150" s="14" t="str">
        <f t="shared" si="79"/>
        <v/>
      </c>
      <c r="W150" s="13"/>
      <c r="X150" s="13"/>
      <c r="Y150" s="13"/>
      <c r="Z150" s="13"/>
      <c r="AA150" s="16"/>
      <c r="AB150" s="12"/>
      <c r="AC150" s="12"/>
      <c r="AD150" s="14" t="str">
        <f t="shared" si="80"/>
        <v/>
      </c>
      <c r="AE150" s="14" t="str">
        <f t="shared" si="81"/>
        <v/>
      </c>
      <c r="AF150" s="17" t="str">
        <f t="shared" si="82"/>
        <v/>
      </c>
      <c r="AG150" s="13"/>
      <c r="AH150" s="16"/>
      <c r="AI150" s="12"/>
      <c r="AJ150" s="16"/>
      <c r="AK150" s="13"/>
      <c r="AL150" s="16"/>
      <c r="AM150" s="13"/>
      <c r="AN150" s="17" t="str">
        <f t="shared" si="83"/>
        <v/>
      </c>
      <c r="AO150" s="14" t="str">
        <f t="shared" ca="1" si="84"/>
        <v/>
      </c>
      <c r="AP150" s="13"/>
      <c r="AQ150" s="12"/>
      <c r="AR150" s="14" t="str">
        <f>IF($O150="","",1+COUNTIF($O$5:$O$154,"&gt;"&amp;$O150)+COUNTIFS($O$5:$O$154,$O150,$N$5:$N$154,"&gt;"&amp;$N150)+COUNTIFS($O$4:$O149,$O150,$N$4:$N149,$N150))</f>
        <v/>
      </c>
      <c r="AS150" s="62"/>
      <c r="AT150" s="62"/>
      <c r="AU150" s="63" t="str">
        <f t="shared" si="85"/>
        <v/>
      </c>
      <c r="AV150" s="64" t="str">
        <f t="shared" si="86"/>
        <v/>
      </c>
      <c r="AW150" s="129" t="str">
        <f t="shared" si="87"/>
        <v/>
      </c>
      <c r="AX150" s="13"/>
      <c r="AY150" s="16"/>
      <c r="AZ150" s="13"/>
      <c r="BA150" s="13"/>
      <c r="BB150" s="13"/>
      <c r="BC150" s="13"/>
      <c r="BD150" s="13"/>
      <c r="BE150" s="13"/>
      <c r="BF150" s="13"/>
      <c r="BG150" s="13"/>
      <c r="BH150" s="14" t="str">
        <f t="shared" si="88"/>
        <v/>
      </c>
      <c r="BI150" s="14" t="str">
        <f t="shared" si="89"/>
        <v/>
      </c>
      <c r="BJ150" s="14" t="str">
        <f t="shared" si="90"/>
        <v/>
      </c>
      <c r="BK150" s="15" t="str">
        <f t="shared" si="91"/>
        <v/>
      </c>
      <c r="BL150" s="15" t="str">
        <f t="shared" si="92"/>
        <v/>
      </c>
      <c r="BM150" s="13"/>
      <c r="BN150" s="13"/>
      <c r="BO150" s="13"/>
      <c r="BP150" s="13"/>
      <c r="BQ150" s="13"/>
      <c r="BR150" s="14" t="str">
        <f t="shared" si="93"/>
        <v/>
      </c>
      <c r="BS150" s="15" t="str">
        <f t="shared" si="94"/>
        <v/>
      </c>
      <c r="BT150" s="13"/>
    </row>
    <row r="151" spans="1:72">
      <c r="A151" s="115"/>
      <c r="B151" s="12"/>
      <c r="C151" s="13"/>
      <c r="D151" s="13"/>
      <c r="E151" s="12"/>
      <c r="F151" s="12"/>
      <c r="G151" s="13"/>
      <c r="H151" s="12"/>
      <c r="I151" s="13"/>
      <c r="J151" s="13"/>
      <c r="K151" s="13"/>
      <c r="L151" s="13"/>
      <c r="M151" s="12"/>
      <c r="N151" s="12"/>
      <c r="O151" s="14" t="str">
        <f t="shared" si="76"/>
        <v/>
      </c>
      <c r="P151" s="15" t="str">
        <f t="shared" si="77"/>
        <v/>
      </c>
      <c r="Q151" s="13"/>
      <c r="R151" s="13"/>
      <c r="S151" s="13"/>
      <c r="T151" s="13"/>
      <c r="U151" s="15" t="str">
        <f t="shared" si="78"/>
        <v/>
      </c>
      <c r="V151" s="14" t="str">
        <f t="shared" si="79"/>
        <v/>
      </c>
      <c r="W151" s="13"/>
      <c r="X151" s="13"/>
      <c r="Y151" s="13"/>
      <c r="Z151" s="13"/>
      <c r="AA151" s="16"/>
      <c r="AB151" s="12"/>
      <c r="AC151" s="12"/>
      <c r="AD151" s="14" t="str">
        <f t="shared" si="80"/>
        <v/>
      </c>
      <c r="AE151" s="14" t="str">
        <f t="shared" si="81"/>
        <v/>
      </c>
      <c r="AF151" s="17" t="str">
        <f t="shared" si="82"/>
        <v/>
      </c>
      <c r="AG151" s="13"/>
      <c r="AH151" s="16"/>
      <c r="AI151" s="12"/>
      <c r="AJ151" s="16"/>
      <c r="AK151" s="13"/>
      <c r="AL151" s="16"/>
      <c r="AM151" s="13"/>
      <c r="AN151" s="17" t="str">
        <f t="shared" si="83"/>
        <v/>
      </c>
      <c r="AO151" s="14" t="str">
        <f t="shared" ca="1" si="84"/>
        <v/>
      </c>
      <c r="AP151" s="13"/>
      <c r="AQ151" s="12"/>
      <c r="AR151" s="14" t="str">
        <f>IF($O151="","",1+COUNTIF($O$5:$O$154,"&gt;"&amp;$O151)+COUNTIFS($O$5:$O$154,$O151,$N$5:$N$154,"&gt;"&amp;$N151)+COUNTIFS($O$4:$O150,$O151,$N$4:$N150,$N151))</f>
        <v/>
      </c>
      <c r="AS151" s="62"/>
      <c r="AT151" s="62"/>
      <c r="AU151" s="63" t="str">
        <f t="shared" si="85"/>
        <v/>
      </c>
      <c r="AV151" s="64" t="str">
        <f t="shared" si="86"/>
        <v/>
      </c>
      <c r="AW151" s="129" t="str">
        <f t="shared" si="87"/>
        <v/>
      </c>
      <c r="AX151" s="13"/>
      <c r="AY151" s="16"/>
      <c r="AZ151" s="13"/>
      <c r="BA151" s="13"/>
      <c r="BB151" s="13"/>
      <c r="BC151" s="13"/>
      <c r="BD151" s="13"/>
      <c r="BE151" s="13"/>
      <c r="BF151" s="13"/>
      <c r="BG151" s="13"/>
      <c r="BH151" s="14" t="str">
        <f t="shared" si="88"/>
        <v/>
      </c>
      <c r="BI151" s="14" t="str">
        <f t="shared" si="89"/>
        <v/>
      </c>
      <c r="BJ151" s="14" t="str">
        <f t="shared" si="90"/>
        <v/>
      </c>
      <c r="BK151" s="15" t="str">
        <f t="shared" si="91"/>
        <v/>
      </c>
      <c r="BL151" s="15" t="str">
        <f t="shared" si="92"/>
        <v/>
      </c>
      <c r="BM151" s="13"/>
      <c r="BN151" s="13"/>
      <c r="BO151" s="13"/>
      <c r="BP151" s="13"/>
      <c r="BQ151" s="13"/>
      <c r="BR151" s="14" t="str">
        <f t="shared" si="93"/>
        <v/>
      </c>
      <c r="BS151" s="15" t="str">
        <f t="shared" si="94"/>
        <v/>
      </c>
      <c r="BT151" s="13"/>
    </row>
    <row r="152" spans="1:72">
      <c r="A152" s="115"/>
      <c r="B152" s="12"/>
      <c r="C152" s="13"/>
      <c r="D152" s="13"/>
      <c r="E152" s="12"/>
      <c r="F152" s="12"/>
      <c r="G152" s="13"/>
      <c r="H152" s="12"/>
      <c r="I152" s="13"/>
      <c r="J152" s="13"/>
      <c r="K152" s="13"/>
      <c r="L152" s="13"/>
      <c r="M152" s="12"/>
      <c r="N152" s="12"/>
      <c r="O152" s="14" t="str">
        <f t="shared" si="76"/>
        <v/>
      </c>
      <c r="P152" s="15" t="str">
        <f t="shared" si="77"/>
        <v/>
      </c>
      <c r="Q152" s="13"/>
      <c r="R152" s="13"/>
      <c r="S152" s="13"/>
      <c r="T152" s="13"/>
      <c r="U152" s="15" t="str">
        <f t="shared" si="78"/>
        <v/>
      </c>
      <c r="V152" s="14" t="str">
        <f t="shared" si="79"/>
        <v/>
      </c>
      <c r="W152" s="13"/>
      <c r="X152" s="13"/>
      <c r="Y152" s="13"/>
      <c r="Z152" s="13"/>
      <c r="AA152" s="16"/>
      <c r="AB152" s="12"/>
      <c r="AC152" s="12"/>
      <c r="AD152" s="14" t="str">
        <f t="shared" si="80"/>
        <v/>
      </c>
      <c r="AE152" s="14" t="str">
        <f t="shared" si="81"/>
        <v/>
      </c>
      <c r="AF152" s="17" t="str">
        <f t="shared" si="82"/>
        <v/>
      </c>
      <c r="AG152" s="13"/>
      <c r="AH152" s="16"/>
      <c r="AI152" s="12"/>
      <c r="AJ152" s="16"/>
      <c r="AK152" s="13"/>
      <c r="AL152" s="16"/>
      <c r="AM152" s="13"/>
      <c r="AN152" s="17" t="str">
        <f t="shared" si="83"/>
        <v/>
      </c>
      <c r="AO152" s="14" t="str">
        <f t="shared" ca="1" si="84"/>
        <v/>
      </c>
      <c r="AP152" s="13"/>
      <c r="AQ152" s="12"/>
      <c r="AR152" s="14" t="str">
        <f>IF($O152="","",1+COUNTIF($O$5:$O$154,"&gt;"&amp;$O152)+COUNTIFS($O$5:$O$154,$O152,$N$5:$N$154,"&gt;"&amp;$N152)+COUNTIFS($O$4:$O151,$O152,$N$4:$N151,$N152))</f>
        <v/>
      </c>
      <c r="AS152" s="62"/>
      <c r="AT152" s="62"/>
      <c r="AU152" s="63" t="str">
        <f t="shared" si="85"/>
        <v/>
      </c>
      <c r="AV152" s="64" t="str">
        <f t="shared" si="86"/>
        <v/>
      </c>
      <c r="AW152" s="129" t="str">
        <f t="shared" si="87"/>
        <v/>
      </c>
      <c r="AX152" s="13"/>
      <c r="AY152" s="16"/>
      <c r="AZ152" s="13"/>
      <c r="BA152" s="13"/>
      <c r="BB152" s="13"/>
      <c r="BC152" s="13"/>
      <c r="BD152" s="13"/>
      <c r="BE152" s="13"/>
      <c r="BF152" s="13"/>
      <c r="BG152" s="13"/>
      <c r="BH152" s="14" t="str">
        <f t="shared" si="88"/>
        <v/>
      </c>
      <c r="BI152" s="14" t="str">
        <f t="shared" si="89"/>
        <v/>
      </c>
      <c r="BJ152" s="14" t="str">
        <f t="shared" si="90"/>
        <v/>
      </c>
      <c r="BK152" s="15" t="str">
        <f t="shared" si="91"/>
        <v/>
      </c>
      <c r="BL152" s="15" t="str">
        <f t="shared" si="92"/>
        <v/>
      </c>
      <c r="BM152" s="13"/>
      <c r="BN152" s="13"/>
      <c r="BO152" s="13"/>
      <c r="BP152" s="13"/>
      <c r="BQ152" s="13"/>
      <c r="BR152" s="14" t="str">
        <f t="shared" si="93"/>
        <v/>
      </c>
      <c r="BS152" s="15" t="str">
        <f t="shared" si="94"/>
        <v/>
      </c>
      <c r="BT152" s="13"/>
    </row>
    <row r="153" spans="1:72">
      <c r="A153" s="115"/>
      <c r="B153" s="12"/>
      <c r="C153" s="13"/>
      <c r="D153" s="13"/>
      <c r="E153" s="12"/>
      <c r="F153" s="12"/>
      <c r="G153" s="13"/>
      <c r="H153" s="12"/>
      <c r="I153" s="13"/>
      <c r="J153" s="13"/>
      <c r="K153" s="13"/>
      <c r="L153" s="13"/>
      <c r="M153" s="12"/>
      <c r="N153" s="12"/>
      <c r="O153" s="14" t="str">
        <f t="shared" si="76"/>
        <v/>
      </c>
      <c r="P153" s="15" t="str">
        <f t="shared" si="77"/>
        <v/>
      </c>
      <c r="Q153" s="13"/>
      <c r="R153" s="13"/>
      <c r="S153" s="13"/>
      <c r="T153" s="13"/>
      <c r="U153" s="15" t="str">
        <f t="shared" si="78"/>
        <v/>
      </c>
      <c r="V153" s="14" t="str">
        <f t="shared" si="79"/>
        <v/>
      </c>
      <c r="W153" s="13"/>
      <c r="X153" s="13"/>
      <c r="Y153" s="13"/>
      <c r="Z153" s="13"/>
      <c r="AA153" s="16"/>
      <c r="AB153" s="12"/>
      <c r="AC153" s="12"/>
      <c r="AD153" s="14" t="str">
        <f t="shared" si="80"/>
        <v/>
      </c>
      <c r="AE153" s="14" t="str">
        <f t="shared" si="81"/>
        <v/>
      </c>
      <c r="AF153" s="17" t="str">
        <f t="shared" si="82"/>
        <v/>
      </c>
      <c r="AG153" s="13"/>
      <c r="AH153" s="16"/>
      <c r="AI153" s="12"/>
      <c r="AJ153" s="16"/>
      <c r="AK153" s="13"/>
      <c r="AL153" s="16"/>
      <c r="AM153" s="13"/>
      <c r="AN153" s="17" t="str">
        <f t="shared" si="83"/>
        <v/>
      </c>
      <c r="AO153" s="14" t="str">
        <f t="shared" ca="1" si="84"/>
        <v/>
      </c>
      <c r="AP153" s="13"/>
      <c r="AQ153" s="12"/>
      <c r="AR153" s="14" t="str">
        <f>IF($O153="","",1+COUNTIF($O$5:$O$154,"&gt;"&amp;$O153)+COUNTIFS($O$5:$O$154,$O153,$N$5:$N$154,"&gt;"&amp;$N153)+COUNTIFS($O$4:$O152,$O153,$N$4:$N152,$N153))</f>
        <v/>
      </c>
      <c r="AS153" s="62"/>
      <c r="AT153" s="62"/>
      <c r="AU153" s="63" t="str">
        <f t="shared" si="85"/>
        <v/>
      </c>
      <c r="AV153" s="64" t="str">
        <f t="shared" si="86"/>
        <v/>
      </c>
      <c r="AW153" s="129" t="str">
        <f t="shared" si="87"/>
        <v/>
      </c>
      <c r="AX153" s="13"/>
      <c r="AY153" s="16"/>
      <c r="AZ153" s="13"/>
      <c r="BA153" s="13"/>
      <c r="BB153" s="13"/>
      <c r="BC153" s="13"/>
      <c r="BD153" s="13"/>
      <c r="BE153" s="13"/>
      <c r="BF153" s="13"/>
      <c r="BG153" s="13"/>
      <c r="BH153" s="14" t="str">
        <f t="shared" si="88"/>
        <v/>
      </c>
      <c r="BI153" s="14" t="str">
        <f t="shared" si="89"/>
        <v/>
      </c>
      <c r="BJ153" s="14" t="str">
        <f t="shared" si="90"/>
        <v/>
      </c>
      <c r="BK153" s="15" t="str">
        <f t="shared" si="91"/>
        <v/>
      </c>
      <c r="BL153" s="15" t="str">
        <f t="shared" si="92"/>
        <v/>
      </c>
      <c r="BM153" s="13"/>
      <c r="BN153" s="13"/>
      <c r="BO153" s="13"/>
      <c r="BP153" s="13"/>
      <c r="BQ153" s="13"/>
      <c r="BR153" s="14" t="str">
        <f t="shared" si="93"/>
        <v/>
      </c>
      <c r="BS153" s="15" t="str">
        <f t="shared" si="94"/>
        <v/>
      </c>
      <c r="BT153" s="13"/>
    </row>
    <row r="154" spans="1:72">
      <c r="A154" s="118"/>
      <c r="B154" s="119"/>
      <c r="C154" s="120"/>
      <c r="D154" s="120"/>
      <c r="E154" s="119"/>
      <c r="F154" s="119"/>
      <c r="G154" s="120"/>
      <c r="H154" s="119"/>
      <c r="I154" s="120"/>
      <c r="J154" s="120"/>
      <c r="K154" s="120"/>
      <c r="L154" s="120"/>
      <c r="M154" s="119"/>
      <c r="N154" s="119"/>
      <c r="O154" s="121" t="str">
        <f t="shared" si="76"/>
        <v/>
      </c>
      <c r="P154" s="122" t="str">
        <f t="shared" si="77"/>
        <v/>
      </c>
      <c r="Q154" s="120"/>
      <c r="R154" s="120"/>
      <c r="S154" s="120"/>
      <c r="T154" s="120"/>
      <c r="U154" s="122" t="str">
        <f t="shared" si="78"/>
        <v/>
      </c>
      <c r="V154" s="121" t="str">
        <f t="shared" si="79"/>
        <v/>
      </c>
      <c r="W154" s="120"/>
      <c r="X154" s="120"/>
      <c r="Y154" s="120"/>
      <c r="Z154" s="120"/>
      <c r="AA154" s="123"/>
      <c r="AB154" s="119"/>
      <c r="AC154" s="119"/>
      <c r="AD154" s="121" t="str">
        <f t="shared" si="80"/>
        <v/>
      </c>
      <c r="AE154" s="121" t="str">
        <f t="shared" si="81"/>
        <v/>
      </c>
      <c r="AF154" s="124" t="str">
        <f t="shared" si="82"/>
        <v/>
      </c>
      <c r="AG154" s="120"/>
      <c r="AH154" s="123"/>
      <c r="AI154" s="119"/>
      <c r="AJ154" s="123"/>
      <c r="AK154" s="120"/>
      <c r="AL154" s="123"/>
      <c r="AM154" s="120"/>
      <c r="AN154" s="124" t="str">
        <f t="shared" si="83"/>
        <v/>
      </c>
      <c r="AO154" s="121" t="str">
        <f t="shared" ca="1" si="84"/>
        <v/>
      </c>
      <c r="AP154" s="120"/>
      <c r="AQ154" s="119"/>
      <c r="AR154" s="121" t="str">
        <f>IF($O154="","",1+COUNTIF($O$5:$O$154,"&gt;"&amp;$O154)+COUNTIFS($O$5:$O$154,$O154,$N$5:$N$154,"&gt;"&amp;$N154)+COUNTIFS($O$4:$O153,$O154,$N$4:$N153,$N154))</f>
        <v/>
      </c>
      <c r="AS154" s="125"/>
      <c r="AT154" s="125"/>
      <c r="AU154" s="126" t="str">
        <f t="shared" si="85"/>
        <v/>
      </c>
      <c r="AV154" s="130" t="str">
        <f t="shared" si="86"/>
        <v/>
      </c>
      <c r="AW154" s="131" t="str">
        <f t="shared" si="87"/>
        <v/>
      </c>
      <c r="AX154" s="120"/>
      <c r="AY154" s="123"/>
      <c r="AZ154" s="120"/>
      <c r="BA154" s="120"/>
      <c r="BB154" s="120"/>
      <c r="BC154" s="120"/>
      <c r="BD154" s="120"/>
      <c r="BE154" s="120"/>
      <c r="BF154" s="120"/>
      <c r="BG154" s="120"/>
      <c r="BH154" s="121" t="str">
        <f t="shared" si="88"/>
        <v/>
      </c>
      <c r="BI154" s="121" t="str">
        <f t="shared" si="89"/>
        <v/>
      </c>
      <c r="BJ154" s="121" t="str">
        <f t="shared" si="90"/>
        <v/>
      </c>
      <c r="BK154" s="122" t="str">
        <f t="shared" si="91"/>
        <v/>
      </c>
      <c r="BL154" s="122" t="str">
        <f t="shared" si="92"/>
        <v/>
      </c>
      <c r="BM154" s="120"/>
      <c r="BN154" s="120"/>
      <c r="BO154" s="120"/>
      <c r="BP154" s="120"/>
      <c r="BQ154" s="120"/>
      <c r="BR154" s="121" t="str">
        <f t="shared" si="93"/>
        <v/>
      </c>
      <c r="BS154" s="122" t="str">
        <f t="shared" si="94"/>
        <v/>
      </c>
      <c r="BT154" s="120"/>
    </row>
  </sheetData>
  <mergeCells count="24">
    <mergeCell ref="AG3:AK3"/>
    <mergeCell ref="AL3:AO3"/>
    <mergeCell ref="AP3:AR3"/>
    <mergeCell ref="A3:L3"/>
    <mergeCell ref="M3:P3"/>
    <mergeCell ref="Q3:U3"/>
    <mergeCell ref="V3:AB3"/>
    <mergeCell ref="AC3:AF3"/>
    <mergeCell ref="AX3:BT3"/>
    <mergeCell ref="A1:K1"/>
    <mergeCell ref="L1:AR1"/>
    <mergeCell ref="A2:C2"/>
    <mergeCell ref="E2:F2"/>
    <mergeCell ref="G2:H2"/>
    <mergeCell ref="J2:K2"/>
    <mergeCell ref="L2:M2"/>
    <mergeCell ref="N2:O2"/>
    <mergeCell ref="P2:Q2"/>
    <mergeCell ref="R2:T2"/>
    <mergeCell ref="U2:V2"/>
    <mergeCell ref="W2:X2"/>
    <mergeCell ref="Y2:Z2"/>
    <mergeCell ref="AA2:AC2"/>
    <mergeCell ref="AS3:AW3"/>
  </mergeCells>
  <phoneticPr fontId="32" type="noConversion"/>
  <conditionalFormatting sqref="P5:P154">
    <cfRule type="cellIs" dxfId="112" priority="16" operator="equal">
      <formula>"Baixo"</formula>
    </cfRule>
    <cfRule type="cellIs" dxfId="111" priority="17" operator="equal">
      <formula>"Médio"</formula>
    </cfRule>
    <cfRule type="cellIs" dxfId="110" priority="18" operator="equal">
      <formula>"Alto"</formula>
    </cfRule>
    <cfRule type="cellIs" dxfId="109" priority="19" operator="equal">
      <formula>"Crítico"</formula>
    </cfRule>
  </conditionalFormatting>
  <conditionalFormatting sqref="U5:U154">
    <cfRule type="expression" dxfId="108" priority="23">
      <formula>AND(ISNUMBER($U5),$U5&gt;=8)</formula>
    </cfRule>
    <cfRule type="expression" dxfId="107" priority="24">
      <formula>AND(ISNUMBER($U5),$U5&lt;=5)</formula>
    </cfRule>
  </conditionalFormatting>
  <conditionalFormatting sqref="V5:V154">
    <cfRule type="cellIs" dxfId="106" priority="20" operator="equal">
      <formula>"Explorar"</formula>
    </cfRule>
    <cfRule type="cellIs" dxfId="105" priority="21" operator="equal">
      <formula>"Melhorar"</formula>
    </cfRule>
    <cfRule type="cellIs" dxfId="104" priority="22" operator="equal">
      <formula>"Monitorar"</formula>
    </cfRule>
  </conditionalFormatting>
  <conditionalFormatting sqref="AC5:AC154">
    <cfRule type="expression" dxfId="103" priority="29">
      <formula>AND($AC5&lt;&gt;"",COUNTIF(PlanosCod,$AC5)=0)</formula>
    </cfRule>
  </conditionalFormatting>
  <conditionalFormatting sqref="AF5:AF154">
    <cfRule type="expression" dxfId="102" priority="27">
      <formula>AND(ISNUMBER($AF5),$AF5&lt;TODAY(),$AE5&lt;&gt;"Concluído",$AE5&lt;&gt;"Cancelado")</formula>
    </cfRule>
  </conditionalFormatting>
  <conditionalFormatting sqref="AN5:AN154">
    <cfRule type="expression" dxfId="101" priority="28">
      <formula>AND(ISNUMBER($AN5),$AN5&lt;TODAY())</formula>
    </cfRule>
  </conditionalFormatting>
  <conditionalFormatting sqref="AO5:AO154">
    <cfRule type="expression" dxfId="100" priority="25">
      <formula>AND($AO5&lt;&gt;"",$AO5&lt;&gt;"OK")</formula>
    </cfRule>
    <cfRule type="expression" dxfId="99" priority="26">
      <formula>$AO5="OK"</formula>
    </cfRule>
  </conditionalFormatting>
  <conditionalFormatting sqref="AW5:AW154">
    <cfRule type="expression" dxfId="98" priority="30" stopIfTrue="1">
      <formula>IZQUIERDA($AW5,9)="Retorno m"</formula>
    </cfRule>
  </conditionalFormatting>
  <conditionalFormatting sqref="BK5:BK154">
    <cfRule type="cellIs" dxfId="97" priority="31" stopIfTrue="1" operator="equal">
      <formula>"SIGNIFICATIVO"</formula>
    </cfRule>
  </conditionalFormatting>
  <conditionalFormatting sqref="BS5:BS154">
    <cfRule type="cellIs" dxfId="96" priority="32" stopIfTrue="1" operator="equal">
      <formula>"SIGNIFICATIVO"</formula>
    </cfRule>
  </conditionalFormatting>
  <dataValidations count="23">
    <dataValidation type="whole" allowBlank="1" showErrorMessage="1" errorTitle="Escala 1 a 5" error="Informe um inteiro de 1 a 5 (veja 'Critérios')." sqref="M5:N154" xr:uid="{00000000-0002-0000-0100-000000000000}">
      <formula1>1</formula1>
      <formula2>5</formula2>
    </dataValidation>
    <dataValidation type="date" operator="greaterThan" allowBlank="1" showErrorMessage="1" errorTitle="Data" error="Informe uma data válida." sqref="AA5:AA154 AH5:AH154 AJ5:AJ154 AL5:AL154" xr:uid="{00000000-0002-0000-0100-000001000000}">
      <formula1>36526</formula1>
      <formula2>0</formula2>
    </dataValidation>
    <dataValidation type="list" allowBlank="1" showErrorMessage="1" errorTitle="Área" error="Escolha uma área da lista (edite em 'Critérios')." sqref="B5:B154" xr:uid="{00000000-0002-0000-0100-000002000000}">
      <formula1>ListaAreas</formula1>
      <formula2>0</formula2>
    </dataValidation>
    <dataValidation type="list" errorStyle="information" allowBlank="1" showErrorMessage="1" errorTitle="Origem" error="Valor fora da lista (ex.: SWOT_2026). Confirmar mantém o texto digitado." sqref="D5:D154" xr:uid="{00000000-0002-0000-0100-000003000000}">
      <formula1>ListaOrigem</formula1>
      <formula2>0</formula2>
    </dataValidation>
    <dataValidation type="list" allowBlank="1" showErrorMessage="1" sqref="E5:E154" xr:uid="{00000000-0002-0000-0100-000004000000}">
      <formula1>"Interno,Externo"</formula1>
      <formula2>0</formula2>
    </dataValidation>
    <dataValidation type="list" allowBlank="1" showErrorMessage="1" sqref="F5:F154" xr:uid="{00000000-0002-0000-0100-000005000000}">
      <formula1>"Estratégico,Gerencial (processo),Operacional,Projeto"</formula1>
      <formula2>0</formula2>
    </dataValidation>
    <dataValidation type="list" allowBlank="1" showErrorMessage="1" sqref="H5:H154" xr:uid="{00000000-0002-0000-0100-000006000000}">
      <formula1>"Novo,Mantido,Alterado"</formula1>
      <formula2>0</formula2>
    </dataValidation>
    <dataValidation type="list" errorStyle="information" allowBlank="1" showErrorMessage="1" errorTitle="Parte interessada" error="Valor fora da lista (cadastre na aba Contexto). Confirmar mantém o texto digitado." sqref="I5:I154" xr:uid="{00000000-0002-0000-0100-000007000000}">
      <formula1>ListaPartes</formula1>
      <formula2>0</formula2>
    </dataValidation>
    <dataValidation type="list" allowBlank="1" showErrorMessage="1" errorTitle="Categoria" error="Escolha uma categoria da lista." sqref="L5:L154" xr:uid="{00000000-0002-0000-0100-000008000000}">
      <formula1>ListaCatOport</formula1>
      <formula2>0</formula2>
    </dataValidation>
    <dataValidation type="list" allowBlank="1" showErrorMessage="1" sqref="R5:R154" xr:uid="{00000000-0002-0000-0100-000009000000}">
      <formula1>ListaFacil</formula1>
      <formula2>0</formula2>
    </dataValidation>
    <dataValidation type="list" allowBlank="1" showErrorMessage="1" sqref="S5:S154" xr:uid="{00000000-0002-0000-0100-00000A000000}">
      <formula1>ListaReducao</formula1>
      <formula2>0</formula2>
    </dataValidation>
    <dataValidation type="list" allowBlank="1" showErrorMessage="1" sqref="T5:T154" xr:uid="{00000000-0002-0000-0100-00000B000000}">
      <formula1>ListaAlinh</formula1>
      <formula2>0</formula2>
    </dataValidation>
    <dataValidation type="list" allowBlank="1" showErrorMessage="1" sqref="W5:W154" xr:uid="{00000000-0002-0000-0100-00000C000000}">
      <formula1>ListaAcaoOport</formula1>
      <formula2>0</formula2>
    </dataValidation>
    <dataValidation type="list" allowBlank="1" showErrorMessage="1" sqref="AB5:AB154" xr:uid="{00000000-0002-0000-0100-00000D000000}">
      <formula1>ListaStatus</formula1>
      <formula2>0</formula2>
    </dataValidation>
    <dataValidation type="list" allowBlank="1" showErrorMessage="1" sqref="AI5:AI154" xr:uid="{00000000-0002-0000-0100-00000E000000}">
      <formula1>"Eficaz,Não eficaz,Pendente"</formula1>
      <formula2>0</formula2>
    </dataValidation>
    <dataValidation type="custom" errorStyle="warning" allowBlank="1" showErrorMessage="1" errorTitle="Código do plano" error="Formato esperado: PAC 202601 (sigla, espaço e número). Confirmar mantém o texto." sqref="AC5:AC154" xr:uid="{00000000-0002-0000-0100-00000F000000}">
      <formula1>AND(OR(LEFT(AC5,4)="PAC ",LEFT(AC5,4)="RNC "),LEN(AC5)&gt;=10,ISNUMBER(--MID(AC5,5,20)))</formula1>
      <formula2>0</formula2>
    </dataValidation>
    <dataValidation type="decimal" operator="greaterThanOrEqual" allowBlank="1" showInputMessage="1" showErrorMessage="1" errorTitle="Valor inválido" error="Informe um valor em R$ maior ou igual a zero." sqref="AS5:AT154" xr:uid="{B023AE82-737B-40E4-8C30-A503A6EE79BB}">
      <formula1>0</formula1>
    </dataValidation>
    <dataValidation type="date" operator="greaterThanOrEqual" allowBlank="1" showInputMessage="1" showErrorMessage="1" sqref="AY5:AY154" xr:uid="{7485B5DF-AFA0-4E83-BCCD-839CFAE9F5E2}">
      <formula1>36526</formula1>
    </dataValidation>
    <dataValidation type="list" allowBlank="1" showInputMessage="1" showErrorMessage="1" sqref="BA5:BA154 BT5:BT154" xr:uid="{C93B4858-4E55-4977-8D76-E2D1CDD1BB2E}">
      <mc:AlternateContent xmlns:x12ac="http://schemas.microsoft.com/office/spreadsheetml/2011/1/ac" xmlns:mc="http://schemas.openxmlformats.org/markup-compatibility/2006">
        <mc:Choice Requires="x12ac">
          <x12ac:list>"Sim,Não"</x12ac:list>
        </mc:Choice>
        <mc:Fallback>
          <formula1>"Sim,Não"</formula1>
        </mc:Fallback>
      </mc:AlternateContent>
    </dataValidation>
    <dataValidation type="list" allowBlank="1" showInputMessage="1" showErrorMessage="1" sqref="BF5:BF154 BP5:BP154" xr:uid="{D5493054-1E01-4AE1-9334-0BC24FF78EAE}">
      <formula1>SgaProbNivel</formula1>
    </dataValidation>
    <dataValidation type="list" allowBlank="1" showInputMessage="1" showErrorMessage="1" sqref="BG5:BG154 BQ5:BQ154" xr:uid="{0DFCE2CC-1099-44E9-90BD-6DA3A9AAAF73}">
      <formula1>SgaSevOpNivel</formula1>
    </dataValidation>
    <dataValidation type="list" allowBlank="1" showInputMessage="1" showErrorMessage="1" sqref="BM5:BM154" xr:uid="{D3311F4F-42CB-4516-9D9B-BFF84F7C1265}">
      <formula1>SgaDecOport</formula1>
    </dataValidation>
    <dataValidation type="list" allowBlank="1" showInputMessage="1" showErrorMessage="1" sqref="BN5:BN154" xr:uid="{50271D0B-BF41-4FEF-87F7-7F1BCDCD7CBD}">
      <formula1>SgaTipoAcao</formula1>
    </dataValidation>
  </dataValidations>
  <pageMargins left="0.75" right="0.75" top="1" bottom="1" header="0.511811023622047" footer="0.511811023622047"/>
  <pageSetup paperSize="9" scale="15" orientation="landscape" horizontalDpi="300" verticalDpi="30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  <pageSetUpPr fitToPage="1"/>
  </sheetPr>
  <dimension ref="A1:Q113"/>
  <sheetViews>
    <sheetView showGridLines="0" zoomScaleNormal="100" workbookViewId="0">
      <pane ySplit="2" topLeftCell="A78" activePane="bottomLeft" state="frozen"/>
      <selection activeCell="E8" sqref="E8:H8"/>
      <selection pane="bottomLeft" activeCell="J86" sqref="J86"/>
    </sheetView>
  </sheetViews>
  <sheetFormatPr defaultColWidth="8.6640625" defaultRowHeight="14.4"/>
  <cols>
    <col min="1" max="1" width="4" customWidth="1"/>
    <col min="2" max="2" width="16" customWidth="1"/>
    <col min="3" max="3" width="8" customWidth="1"/>
    <col min="4" max="9" width="10" customWidth="1"/>
    <col min="10" max="10" width="22" customWidth="1"/>
    <col min="11" max="11" width="8" customWidth="1"/>
    <col min="12" max="17" width="10" customWidth="1"/>
  </cols>
  <sheetData>
    <row r="1" spans="1:17" ht="27.75" customHeight="1">
      <c r="A1" s="212" t="s">
        <v>151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</row>
    <row r="2" spans="1:17">
      <c r="A2" s="213" t="str">
        <f>"Unidade: "&amp;IF(Riscos!$D$2="","(preencher)",Riscos!$D$2)&amp;"   |   Escopo: "&amp;IF(Riscos!$G$2="","(preencher)",Riscos!$G$2)&amp;"   |   Responsável: "&amp;IF(Riscos!$J$2="","(preencher)",Riscos!$J$2)&amp;"   |   Versão: "&amp;IF(Riscos!$N$2="","-",Riscos!$N$2)&amp;"   |   Doc.: "&amp;IF(Riscos!$W$2="","-",Riscos!$W$2)</f>
        <v>Unidade: Plasticom — Unidade 1 (Portugal)   |   Escopo: Todas as áreas — jul/2025 a dez/2026   |   Responsável: Coordenação do SGI   |   Versão: 1/2026   |   Doc.: REG-RISCOS-01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</row>
    <row r="4" spans="1:17" ht="30" customHeight="1">
      <c r="B4" s="214" t="s">
        <v>152</v>
      </c>
      <c r="C4" s="214"/>
      <c r="D4" s="214" t="s">
        <v>153</v>
      </c>
      <c r="E4" s="214"/>
      <c r="F4" s="214" t="s">
        <v>154</v>
      </c>
      <c r="G4" s="214"/>
      <c r="H4" s="214" t="s">
        <v>155</v>
      </c>
      <c r="I4" s="214"/>
      <c r="J4" s="214" t="s">
        <v>156</v>
      </c>
      <c r="K4" s="214"/>
      <c r="L4" s="214" t="s">
        <v>157</v>
      </c>
      <c r="M4" s="214"/>
      <c r="N4" s="214" t="s">
        <v>158</v>
      </c>
      <c r="O4" s="214"/>
      <c r="P4" s="214" t="s">
        <v>159</v>
      </c>
      <c r="Q4" s="214"/>
    </row>
    <row r="5" spans="1:17" ht="30" customHeight="1">
      <c r="B5" s="215">
        <f>COUNTA(Riscos!$C$5:$C$154)</f>
        <v>39</v>
      </c>
      <c r="C5" s="215"/>
      <c r="D5" s="215">
        <f>COUNTA(Oportunidades!$C$5:$C$154)</f>
        <v>15</v>
      </c>
      <c r="E5" s="215"/>
      <c r="F5" s="215">
        <f>COUNTIF(Riscos!$W$5:$W$154,"Crítico")</f>
        <v>1</v>
      </c>
      <c r="G5" s="215"/>
      <c r="H5" s="215">
        <f>COUNTIF(Riscos!$W$5:$W$154,"Alto")</f>
        <v>19</v>
      </c>
      <c r="I5" s="215"/>
      <c r="J5" s="215">
        <f>COUNTIF(Oportunidades!$P$5:$P$154,"Alto")+COUNTIF(Oportunidades!$P$5:$P$154,"Crítico")</f>
        <v>13</v>
      </c>
      <c r="K5" s="215"/>
      <c r="L5" s="215">
        <f ca="1">COUNTIF(Riscos!$AZ$5:$AZ$154,"Ação vencida")+COUNTIF(Oportunidades!$AO$5:$AO$154,"Ação vencida")</f>
        <v>0</v>
      </c>
      <c r="M5" s="215"/>
      <c r="N5" s="215">
        <f ca="1">SUMPRODUCT((Riscos!$AZ$5:$AZ$154&lt;&gt;"OK")*(Riscos!$AZ$5:$AZ$154&lt;&gt;""))+SUMPRODUCT((Oportunidades!$AO$5:$AO$154&lt;&gt;"OK")*(Oportunidades!$AO$5:$AO$154&lt;&gt;""))</f>
        <v>27</v>
      </c>
      <c r="O5" s="215"/>
      <c r="P5" s="216">
        <f ca="1">IFERROR((COUNTIF(Riscos!$AY$5:$AY$154,"&gt;="&amp;TODAY())+COUNTIF(Oportunidades!$AN$5:$AN$154,"&gt;="&amp;TODAY()))/(COUNT(Riscos!$AY$5:$AY$154)+COUNT(Oportunidades!$AN$5:$AN$154)),0)</f>
        <v>0.92592592592592593</v>
      </c>
      <c r="Q5" s="216"/>
    </row>
    <row r="7" spans="1:17" ht="15" customHeight="1">
      <c r="B7" s="217" t="s">
        <v>160</v>
      </c>
      <c r="C7" s="217"/>
      <c r="D7" s="217"/>
      <c r="E7" s="217"/>
      <c r="F7" s="217"/>
      <c r="G7" s="217"/>
      <c r="H7" s="217"/>
      <c r="J7" s="218" t="s">
        <v>161</v>
      </c>
      <c r="K7" s="218"/>
      <c r="L7" s="218"/>
      <c r="M7" s="218"/>
      <c r="N7" s="218"/>
      <c r="O7" s="218"/>
      <c r="P7" s="218"/>
    </row>
    <row r="8" spans="1:17" ht="24" customHeight="1">
      <c r="B8" s="21"/>
      <c r="C8" s="21"/>
      <c r="D8" s="22" t="str">
        <f>Critérios!C49</f>
        <v>Muito baixo</v>
      </c>
      <c r="E8" s="22" t="str">
        <f>Critérios!D49</f>
        <v>Baixo</v>
      </c>
      <c r="F8" s="22" t="str">
        <f>Critérios!E49</f>
        <v>Médio</v>
      </c>
      <c r="G8" s="22" t="str">
        <f>Critérios!F49</f>
        <v>Alto</v>
      </c>
      <c r="H8" s="22" t="str">
        <f>Critérios!G49</f>
        <v>Muito alto</v>
      </c>
      <c r="J8" s="21"/>
      <c r="K8" s="21"/>
      <c r="L8" s="22" t="str">
        <f>Critérios!C49</f>
        <v>Muito baixo</v>
      </c>
      <c r="M8" s="22" t="str">
        <f>Critérios!D49</f>
        <v>Baixo</v>
      </c>
      <c r="N8" s="22" t="str">
        <f>Critérios!E49</f>
        <v>Médio</v>
      </c>
      <c r="O8" s="22" t="str">
        <f>Critérios!F49</f>
        <v>Alto</v>
      </c>
      <c r="P8" s="22" t="str">
        <f>Critérios!G49</f>
        <v>Muito alto</v>
      </c>
    </row>
    <row r="9" spans="1:17" ht="15" customHeight="1">
      <c r="B9" s="219" t="s">
        <v>162</v>
      </c>
      <c r="C9" s="219"/>
      <c r="D9" s="1">
        <v>1</v>
      </c>
      <c r="E9" s="1">
        <v>2</v>
      </c>
      <c r="F9" s="1">
        <v>3</v>
      </c>
      <c r="G9" s="1">
        <v>4</v>
      </c>
      <c r="H9" s="1">
        <v>5</v>
      </c>
      <c r="J9" s="219" t="s">
        <v>162</v>
      </c>
      <c r="K9" s="219"/>
      <c r="L9" s="1">
        <v>1</v>
      </c>
      <c r="M9" s="1">
        <v>2</v>
      </c>
      <c r="N9" s="1">
        <v>3</v>
      </c>
      <c r="O9" s="1">
        <v>4</v>
      </c>
      <c r="P9" s="1">
        <v>5</v>
      </c>
    </row>
    <row r="10" spans="1:17" ht="24" customHeight="1">
      <c r="B10" s="20" t="str">
        <f>Critérios!B45</f>
        <v>Muito alta</v>
      </c>
      <c r="C10" s="1">
        <v>5</v>
      </c>
      <c r="D10" s="24">
        <f>COUNTIFS(Riscos!$T$5:$T$154,$C10,Riscos!$U$5:$U$154,D$9)</f>
        <v>0</v>
      </c>
      <c r="E10" s="24">
        <f>COUNTIFS(Riscos!$T$5:$T$154,$C10,Riscos!$U$5:$U$154,E$9)</f>
        <v>0</v>
      </c>
      <c r="F10" s="24">
        <f>COUNTIFS(Riscos!$T$5:$T$154,$C10,Riscos!$U$5:$U$154,F$9)</f>
        <v>1</v>
      </c>
      <c r="G10" s="24">
        <f>COUNTIFS(Riscos!$T$5:$T$154,$C10,Riscos!$U$5:$U$154,G$9)</f>
        <v>0</v>
      </c>
      <c r="H10" s="24">
        <f>COUNTIFS(Riscos!$T$5:$T$154,$C10,Riscos!$U$5:$U$154,H$9)</f>
        <v>0</v>
      </c>
      <c r="J10" s="20" t="str">
        <f>Critérios!B45</f>
        <v>Muito alta</v>
      </c>
      <c r="K10" s="1">
        <v>5</v>
      </c>
      <c r="L10" s="24">
        <f>COUNTIFS(Riscos!$AP$5:$AP$154,$K10,Riscos!$AQ$5:$AQ$154,L$9)</f>
        <v>0</v>
      </c>
      <c r="M10" s="24">
        <f>COUNTIFS(Riscos!$AP$5:$AP$154,$K10,Riscos!$AQ$5:$AQ$154,M$9)</f>
        <v>0</v>
      </c>
      <c r="N10" s="24">
        <f>COUNTIFS(Riscos!$AP$5:$AP$154,$K10,Riscos!$AQ$5:$AQ$154,N$9)</f>
        <v>0</v>
      </c>
      <c r="O10" s="24">
        <f>COUNTIFS(Riscos!$AP$5:$AP$154,$K10,Riscos!$AQ$5:$AQ$154,O$9)</f>
        <v>0</v>
      </c>
      <c r="P10" s="24">
        <f>COUNTIFS(Riscos!$AP$5:$AP$154,$K10,Riscos!$AQ$5:$AQ$154,P$9)</f>
        <v>0</v>
      </c>
    </row>
    <row r="11" spans="1:17" ht="24" customHeight="1">
      <c r="B11" s="20" t="str">
        <f>Critérios!B44</f>
        <v>Alta</v>
      </c>
      <c r="C11" s="1">
        <v>4</v>
      </c>
      <c r="D11" s="24">
        <f>COUNTIFS(Riscos!$T$5:$T$154,$C11,Riscos!$U$5:$U$154,D$9)</f>
        <v>0</v>
      </c>
      <c r="E11" s="24">
        <f>COUNTIFS(Riscos!$T$5:$T$154,$C11,Riscos!$U$5:$U$154,E$9)</f>
        <v>2</v>
      </c>
      <c r="F11" s="24">
        <f>COUNTIFS(Riscos!$T$5:$T$154,$C11,Riscos!$U$5:$U$154,F$9)</f>
        <v>14</v>
      </c>
      <c r="G11" s="24">
        <f>COUNTIFS(Riscos!$T$5:$T$154,$C11,Riscos!$U$5:$U$154,G$9)</f>
        <v>1</v>
      </c>
      <c r="H11" s="24">
        <f>COUNTIFS(Riscos!$T$5:$T$154,$C11,Riscos!$U$5:$U$154,H$9)</f>
        <v>0</v>
      </c>
      <c r="J11" s="20" t="str">
        <f>Critérios!B44</f>
        <v>Alta</v>
      </c>
      <c r="K11" s="1">
        <v>4</v>
      </c>
      <c r="L11" s="24">
        <f>COUNTIFS(Riscos!$AP$5:$AP$154,$K11,Riscos!$AQ$5:$AQ$154,L$9)</f>
        <v>0</v>
      </c>
      <c r="M11" s="24">
        <f>COUNTIFS(Riscos!$AP$5:$AP$154,$K11,Riscos!$AQ$5:$AQ$154,M$9)</f>
        <v>0</v>
      </c>
      <c r="N11" s="24">
        <f>COUNTIFS(Riscos!$AP$5:$AP$154,$K11,Riscos!$AQ$5:$AQ$154,N$9)</f>
        <v>0</v>
      </c>
      <c r="O11" s="24">
        <f>COUNTIFS(Riscos!$AP$5:$AP$154,$K11,Riscos!$AQ$5:$AQ$154,O$9)</f>
        <v>0</v>
      </c>
      <c r="P11" s="24">
        <f>COUNTIFS(Riscos!$AP$5:$AP$154,$K11,Riscos!$AQ$5:$AQ$154,P$9)</f>
        <v>0</v>
      </c>
    </row>
    <row r="12" spans="1:17" ht="24" customHeight="1">
      <c r="B12" s="20" t="str">
        <f>Critérios!B43</f>
        <v>Média</v>
      </c>
      <c r="C12" s="1">
        <v>3</v>
      </c>
      <c r="D12" s="24">
        <f>COUNTIFS(Riscos!$T$5:$T$154,$C12,Riscos!$U$5:$U$154,D$9)</f>
        <v>0</v>
      </c>
      <c r="E12" s="24">
        <f>COUNTIFS(Riscos!$T$5:$T$154,$C12,Riscos!$U$5:$U$154,E$9)</f>
        <v>1</v>
      </c>
      <c r="F12" s="24">
        <f>COUNTIFS(Riscos!$T$5:$T$154,$C12,Riscos!$U$5:$U$154,F$9)</f>
        <v>11</v>
      </c>
      <c r="G12" s="24">
        <f>COUNTIFS(Riscos!$T$5:$T$154,$C12,Riscos!$U$5:$U$154,G$9)</f>
        <v>4</v>
      </c>
      <c r="H12" s="24">
        <f>COUNTIFS(Riscos!$T$5:$T$154,$C12,Riscos!$U$5:$U$154,H$9)</f>
        <v>0</v>
      </c>
      <c r="J12" s="20" t="str">
        <f>Critérios!B43</f>
        <v>Média</v>
      </c>
      <c r="K12" s="1">
        <v>3</v>
      </c>
      <c r="L12" s="24">
        <f>COUNTIFS(Riscos!$AP$5:$AP$154,$K12,Riscos!$AQ$5:$AQ$154,L$9)</f>
        <v>0</v>
      </c>
      <c r="M12" s="24">
        <f>COUNTIFS(Riscos!$AP$5:$AP$154,$K12,Riscos!$AQ$5:$AQ$154,M$9)</f>
        <v>5</v>
      </c>
      <c r="N12" s="24">
        <f>COUNTIFS(Riscos!$AP$5:$AP$154,$K12,Riscos!$AQ$5:$AQ$154,N$9)</f>
        <v>6</v>
      </c>
      <c r="O12" s="24">
        <f>COUNTIFS(Riscos!$AP$5:$AP$154,$K12,Riscos!$AQ$5:$AQ$154,O$9)</f>
        <v>0</v>
      </c>
      <c r="P12" s="24">
        <f>COUNTIFS(Riscos!$AP$5:$AP$154,$K12,Riscos!$AQ$5:$AQ$154,P$9)</f>
        <v>0</v>
      </c>
    </row>
    <row r="13" spans="1:17" ht="24" customHeight="1">
      <c r="B13" s="20" t="str">
        <f>Critérios!B42</f>
        <v>Baixa</v>
      </c>
      <c r="C13" s="1">
        <v>2</v>
      </c>
      <c r="D13" s="24">
        <f>COUNTIFS(Riscos!$T$5:$T$154,$C13,Riscos!$U$5:$U$154,D$9)</f>
        <v>0</v>
      </c>
      <c r="E13" s="24">
        <f>COUNTIFS(Riscos!$T$5:$T$154,$C13,Riscos!$U$5:$U$154,E$9)</f>
        <v>1</v>
      </c>
      <c r="F13" s="24">
        <f>COUNTIFS(Riscos!$T$5:$T$154,$C13,Riscos!$U$5:$U$154,F$9)</f>
        <v>1</v>
      </c>
      <c r="G13" s="24">
        <f>COUNTIFS(Riscos!$T$5:$T$154,$C13,Riscos!$U$5:$U$154,G$9)</f>
        <v>3</v>
      </c>
      <c r="H13" s="24">
        <f>COUNTIFS(Riscos!$T$5:$T$154,$C13,Riscos!$U$5:$U$154,H$9)</f>
        <v>0</v>
      </c>
      <c r="J13" s="20" t="str">
        <f>Critérios!B42</f>
        <v>Baixa</v>
      </c>
      <c r="K13" s="1">
        <v>2</v>
      </c>
      <c r="L13" s="24">
        <f>COUNTIFS(Riscos!$AP$5:$AP$154,$K13,Riscos!$AQ$5:$AQ$154,L$9)</f>
        <v>0</v>
      </c>
      <c r="M13" s="24">
        <f>COUNTIFS(Riscos!$AP$5:$AP$154,$K13,Riscos!$AQ$5:$AQ$154,M$9)</f>
        <v>2</v>
      </c>
      <c r="N13" s="24">
        <f>COUNTIFS(Riscos!$AP$5:$AP$154,$K13,Riscos!$AQ$5:$AQ$154,N$9)</f>
        <v>18</v>
      </c>
      <c r="O13" s="24">
        <f>COUNTIFS(Riscos!$AP$5:$AP$154,$K13,Riscos!$AQ$5:$AQ$154,O$9)</f>
        <v>0</v>
      </c>
      <c r="P13" s="24">
        <f>COUNTIFS(Riscos!$AP$5:$AP$154,$K13,Riscos!$AQ$5:$AQ$154,P$9)</f>
        <v>0</v>
      </c>
    </row>
    <row r="14" spans="1:17" ht="24" customHeight="1">
      <c r="B14" s="20" t="str">
        <f>Critérios!B41</f>
        <v>Muito baixa</v>
      </c>
      <c r="C14" s="1">
        <v>1</v>
      </c>
      <c r="D14" s="24">
        <f>COUNTIFS(Riscos!$T$5:$T$154,$C14,Riscos!$U$5:$U$154,D$9)</f>
        <v>0</v>
      </c>
      <c r="E14" s="24">
        <f>COUNTIFS(Riscos!$T$5:$T$154,$C14,Riscos!$U$5:$U$154,E$9)</f>
        <v>0</v>
      </c>
      <c r="F14" s="24">
        <f>COUNTIFS(Riscos!$T$5:$T$154,$C14,Riscos!$U$5:$U$154,F$9)</f>
        <v>0</v>
      </c>
      <c r="G14" s="24">
        <f>COUNTIFS(Riscos!$T$5:$T$154,$C14,Riscos!$U$5:$U$154,G$9)</f>
        <v>0</v>
      </c>
      <c r="H14" s="24">
        <f>COUNTIFS(Riscos!$T$5:$T$154,$C14,Riscos!$U$5:$U$154,H$9)</f>
        <v>0</v>
      </c>
      <c r="J14" s="20" t="str">
        <f>Critérios!B41</f>
        <v>Muito baixa</v>
      </c>
      <c r="K14" s="1">
        <v>1</v>
      </c>
      <c r="L14" s="24">
        <f>COUNTIFS(Riscos!$AP$5:$AP$154,$K14,Riscos!$AQ$5:$AQ$154,L$9)</f>
        <v>0</v>
      </c>
      <c r="M14" s="24">
        <f>COUNTIFS(Riscos!$AP$5:$AP$154,$K14,Riscos!$AQ$5:$AQ$154,M$9)</f>
        <v>0</v>
      </c>
      <c r="N14" s="24">
        <f>COUNTIFS(Riscos!$AP$5:$AP$154,$K14,Riscos!$AQ$5:$AQ$154,N$9)</f>
        <v>2</v>
      </c>
      <c r="O14" s="24">
        <f>COUNTIFS(Riscos!$AP$5:$AP$154,$K14,Riscos!$AQ$5:$AQ$154,O$9)</f>
        <v>3</v>
      </c>
      <c r="P14" s="24">
        <f>COUNTIFS(Riscos!$AP$5:$AP$154,$K14,Riscos!$AQ$5:$AQ$154,P$9)</f>
        <v>0</v>
      </c>
    </row>
    <row r="15" spans="1:17" ht="15" customHeight="1">
      <c r="B15" s="220" t="s">
        <v>163</v>
      </c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</row>
    <row r="17" spans="2:17" ht="15" customHeight="1">
      <c r="B17" s="221" t="s">
        <v>164</v>
      </c>
      <c r="C17" s="221"/>
      <c r="D17" s="221"/>
      <c r="E17" s="221"/>
      <c r="F17" s="221"/>
      <c r="G17" s="221"/>
      <c r="H17" s="221"/>
      <c r="J17" s="222" t="s">
        <v>165</v>
      </c>
      <c r="K17" s="222"/>
      <c r="L17" s="222"/>
      <c r="M17" s="222"/>
      <c r="N17" s="222"/>
      <c r="O17" s="222"/>
      <c r="P17" s="222"/>
      <c r="Q17" s="222"/>
    </row>
    <row r="18" spans="2:17" ht="24" customHeight="1">
      <c r="B18" s="21"/>
      <c r="C18" s="21"/>
      <c r="D18" s="22" t="str">
        <f>Critérios!C49</f>
        <v>Muito baixo</v>
      </c>
      <c r="E18" s="22" t="str">
        <f>Critérios!D49</f>
        <v>Baixo</v>
      </c>
      <c r="F18" s="22" t="str">
        <f>Critérios!E49</f>
        <v>Médio</v>
      </c>
      <c r="G18" s="22" t="str">
        <f>Critérios!F49</f>
        <v>Alto</v>
      </c>
      <c r="H18" s="22" t="str">
        <f>Critérios!G49</f>
        <v>Muito alto</v>
      </c>
      <c r="J18" s="3" t="s">
        <v>166</v>
      </c>
      <c r="K18" s="3" t="s">
        <v>167</v>
      </c>
      <c r="L18" s="223" t="s">
        <v>168</v>
      </c>
      <c r="M18" s="223"/>
      <c r="N18" s="223"/>
      <c r="O18" s="223"/>
      <c r="P18" s="223"/>
      <c r="Q18" s="223"/>
    </row>
    <row r="19" spans="2:17" ht="15" customHeight="1">
      <c r="B19" s="219" t="s">
        <v>162</v>
      </c>
      <c r="C19" s="219"/>
      <c r="D19" s="1">
        <v>1</v>
      </c>
      <c r="E19" s="1">
        <v>2</v>
      </c>
      <c r="F19" s="1">
        <v>3</v>
      </c>
      <c r="G19" s="1">
        <v>4</v>
      </c>
      <c r="H19" s="1">
        <v>5</v>
      </c>
      <c r="J19" s="25" t="s">
        <v>169</v>
      </c>
      <c r="K19" s="25">
        <f>COUNTIF(Riscos!$Y$5:$Y$154,$J19)</f>
        <v>1</v>
      </c>
      <c r="L19" s="224" t="s">
        <v>170</v>
      </c>
      <c r="M19" s="224"/>
      <c r="N19" s="224"/>
      <c r="O19" s="224"/>
      <c r="P19" s="224"/>
      <c r="Q19" s="224"/>
    </row>
    <row r="20" spans="2:17" ht="24" customHeight="1">
      <c r="B20" s="20" t="str">
        <f>Critérios!B45</f>
        <v>Muito alta</v>
      </c>
      <c r="C20" s="1">
        <v>5</v>
      </c>
      <c r="D20" s="24">
        <f>COUNTIFS(Oportunidades!$M$5:$M$154,$C20,Oportunidades!$N$5:$N$154,D$19)</f>
        <v>0</v>
      </c>
      <c r="E20" s="24">
        <f>COUNTIFS(Oportunidades!$M$5:$M$154,$C20,Oportunidades!$N$5:$N$154,E$19)</f>
        <v>0</v>
      </c>
      <c r="F20" s="24">
        <f>COUNTIFS(Oportunidades!$M$5:$M$154,$C20,Oportunidades!$N$5:$N$154,F$19)</f>
        <v>0</v>
      </c>
      <c r="G20" s="24">
        <f>COUNTIFS(Oportunidades!$M$5:$M$154,$C20,Oportunidades!$N$5:$N$154,G$19)</f>
        <v>0</v>
      </c>
      <c r="H20" s="24">
        <f>COUNTIFS(Oportunidades!$M$5:$M$154,$C20,Oportunidades!$N$5:$N$154,H$19)</f>
        <v>0</v>
      </c>
      <c r="J20" s="25" t="s">
        <v>72</v>
      </c>
      <c r="K20" s="25">
        <f>COUNTIF(Riscos!$Y$5:$Y$154,$J20)</f>
        <v>35</v>
      </c>
      <c r="L20" s="224" t="s">
        <v>171</v>
      </c>
      <c r="M20" s="224"/>
      <c r="N20" s="224"/>
      <c r="O20" s="224"/>
      <c r="P20" s="224"/>
      <c r="Q20" s="224"/>
    </row>
    <row r="21" spans="2:17" ht="24" customHeight="1">
      <c r="B21" s="20" t="str">
        <f>Critérios!B44</f>
        <v>Alta</v>
      </c>
      <c r="C21" s="1">
        <v>4</v>
      </c>
      <c r="D21" s="24">
        <f>COUNTIFS(Oportunidades!$M$5:$M$154,$C21,Oportunidades!$N$5:$N$154,D$19)</f>
        <v>0</v>
      </c>
      <c r="E21" s="24">
        <f>COUNTIFS(Oportunidades!$M$5:$M$154,$C21,Oportunidades!$N$5:$N$154,E$19)</f>
        <v>0</v>
      </c>
      <c r="F21" s="24">
        <f>COUNTIFS(Oportunidades!$M$5:$M$154,$C21,Oportunidades!$N$5:$N$154,F$19)</f>
        <v>4</v>
      </c>
      <c r="G21" s="24">
        <f>COUNTIFS(Oportunidades!$M$5:$M$154,$C21,Oportunidades!$N$5:$N$154,G$19)</f>
        <v>4</v>
      </c>
      <c r="H21" s="24">
        <f>COUNTIFS(Oportunidades!$M$5:$M$154,$C21,Oportunidades!$N$5:$N$154,H$19)</f>
        <v>0</v>
      </c>
      <c r="J21" s="25" t="s">
        <v>172</v>
      </c>
      <c r="K21" s="25">
        <f>COUNTIF(Riscos!$Y$5:$Y$154,$J21)</f>
        <v>3</v>
      </c>
      <c r="L21" s="224" t="s">
        <v>173</v>
      </c>
      <c r="M21" s="224"/>
      <c r="N21" s="224"/>
      <c r="O21" s="224"/>
      <c r="P21" s="224"/>
      <c r="Q21" s="224"/>
    </row>
    <row r="22" spans="2:17" ht="24" customHeight="1">
      <c r="B22" s="20" t="str">
        <f>Critérios!B43</f>
        <v>Média</v>
      </c>
      <c r="C22" s="1">
        <v>3</v>
      </c>
      <c r="D22" s="24">
        <f>COUNTIFS(Oportunidades!$M$5:$M$154,$C22,Oportunidades!$N$5:$N$154,D$19)</f>
        <v>0</v>
      </c>
      <c r="E22" s="24">
        <f>COUNTIFS(Oportunidades!$M$5:$M$154,$C22,Oportunidades!$N$5:$N$154,E$19)</f>
        <v>0</v>
      </c>
      <c r="F22" s="24">
        <f>COUNTIFS(Oportunidades!$M$5:$M$154,$C22,Oportunidades!$N$5:$N$154,F$19)</f>
        <v>1</v>
      </c>
      <c r="G22" s="24">
        <f>COUNTIFS(Oportunidades!$M$5:$M$154,$C22,Oportunidades!$N$5:$N$154,G$19)</f>
        <v>4</v>
      </c>
      <c r="H22" s="24">
        <f>COUNTIFS(Oportunidades!$M$5:$M$154,$C22,Oportunidades!$N$5:$N$154,H$19)</f>
        <v>1</v>
      </c>
      <c r="J22" s="19" t="s">
        <v>174</v>
      </c>
      <c r="K22" s="19" t="s">
        <v>167</v>
      </c>
      <c r="L22" s="225" t="s">
        <v>175</v>
      </c>
      <c r="M22" s="225"/>
      <c r="N22" s="225"/>
      <c r="O22" s="225"/>
      <c r="P22" s="225"/>
      <c r="Q22" s="225"/>
    </row>
    <row r="23" spans="2:17" ht="24" customHeight="1">
      <c r="B23" s="20" t="str">
        <f>Critérios!B42</f>
        <v>Baixa</v>
      </c>
      <c r="C23" s="1">
        <v>2</v>
      </c>
      <c r="D23" s="24">
        <f>COUNTIFS(Oportunidades!$M$5:$M$154,$C23,Oportunidades!$N$5:$N$154,D$19)</f>
        <v>0</v>
      </c>
      <c r="E23" s="24">
        <f>COUNTIFS(Oportunidades!$M$5:$M$154,$C23,Oportunidades!$N$5:$N$154,E$19)</f>
        <v>0</v>
      </c>
      <c r="F23" s="24">
        <f>COUNTIFS(Oportunidades!$M$5:$M$154,$C23,Oportunidades!$N$5:$N$154,F$19)</f>
        <v>0</v>
      </c>
      <c r="G23" s="24">
        <f>COUNTIFS(Oportunidades!$M$5:$M$154,$C23,Oportunidades!$N$5:$N$154,G$19)</f>
        <v>1</v>
      </c>
      <c r="H23" s="24">
        <f>COUNTIFS(Oportunidades!$M$5:$M$154,$C23,Oportunidades!$N$5:$N$154,H$19)</f>
        <v>0</v>
      </c>
      <c r="J23" s="25" t="s">
        <v>176</v>
      </c>
      <c r="K23" s="25">
        <f>COUNTIF(Oportunidades!$V$5:$V$154,$J23)</f>
        <v>4</v>
      </c>
      <c r="L23" s="224" t="s">
        <v>177</v>
      </c>
      <c r="M23" s="224"/>
      <c r="N23" s="224"/>
      <c r="O23" s="224"/>
      <c r="P23" s="224"/>
      <c r="Q23" s="224"/>
    </row>
    <row r="24" spans="2:17" ht="24" customHeight="1">
      <c r="B24" s="20" t="str">
        <f>Critérios!B41</f>
        <v>Muito baixa</v>
      </c>
      <c r="C24" s="1">
        <v>1</v>
      </c>
      <c r="D24" s="24">
        <f>COUNTIFS(Oportunidades!$M$5:$M$154,$C24,Oportunidades!$N$5:$N$154,D$19)</f>
        <v>0</v>
      </c>
      <c r="E24" s="24">
        <f>COUNTIFS(Oportunidades!$M$5:$M$154,$C24,Oportunidades!$N$5:$N$154,E$19)</f>
        <v>0</v>
      </c>
      <c r="F24" s="24">
        <f>COUNTIFS(Oportunidades!$M$5:$M$154,$C24,Oportunidades!$N$5:$N$154,F$19)</f>
        <v>0</v>
      </c>
      <c r="G24" s="24">
        <f>COUNTIFS(Oportunidades!$M$5:$M$154,$C24,Oportunidades!$N$5:$N$154,G$19)</f>
        <v>0</v>
      </c>
      <c r="H24" s="24">
        <f>COUNTIFS(Oportunidades!$M$5:$M$154,$C24,Oportunidades!$N$5:$N$154,H$19)</f>
        <v>0</v>
      </c>
      <c r="J24" s="25" t="s">
        <v>139</v>
      </c>
      <c r="K24" s="25">
        <f>COUNTIF(Oportunidades!$V$5:$V$154,$J24)</f>
        <v>11</v>
      </c>
      <c r="L24" s="224" t="s">
        <v>178</v>
      </c>
      <c r="M24" s="224"/>
      <c r="N24" s="224"/>
      <c r="O24" s="224"/>
      <c r="P24" s="224"/>
      <c r="Q24" s="224"/>
    </row>
    <row r="25" spans="2:17" ht="15" customHeight="1">
      <c r="B25" s="220" t="s">
        <v>179</v>
      </c>
      <c r="C25" s="220"/>
      <c r="D25" s="220"/>
      <c r="E25" s="220"/>
      <c r="F25" s="220"/>
      <c r="G25" s="220"/>
      <c r="H25" s="220"/>
      <c r="J25" s="25" t="s">
        <v>172</v>
      </c>
      <c r="K25" s="25">
        <f>COUNTIF(Oportunidades!$V$5:$V$154,$J25)</f>
        <v>0</v>
      </c>
      <c r="L25" s="224" t="s">
        <v>180</v>
      </c>
      <c r="M25" s="224"/>
      <c r="N25" s="224"/>
      <c r="O25" s="224"/>
      <c r="P25" s="224"/>
      <c r="Q25" s="224"/>
    </row>
    <row r="27" spans="2:17" ht="15" customHeight="1">
      <c r="B27" s="222" t="s">
        <v>181</v>
      </c>
      <c r="C27" s="222"/>
      <c r="D27" s="222"/>
      <c r="E27" s="222"/>
      <c r="F27" s="222"/>
      <c r="G27" s="222"/>
      <c r="J27" s="222" t="s">
        <v>182</v>
      </c>
      <c r="K27" s="222"/>
      <c r="L27" s="222"/>
      <c r="M27" s="222"/>
      <c r="N27" s="222"/>
      <c r="O27" s="222"/>
      <c r="P27" s="222"/>
      <c r="Q27" s="222"/>
    </row>
    <row r="28" spans="2:17" ht="24" customHeight="1">
      <c r="B28" s="23" t="s">
        <v>33</v>
      </c>
      <c r="C28" s="23" t="s">
        <v>183</v>
      </c>
      <c r="D28" s="23" t="s">
        <v>184</v>
      </c>
      <c r="E28" s="23" t="s">
        <v>185</v>
      </c>
      <c r="F28" s="23" t="s">
        <v>186</v>
      </c>
      <c r="G28" s="23" t="s">
        <v>187</v>
      </c>
      <c r="J28" s="1" t="s">
        <v>57</v>
      </c>
      <c r="K28" s="26" t="s">
        <v>188</v>
      </c>
      <c r="L28" s="27" t="s">
        <v>189</v>
      </c>
      <c r="M28" s="226" t="s">
        <v>190</v>
      </c>
      <c r="N28" s="226"/>
      <c r="O28" s="226"/>
      <c r="P28" s="226"/>
      <c r="Q28" s="226"/>
    </row>
    <row r="29" spans="2:17" ht="15" customHeight="1">
      <c r="B29" s="28" t="str">
        <f>Critérios!B25</f>
        <v>Baixo</v>
      </c>
      <c r="C29" s="25">
        <f>COUNTIF(Riscos!$Q$5:$Q$154,$B29)</f>
        <v>1</v>
      </c>
      <c r="D29" s="25">
        <f>COUNTIF(Riscos!$W$5:$W$154,$B29)</f>
        <v>3</v>
      </c>
      <c r="E29" s="25">
        <f>COUNTIF(Riscos!$AS$5:$AS$154,$B29)</f>
        <v>30</v>
      </c>
      <c r="F29" s="25">
        <f>COUNTIF(Oportunidades!$P$5:$P$154,$B29)</f>
        <v>0</v>
      </c>
      <c r="G29" s="29">
        <f>E29-D29</f>
        <v>27</v>
      </c>
      <c r="J29" s="30" t="s">
        <v>191</v>
      </c>
      <c r="K29" s="25">
        <f ca="1">COUNTIF(Riscos!$AZ$5:$AZ$154,$J29)</f>
        <v>0</v>
      </c>
      <c r="L29" s="25">
        <f ca="1">COUNTIF(Oportunidades!$AO$5:$AO$154,$J29)</f>
        <v>0</v>
      </c>
      <c r="M29" s="224" t="s">
        <v>192</v>
      </c>
      <c r="N29" s="224"/>
      <c r="O29" s="224"/>
      <c r="P29" s="224"/>
      <c r="Q29" s="224"/>
    </row>
    <row r="30" spans="2:17" ht="15" customHeight="1">
      <c r="B30" s="31" t="str">
        <f>Critérios!B26</f>
        <v>Médio</v>
      </c>
      <c r="C30" s="25">
        <f>COUNTIF(Riscos!$Q$5:$Q$154,$B30)</f>
        <v>6</v>
      </c>
      <c r="D30" s="25">
        <f>COUNTIF(Riscos!$W$5:$W$154,$B30)</f>
        <v>16</v>
      </c>
      <c r="E30" s="25">
        <f>COUNTIF(Riscos!$AS$5:$AS$154,$B30)</f>
        <v>6</v>
      </c>
      <c r="F30" s="25">
        <f>COUNTIF(Oportunidades!$P$5:$P$154,$B30)</f>
        <v>2</v>
      </c>
      <c r="G30" s="29">
        <f>E30-D30</f>
        <v>-10</v>
      </c>
      <c r="J30" s="30" t="s">
        <v>193</v>
      </c>
      <c r="K30" s="25">
        <f ca="1">COUNTIF(Riscos!$AZ$5:$AZ$154,$J30)</f>
        <v>0</v>
      </c>
      <c r="L30" s="25">
        <f ca="1">COUNTIF(Oportunidades!$AO$5:$AO$154,$J30)</f>
        <v>0</v>
      </c>
      <c r="M30" s="224" t="s">
        <v>194</v>
      </c>
      <c r="N30" s="224"/>
      <c r="O30" s="224"/>
      <c r="P30" s="224"/>
      <c r="Q30" s="224"/>
    </row>
    <row r="31" spans="2:17" ht="15" customHeight="1">
      <c r="B31" s="32" t="str">
        <f>Critérios!B27</f>
        <v>Alto</v>
      </c>
      <c r="C31" s="25">
        <f>COUNTIF(Riscos!$Q$5:$Q$154,$B31)</f>
        <v>22</v>
      </c>
      <c r="D31" s="25">
        <f>COUNTIF(Riscos!$W$5:$W$154,$B31)</f>
        <v>19</v>
      </c>
      <c r="E31" s="25">
        <f>COUNTIF(Riscos!$AS$5:$AS$154,$B31)</f>
        <v>0</v>
      </c>
      <c r="F31" s="25">
        <f>COUNTIF(Oportunidades!$P$5:$P$154,$B31)</f>
        <v>9</v>
      </c>
      <c r="G31" s="29">
        <f>E31-D31</f>
        <v>-19</v>
      </c>
      <c r="J31" s="30" t="s">
        <v>195</v>
      </c>
      <c r="K31" s="25">
        <f ca="1">COUNTIF(Riscos!$AZ$5:$AZ$154,$J31)</f>
        <v>0</v>
      </c>
      <c r="L31" s="25">
        <f ca="1">COUNTIF(Oportunidades!$AO$5:$AO$154,$J31)</f>
        <v>0</v>
      </c>
      <c r="M31" s="224" t="s">
        <v>196</v>
      </c>
      <c r="N31" s="224"/>
      <c r="O31" s="224"/>
      <c r="P31" s="224"/>
      <c r="Q31" s="224"/>
    </row>
    <row r="32" spans="2:17" ht="15" customHeight="1">
      <c r="B32" s="33" t="str">
        <f>Critérios!B28</f>
        <v>Crítico</v>
      </c>
      <c r="C32" s="25">
        <f>COUNTIF(Riscos!$Q$5:$Q$154,$B32)</f>
        <v>10</v>
      </c>
      <c r="D32" s="25">
        <f>COUNTIF(Riscos!$W$5:$W$154,$B32)</f>
        <v>1</v>
      </c>
      <c r="E32" s="25">
        <f>COUNTIF(Riscos!$AS$5:$AS$154,$B32)</f>
        <v>0</v>
      </c>
      <c r="F32" s="25">
        <f>COUNTIF(Oportunidades!$P$5:$P$154,$B32)</f>
        <v>4</v>
      </c>
      <c r="G32" s="29">
        <f>E32-D32</f>
        <v>-1</v>
      </c>
      <c r="J32" s="30" t="s">
        <v>197</v>
      </c>
      <c r="K32" s="25">
        <f ca="1">COUNTIF(Riscos!$AZ$5:$AZ$154,$J32)</f>
        <v>0</v>
      </c>
      <c r="L32" s="25">
        <f ca="1">COUNTIF(Oportunidades!$AO$5:$AO$154,$J32)</f>
        <v>0</v>
      </c>
      <c r="M32" s="224" t="s">
        <v>198</v>
      </c>
      <c r="N32" s="224"/>
      <c r="O32" s="224"/>
      <c r="P32" s="224"/>
      <c r="Q32" s="224"/>
    </row>
    <row r="33" spans="2:17" ht="15" customHeight="1">
      <c r="B33" s="34" t="s">
        <v>199</v>
      </c>
      <c r="C33" s="34">
        <f>SUM(C29:C32)</f>
        <v>39</v>
      </c>
      <c r="D33" s="34">
        <f>SUM(D29:D32)</f>
        <v>39</v>
      </c>
      <c r="E33" s="34">
        <f>SUM(E29:E32)</f>
        <v>36</v>
      </c>
      <c r="F33" s="34">
        <f>SUM(F29:F32)</f>
        <v>15</v>
      </c>
      <c r="G33" s="34"/>
      <c r="J33" s="30" t="s">
        <v>200</v>
      </c>
      <c r="K33" s="25">
        <f ca="1">COUNTIF(Riscos!$AZ$5:$AZ$154,$J33)</f>
        <v>0</v>
      </c>
      <c r="L33" s="25">
        <f ca="1">COUNTIF(Oportunidades!$AO$5:$AO$154,$J33)</f>
        <v>0</v>
      </c>
      <c r="M33" s="224" t="s">
        <v>201</v>
      </c>
      <c r="N33" s="224"/>
      <c r="O33" s="224"/>
      <c r="P33" s="224"/>
      <c r="Q33" s="224"/>
    </row>
    <row r="34" spans="2:17" ht="24" customHeight="1">
      <c r="B34" s="227" t="s">
        <v>202</v>
      </c>
      <c r="C34" s="227"/>
      <c r="D34" s="227"/>
      <c r="E34" s="228">
        <f>IFERROR(1-SUMIFS(Riscos!$AR$5:$AR$154,Riscos!$AR$5:$AR$154,"&gt;0",Riscos!$V$5:$V$154,"&gt;0")/SUMIFS(Riscos!$V$5:$V$154,Riscos!$AR$5:$AR$154,"&gt;0",Riscos!$V$5:$V$154,"&gt;0"),0)</f>
        <v>0.43080939947780683</v>
      </c>
      <c r="F34" s="228"/>
      <c r="J34" s="30" t="s">
        <v>203</v>
      </c>
      <c r="K34" s="25">
        <f ca="1">COUNTIF(Riscos!$AZ$5:$AZ$154,$J34)</f>
        <v>0</v>
      </c>
      <c r="L34" s="25">
        <f ca="1">COUNTIF(Oportunidades!$AO$5:$AO$154,$J34)</f>
        <v>0</v>
      </c>
      <c r="M34" s="224" t="s">
        <v>204</v>
      </c>
      <c r="N34" s="224"/>
      <c r="O34" s="224"/>
      <c r="P34" s="224"/>
      <c r="Q34" s="224"/>
    </row>
    <row r="35" spans="2:17" ht="15" customHeight="1">
      <c r="J35" s="30" t="s">
        <v>205</v>
      </c>
      <c r="K35" s="25">
        <f ca="1">COUNTIF(Riscos!$AZ$5:$AZ$154,$J35)</f>
        <v>0</v>
      </c>
      <c r="L35" s="25">
        <f ca="1">COUNTIF(Oportunidades!$AO$5:$AO$154,$J35)</f>
        <v>0</v>
      </c>
      <c r="M35" s="224" t="s">
        <v>206</v>
      </c>
      <c r="N35" s="224"/>
      <c r="O35" s="224"/>
      <c r="P35" s="224"/>
      <c r="Q35" s="224"/>
    </row>
    <row r="36" spans="2:17" ht="15" customHeight="1">
      <c r="B36" s="229" t="s">
        <v>207</v>
      </c>
      <c r="C36" s="229"/>
      <c r="D36" s="229"/>
      <c r="E36" s="229"/>
      <c r="F36" s="229"/>
      <c r="J36" s="30" t="s">
        <v>208</v>
      </c>
      <c r="K36" s="25">
        <f ca="1">COUNTIF(Riscos!$AZ$5:$AZ$154,$J36)</f>
        <v>0</v>
      </c>
      <c r="L36" s="25">
        <f ca="1">COUNTIF(Oportunidades!$AO$5:$AO$154,$J36)</f>
        <v>0</v>
      </c>
      <c r="M36" s="224" t="s">
        <v>209</v>
      </c>
      <c r="N36" s="224"/>
      <c r="O36" s="224"/>
      <c r="P36" s="224"/>
      <c r="Q36" s="224"/>
    </row>
    <row r="37" spans="2:17" ht="15" customHeight="1">
      <c r="B37" s="230" t="s">
        <v>210</v>
      </c>
      <c r="C37" s="230"/>
      <c r="D37" s="230"/>
      <c r="E37" s="231">
        <f>COUNTIF(Riscos!$AI$5:$AI$154,"PAC*")+COUNTIF(Oportunidades!$AC$5:$AC$154,"PAC*")</f>
        <v>25</v>
      </c>
      <c r="F37" s="231"/>
      <c r="J37" s="30" t="s">
        <v>211</v>
      </c>
      <c r="K37" s="25">
        <f ca="1">COUNTIF(Riscos!$AZ$5:$AZ$154,$J37)</f>
        <v>0</v>
      </c>
      <c r="L37" s="25">
        <f ca="1">COUNTIF(Oportunidades!$AO$5:$AO$154,$J37)</f>
        <v>0</v>
      </c>
      <c r="M37" s="224" t="s">
        <v>212</v>
      </c>
      <c r="N37" s="224"/>
      <c r="O37" s="224"/>
      <c r="P37" s="224"/>
      <c r="Q37" s="224"/>
    </row>
    <row r="38" spans="2:17" ht="15" customHeight="1">
      <c r="B38" s="230" t="s">
        <v>213</v>
      </c>
      <c r="C38" s="230"/>
      <c r="D38" s="230"/>
      <c r="E38" s="231">
        <f>COUNTIF(Riscos!$AI$5:$AI$154,"RNC*")+COUNTIF(Oportunidades!$AC$5:$AC$154,"RNC*")</f>
        <v>0</v>
      </c>
      <c r="F38" s="231"/>
      <c r="J38" s="30" t="s">
        <v>214</v>
      </c>
      <c r="K38" s="25">
        <f ca="1">COUNTIF(Riscos!$AZ$5:$AZ$154,$J38)</f>
        <v>0</v>
      </c>
      <c r="L38" s="25">
        <f ca="1">COUNTIF(Oportunidades!$AO$5:$AO$154,$J38)</f>
        <v>0</v>
      </c>
      <c r="M38" s="224" t="s">
        <v>215</v>
      </c>
      <c r="N38" s="224"/>
      <c r="O38" s="224"/>
      <c r="P38" s="224"/>
      <c r="Q38" s="224"/>
    </row>
    <row r="39" spans="2:17" ht="15" customHeight="1">
      <c r="B39" s="230" t="s">
        <v>216</v>
      </c>
      <c r="C39" s="230"/>
      <c r="D39" s="230"/>
      <c r="E39" s="231">
        <f>COUNTA(PlanosCod)</f>
        <v>36</v>
      </c>
      <c r="F39" s="231"/>
      <c r="J39" s="30" t="s">
        <v>217</v>
      </c>
      <c r="K39" s="25">
        <f ca="1">COUNTIF(Riscos!$AZ$5:$AZ$154,$J39)</f>
        <v>0</v>
      </c>
      <c r="L39" s="25">
        <f ca="1">COUNTIF(Oportunidades!$AO$5:$AO$154,$J39)</f>
        <v>0</v>
      </c>
      <c r="M39" s="224" t="s">
        <v>218</v>
      </c>
      <c r="N39" s="224"/>
      <c r="O39" s="224"/>
      <c r="P39" s="224"/>
      <c r="Q39" s="224"/>
    </row>
    <row r="40" spans="2:17" ht="15" customHeight="1">
      <c r="B40" s="230" t="s">
        <v>219</v>
      </c>
      <c r="C40" s="230"/>
      <c r="D40" s="230"/>
      <c r="E40" s="231">
        <f ca="1">COUNTIF(Riscos!$AZ$5:$AZ$154,"Sem ação")+COUNTIF(Oportunidades!$AO$5:$AO$154,"Sem ação")</f>
        <v>0</v>
      </c>
      <c r="F40" s="231"/>
      <c r="J40" s="30" t="s">
        <v>220</v>
      </c>
      <c r="K40" s="25">
        <f ca="1">COUNTIF(Riscos!$AZ$5:$AZ$154,$J40)</f>
        <v>0</v>
      </c>
      <c r="L40" s="25">
        <f ca="1">COUNTIF(Oportunidades!$AO$5:$AO$154,$J40)</f>
        <v>0</v>
      </c>
      <c r="M40" s="224" t="s">
        <v>221</v>
      </c>
      <c r="N40" s="224"/>
      <c r="O40" s="224"/>
      <c r="P40" s="224"/>
      <c r="Q40" s="224"/>
    </row>
    <row r="41" spans="2:17" ht="15" customHeight="1">
      <c r="B41" s="230" t="s">
        <v>222</v>
      </c>
      <c r="C41" s="230"/>
      <c r="D41" s="230"/>
      <c r="E41" s="231">
        <f>SUM(Riscos!$AV$5:$AV$154)</f>
        <v>8420</v>
      </c>
      <c r="F41" s="231"/>
      <c r="J41" s="30" t="s">
        <v>223</v>
      </c>
      <c r="K41" s="25">
        <f ca="1">COUNTIF(Riscos!$AZ$5:$AZ$154,$J41)</f>
        <v>1</v>
      </c>
      <c r="L41" s="25">
        <f ca="1">COUNTIF(Oportunidades!$AO$5:$AO$154,$J41)</f>
        <v>0</v>
      </c>
      <c r="M41" s="224" t="s">
        <v>224</v>
      </c>
      <c r="N41" s="224"/>
      <c r="O41" s="224"/>
      <c r="P41" s="224"/>
      <c r="Q41" s="224"/>
    </row>
    <row r="42" spans="2:17" ht="15" customHeight="1">
      <c r="B42" s="230" t="s">
        <v>225</v>
      </c>
      <c r="C42" s="230"/>
      <c r="D42" s="230"/>
      <c r="E42" s="231">
        <f>COUNTIF(KriSit,"Estourou")</f>
        <v>17</v>
      </c>
      <c r="F42" s="231"/>
      <c r="J42" s="30" t="s">
        <v>226</v>
      </c>
      <c r="K42" s="25">
        <f ca="1">COUNTIF(Riscos!$AZ$5:$AZ$154,$J42)</f>
        <v>0</v>
      </c>
      <c r="L42" s="25">
        <f ca="1">COUNTIF(Oportunidades!$AO$5:$AO$154,$J42)</f>
        <v>0</v>
      </c>
      <c r="M42" s="224" t="s">
        <v>227</v>
      </c>
      <c r="N42" s="224"/>
      <c r="O42" s="224"/>
      <c r="P42" s="224"/>
      <c r="Q42" s="224"/>
    </row>
    <row r="43" spans="2:17" ht="22.35" customHeight="1">
      <c r="B43" s="230" t="s">
        <v>228</v>
      </c>
      <c r="C43" s="230"/>
      <c r="D43" s="230"/>
      <c r="E43" s="231">
        <f>COUNTIF(KriSit,"Atenção")</f>
        <v>5</v>
      </c>
      <c r="F43" s="231"/>
      <c r="J43" s="30" t="s">
        <v>229</v>
      </c>
      <c r="K43" s="25">
        <f ca="1">COUNTIF(Riscos!$AZ$5:$AZ$154,$J43)</f>
        <v>3</v>
      </c>
      <c r="L43" s="25">
        <f ca="1">COUNTIF(Oportunidades!$AO$5:$AO$154,$J43)</f>
        <v>0</v>
      </c>
      <c r="M43" s="224" t="s">
        <v>230</v>
      </c>
      <c r="N43" s="224"/>
      <c r="O43" s="224"/>
      <c r="P43" s="224"/>
      <c r="Q43" s="224"/>
    </row>
    <row r="44" spans="2:17" ht="15" customHeight="1">
      <c r="B44" s="230" t="s">
        <v>231</v>
      </c>
      <c r="C44" s="230"/>
      <c r="D44" s="230"/>
      <c r="E44" s="231">
        <f ca="1">COUNTIF(MonSit,"Atrasado")</f>
        <v>0</v>
      </c>
      <c r="F44" s="231"/>
      <c r="J44" s="30" t="s">
        <v>232</v>
      </c>
      <c r="K44" s="25">
        <f ca="1">COUNTIF(Riscos!$AZ$5:$AZ$154,$J44)</f>
        <v>15</v>
      </c>
      <c r="L44" s="25">
        <f ca="1">COUNTIF(Oportunidades!$AO$5:$AO$154,$J44)</f>
        <v>0</v>
      </c>
      <c r="M44" s="224" t="s">
        <v>233</v>
      </c>
      <c r="N44" s="224"/>
      <c r="O44" s="224"/>
      <c r="P44" s="224"/>
      <c r="Q44" s="224"/>
    </row>
    <row r="45" spans="2:17" ht="15" customHeight="1">
      <c r="B45" s="230" t="s">
        <v>2796</v>
      </c>
      <c r="C45" s="230"/>
      <c r="D45" s="230"/>
      <c r="E45" s="231" t="s">
        <v>2797</v>
      </c>
      <c r="F45" s="231"/>
      <c r="J45" s="30" t="s">
        <v>234</v>
      </c>
      <c r="K45" s="25">
        <f ca="1">COUNTIF(Riscos!$AZ$5:$AZ$154,$J45)</f>
        <v>7</v>
      </c>
      <c r="L45" s="25">
        <f ca="1">COUNTIF(Oportunidades!$AO$5:$AO$154,$J45)</f>
        <v>0</v>
      </c>
      <c r="M45" s="224" t="s">
        <v>235</v>
      </c>
      <c r="N45" s="224"/>
      <c r="O45" s="224"/>
      <c r="P45" s="224"/>
      <c r="Q45" s="224"/>
    </row>
    <row r="46" spans="2:17" ht="15" customHeight="1">
      <c r="B46" s="230" t="s">
        <v>236</v>
      </c>
      <c r="C46" s="230"/>
      <c r="D46" s="230"/>
      <c r="E46" s="228">
        <f>IFERROR(AVERAGE(AudPct),"—")</f>
        <v>0.75329280648429586</v>
      </c>
      <c r="F46" s="228"/>
      <c r="J46" s="30" t="s">
        <v>237</v>
      </c>
      <c r="K46" s="25">
        <f ca="1">COUNTIF(Riscos!$AZ$5:$AZ$154,$J46)</f>
        <v>0</v>
      </c>
      <c r="L46" s="25">
        <f ca="1">COUNTIF(Oportunidades!$AO$5:$AO$154,$J46)</f>
        <v>0</v>
      </c>
      <c r="M46" s="224" t="s">
        <v>238</v>
      </c>
      <c r="N46" s="224"/>
      <c r="O46" s="224"/>
      <c r="P46" s="224"/>
      <c r="Q46" s="224"/>
    </row>
    <row r="47" spans="2:17" ht="19.350000000000001" customHeight="1">
      <c r="B47" s="230" t="s">
        <v>239</v>
      </c>
      <c r="C47" s="230"/>
      <c r="D47" s="230"/>
      <c r="E47" s="231">
        <f>COUNTIF(BtEf,"Baixa")+COUNTIF(BtEf,"Inexistente")</f>
        <v>28</v>
      </c>
      <c r="F47" s="231"/>
      <c r="J47" s="30" t="s">
        <v>240</v>
      </c>
      <c r="K47" s="25">
        <f ca="1">COUNTIF(Riscos!$AZ$5:$AZ$154,$J47)</f>
        <v>0</v>
      </c>
      <c r="L47" s="25">
        <f ca="1">COUNTIF(Oportunidades!$AO$5:$AO$154,$J47)</f>
        <v>0</v>
      </c>
      <c r="M47" s="224" t="s">
        <v>241</v>
      </c>
      <c r="N47" s="224"/>
      <c r="O47" s="224"/>
      <c r="P47" s="224"/>
      <c r="Q47" s="224"/>
    </row>
    <row r="48" spans="2:17" ht="15" customHeight="1">
      <c r="B48" s="230" t="s">
        <v>242</v>
      </c>
      <c r="C48" s="230"/>
      <c r="D48" s="230"/>
      <c r="E48" s="231">
        <f ca="1">COUNTIF(BtSit,"Sem verificação")+COUNTIF(BtSit,"Verificação vencida")</f>
        <v>20</v>
      </c>
      <c r="F48" s="231"/>
      <c r="J48" s="30" t="s">
        <v>243</v>
      </c>
      <c r="K48" s="25">
        <f ca="1">COUNTIF(Riscos!$AZ$5:$AZ$154,$J48)</f>
        <v>0</v>
      </c>
      <c r="L48" s="25">
        <f ca="1">COUNTIF(Oportunidades!$AO$5:$AO$154,$J48)</f>
        <v>0</v>
      </c>
      <c r="M48" s="224" t="s">
        <v>244</v>
      </c>
      <c r="N48" s="224"/>
      <c r="O48" s="224"/>
      <c r="P48" s="224"/>
      <c r="Q48" s="224"/>
    </row>
    <row r="49" spans="2:17" ht="15" customHeight="1">
      <c r="B49" s="230" t="s">
        <v>673</v>
      </c>
      <c r="C49" s="230"/>
      <c r="D49" s="230"/>
      <c r="E49" s="231" t="str">
        <f>IF(MatGrau="","—",MatGrau)</f>
        <v>3 – Definido</v>
      </c>
      <c r="F49" s="231"/>
      <c r="J49" s="30" t="s">
        <v>245</v>
      </c>
      <c r="K49" s="25">
        <f ca="1">COUNTIF(Riscos!$AZ$5:$AZ$154,$J49)</f>
        <v>0</v>
      </c>
      <c r="L49" s="25">
        <f ca="1">COUNTIF(Oportunidades!$AO$5:$AO$154,$J49)</f>
        <v>0</v>
      </c>
      <c r="M49" s="224" t="s">
        <v>246</v>
      </c>
      <c r="N49" s="224"/>
      <c r="O49" s="224"/>
      <c r="P49" s="224"/>
      <c r="Q49" s="224"/>
    </row>
    <row r="50" spans="2:17" ht="15" customHeight="1">
      <c r="B50" s="222" t="s">
        <v>247</v>
      </c>
      <c r="C50" s="222"/>
      <c r="D50" s="222"/>
      <c r="E50" s="222"/>
      <c r="F50" s="222"/>
      <c r="J50" s="30" t="s">
        <v>248</v>
      </c>
      <c r="K50" s="25">
        <f ca="1">COUNTIF(Riscos!$AZ$5:$AZ$154,$J50)</f>
        <v>0</v>
      </c>
      <c r="L50" s="25">
        <f ca="1">COUNTIF(Oportunidades!$AO$5:$AO$154,$J50)</f>
        <v>0</v>
      </c>
      <c r="M50" s="224" t="s">
        <v>249</v>
      </c>
      <c r="N50" s="224"/>
      <c r="O50" s="224"/>
      <c r="P50" s="224"/>
      <c r="Q50" s="224"/>
    </row>
    <row r="51" spans="2:17" ht="15" customHeight="1">
      <c r="B51" s="219" t="s">
        <v>250</v>
      </c>
      <c r="C51" s="219"/>
      <c r="D51" s="23" t="s">
        <v>188</v>
      </c>
      <c r="E51" s="219" t="s">
        <v>251</v>
      </c>
      <c r="F51" s="219"/>
      <c r="J51" s="30" t="s">
        <v>252</v>
      </c>
      <c r="K51" s="25">
        <f ca="1">COUNTIF(Riscos!$AZ$5:$AZ$154,$J51)</f>
        <v>0</v>
      </c>
      <c r="L51" s="25">
        <f ca="1">COUNTIF(Oportunidades!$AO$5:$AO$154,$J51)</f>
        <v>0</v>
      </c>
      <c r="M51" s="224" t="s">
        <v>253</v>
      </c>
      <c r="N51" s="224"/>
      <c r="O51" s="224"/>
      <c r="P51" s="224"/>
      <c r="Q51" s="224"/>
    </row>
    <row r="52" spans="2:17" ht="15" customHeight="1">
      <c r="B52" s="230" t="s">
        <v>69</v>
      </c>
      <c r="C52" s="230"/>
      <c r="D52" s="25">
        <f>COUNTIF(Riscos!$K$5:$K$154,"Método")</f>
        <v>14</v>
      </c>
      <c r="E52" s="232">
        <f>COUNTIFS(Riscos!$K$5:$K$154,"Método",Riscos!$W$5:$W$154,"Alto")+COUNTIFS(Riscos!$K$5:$K$154,"Método",Riscos!$W$5:$W$154,"Crítico")</f>
        <v>4</v>
      </c>
      <c r="F52" s="232"/>
      <c r="J52" s="30" t="s">
        <v>254</v>
      </c>
      <c r="K52" s="25">
        <f ca="1">COUNTIF(Riscos!$AZ$5:$AZ$154,$J52)</f>
        <v>0</v>
      </c>
      <c r="L52" s="25">
        <f ca="1">COUNTIF(Oportunidades!$AO$5:$AO$154,$J52)</f>
        <v>0</v>
      </c>
      <c r="M52" s="224" t="s">
        <v>255</v>
      </c>
      <c r="N52" s="224"/>
      <c r="O52" s="224"/>
      <c r="P52" s="224"/>
      <c r="Q52" s="224"/>
    </row>
    <row r="53" spans="2:17" ht="15" customHeight="1">
      <c r="B53" s="230" t="s">
        <v>93</v>
      </c>
      <c r="C53" s="230"/>
      <c r="D53" s="25">
        <f>COUNTIF(Riscos!$K$5:$K$154,"Máquina")</f>
        <v>8</v>
      </c>
      <c r="E53" s="232">
        <f>COUNTIFS(Riscos!$K$5:$K$154,"Máquina",Riscos!$W$5:$W$154,"Alto")+COUNTIFS(Riscos!$K$5:$K$154,"Máquina",Riscos!$W$5:$W$154,"Crítico")</f>
        <v>6</v>
      </c>
      <c r="F53" s="232"/>
      <c r="J53" s="30" t="s">
        <v>256</v>
      </c>
      <c r="K53" s="25">
        <f ca="1">COUNTIF(Riscos!$AZ$5:$AZ$154,$J53)</f>
        <v>0</v>
      </c>
      <c r="L53" s="25">
        <f ca="1">COUNTIF(Oportunidades!$AO$5:$AO$154,$J53)</f>
        <v>0</v>
      </c>
      <c r="M53" s="224" t="s">
        <v>257</v>
      </c>
      <c r="N53" s="224"/>
      <c r="O53" s="224"/>
      <c r="P53" s="224"/>
      <c r="Q53" s="224"/>
    </row>
    <row r="54" spans="2:17" ht="15" customHeight="1">
      <c r="B54" s="230" t="s">
        <v>258</v>
      </c>
      <c r="C54" s="230"/>
      <c r="D54" s="25">
        <f>COUNTIF(Riscos!$K$5:$K$154,"Mão de obra")</f>
        <v>2</v>
      </c>
      <c r="E54" s="232">
        <f>COUNTIFS(Riscos!$K$5:$K$154,"Mão de obra",Riscos!$W$5:$W$154,"Alto")+COUNTIFS(Riscos!$K$5:$K$154,"Mão de obra",Riscos!$W$5:$W$154,"Crítico")</f>
        <v>1</v>
      </c>
      <c r="F54" s="232"/>
      <c r="J54" s="30" t="s">
        <v>259</v>
      </c>
      <c r="K54" s="25">
        <f ca="1">COUNTIF(Riscos!$AZ$5:$AZ$154,$J54)</f>
        <v>0</v>
      </c>
      <c r="L54" s="25">
        <f ca="1">COUNTIF(Oportunidades!$AO$5:$AO$154,$J54)</f>
        <v>1</v>
      </c>
      <c r="M54" s="224" t="s">
        <v>260</v>
      </c>
      <c r="N54" s="224"/>
      <c r="O54" s="224"/>
      <c r="P54" s="224"/>
      <c r="Q54" s="224"/>
    </row>
    <row r="55" spans="2:17" ht="15" customHeight="1">
      <c r="B55" s="230" t="s">
        <v>261</v>
      </c>
      <c r="C55" s="230"/>
      <c r="D55" s="25">
        <f>COUNTIF(Riscos!$K$5:$K$154,"Material")</f>
        <v>5</v>
      </c>
      <c r="E55" s="232">
        <f>COUNTIFS(Riscos!$K$5:$K$154,"Material",Riscos!$W$5:$W$154,"Alto")+COUNTIFS(Riscos!$K$5:$K$154,"Material",Riscos!$W$5:$W$154,"Crítico")</f>
        <v>3</v>
      </c>
      <c r="F55" s="232"/>
      <c r="J55" s="30" t="s">
        <v>262</v>
      </c>
      <c r="K55" s="25">
        <f ca="1">COUNTIF(Riscos!$AZ$5:$AZ$154,$J55)</f>
        <v>0</v>
      </c>
      <c r="L55" s="25">
        <f ca="1">COUNTIF(Oportunidades!$AO$5:$AO$154,$J55)</f>
        <v>0</v>
      </c>
      <c r="M55" s="224" t="s">
        <v>263</v>
      </c>
      <c r="N55" s="224"/>
      <c r="O55" s="224"/>
      <c r="P55" s="224"/>
      <c r="Q55" s="224"/>
    </row>
    <row r="56" spans="2:17" ht="15" customHeight="1">
      <c r="B56" s="230" t="s">
        <v>264</v>
      </c>
      <c r="C56" s="230"/>
      <c r="D56" s="25">
        <f>COUNTIF(Riscos!$K$5:$K$154,"Meio ambiente")</f>
        <v>3</v>
      </c>
      <c r="E56" s="232">
        <f>COUNTIFS(Riscos!$K$5:$K$154,"Meio ambiente",Riscos!$W$5:$W$154,"Alto")+COUNTIFS(Riscos!$K$5:$K$154,"Meio ambiente",Riscos!$W$5:$W$154,"Crítico")</f>
        <v>1</v>
      </c>
      <c r="F56" s="232"/>
      <c r="J56" s="30" t="s">
        <v>265</v>
      </c>
      <c r="K56" s="25">
        <f ca="1">COUNTIF(Riscos!$AZ$5:$AZ$154,$J56)</f>
        <v>13</v>
      </c>
      <c r="L56" s="25">
        <f ca="1">COUNTIF(Oportunidades!$AO$5:$AO$154,$J56)</f>
        <v>14</v>
      </c>
      <c r="M56" s="224" t="s">
        <v>266</v>
      </c>
      <c r="N56" s="224"/>
      <c r="O56" s="224"/>
      <c r="P56" s="224"/>
      <c r="Q56" s="224"/>
    </row>
    <row r="57" spans="2:17" ht="15" customHeight="1">
      <c r="B57" s="230" t="s">
        <v>100</v>
      </c>
      <c r="C57" s="230"/>
      <c r="D57" s="25">
        <f>COUNTIF(Riscos!$K$5:$K$154,"Medida")</f>
        <v>2</v>
      </c>
      <c r="E57" s="232">
        <f>COUNTIFS(Riscos!$K$5:$K$154,"Medida",Riscos!$W$5:$W$154,"Alto")+COUNTIFS(Riscos!$K$5:$K$154,"Medida",Riscos!$W$5:$W$154,"Crítico")</f>
        <v>2</v>
      </c>
      <c r="F57" s="232"/>
    </row>
    <row r="58" spans="2:17" ht="15" customHeight="1">
      <c r="B58" s="230" t="s">
        <v>267</v>
      </c>
      <c r="C58" s="230"/>
      <c r="D58" s="25">
        <f>COUNTIFS(Riscos!$C$5:$C$154,"&lt;&gt;",Riscos!$E$5:$E$154,"&lt;&gt;Externo")</f>
        <v>29</v>
      </c>
      <c r="E58" s="232">
        <f>COUNTIFS(Riscos!$C$5:$C$154,"&lt;&gt;",Riscos!$E$5:$E$154,"&lt;&gt;Externo",Riscos!$W$5:$W$154,"Alto")+COUNTIFS(Riscos!$C$5:$C$154,"&lt;&gt;",Riscos!$E$5:$E$154,"&lt;&gt;Externo",Riscos!$W$5:$W$154,"Crítico")</f>
        <v>14</v>
      </c>
      <c r="F58" s="232"/>
    </row>
    <row r="59" spans="2:17" ht="15" customHeight="1">
      <c r="B59" s="230" t="s">
        <v>268</v>
      </c>
      <c r="C59" s="230"/>
      <c r="D59" s="25">
        <f>COUNTIFS(Riscos!$C$5:$C$154,"&lt;&gt;",Riscos!$E$5:$E$154,"Externo")</f>
        <v>10</v>
      </c>
      <c r="E59" s="232">
        <f>COUNTIFS(Riscos!$C$5:$C$154,"&lt;&gt;",Riscos!$E$5:$E$154,"Externo",Riscos!$W$5:$W$154,"Alto")+COUNTIFS(Riscos!$C$5:$C$154,"&lt;&gt;",Riscos!$E$5:$E$154,"Externo",Riscos!$W$5:$W$154,"Crítico")</f>
        <v>6</v>
      </c>
      <c r="F59" s="232"/>
    </row>
    <row r="60" spans="2:17" ht="19.350000000000001" customHeight="1">
      <c r="B60" s="220" t="s">
        <v>269</v>
      </c>
      <c r="C60" s="220"/>
      <c r="D60" s="220"/>
      <c r="E60" s="220"/>
      <c r="F60" s="220"/>
    </row>
    <row r="62" spans="2:17" ht="23.85" customHeight="1">
      <c r="B62" s="222" t="s">
        <v>270</v>
      </c>
      <c r="C62" s="222"/>
      <c r="D62" s="222"/>
      <c r="E62" s="222"/>
      <c r="F62" s="222"/>
    </row>
    <row r="63" spans="2:17" ht="15" customHeight="1">
      <c r="B63" s="219" t="s">
        <v>33</v>
      </c>
      <c r="C63" s="219"/>
      <c r="D63" s="23" t="s">
        <v>188</v>
      </c>
      <c r="E63" s="23" t="s">
        <v>271</v>
      </c>
      <c r="F63" s="27" t="s">
        <v>189</v>
      </c>
    </row>
    <row r="64" spans="2:17" ht="15" customHeight="1">
      <c r="B64" s="230" t="s">
        <v>134</v>
      </c>
      <c r="C64" s="230"/>
      <c r="D64" s="25">
        <f>COUNTIF(Riscos!$F$5:$F$154,"Estratégico")</f>
        <v>6</v>
      </c>
      <c r="E64" s="25">
        <f>COUNTIFS(Riscos!$F$5:$F$154,"Estratégico",Riscos!$W$5:$W$154,"Alto")+COUNTIFS(Riscos!$F$5:$F$154,"Estratégico",Riscos!$W$5:$W$154,"Crítico")</f>
        <v>3</v>
      </c>
      <c r="F64" s="25">
        <f>COUNTIF(Oportunidades!$F$5:$F$154,"Estratégico")</f>
        <v>3</v>
      </c>
    </row>
    <row r="65" spans="1:17" ht="15" customHeight="1">
      <c r="B65" s="230" t="s">
        <v>91</v>
      </c>
      <c r="C65" s="230"/>
      <c r="D65" s="25">
        <f>COUNTIF(Riscos!$F$5:$F$154,"Gerencial (processo)")</f>
        <v>13</v>
      </c>
      <c r="E65" s="25">
        <f>COUNTIFS(Riscos!$F$5:$F$154,"Gerencial (processo)",Riscos!$W$5:$W$154,"Alto")+COUNTIFS(Riscos!$F$5:$F$154,"Gerencial (processo)",Riscos!$W$5:$W$154,"Crítico")</f>
        <v>9</v>
      </c>
      <c r="F65" s="25">
        <f>COUNTIF(Oportunidades!$F$5:$F$154,"Gerencial (processo)")</f>
        <v>7</v>
      </c>
    </row>
    <row r="66" spans="1:17" ht="15" customHeight="1">
      <c r="B66" s="230" t="s">
        <v>65</v>
      </c>
      <c r="C66" s="230"/>
      <c r="D66" s="25">
        <f>COUNTIF(Riscos!$F$5:$F$154,"Operacional")</f>
        <v>18</v>
      </c>
      <c r="E66" s="25">
        <f>COUNTIFS(Riscos!$F$5:$F$154,"Operacional",Riscos!$W$5:$W$154,"Alto")+COUNTIFS(Riscos!$F$5:$F$154,"Operacional",Riscos!$W$5:$W$154,"Crítico")</f>
        <v>8</v>
      </c>
      <c r="F66" s="25">
        <f>COUNTIF(Oportunidades!$F$5:$F$154,"Operacional")</f>
        <v>3</v>
      </c>
    </row>
    <row r="67" spans="1:17" ht="15" customHeight="1">
      <c r="B67" s="230" t="s">
        <v>272</v>
      </c>
      <c r="C67" s="230"/>
      <c r="D67" s="25">
        <f>COUNTIF(Riscos!$F$5:$F$154,"Projeto")</f>
        <v>2</v>
      </c>
      <c r="E67" s="25">
        <f>COUNTIFS(Riscos!$F$5:$F$154,"Projeto",Riscos!$W$5:$W$154,"Alto")+COUNTIFS(Riscos!$F$5:$F$154,"Projeto",Riscos!$W$5:$W$154,"Crítico")</f>
        <v>0</v>
      </c>
      <c r="F67" s="25">
        <f>COUNTIF(Oportunidades!$F$5:$F$154,"Projeto")</f>
        <v>2</v>
      </c>
    </row>
    <row r="68" spans="1:17" ht="15" customHeight="1">
      <c r="B68" s="233" t="s">
        <v>273</v>
      </c>
      <c r="C68" s="233"/>
      <c r="D68" s="25">
        <f>COUNTIFS(Riscos!$C$5:$C$154,"&lt;&gt;",Riscos!$F$5:$F$154,"")</f>
        <v>0</v>
      </c>
      <c r="E68" s="36"/>
      <c r="F68" s="25">
        <f>COUNTIFS(Oportunidades!$C$5:$C$154,"&lt;&gt;",Oportunidades!$F$5:$F$154,"")</f>
        <v>0</v>
      </c>
    </row>
    <row r="70" spans="1:17" ht="15" customHeight="1">
      <c r="A70" s="217" t="s">
        <v>274</v>
      </c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</row>
    <row r="71" spans="1:17" ht="15" customHeight="1">
      <c r="A71" s="1" t="s">
        <v>275</v>
      </c>
      <c r="B71" s="1" t="s">
        <v>276</v>
      </c>
      <c r="C71" s="1" t="s">
        <v>20</v>
      </c>
      <c r="D71" s="226" t="s">
        <v>277</v>
      </c>
      <c r="E71" s="226"/>
      <c r="F71" s="226"/>
      <c r="G71" s="226"/>
      <c r="H71" s="226"/>
      <c r="I71" s="1" t="s">
        <v>32</v>
      </c>
      <c r="J71" s="1" t="s">
        <v>33</v>
      </c>
      <c r="K71" s="1" t="s">
        <v>278</v>
      </c>
      <c r="L71" s="226" t="s">
        <v>279</v>
      </c>
      <c r="M71" s="226"/>
      <c r="N71" s="226" t="s">
        <v>280</v>
      </c>
      <c r="O71" s="226"/>
      <c r="P71" s="226" t="s">
        <v>57</v>
      </c>
      <c r="Q71" s="226"/>
    </row>
    <row r="72" spans="1:17" ht="24" customHeight="1">
      <c r="A72" s="34">
        <v>1</v>
      </c>
      <c r="B72" s="35" t="str">
        <f>IFERROR(INDEX(Riscos!$B$5:$B$154,MATCH($A72,Riscos!$BC$5:$BC$154,0))&amp;"","")</f>
        <v>Compras / Fornecedores</v>
      </c>
      <c r="C72" s="36" t="str">
        <f>IFERROR(INDEX(Riscos!$A$5:$A$154,MATCH($A72,Riscos!$BC$5:$BC$154,0))&amp;"","")</f>
        <v>R13</v>
      </c>
      <c r="D72" s="230" t="str">
        <f>IFERROR(INDEX(Riscos!$C$5:$C$154,MATCH($A72,Riscos!$BC$5:$BC$154,0))&amp;"","")</f>
        <v>Lotes de matéria-prima fora de especificação do fornecedor SUP-005 (compra spot, PP/PVC) chegam à produção</v>
      </c>
      <c r="E72" s="230"/>
      <c r="F72" s="230"/>
      <c r="G72" s="230"/>
      <c r="H72" s="230"/>
      <c r="I72" s="25">
        <f>IFERROR(INDEX(Riscos!$V$5:$V$154,MATCH($A72,Riscos!$BC$5:$BC$154,0)),"")</f>
        <v>16</v>
      </c>
      <c r="J72" s="25" t="str">
        <f>IFERROR(INDEX(Riscos!$W$5:$W$154,MATCH($A72,Riscos!$BC$5:$BC$154,0))&amp;"","")</f>
        <v>Crítico</v>
      </c>
      <c r="K72" s="36">
        <f>IFERROR(INDEX(Riscos!$U$5:$U$154,MATCH($A72,Riscos!$BC$5:$BC$154,0)),"")</f>
        <v>4</v>
      </c>
      <c r="L72" s="230" t="str">
        <f>IFERROR(INDEX(Riscos!$AD$5:$AD$154,MATCH($A72,Riscos!$BC$5:$BC$154,0))&amp;"","")</f>
        <v>Gerente de Compras</v>
      </c>
      <c r="M72" s="230"/>
      <c r="N72" s="234" t="str">
        <f>IFERROR(INDEX(Riscos!$AI$5:$AI$154,MATCH($A72,Riscos!$BC$5:$BC$154,0))&amp;"","")</f>
        <v>PAC 202606</v>
      </c>
      <c r="O72" s="234"/>
      <c r="P72" s="234" t="str">
        <f ca="1">IFERROR(INDEX(Riscos!$AZ$5:$AZ$154,MATCH($A72,Riscos!$BC$5:$BC$154,0))&amp;"","")</f>
        <v>KRI em alerta</v>
      </c>
      <c r="Q72" s="234"/>
    </row>
    <row r="73" spans="1:17" ht="24" customHeight="1">
      <c r="A73" s="34">
        <v>2</v>
      </c>
      <c r="B73" s="35" t="str">
        <f>IFERROR(INDEX(Riscos!$B$5:$B$154,MATCH($A73,Riscos!$BC$5:$BC$154,0))&amp;"","")</f>
        <v>Qualidade</v>
      </c>
      <c r="C73" s="36" t="str">
        <f>IFERROR(INDEX(Riscos!$A$5:$A$154,MATCH($A73,Riscos!$BC$5:$BC$154,0))&amp;"","")</f>
        <v>R20</v>
      </c>
      <c r="D73" s="230" t="str">
        <f>IFERROR(INDEX(Riscos!$C$5:$C$154,MATCH($A73,Riscos!$BC$5:$BC$154,0))&amp;"","")</f>
        <v>Backlog de CAPAs vencidas e baixa eficácia (31% não eficazes) permitem recorrência das não conformidades</v>
      </c>
      <c r="E73" s="230"/>
      <c r="F73" s="230"/>
      <c r="G73" s="230"/>
      <c r="H73" s="230"/>
      <c r="I73" s="25">
        <f>IFERROR(INDEX(Riscos!$V$5:$V$154,MATCH($A73,Riscos!$BC$5:$BC$154,0)),"")</f>
        <v>15</v>
      </c>
      <c r="J73" s="25" t="str">
        <f>IFERROR(INDEX(Riscos!$W$5:$W$154,MATCH($A73,Riscos!$BC$5:$BC$154,0))&amp;"","")</f>
        <v>Alto</v>
      </c>
      <c r="K73" s="36">
        <f>IFERROR(INDEX(Riscos!$U$5:$U$154,MATCH($A73,Riscos!$BC$5:$BC$154,0)),"")</f>
        <v>3</v>
      </c>
      <c r="L73" s="230" t="str">
        <f>IFERROR(INDEX(Riscos!$AD$5:$AD$154,MATCH($A73,Riscos!$BC$5:$BC$154,0))&amp;"","")</f>
        <v>Gerente da Qualidade</v>
      </c>
      <c r="M73" s="230"/>
      <c r="N73" s="234" t="str">
        <f>IFERROR(INDEX(Riscos!$AI$5:$AI$154,MATCH($A73,Riscos!$BC$5:$BC$154,0))&amp;"","")</f>
        <v>PAC 202622</v>
      </c>
      <c r="O73" s="234"/>
      <c r="P73" s="234" t="str">
        <f ca="1">IFERROR(INDEX(Riscos!$AZ$5:$AZ$154,MATCH($A73,Riscos!$BC$5:$BC$154,0))&amp;"","")</f>
        <v>Rever hierarquia de controle</v>
      </c>
      <c r="Q73" s="234"/>
    </row>
    <row r="74" spans="1:17" ht="24" customHeight="1">
      <c r="A74" s="34">
        <v>3</v>
      </c>
      <c r="B74" s="35" t="str">
        <f>IFERROR(INDEX(Riscos!$B$5:$B$154,MATCH($A74,Riscos!$BC$5:$BC$154,0))&amp;"","")</f>
        <v>Serigrafia</v>
      </c>
      <c r="C74" s="36" t="str">
        <f>IFERROR(INDEX(Riscos!$A$5:$A$154,MATCH($A74,Riscos!$BC$5:$BC$154,0))&amp;"","")</f>
        <v>R6</v>
      </c>
      <c r="D74" s="230" t="str">
        <f>IFERROR(INDEX(Riscos!$C$5:$C$154,MATCH($A74,Riscos!$BC$5:$BC$154,0))&amp;"","")</f>
        <v>Pico de falha de adesão de tinta em FR-007-PP-350 (SS-002) ligado a lote de resina PP marginal</v>
      </c>
      <c r="E74" s="230"/>
      <c r="F74" s="230"/>
      <c r="G74" s="230"/>
      <c r="H74" s="230"/>
      <c r="I74" s="25">
        <f>IFERROR(INDEX(Riscos!$V$5:$V$154,MATCH($A74,Riscos!$BC$5:$BC$154,0)),"")</f>
        <v>12</v>
      </c>
      <c r="J74" s="25" t="str">
        <f>IFERROR(INDEX(Riscos!$W$5:$W$154,MATCH($A74,Riscos!$BC$5:$BC$154,0))&amp;"","")</f>
        <v>Alto</v>
      </c>
      <c r="K74" s="36">
        <f>IFERROR(INDEX(Riscos!$U$5:$U$154,MATCH($A74,Riscos!$BC$5:$BC$154,0)),"")</f>
        <v>4</v>
      </c>
      <c r="L74" s="230" t="str">
        <f>IFERROR(INDEX(Riscos!$AD$5:$AD$154,MATCH($A74,Riscos!$BC$5:$BC$154,0))&amp;"","")</f>
        <v>Gerente da Qualidade</v>
      </c>
      <c r="M74" s="230"/>
      <c r="N74" s="234" t="str">
        <f>IFERROR(INDEX(Riscos!$AI$5:$AI$154,MATCH($A74,Riscos!$BC$5:$BC$154,0))&amp;"","")</f>
        <v>PAC 202607</v>
      </c>
      <c r="O74" s="234"/>
      <c r="P74" s="234" t="str">
        <f ca="1">IFERROR(INDEX(Riscos!$AZ$5:$AZ$154,MATCH($A74,Riscos!$BC$5:$BC$154,0))&amp;"","")</f>
        <v>KRI em alerta</v>
      </c>
      <c r="Q74" s="234"/>
    </row>
    <row r="75" spans="1:17" ht="24" customHeight="1">
      <c r="A75" s="34">
        <v>4</v>
      </c>
      <c r="B75" s="35" t="str">
        <f>IFERROR(INDEX(Riscos!$B$5:$B$154,MATCH($A75,Riscos!$BC$5:$BC$154,0))&amp;"","")</f>
        <v>Qualidade</v>
      </c>
      <c r="C75" s="36" t="str">
        <f>IFERROR(INDEX(Riscos!$A$5:$A$154,MATCH($A75,Riscos!$BC$5:$BC$154,0))&amp;"","")</f>
        <v>R18</v>
      </c>
      <c r="D75" s="230" t="str">
        <f>IFERROR(INDEX(Riscos!$C$5:$C$154,MATCH($A75,Riscos!$BC$5:$BC$154,0))&amp;"","")</f>
        <v>Rastreabilidade incompleta lote → ordem → produto final impede contenção rápida e RTY real</v>
      </c>
      <c r="E75" s="230"/>
      <c r="F75" s="230"/>
      <c r="G75" s="230"/>
      <c r="H75" s="230"/>
      <c r="I75" s="25">
        <f>IFERROR(INDEX(Riscos!$V$5:$V$154,MATCH($A75,Riscos!$BC$5:$BC$154,0)),"")</f>
        <v>12</v>
      </c>
      <c r="J75" s="25" t="str">
        <f>IFERROR(INDEX(Riscos!$W$5:$W$154,MATCH($A75,Riscos!$BC$5:$BC$154,0))&amp;"","")</f>
        <v>Alto</v>
      </c>
      <c r="K75" s="36">
        <f>IFERROR(INDEX(Riscos!$U$5:$U$154,MATCH($A75,Riscos!$BC$5:$BC$154,0)),"")</f>
        <v>4</v>
      </c>
      <c r="L75" s="230" t="str">
        <f>IFERROR(INDEX(Riscos!$AD$5:$AD$154,MATCH($A75,Riscos!$BC$5:$BC$154,0))&amp;"","")</f>
        <v>Gerente da Qualidade</v>
      </c>
      <c r="M75" s="230"/>
      <c r="N75" s="234" t="str">
        <f>IFERROR(INDEX(Riscos!$AI$5:$AI$154,MATCH($A75,Riscos!$BC$5:$BC$154,0))&amp;"","")</f>
        <v>PAC 202620</v>
      </c>
      <c r="O75" s="234"/>
      <c r="P75" s="234" t="str">
        <f ca="1">IFERROR(INDEX(Riscos!$AZ$5:$AZ$154,MATCH($A75,Riscos!$BC$5:$BC$154,0))&amp;"","")</f>
        <v>Barreira fraca</v>
      </c>
      <c r="Q75" s="234"/>
    </row>
    <row r="76" spans="1:17" ht="24" customHeight="1">
      <c r="A76" s="34">
        <v>5</v>
      </c>
      <c r="B76" s="35" t="str">
        <f>IFERROR(INDEX(Riscos!$B$5:$B$154,MATCH($A76,Riscos!$BC$5:$BC$154,0))&amp;"","")</f>
        <v>Gestão Ambiental</v>
      </c>
      <c r="C76" s="36" t="str">
        <f>IFERROR(INDEX(Riscos!$A$5:$A$154,MATCH($A76,Riscos!$BC$5:$BC$154,0))&amp;"","")</f>
        <v>R32</v>
      </c>
      <c r="D76" s="230" t="str">
        <f>IFERROR(INDEX(Riscos!$C$5:$C$154,MATCH($A76,Riscos!$BC$5:$BC$154,0))&amp;"","")</f>
        <v>Ausência de título/licença de recursos hídricos e de avaliação das condições de descarga e efluentes</v>
      </c>
      <c r="E76" s="230"/>
      <c r="F76" s="230"/>
      <c r="G76" s="230"/>
      <c r="H76" s="230"/>
      <c r="I76" s="25">
        <f>IFERROR(INDEX(Riscos!$V$5:$V$154,MATCH($A76,Riscos!$BC$5:$BC$154,0)),"")</f>
        <v>12</v>
      </c>
      <c r="J76" s="25" t="str">
        <f>IFERROR(INDEX(Riscos!$W$5:$W$154,MATCH($A76,Riscos!$BC$5:$BC$154,0))&amp;"","")</f>
        <v>Alto</v>
      </c>
      <c r="K76" s="36">
        <f>IFERROR(INDEX(Riscos!$U$5:$U$154,MATCH($A76,Riscos!$BC$5:$BC$154,0)),"")</f>
        <v>4</v>
      </c>
      <c r="L76" s="230" t="str">
        <f>IFERROR(INDEX(Riscos!$AD$5:$AD$154,MATCH($A76,Riscos!$BC$5:$BC$154,0))&amp;"","")</f>
        <v>Coordenador de SGA e SST</v>
      </c>
      <c r="M76" s="230"/>
      <c r="N76" s="234" t="str">
        <f>IFERROR(INDEX(Riscos!$AI$5:$AI$154,MATCH($A76,Riscos!$BC$5:$BC$154,0))&amp;"","")</f>
        <v/>
      </c>
      <c r="O76" s="234"/>
      <c r="P76" s="234" t="str">
        <f ca="1">IFERROR(INDEX(Riscos!$AZ$5:$AZ$154,MATCH($A76,Riscos!$BC$5:$BC$154,0))&amp;"","")</f>
        <v>Rever hierarquia de controle</v>
      </c>
      <c r="Q76" s="234"/>
    </row>
    <row r="77" spans="1:17" ht="24" customHeight="1">
      <c r="A77" s="34">
        <v>6</v>
      </c>
      <c r="B77" s="35" t="str">
        <f>IFERROR(INDEX(Riscos!$B$5:$B$154,MATCH($A77,Riscos!$BC$5:$BC$154,0))&amp;"","")</f>
        <v>Gestão Ambiental</v>
      </c>
      <c r="C77" s="36" t="str">
        <f>IFERROR(INDEX(Riscos!$A$5:$A$154,MATCH($A77,Riscos!$BC$5:$BC$154,0))&amp;"","")</f>
        <v>R37</v>
      </c>
      <c r="D77" s="230" t="str">
        <f>IFERROR(INDEX(Riscos!$C$5:$C$154,MATCH($A77,Riscos!$BC$5:$BC$154,0))&amp;"","")</f>
        <v>Perdas de granulado de plástico na descarga de silos e big bags chegam à rede pluvial e ao meio aquático.</v>
      </c>
      <c r="E77" s="230"/>
      <c r="F77" s="230"/>
      <c r="G77" s="230"/>
      <c r="H77" s="230"/>
      <c r="I77" s="25">
        <f>IFERROR(INDEX(Riscos!$V$5:$V$154,MATCH($A77,Riscos!$BC$5:$BC$154,0)),"")</f>
        <v>12</v>
      </c>
      <c r="J77" s="25" t="str">
        <f>IFERROR(INDEX(Riscos!$W$5:$W$154,MATCH($A77,Riscos!$BC$5:$BC$154,0))&amp;"","")</f>
        <v>Alto</v>
      </c>
      <c r="K77" s="36">
        <f>IFERROR(INDEX(Riscos!$U$5:$U$154,MATCH($A77,Riscos!$BC$5:$BC$154,0)),"")</f>
        <v>4</v>
      </c>
      <c r="L77" s="230" t="str">
        <f>IFERROR(INDEX(Riscos!$AD$5:$AD$154,MATCH($A77,Riscos!$BC$5:$BC$154,0))&amp;"","")</f>
        <v>Gestor do SGA / EHS (Responsável Ambiental)</v>
      </c>
      <c r="M77" s="230"/>
      <c r="N77" s="234" t="str">
        <f>IFERROR(INDEX(Riscos!$AI$5:$AI$154,MATCH($A77,Riscos!$BC$5:$BC$154,0))&amp;"","")</f>
        <v/>
      </c>
      <c r="O77" s="234"/>
      <c r="P77" s="234" t="str">
        <f ca="1">IFERROR(INDEX(Riscos!$AZ$5:$AZ$154,MATCH($A77,Riscos!$BC$5:$BC$154,0))&amp;"","")</f>
        <v>Barreira fraca</v>
      </c>
      <c r="Q77" s="234"/>
    </row>
    <row r="78" spans="1:17" ht="24" customHeight="1">
      <c r="A78" s="34">
        <v>7</v>
      </c>
      <c r="B78" s="35" t="str">
        <f>IFERROR(INDEX(Riscos!$B$5:$B$154,MATCH($A78,Riscos!$BC$5:$BC$154,0))&amp;"","")</f>
        <v>Sopro (ISBM)</v>
      </c>
      <c r="C78" s="36" t="str">
        <f>IFERROR(INDEX(Riscos!$A$5:$A$154,MATCH($A78,Riscos!$BC$5:$BC$154,0))&amp;"","")</f>
        <v>R1</v>
      </c>
      <c r="D78" s="230" t="str">
        <f>IFERROR(INDEX(Riscos!$C$5:$C$154,MATCH($A78,Riscos!$BC$5:$BC$154,0))&amp;"","")</f>
        <v>Instabilidade da espessura de parede na ISBM-003 gera frascos fora de especificação e lotes rejeitados/refeitos</v>
      </c>
      <c r="E78" s="230"/>
      <c r="F78" s="230"/>
      <c r="G78" s="230"/>
      <c r="H78" s="230"/>
      <c r="I78" s="25">
        <f>IFERROR(INDEX(Riscos!$V$5:$V$154,MATCH($A78,Riscos!$BC$5:$BC$154,0)),"")</f>
        <v>12</v>
      </c>
      <c r="J78" s="25" t="str">
        <f>IFERROR(INDEX(Riscos!$W$5:$W$154,MATCH($A78,Riscos!$BC$5:$BC$154,0))&amp;"","")</f>
        <v>Alto</v>
      </c>
      <c r="K78" s="36">
        <f>IFERROR(INDEX(Riscos!$U$5:$U$154,MATCH($A78,Riscos!$BC$5:$BC$154,0)),"")</f>
        <v>3</v>
      </c>
      <c r="L78" s="230" t="str">
        <f>IFERROR(INDEX(Riscos!$AD$5:$AD$154,MATCH($A78,Riscos!$BC$5:$BC$154,0))&amp;"","")</f>
        <v>Gerente de Produção</v>
      </c>
      <c r="M78" s="230"/>
      <c r="N78" s="234" t="str">
        <f>IFERROR(INDEX(Riscos!$AI$5:$AI$154,MATCH($A78,Riscos!$BC$5:$BC$154,0))&amp;"","")</f>
        <v>PAC 202601</v>
      </c>
      <c r="O78" s="234"/>
      <c r="P78" s="234" t="str">
        <f ca="1">IFERROR(INDEX(Riscos!$AZ$5:$AZ$154,MATCH($A78,Riscos!$BC$5:$BC$154,0))&amp;"","")</f>
        <v>KRI em alerta</v>
      </c>
      <c r="Q78" s="234"/>
    </row>
    <row r="79" spans="1:17" ht="24" customHeight="1">
      <c r="A79" s="34">
        <v>8</v>
      </c>
      <c r="B79" s="35" t="str">
        <f>IFERROR(INDEX(Riscos!$B$5:$B$154,MATCH($A79,Riscos!$BC$5:$BC$154,0))&amp;"","")</f>
        <v>Sopro (ISBM)</v>
      </c>
      <c r="C79" s="36" t="str">
        <f>IFERROR(INDEX(Riscos!$A$5:$A$154,MATCH($A79,Riscos!$BC$5:$BC$154,0))&amp;"","")</f>
        <v>R3</v>
      </c>
      <c r="D79" s="230" t="str">
        <f>IFERROR(INDEX(Riscos!$C$5:$C$154,MATCH($A79,Riscos!$BC$5:$BC$154,0))&amp;"","")</f>
        <v>Paradas não planejadas recorrentes na ISBM-005 por envelhecimento hidráulico reduzem a disponibilidade</v>
      </c>
      <c r="E79" s="230"/>
      <c r="F79" s="230"/>
      <c r="G79" s="230"/>
      <c r="H79" s="230"/>
      <c r="I79" s="25">
        <f>IFERROR(INDEX(Riscos!$V$5:$V$154,MATCH($A79,Riscos!$BC$5:$BC$154,0)),"")</f>
        <v>12</v>
      </c>
      <c r="J79" s="25" t="str">
        <f>IFERROR(INDEX(Riscos!$W$5:$W$154,MATCH($A79,Riscos!$BC$5:$BC$154,0))&amp;"","")</f>
        <v>Alto</v>
      </c>
      <c r="K79" s="36">
        <f>IFERROR(INDEX(Riscos!$U$5:$U$154,MATCH($A79,Riscos!$BC$5:$BC$154,0)),"")</f>
        <v>3</v>
      </c>
      <c r="L79" s="230" t="str">
        <f>IFERROR(INDEX(Riscos!$AD$5:$AD$154,MATCH($A79,Riscos!$BC$5:$BC$154,0))&amp;"","")</f>
        <v>Gerente de Manutenção</v>
      </c>
      <c r="M79" s="230"/>
      <c r="N79" s="234" t="str">
        <f>IFERROR(INDEX(Riscos!$AI$5:$AI$154,MATCH($A79,Riscos!$BC$5:$BC$154,0))&amp;"","")</f>
        <v>PAC 202611</v>
      </c>
      <c r="O79" s="234"/>
      <c r="P79" s="234" t="str">
        <f ca="1">IFERROR(INDEX(Riscos!$AZ$5:$AZ$154,MATCH($A79,Riscos!$BC$5:$BC$154,0))&amp;"","")</f>
        <v>KRI em alerta</v>
      </c>
      <c r="Q79" s="234"/>
    </row>
    <row r="80" spans="1:17" ht="24" customHeight="1">
      <c r="A80" s="34">
        <v>9</v>
      </c>
      <c r="B80" s="35" t="str">
        <f>IFERROR(INDEX(Riscos!$B$5:$B$154,MATCH($A80,Riscos!$BC$5:$BC$154,0))&amp;"","")</f>
        <v>Injeção</v>
      </c>
      <c r="C80" s="36" t="str">
        <f>IFERROR(INDEX(Riscos!$A$5:$A$154,MATCH($A80,Riscos!$BC$5:$BC$154,0))&amp;"","")</f>
        <v>R4</v>
      </c>
      <c r="D80" s="230" t="str">
        <f>IFERROR(INDEX(Riscos!$C$5:$C$154,MATCH($A80,Riscos!$BC$5:$BC$154,0))&amp;"","")</f>
        <v>Short shot e variação de peso na IM-002 causados por banda de aquecimento marginal e janela de parâmetros inadequada</v>
      </c>
      <c r="E80" s="230"/>
      <c r="F80" s="230"/>
      <c r="G80" s="230"/>
      <c r="H80" s="230"/>
      <c r="I80" s="25">
        <f>IFERROR(INDEX(Riscos!$V$5:$V$154,MATCH($A80,Riscos!$BC$5:$BC$154,0)),"")</f>
        <v>12</v>
      </c>
      <c r="J80" s="25" t="str">
        <f>IFERROR(INDEX(Riscos!$W$5:$W$154,MATCH($A80,Riscos!$BC$5:$BC$154,0))&amp;"","")</f>
        <v>Alto</v>
      </c>
      <c r="K80" s="36">
        <f>IFERROR(INDEX(Riscos!$U$5:$U$154,MATCH($A80,Riscos!$BC$5:$BC$154,0)),"")</f>
        <v>3</v>
      </c>
      <c r="L80" s="230" t="str">
        <f>IFERROR(INDEX(Riscos!$AD$5:$AD$154,MATCH($A80,Riscos!$BC$5:$BC$154,0))&amp;"","")</f>
        <v>Gerente da Qualidade</v>
      </c>
      <c r="M80" s="230"/>
      <c r="N80" s="234" t="str">
        <f>IFERROR(INDEX(Riscos!$AI$5:$AI$154,MATCH($A80,Riscos!$BC$5:$BC$154,0))&amp;"","")</f>
        <v>PAC 202602</v>
      </c>
      <c r="O80" s="234"/>
      <c r="P80" s="234" t="str">
        <f ca="1">IFERROR(INDEX(Riscos!$AZ$5:$AZ$154,MATCH($A80,Riscos!$BC$5:$BC$154,0))&amp;"","")</f>
        <v>KRI em alerta</v>
      </c>
      <c r="Q80" s="234"/>
    </row>
    <row r="81" spans="1:17" ht="24" customHeight="1">
      <c r="A81" s="34">
        <v>10</v>
      </c>
      <c r="B81" s="35" t="str">
        <f>IFERROR(INDEX(Riscos!$B$5:$B$154,MATCH($A81,Riscos!$BC$5:$BC$154,0))&amp;"","")</f>
        <v>Injeção</v>
      </c>
      <c r="C81" s="36" t="str">
        <f>IFERROR(INDEX(Riscos!$A$5:$A$154,MATCH($A81,Riscos!$BC$5:$BC$154,0))&amp;"","")</f>
        <v>R5</v>
      </c>
      <c r="D81" s="230" t="str">
        <f>IFERROR(INDEX(Riscos!$C$5:$C$154,MATCH($A81,Riscos!$BC$5:$BC$154,0))&amp;"","")</f>
        <v>Flash crescente na IM-004 em campanhas longas entre trocas de molde (acúmulo de ciclos desde o setup)</v>
      </c>
      <c r="E81" s="230"/>
      <c r="F81" s="230"/>
      <c r="G81" s="230"/>
      <c r="H81" s="230"/>
      <c r="I81" s="25">
        <f>IFERROR(INDEX(Riscos!$V$5:$V$154,MATCH($A81,Riscos!$BC$5:$BC$154,0)),"")</f>
        <v>12</v>
      </c>
      <c r="J81" s="25" t="str">
        <f>IFERROR(INDEX(Riscos!$W$5:$W$154,MATCH($A81,Riscos!$BC$5:$BC$154,0))&amp;"","")</f>
        <v>Alto</v>
      </c>
      <c r="K81" s="36">
        <f>IFERROR(INDEX(Riscos!$U$5:$U$154,MATCH($A81,Riscos!$BC$5:$BC$154,0)),"")</f>
        <v>3</v>
      </c>
      <c r="L81" s="230" t="str">
        <f>IFERROR(INDEX(Riscos!$AD$5:$AD$154,MATCH($A81,Riscos!$BC$5:$BC$154,0))&amp;"","")</f>
        <v>Gerente de Produção</v>
      </c>
      <c r="M81" s="230"/>
      <c r="N81" s="234" t="str">
        <f>IFERROR(INDEX(Riscos!$AI$5:$AI$154,MATCH($A81,Riscos!$BC$5:$BC$154,0))&amp;"","")</f>
        <v>PAC 202603</v>
      </c>
      <c r="O81" s="234"/>
      <c r="P81" s="234" t="str">
        <f ca="1">IFERROR(INDEX(Riscos!$AZ$5:$AZ$154,MATCH($A81,Riscos!$BC$5:$BC$154,0))&amp;"","")</f>
        <v>KRI em alerta</v>
      </c>
      <c r="Q81" s="234"/>
    </row>
    <row r="83" spans="1:17" ht="15" customHeight="1">
      <c r="A83" s="221" t="s">
        <v>281</v>
      </c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</row>
    <row r="84" spans="1:17" ht="15" customHeight="1">
      <c r="A84" s="1" t="s">
        <v>275</v>
      </c>
      <c r="B84" s="1" t="s">
        <v>276</v>
      </c>
      <c r="C84" s="1" t="s">
        <v>20</v>
      </c>
      <c r="D84" s="226" t="s">
        <v>277</v>
      </c>
      <c r="E84" s="226"/>
      <c r="F84" s="226"/>
      <c r="G84" s="226"/>
      <c r="H84" s="226"/>
      <c r="I84" s="1" t="s">
        <v>32</v>
      </c>
      <c r="J84" s="1" t="s">
        <v>33</v>
      </c>
      <c r="K84" s="1" t="s">
        <v>278</v>
      </c>
      <c r="L84" s="226" t="s">
        <v>279</v>
      </c>
      <c r="M84" s="226"/>
      <c r="N84" s="226" t="s">
        <v>280</v>
      </c>
      <c r="O84" s="226"/>
      <c r="P84" s="226" t="s">
        <v>57</v>
      </c>
      <c r="Q84" s="226"/>
    </row>
    <row r="85" spans="1:17" ht="24" customHeight="1">
      <c r="A85" s="34">
        <v>1</v>
      </c>
      <c r="B85" s="35" t="str">
        <f>IFERROR(INDEX(Oportunidades!$B$5:$B$154,MATCH($A85,Oportunidades!$AR$5:$AR$154,0))&amp;"","")</f>
        <v>Injeção</v>
      </c>
      <c r="C85" s="36" t="str">
        <f>IFERROR(INDEX(Oportunidades!$A$5:$A$154,MATCH($A85,Oportunidades!$AR$5:$AR$154,0))&amp;"","")</f>
        <v>O1</v>
      </c>
      <c r="D85" s="230" t="str">
        <f>IFERROR(INDEX(Oportunidades!$C$5:$C$154,MATCH($A85,Oportunidades!$AR$5:$AR$154,0))&amp;"","")</f>
        <v>Padronizar a janela de parâmetros validada no DOE da IM-002 e replicar à frota de injeção</v>
      </c>
      <c r="E85" s="230"/>
      <c r="F85" s="230"/>
      <c r="G85" s="230"/>
      <c r="H85" s="230"/>
      <c r="I85" s="25">
        <f>IFERROR(INDEX(Oportunidades!$O$5:$O$154,MATCH($A85,Oportunidades!$AR$5:$AR$154,0)),"")</f>
        <v>16</v>
      </c>
      <c r="J85" s="25" t="str">
        <f>IFERROR(INDEX(Oportunidades!$P$5:$P$154,MATCH($A85,Oportunidades!$AR$5:$AR$154,0))&amp;"","")</f>
        <v>Crítico</v>
      </c>
      <c r="K85" s="36">
        <f>IFERROR(INDEX(Oportunidades!$N$5:$N$154,MATCH($A85,Oportunidades!$AR$5:$AR$154,0)),"")</f>
        <v>4</v>
      </c>
      <c r="L85" s="230" t="str">
        <f>IFERROR(INDEX(Oportunidades!$Y$5:$Y$154,MATCH($A85,Oportunidades!$AR$5:$AR$154,0))&amp;"","")</f>
        <v>Gerente da Qualidade</v>
      </c>
      <c r="M85" s="230"/>
      <c r="N85" s="234" t="str">
        <f>IFERROR(INDEX(Oportunidades!$AC$5:$AC$154,MATCH($A85,Oportunidades!$AR$5:$AR$154,0))&amp;"","")</f>
        <v>PAC 202631</v>
      </c>
      <c r="O85" s="234"/>
      <c r="P85" s="234" t="str">
        <f ca="1">IFERROR(INDEX(Oportunidades!$AO$5:$AO$154,MATCH($A85,Oportunidades!$AR$5:$AR$154,0))&amp;"","")</f>
        <v>OK</v>
      </c>
      <c r="Q85" s="234"/>
    </row>
    <row r="86" spans="1:17" ht="24" customHeight="1">
      <c r="A86" s="34">
        <v>2</v>
      </c>
      <c r="B86" s="35" t="str">
        <f>IFERROR(INDEX(Oportunidades!$B$5:$B$154,MATCH($A86,Oportunidades!$AR$5:$AR$154,0))&amp;"","")</f>
        <v>Manutenção</v>
      </c>
      <c r="C86" s="36" t="str">
        <f>IFERROR(INDEX(Oportunidades!$A$5:$A$154,MATCH($A86,Oportunidades!$AR$5:$AR$154,0))&amp;"","")</f>
        <v>O2</v>
      </c>
      <c r="D86" s="230" t="str">
        <f>IFERROR(INDEX(Oportunidades!$C$5:$C$154,MATCH($A86,Oportunidades!$AR$5:$AR$154,0))&amp;"","")</f>
        <v>Manutenção baseada em condição/ciclos com contadores CiclosDesdeSetup e CiclosDesdeReforma</v>
      </c>
      <c r="E86" s="230"/>
      <c r="F86" s="230"/>
      <c r="G86" s="230"/>
      <c r="H86" s="230"/>
      <c r="I86" s="25">
        <f>IFERROR(INDEX(Oportunidades!$O$5:$O$154,MATCH($A86,Oportunidades!$AR$5:$AR$154,0)),"")</f>
        <v>16</v>
      </c>
      <c r="J86" s="25" t="str">
        <f>IFERROR(INDEX(Oportunidades!$P$5:$P$154,MATCH($A86,Oportunidades!$AR$5:$AR$154,0))&amp;"","")</f>
        <v>Crítico</v>
      </c>
      <c r="K86" s="36">
        <f>IFERROR(INDEX(Oportunidades!$N$5:$N$154,MATCH($A86,Oportunidades!$AR$5:$AR$154,0)),"")</f>
        <v>4</v>
      </c>
      <c r="L86" s="230" t="str">
        <f>IFERROR(INDEX(Oportunidades!$Y$5:$Y$154,MATCH($A86,Oportunidades!$AR$5:$AR$154,0))&amp;"","")</f>
        <v>Gerente de Manutenção</v>
      </c>
      <c r="M86" s="230"/>
      <c r="N86" s="234" t="str">
        <f>IFERROR(INDEX(Oportunidades!$AC$5:$AC$154,MATCH($A86,Oportunidades!$AR$5:$AR$154,0))&amp;"","")</f>
        <v>PAC 202632</v>
      </c>
      <c r="O86" s="234"/>
      <c r="P86" s="234" t="str">
        <f ca="1">IFERROR(INDEX(Oportunidades!$AO$5:$AO$154,MATCH($A86,Oportunidades!$AR$5:$AR$154,0))&amp;"","")</f>
        <v>OK</v>
      </c>
      <c r="Q86" s="234"/>
    </row>
    <row r="87" spans="1:17" ht="24" customHeight="1">
      <c r="A87" s="34">
        <v>3</v>
      </c>
      <c r="B87" s="35" t="str">
        <f>IFERROR(INDEX(Oportunidades!$B$5:$B$154,MATCH($A87,Oportunidades!$AR$5:$AR$154,0))&amp;"","")</f>
        <v>Dados / TI</v>
      </c>
      <c r="C87" s="36" t="str">
        <f>IFERROR(INDEX(Oportunidades!$A$5:$A$154,MATCH($A87,Oportunidades!$AR$5:$AR$154,0))&amp;"","")</f>
        <v>O3</v>
      </c>
      <c r="D87" s="230" t="str">
        <f>IFERROR(INDEX(Oportunidades!$C$5:$C$154,MATCH($A87,Oportunidades!$AR$5:$AR$154,0))&amp;"","")</f>
        <v>Dashboard de causa-raiz e KRIs em tempo quase real integrando qualidade, manutenção, produção e ambiente</v>
      </c>
      <c r="E87" s="230"/>
      <c r="F87" s="230"/>
      <c r="G87" s="230"/>
      <c r="H87" s="230"/>
      <c r="I87" s="25">
        <f>IFERROR(INDEX(Oportunidades!$O$5:$O$154,MATCH($A87,Oportunidades!$AR$5:$AR$154,0)),"")</f>
        <v>16</v>
      </c>
      <c r="J87" s="25" t="str">
        <f>IFERROR(INDEX(Oportunidades!$P$5:$P$154,MATCH($A87,Oportunidades!$AR$5:$AR$154,0))&amp;"","")</f>
        <v>Crítico</v>
      </c>
      <c r="K87" s="36">
        <f>IFERROR(INDEX(Oportunidades!$N$5:$N$154,MATCH($A87,Oportunidades!$AR$5:$AR$154,0)),"")</f>
        <v>4</v>
      </c>
      <c r="L87" s="230" t="str">
        <f>IFERROR(INDEX(Oportunidades!$Y$5:$Y$154,MATCH($A87,Oportunidades!$AR$5:$AR$154,0))&amp;"","")</f>
        <v>Gerente de Dados / TI</v>
      </c>
      <c r="M87" s="230"/>
      <c r="N87" s="234" t="str">
        <f>IFERROR(INDEX(Oportunidades!$AC$5:$AC$154,MATCH($A87,Oportunidades!$AR$5:$AR$154,0))&amp;"","")</f>
        <v/>
      </c>
      <c r="O87" s="234"/>
      <c r="P87" s="234" t="str">
        <f ca="1">IFERROR(INDEX(Oportunidades!$AO$5:$AO$154,MATCH($A87,Oportunidades!$AR$5:$AR$154,0))&amp;"","")</f>
        <v>OK</v>
      </c>
      <c r="Q87" s="234"/>
    </row>
    <row r="88" spans="1:17" ht="24" customHeight="1">
      <c r="A88" s="34">
        <v>4</v>
      </c>
      <c r="B88" s="35" t="str">
        <f>IFERROR(INDEX(Oportunidades!$B$5:$B$154,MATCH($A88,Oportunidades!$AR$5:$AR$154,0))&amp;"","")</f>
        <v>Compras / Fornecedores</v>
      </c>
      <c r="C88" s="36" t="str">
        <f>IFERROR(INDEX(Oportunidades!$A$5:$A$154,MATCH($A88,Oportunidades!$AR$5:$AR$154,0))&amp;"","")</f>
        <v>O8</v>
      </c>
      <c r="D88" s="230" t="str">
        <f>IFERROR(INDEX(Oportunidades!$C$5:$C$154,MATCH($A88,Oportunidades!$AR$5:$AR$154,0))&amp;"","")</f>
        <v>Scorecard de fornecedor e migração de compras spot para contratos com critérios de qualidade</v>
      </c>
      <c r="E88" s="230"/>
      <c r="F88" s="230"/>
      <c r="G88" s="230"/>
      <c r="H88" s="230"/>
      <c r="I88" s="25">
        <f>IFERROR(INDEX(Oportunidades!$O$5:$O$154,MATCH($A88,Oportunidades!$AR$5:$AR$154,0)),"")</f>
        <v>16</v>
      </c>
      <c r="J88" s="25" t="str">
        <f>IFERROR(INDEX(Oportunidades!$P$5:$P$154,MATCH($A88,Oportunidades!$AR$5:$AR$154,0))&amp;"","")</f>
        <v>Crítico</v>
      </c>
      <c r="K88" s="36">
        <f>IFERROR(INDEX(Oportunidades!$N$5:$N$154,MATCH($A88,Oportunidades!$AR$5:$AR$154,0)),"")</f>
        <v>4</v>
      </c>
      <c r="L88" s="230" t="str">
        <f>IFERROR(INDEX(Oportunidades!$Y$5:$Y$154,MATCH($A88,Oportunidades!$AR$5:$AR$154,0))&amp;"","")</f>
        <v>Gerente de Compras</v>
      </c>
      <c r="M88" s="230"/>
      <c r="N88" s="234" t="str">
        <f>IFERROR(INDEX(Oportunidades!$AC$5:$AC$154,MATCH($A88,Oportunidades!$AR$5:$AR$154,0))&amp;"","")</f>
        <v>PAC 202638</v>
      </c>
      <c r="O88" s="234"/>
      <c r="P88" s="234" t="str">
        <f ca="1">IFERROR(INDEX(Oportunidades!$AO$5:$AO$154,MATCH($A88,Oportunidades!$AR$5:$AR$154,0))&amp;"","")</f>
        <v>OK</v>
      </c>
      <c r="Q88" s="234"/>
    </row>
    <row r="89" spans="1:17" ht="24" customHeight="1">
      <c r="A89" s="34">
        <v>5</v>
      </c>
      <c r="B89" s="35" t="str">
        <f>IFERROR(INDEX(Oportunidades!$B$5:$B$154,MATCH($A89,Oportunidades!$AR$5:$AR$154,0))&amp;"","")</f>
        <v>Produção (transversal)</v>
      </c>
      <c r="C89" s="36" t="str">
        <f>IFERROR(INDEX(Oportunidades!$A$5:$A$154,MATCH($A89,Oportunidades!$AR$5:$AR$154,0))&amp;"","")</f>
        <v>O4</v>
      </c>
      <c r="D89" s="230" t="str">
        <f>IFERROR(INDEX(Oportunidades!$C$5:$C$154,MATCH($A89,Oportunidades!$AR$5:$AR$154,0))&amp;"","")</f>
        <v>Reduzir a parada não planejada (Disponibilidade 87,4% → 90%) atacando operador indisponível, ar comprimido e matéria-prima</v>
      </c>
      <c r="E89" s="230"/>
      <c r="F89" s="230"/>
      <c r="G89" s="230"/>
      <c r="H89" s="230"/>
      <c r="I89" s="25">
        <f>IFERROR(INDEX(Oportunidades!$O$5:$O$154,MATCH($A89,Oportunidades!$AR$5:$AR$154,0)),"")</f>
        <v>15</v>
      </c>
      <c r="J89" s="25" t="str">
        <f>IFERROR(INDEX(Oportunidades!$P$5:$P$154,MATCH($A89,Oportunidades!$AR$5:$AR$154,0))&amp;"","")</f>
        <v>Alto</v>
      </c>
      <c r="K89" s="36">
        <f>IFERROR(INDEX(Oportunidades!$N$5:$N$154,MATCH($A89,Oportunidades!$AR$5:$AR$154,0)),"")</f>
        <v>5</v>
      </c>
      <c r="L89" s="230" t="str">
        <f>IFERROR(INDEX(Oportunidades!$Y$5:$Y$154,MATCH($A89,Oportunidades!$AR$5:$AR$154,0))&amp;"","")</f>
        <v>Gerente de Produção</v>
      </c>
      <c r="M89" s="230"/>
      <c r="N89" s="234" t="str">
        <f>IFERROR(INDEX(Oportunidades!$AC$5:$AC$154,MATCH($A89,Oportunidades!$AR$5:$AR$154,0))&amp;"","")</f>
        <v>PAC 202634</v>
      </c>
      <c r="O89" s="234"/>
      <c r="P89" s="234" t="str">
        <f ca="1">IFERROR(INDEX(Oportunidades!$AO$5:$AO$154,MATCH($A89,Oportunidades!$AR$5:$AR$154,0))&amp;"","")</f>
        <v>OK</v>
      </c>
      <c r="Q89" s="234"/>
    </row>
    <row r="91" spans="1:17" ht="15" customHeight="1">
      <c r="A91" s="222" t="s">
        <v>282</v>
      </c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</row>
    <row r="92" spans="1:17" ht="15" customHeight="1">
      <c r="B92" s="226" t="s">
        <v>283</v>
      </c>
      <c r="C92" s="226"/>
      <c r="D92" s="226"/>
      <c r="E92" s="1" t="s">
        <v>188</v>
      </c>
      <c r="F92" s="28" t="str">
        <f>Critérios!B25</f>
        <v>Baixo</v>
      </c>
      <c r="G92" s="31" t="str">
        <f>Critérios!B26</f>
        <v>Médio</v>
      </c>
      <c r="H92" s="32" t="str">
        <f>Critérios!B27</f>
        <v>Alto</v>
      </c>
      <c r="I92" s="33" t="str">
        <f>Critérios!B28</f>
        <v>Crítico</v>
      </c>
      <c r="J92" s="1" t="s">
        <v>158</v>
      </c>
      <c r="K92" s="19" t="s">
        <v>189</v>
      </c>
    </row>
    <row r="93" spans="1:17">
      <c r="B93" s="235" t="str">
        <f>IF(Critérios!B71="","",Critérios!B71)</f>
        <v>Sopro (ISBM)</v>
      </c>
      <c r="C93" s="235"/>
      <c r="D93" s="235"/>
      <c r="E93" s="25">
        <f>IF($B93="","",COUNTIFS(Riscos!$B$5:$B$154,$B93,Riscos!$C$5:$C$154,"&lt;&gt;"))</f>
        <v>4</v>
      </c>
      <c r="F93" s="36">
        <f>IF($B93="","",COUNTIFS(Riscos!$B$5:$B$154,$B93,Riscos!$W$5:$W$154,F$92))</f>
        <v>0</v>
      </c>
      <c r="G93" s="36">
        <f>IF($B93="","",COUNTIFS(Riscos!$B$5:$B$154,$B93,Riscos!$W$5:$W$154,G$92))</f>
        <v>2</v>
      </c>
      <c r="H93" s="36">
        <f>IF($B93="","",COUNTIFS(Riscos!$B$5:$B$154,$B93,Riscos!$W$5:$W$154,H$92))</f>
        <v>2</v>
      </c>
      <c r="I93" s="36">
        <f>IF($B93="","",COUNTIFS(Riscos!$B$5:$B$154,$B93,Riscos!$W$5:$W$154,I$92))</f>
        <v>0</v>
      </c>
      <c r="J93" s="36">
        <f ca="1">IF($B93="","",SUMPRODUCT((Riscos!$B$5:$B$154=$B93)*(Riscos!$AZ$5:$AZ$154&lt;&gt;"OK")*(Riscos!$AZ$5:$AZ$154&lt;&gt;""))+SUMPRODUCT((Oportunidades!$B$5:$B$154=$B93)*(Oportunidades!$AO$5:$AO$154&lt;&gt;"OK")*(Oportunidades!$AO$5:$AO$154&lt;&gt;"")))</f>
        <v>3</v>
      </c>
      <c r="K93" s="36">
        <f>IF($B93="","",COUNTIFS(Oportunidades!$B$5:$B$154,$B93,Oportunidades!$C$5:$C$154,"&lt;&gt;"))</f>
        <v>0</v>
      </c>
    </row>
    <row r="94" spans="1:17">
      <c r="B94" s="235" t="str">
        <f>IF(Critérios!B72="","",Critérios!B72)</f>
        <v>Injeção</v>
      </c>
      <c r="C94" s="235"/>
      <c r="D94" s="235"/>
      <c r="E94" s="25">
        <f>IF($B94="","",COUNTIFS(Riscos!$B$5:$B$154,$B94,Riscos!$C$5:$C$154,"&lt;&gt;"))</f>
        <v>3</v>
      </c>
      <c r="F94" s="36">
        <f>IF($B94="","",COUNTIFS(Riscos!$B$5:$B$154,$B94,Riscos!$W$5:$W$154,F$92))</f>
        <v>1</v>
      </c>
      <c r="G94" s="36">
        <f>IF($B94="","",COUNTIFS(Riscos!$B$5:$B$154,$B94,Riscos!$W$5:$W$154,G$92))</f>
        <v>0</v>
      </c>
      <c r="H94" s="36">
        <f>IF($B94="","",COUNTIFS(Riscos!$B$5:$B$154,$B94,Riscos!$W$5:$W$154,H$92))</f>
        <v>2</v>
      </c>
      <c r="I94" s="36">
        <f>IF($B94="","",COUNTIFS(Riscos!$B$5:$B$154,$B94,Riscos!$W$5:$W$154,I$92))</f>
        <v>0</v>
      </c>
      <c r="J94" s="36">
        <f ca="1">IF($B94="","",SUMPRODUCT((Riscos!$B$5:$B$154=$B94)*(Riscos!$AZ$5:$AZ$154&lt;&gt;"OK")*(Riscos!$AZ$5:$AZ$154&lt;&gt;""))+SUMPRODUCT((Oportunidades!$B$5:$B$154=$B94)*(Oportunidades!$AO$5:$AO$154&lt;&gt;"OK")*(Oportunidades!$AO$5:$AO$154&lt;&gt;"")))</f>
        <v>2</v>
      </c>
      <c r="K94" s="36">
        <f>IF($B94="","",COUNTIFS(Oportunidades!$B$5:$B$154,$B94,Oportunidades!$C$5:$C$154,"&lt;&gt;"))</f>
        <v>1</v>
      </c>
    </row>
    <row r="95" spans="1:17">
      <c r="B95" s="235" t="str">
        <f>IF(Critérios!B73="","",Critérios!B73)</f>
        <v>Serigrafia</v>
      </c>
      <c r="C95" s="235"/>
      <c r="D95" s="235"/>
      <c r="E95" s="25">
        <f>IF($B95="","",COUNTIFS(Riscos!$B$5:$B$154,$B95,Riscos!$C$5:$C$154,"&lt;&gt;"))</f>
        <v>3</v>
      </c>
      <c r="F95" s="36">
        <f>IF($B95="","",COUNTIFS(Riscos!$B$5:$B$154,$B95,Riscos!$W$5:$W$154,F$92))</f>
        <v>0</v>
      </c>
      <c r="G95" s="36">
        <f>IF($B95="","",COUNTIFS(Riscos!$B$5:$B$154,$B95,Riscos!$W$5:$W$154,G$92))</f>
        <v>2</v>
      </c>
      <c r="H95" s="36">
        <f>IF($B95="","",COUNTIFS(Riscos!$B$5:$B$154,$B95,Riscos!$W$5:$W$154,H$92))</f>
        <v>1</v>
      </c>
      <c r="I95" s="36">
        <f>IF($B95="","",COUNTIFS(Riscos!$B$5:$B$154,$B95,Riscos!$W$5:$W$154,I$92))</f>
        <v>0</v>
      </c>
      <c r="J95" s="36">
        <f ca="1">IF($B95="","",SUMPRODUCT((Riscos!$B$5:$B$154=$B95)*(Riscos!$AZ$5:$AZ$154&lt;&gt;"OK")*(Riscos!$AZ$5:$AZ$154&lt;&gt;""))+SUMPRODUCT((Oportunidades!$B$5:$B$154=$B95)*(Oportunidades!$AO$5:$AO$154&lt;&gt;"OK")*(Oportunidades!$AO$5:$AO$154&lt;&gt;"")))</f>
        <v>1</v>
      </c>
      <c r="K95" s="36">
        <f>IF($B95="","",COUNTIFS(Oportunidades!$B$5:$B$154,$B95,Oportunidades!$C$5:$C$154,"&lt;&gt;"))</f>
        <v>0</v>
      </c>
    </row>
    <row r="96" spans="1:17">
      <c r="B96" s="235" t="str">
        <f>IF(Critérios!B74="","",Critérios!B74)</f>
        <v>Hot Foil</v>
      </c>
      <c r="C96" s="235"/>
      <c r="D96" s="235"/>
      <c r="E96" s="25">
        <f>IF($B96="","",COUNTIFS(Riscos!$B$5:$B$154,$B96,Riscos!$C$5:$C$154,"&lt;&gt;"))</f>
        <v>1</v>
      </c>
      <c r="F96" s="36">
        <f>IF($B96="","",COUNTIFS(Riscos!$B$5:$B$154,$B96,Riscos!$W$5:$W$154,F$92))</f>
        <v>0</v>
      </c>
      <c r="G96" s="36">
        <f>IF($B96="","",COUNTIFS(Riscos!$B$5:$B$154,$B96,Riscos!$W$5:$W$154,G$92))</f>
        <v>0</v>
      </c>
      <c r="H96" s="36">
        <f>IF($B96="","",COUNTIFS(Riscos!$B$5:$B$154,$B96,Riscos!$W$5:$W$154,H$92))</f>
        <v>1</v>
      </c>
      <c r="I96" s="36">
        <f>IF($B96="","",COUNTIFS(Riscos!$B$5:$B$154,$B96,Riscos!$W$5:$W$154,I$92))</f>
        <v>0</v>
      </c>
      <c r="J96" s="36">
        <f ca="1">IF($B96="","",SUMPRODUCT((Riscos!$B$5:$B$154=$B96)*(Riscos!$AZ$5:$AZ$154&lt;&gt;"OK")*(Riscos!$AZ$5:$AZ$154&lt;&gt;""))+SUMPRODUCT((Oportunidades!$B$5:$B$154=$B96)*(Oportunidades!$AO$5:$AO$154&lt;&gt;"OK")*(Oportunidades!$AO$5:$AO$154&lt;&gt;"")))</f>
        <v>1</v>
      </c>
      <c r="K96" s="36">
        <f>IF($B96="","",COUNTIFS(Oportunidades!$B$5:$B$154,$B96,Oportunidades!$C$5:$C$154,"&lt;&gt;"))</f>
        <v>0</v>
      </c>
    </row>
    <row r="97" spans="2:11">
      <c r="B97" s="235" t="str">
        <f>IF(Critérios!B75="","",Critérios!B75)</f>
        <v>Manutenção</v>
      </c>
      <c r="C97" s="235"/>
      <c r="D97" s="235"/>
      <c r="E97" s="25">
        <f>IF($B97="","",COUNTIFS(Riscos!$B$5:$B$154,$B97,Riscos!$C$5:$C$154,"&lt;&gt;"))</f>
        <v>0</v>
      </c>
      <c r="F97" s="36">
        <f>IF($B97="","",COUNTIFS(Riscos!$B$5:$B$154,$B97,Riscos!$W$5:$W$154,F$92))</f>
        <v>0</v>
      </c>
      <c r="G97" s="36">
        <f>IF($B97="","",COUNTIFS(Riscos!$B$5:$B$154,$B97,Riscos!$W$5:$W$154,G$92))</f>
        <v>0</v>
      </c>
      <c r="H97" s="36">
        <f>IF($B97="","",COUNTIFS(Riscos!$B$5:$B$154,$B97,Riscos!$W$5:$W$154,H$92))</f>
        <v>0</v>
      </c>
      <c r="I97" s="36">
        <f>IF($B97="","",COUNTIFS(Riscos!$B$5:$B$154,$B97,Riscos!$W$5:$W$154,I$92))</f>
        <v>0</v>
      </c>
      <c r="J97" s="36">
        <f ca="1">IF($B97="","",SUMPRODUCT((Riscos!$B$5:$B$154=$B97)*(Riscos!$AZ$5:$AZ$154&lt;&gt;"OK")*(Riscos!$AZ$5:$AZ$154&lt;&gt;""))+SUMPRODUCT((Oportunidades!$B$5:$B$154=$B97)*(Oportunidades!$AO$5:$AO$154&lt;&gt;"OK")*(Oportunidades!$AO$5:$AO$154&lt;&gt;"")))</f>
        <v>0</v>
      </c>
      <c r="K97" s="36">
        <f>IF($B97="","",COUNTIFS(Oportunidades!$B$5:$B$154,$B97,Oportunidades!$C$5:$C$154,"&lt;&gt;"))</f>
        <v>1</v>
      </c>
    </row>
    <row r="98" spans="2:11">
      <c r="B98" s="235" t="str">
        <f>IF(Critérios!B76="","",Critérios!B76)</f>
        <v>Qualidade</v>
      </c>
      <c r="C98" s="235"/>
      <c r="D98" s="235"/>
      <c r="E98" s="25">
        <f>IF($B98="","",COUNTIFS(Riscos!$B$5:$B$154,$B98,Riscos!$C$5:$C$154,"&lt;&gt;"))</f>
        <v>4</v>
      </c>
      <c r="F98" s="36">
        <f>IF($B98="","",COUNTIFS(Riscos!$B$5:$B$154,$B98,Riscos!$W$5:$W$154,F$92))</f>
        <v>0</v>
      </c>
      <c r="G98" s="36">
        <f>IF($B98="","",COUNTIFS(Riscos!$B$5:$B$154,$B98,Riscos!$W$5:$W$154,G$92))</f>
        <v>0</v>
      </c>
      <c r="H98" s="36">
        <f>IF($B98="","",COUNTIFS(Riscos!$B$5:$B$154,$B98,Riscos!$W$5:$W$154,H$92))</f>
        <v>4</v>
      </c>
      <c r="I98" s="36">
        <f>IF($B98="","",COUNTIFS(Riscos!$B$5:$B$154,$B98,Riscos!$W$5:$W$154,I$92))</f>
        <v>0</v>
      </c>
      <c r="J98" s="36">
        <f ca="1">IF($B98="","",SUMPRODUCT((Riscos!$B$5:$B$154=$B98)*(Riscos!$AZ$5:$AZ$154&lt;&gt;"OK")*(Riscos!$AZ$5:$AZ$154&lt;&gt;""))+SUMPRODUCT((Oportunidades!$B$5:$B$154=$B98)*(Oportunidades!$AO$5:$AO$154&lt;&gt;"OK")*(Oportunidades!$AO$5:$AO$154&lt;&gt;"")))</f>
        <v>4</v>
      </c>
      <c r="K98" s="36">
        <f>IF($B98="","",COUNTIFS(Oportunidades!$B$5:$B$154,$B98,Oportunidades!$C$5:$C$154,"&lt;&gt;"))</f>
        <v>2</v>
      </c>
    </row>
    <row r="99" spans="2:11">
      <c r="B99" s="235" t="str">
        <f>IF(Critérios!B77="","",Critérios!B77)</f>
        <v>Segurança do Trabalho</v>
      </c>
      <c r="C99" s="235"/>
      <c r="D99" s="235"/>
      <c r="E99" s="25">
        <f>IF($B99="","",COUNTIFS(Riscos!$B$5:$B$154,$B99,Riscos!$C$5:$C$154,"&lt;&gt;"))</f>
        <v>1</v>
      </c>
      <c r="F99" s="36">
        <f>IF($B99="","",COUNTIFS(Riscos!$B$5:$B$154,$B99,Riscos!$W$5:$W$154,F$92))</f>
        <v>0</v>
      </c>
      <c r="G99" s="36">
        <f>IF($B99="","",COUNTIFS(Riscos!$B$5:$B$154,$B99,Riscos!$W$5:$W$154,G$92))</f>
        <v>1</v>
      </c>
      <c r="H99" s="36">
        <f>IF($B99="","",COUNTIFS(Riscos!$B$5:$B$154,$B99,Riscos!$W$5:$W$154,H$92))</f>
        <v>0</v>
      </c>
      <c r="I99" s="36">
        <f>IF($B99="","",COUNTIFS(Riscos!$B$5:$B$154,$B99,Riscos!$W$5:$W$154,I$92))</f>
        <v>0</v>
      </c>
      <c r="J99" s="36">
        <f ca="1">IF($B99="","",SUMPRODUCT((Riscos!$B$5:$B$154=$B99)*(Riscos!$AZ$5:$AZ$154&lt;&gt;"OK")*(Riscos!$AZ$5:$AZ$154&lt;&gt;""))+SUMPRODUCT((Oportunidades!$B$5:$B$154=$B99)*(Oportunidades!$AO$5:$AO$154&lt;&gt;"OK")*(Oportunidades!$AO$5:$AO$154&lt;&gt;"")))</f>
        <v>0</v>
      </c>
      <c r="K99" s="36">
        <f>IF($B99="","",COUNTIFS(Oportunidades!$B$5:$B$154,$B99,Oportunidades!$C$5:$C$154,"&lt;&gt;"))</f>
        <v>0</v>
      </c>
    </row>
    <row r="100" spans="2:11">
      <c r="B100" s="235" t="str">
        <f>IF(Critérios!B78="","",Critérios!B78)</f>
        <v>Gestão Ambiental</v>
      </c>
      <c r="C100" s="235"/>
      <c r="D100" s="235"/>
      <c r="E100" s="25">
        <f>IF($B100="","",COUNTIFS(Riscos!$B$5:$B$154,$B100,Riscos!$C$5:$C$154,"&lt;&gt;"))</f>
        <v>4</v>
      </c>
      <c r="F100" s="36">
        <f>IF($B100="","",COUNTIFS(Riscos!$B$5:$B$154,$B100,Riscos!$W$5:$W$154,F$92))</f>
        <v>0</v>
      </c>
      <c r="G100" s="36">
        <f>IF($B100="","",COUNTIFS(Riscos!$B$5:$B$154,$B100,Riscos!$W$5:$W$154,G$92))</f>
        <v>2</v>
      </c>
      <c r="H100" s="36">
        <f>IF($B100="","",COUNTIFS(Riscos!$B$5:$B$154,$B100,Riscos!$W$5:$W$154,H$92))</f>
        <v>2</v>
      </c>
      <c r="I100" s="36">
        <f>IF($B100="","",COUNTIFS(Riscos!$B$5:$B$154,$B100,Riscos!$W$5:$W$154,I$92))</f>
        <v>0</v>
      </c>
      <c r="J100" s="36">
        <f ca="1">IF($B100="","",SUMPRODUCT((Riscos!$B$5:$B$154=$B100)*(Riscos!$AZ$5:$AZ$154&lt;&gt;"OK")*(Riscos!$AZ$5:$AZ$154&lt;&gt;""))+SUMPRODUCT((Oportunidades!$B$5:$B$154=$B100)*(Oportunidades!$AO$5:$AO$154&lt;&gt;"OK")*(Oportunidades!$AO$5:$AO$154&lt;&gt;"")))</f>
        <v>2</v>
      </c>
      <c r="K100" s="36">
        <f>IF($B100="","",COUNTIFS(Oportunidades!$B$5:$B$154,$B100,Oportunidades!$C$5:$C$154,"&lt;&gt;"))</f>
        <v>1</v>
      </c>
    </row>
    <row r="101" spans="2:11">
      <c r="B101" s="235" t="str">
        <f>IF(Critérios!B79="","",Critérios!B79)</f>
        <v>Logística / Expedição</v>
      </c>
      <c r="C101" s="235"/>
      <c r="D101" s="235"/>
      <c r="E101" s="25">
        <f>IF($B101="","",COUNTIFS(Riscos!$B$5:$B$154,$B101,Riscos!$C$5:$C$154,"&lt;&gt;"))</f>
        <v>2</v>
      </c>
      <c r="F101" s="36">
        <f>IF($B101="","",COUNTIFS(Riscos!$B$5:$B$154,$B101,Riscos!$W$5:$W$154,F$92))</f>
        <v>0</v>
      </c>
      <c r="G101" s="36">
        <f>IF($B101="","",COUNTIFS(Riscos!$B$5:$B$154,$B101,Riscos!$W$5:$W$154,G$92))</f>
        <v>2</v>
      </c>
      <c r="H101" s="36">
        <f>IF($B101="","",COUNTIFS(Riscos!$B$5:$B$154,$B101,Riscos!$W$5:$W$154,H$92))</f>
        <v>0</v>
      </c>
      <c r="I101" s="36">
        <f>IF($B101="","",COUNTIFS(Riscos!$B$5:$B$154,$B101,Riscos!$W$5:$W$154,I$92))</f>
        <v>0</v>
      </c>
      <c r="J101" s="36">
        <f ca="1">IF($B101="","",SUMPRODUCT((Riscos!$B$5:$B$154=$B101)*(Riscos!$AZ$5:$AZ$154&lt;&gt;"OK")*(Riscos!$AZ$5:$AZ$154&lt;&gt;""))+SUMPRODUCT((Oportunidades!$B$5:$B$154=$B101)*(Oportunidades!$AO$5:$AO$154&lt;&gt;"OK")*(Oportunidades!$AO$5:$AO$154&lt;&gt;"")))</f>
        <v>1</v>
      </c>
      <c r="K101" s="36">
        <f>IF($B101="","",COUNTIFS(Oportunidades!$B$5:$B$154,$B101,Oportunidades!$C$5:$C$154,"&lt;&gt;"))</f>
        <v>0</v>
      </c>
    </row>
    <row r="102" spans="2:11">
      <c r="B102" s="235" t="str">
        <f>IF(Critérios!B80="","",Critérios!B80)</f>
        <v>Compras / Fornecedores</v>
      </c>
      <c r="C102" s="235"/>
      <c r="D102" s="235"/>
      <c r="E102" s="25">
        <f>IF($B102="","",COUNTIFS(Riscos!$B$5:$B$154,$B102,Riscos!$C$5:$C$154,"&lt;&gt;"))</f>
        <v>3</v>
      </c>
      <c r="F102" s="36">
        <f>IF($B102="","",COUNTIFS(Riscos!$B$5:$B$154,$B102,Riscos!$W$5:$W$154,F$92))</f>
        <v>0</v>
      </c>
      <c r="G102" s="36">
        <f>IF($B102="","",COUNTIFS(Riscos!$B$5:$B$154,$B102,Riscos!$W$5:$W$154,G$92))</f>
        <v>1</v>
      </c>
      <c r="H102" s="36">
        <f>IF($B102="","",COUNTIFS(Riscos!$B$5:$B$154,$B102,Riscos!$W$5:$W$154,H$92))</f>
        <v>1</v>
      </c>
      <c r="I102" s="36">
        <f>IF($B102="","",COUNTIFS(Riscos!$B$5:$B$154,$B102,Riscos!$W$5:$W$154,I$92))</f>
        <v>1</v>
      </c>
      <c r="J102" s="36">
        <f ca="1">IF($B102="","",SUMPRODUCT((Riscos!$B$5:$B$154=$B102)*(Riscos!$AZ$5:$AZ$154&lt;&gt;"OK")*(Riscos!$AZ$5:$AZ$154&lt;&gt;""))+SUMPRODUCT((Oportunidades!$B$5:$B$154=$B102)*(Oportunidades!$AO$5:$AO$154&lt;&gt;"OK")*(Oportunidades!$AO$5:$AO$154&lt;&gt;"")))</f>
        <v>3</v>
      </c>
      <c r="K102" s="36">
        <f>IF($B102="","",COUNTIFS(Oportunidades!$B$5:$B$154,$B102,Oportunidades!$C$5:$C$154,"&lt;&gt;"))</f>
        <v>2</v>
      </c>
    </row>
    <row r="103" spans="2:11">
      <c r="B103" s="235" t="str">
        <f>IF(Critérios!B81="","",Critérios!B81)</f>
        <v>PCP / Planejamento</v>
      </c>
      <c r="C103" s="235"/>
      <c r="D103" s="235"/>
      <c r="E103" s="25">
        <f>IF($B103="","",COUNTIFS(Riscos!$B$5:$B$154,$B103,Riscos!$C$5:$C$154,"&lt;&gt;"))</f>
        <v>1</v>
      </c>
      <c r="F103" s="36">
        <f>IF($B103="","",COUNTIFS(Riscos!$B$5:$B$154,$B103,Riscos!$W$5:$W$154,F$92))</f>
        <v>0</v>
      </c>
      <c r="G103" s="36">
        <f>IF($B103="","",COUNTIFS(Riscos!$B$5:$B$154,$B103,Riscos!$W$5:$W$154,G$92))</f>
        <v>1</v>
      </c>
      <c r="H103" s="36">
        <f>IF($B103="","",COUNTIFS(Riscos!$B$5:$B$154,$B103,Riscos!$W$5:$W$154,H$92))</f>
        <v>0</v>
      </c>
      <c r="I103" s="36">
        <f>IF($B103="","",COUNTIFS(Riscos!$B$5:$B$154,$B103,Riscos!$W$5:$W$154,I$92))</f>
        <v>0</v>
      </c>
      <c r="J103" s="36">
        <f ca="1">IF($B103="","",SUMPRODUCT((Riscos!$B$5:$B$154=$B103)*(Riscos!$AZ$5:$AZ$154&lt;&gt;"OK")*(Riscos!$AZ$5:$AZ$154&lt;&gt;""))+SUMPRODUCT((Oportunidades!$B$5:$B$154=$B103)*(Oportunidades!$AO$5:$AO$154&lt;&gt;"OK")*(Oportunidades!$AO$5:$AO$154&lt;&gt;"")))</f>
        <v>1</v>
      </c>
      <c r="K103" s="36">
        <f>IF($B103="","",COUNTIFS(Oportunidades!$B$5:$B$154,$B103,Oportunidades!$C$5:$C$154,"&lt;&gt;"))</f>
        <v>1</v>
      </c>
    </row>
    <row r="104" spans="2:11">
      <c r="B104" s="235" t="str">
        <f>IF(Critérios!B82="","",Critérios!B82)</f>
        <v>Engenharia de Processo</v>
      </c>
      <c r="C104" s="235"/>
      <c r="D104" s="235"/>
      <c r="E104" s="25">
        <f>IF($B104="","",COUNTIFS(Riscos!$B$5:$B$154,$B104,Riscos!$C$5:$C$154,"&lt;&gt;"))</f>
        <v>1</v>
      </c>
      <c r="F104" s="36">
        <f>IF($B104="","",COUNTIFS(Riscos!$B$5:$B$154,$B104,Riscos!$W$5:$W$154,F$92))</f>
        <v>1</v>
      </c>
      <c r="G104" s="36">
        <f>IF($B104="","",COUNTIFS(Riscos!$B$5:$B$154,$B104,Riscos!$W$5:$W$154,G$92))</f>
        <v>0</v>
      </c>
      <c r="H104" s="36">
        <f>IF($B104="","",COUNTIFS(Riscos!$B$5:$B$154,$B104,Riscos!$W$5:$W$154,H$92))</f>
        <v>0</v>
      </c>
      <c r="I104" s="36">
        <f>IF($B104="","",COUNTIFS(Riscos!$B$5:$B$154,$B104,Riscos!$W$5:$W$154,I$92))</f>
        <v>0</v>
      </c>
      <c r="J104" s="36">
        <f ca="1">IF($B104="","",SUMPRODUCT((Riscos!$B$5:$B$154=$B104)*(Riscos!$AZ$5:$AZ$154&lt;&gt;"OK")*(Riscos!$AZ$5:$AZ$154&lt;&gt;""))+SUMPRODUCT((Oportunidades!$B$5:$B$154=$B104)*(Oportunidades!$AO$5:$AO$154&lt;&gt;"OK")*(Oportunidades!$AO$5:$AO$154&lt;&gt;"")))</f>
        <v>0</v>
      </c>
      <c r="K104" s="36">
        <f>IF($B104="","",COUNTIFS(Oportunidades!$B$5:$B$154,$B104,Oportunidades!$C$5:$C$154,"&lt;&gt;"))</f>
        <v>1</v>
      </c>
    </row>
    <row r="105" spans="2:11">
      <c r="B105" s="235" t="str">
        <f>IF(Critérios!B83="","",Critérios!B83)</f>
        <v>Utilidades (energia, água, ar)</v>
      </c>
      <c r="C105" s="235"/>
      <c r="D105" s="235"/>
      <c r="E105" s="25">
        <f>IF($B105="","",COUNTIFS(Riscos!$B$5:$B$154,$B105,Riscos!$C$5:$C$154,"&lt;&gt;"))</f>
        <v>3</v>
      </c>
      <c r="F105" s="36">
        <f>IF($B105="","",COUNTIFS(Riscos!$B$5:$B$154,$B105,Riscos!$W$5:$W$154,F$92))</f>
        <v>0</v>
      </c>
      <c r="G105" s="36">
        <f>IF($B105="","",COUNTIFS(Riscos!$B$5:$B$154,$B105,Riscos!$W$5:$W$154,G$92))</f>
        <v>1</v>
      </c>
      <c r="H105" s="36">
        <f>IF($B105="","",COUNTIFS(Riscos!$B$5:$B$154,$B105,Riscos!$W$5:$W$154,H$92))</f>
        <v>2</v>
      </c>
      <c r="I105" s="36">
        <f>IF($B105="","",COUNTIFS(Riscos!$B$5:$B$154,$B105,Riscos!$W$5:$W$154,I$92))</f>
        <v>0</v>
      </c>
      <c r="J105" s="36">
        <f ca="1">IF($B105="","",SUMPRODUCT((Riscos!$B$5:$B$154=$B105)*(Riscos!$AZ$5:$AZ$154&lt;&gt;"OK")*(Riscos!$AZ$5:$AZ$154&lt;&gt;""))+SUMPRODUCT((Oportunidades!$B$5:$B$154=$B105)*(Oportunidades!$AO$5:$AO$154&lt;&gt;"OK")*(Oportunidades!$AO$5:$AO$154&lt;&gt;"")))</f>
        <v>2</v>
      </c>
      <c r="K105" s="36">
        <f>IF($B105="","",COUNTIFS(Oportunidades!$B$5:$B$154,$B105,Oportunidades!$C$5:$C$154,"&lt;&gt;"))</f>
        <v>1</v>
      </c>
    </row>
    <row r="106" spans="2:11">
      <c r="B106" s="235" t="str">
        <f>IF(Critérios!B84="","",Critérios!B84)</f>
        <v>Dados / TI</v>
      </c>
      <c r="C106" s="235"/>
      <c r="D106" s="235"/>
      <c r="E106" s="25">
        <f>IF($B106="","",COUNTIFS(Riscos!$B$5:$B$154,$B106,Riscos!$C$5:$C$154,"&lt;&gt;"))</f>
        <v>3</v>
      </c>
      <c r="F106" s="36">
        <f>IF($B106="","",COUNTIFS(Riscos!$B$5:$B$154,$B106,Riscos!$W$5:$W$154,F$92))</f>
        <v>1</v>
      </c>
      <c r="G106" s="36">
        <f>IF($B106="","",COUNTIFS(Riscos!$B$5:$B$154,$B106,Riscos!$W$5:$W$154,G$92))</f>
        <v>1</v>
      </c>
      <c r="H106" s="36">
        <f>IF($B106="","",COUNTIFS(Riscos!$B$5:$B$154,$B106,Riscos!$W$5:$W$154,H$92))</f>
        <v>1</v>
      </c>
      <c r="I106" s="36">
        <f>IF($B106="","",COUNTIFS(Riscos!$B$5:$B$154,$B106,Riscos!$W$5:$W$154,I$92))</f>
        <v>0</v>
      </c>
      <c r="J106" s="36">
        <f ca="1">IF($B106="","",SUMPRODUCT((Riscos!$B$5:$B$154=$B106)*(Riscos!$AZ$5:$AZ$154&lt;&gt;"OK")*(Riscos!$AZ$5:$AZ$154&lt;&gt;""))+SUMPRODUCT((Oportunidades!$B$5:$B$154=$B106)*(Oportunidades!$AO$5:$AO$154&lt;&gt;"OK")*(Oportunidades!$AO$5:$AO$154&lt;&gt;"")))</f>
        <v>1</v>
      </c>
      <c r="K106" s="36">
        <f>IF($B106="","",COUNTIFS(Oportunidades!$B$5:$B$154,$B106,Oportunidades!$C$5:$C$154,"&lt;&gt;"))</f>
        <v>1</v>
      </c>
    </row>
    <row r="107" spans="2:11">
      <c r="B107" s="235" t="str">
        <f>IF(Critérios!B85="","",Critérios!B85)</f>
        <v>Recursos Humanos</v>
      </c>
      <c r="C107" s="235"/>
      <c r="D107" s="235"/>
      <c r="E107" s="25">
        <f>IF($B107="","",COUNTIFS(Riscos!$B$5:$B$154,$B107,Riscos!$C$5:$C$154,"&lt;&gt;"))</f>
        <v>1</v>
      </c>
      <c r="F107" s="36">
        <f>IF($B107="","",COUNTIFS(Riscos!$B$5:$B$154,$B107,Riscos!$W$5:$W$154,F$92))</f>
        <v>0</v>
      </c>
      <c r="G107" s="36">
        <f>IF($B107="","",COUNTIFS(Riscos!$B$5:$B$154,$B107,Riscos!$W$5:$W$154,G$92))</f>
        <v>0</v>
      </c>
      <c r="H107" s="36">
        <f>IF($B107="","",COUNTIFS(Riscos!$B$5:$B$154,$B107,Riscos!$W$5:$W$154,H$92))</f>
        <v>1</v>
      </c>
      <c r="I107" s="36">
        <f>IF($B107="","",COUNTIFS(Riscos!$B$5:$B$154,$B107,Riscos!$W$5:$W$154,I$92))</f>
        <v>0</v>
      </c>
      <c r="J107" s="36">
        <f ca="1">IF($B107="","",SUMPRODUCT((Riscos!$B$5:$B$154=$B107)*(Riscos!$AZ$5:$AZ$154&lt;&gt;"OK")*(Riscos!$AZ$5:$AZ$154&lt;&gt;""))+SUMPRODUCT((Oportunidades!$B$5:$B$154=$B107)*(Oportunidades!$AO$5:$AO$154&lt;&gt;"OK")*(Oportunidades!$AO$5:$AO$154&lt;&gt;"")))</f>
        <v>1</v>
      </c>
      <c r="K107" s="36">
        <f>IF($B107="","",COUNTIFS(Oportunidades!$B$5:$B$154,$B107,Oportunidades!$C$5:$C$154,"&lt;&gt;"))</f>
        <v>0</v>
      </c>
    </row>
    <row r="108" spans="2:11">
      <c r="B108" s="235" t="str">
        <f>IF(Critérios!B86="","",Critérios!B86)</f>
        <v>Gestão Financeira</v>
      </c>
      <c r="C108" s="235"/>
      <c r="D108" s="235"/>
      <c r="E108" s="25">
        <f>IF($B108="","",COUNTIFS(Riscos!$B$5:$B$154,$B108,Riscos!$C$5:$C$154,"&lt;&gt;"))</f>
        <v>2</v>
      </c>
      <c r="F108" s="36">
        <f>IF($B108="","",COUNTIFS(Riscos!$B$5:$B$154,$B108,Riscos!$W$5:$W$154,F$92))</f>
        <v>0</v>
      </c>
      <c r="G108" s="36">
        <f>IF($B108="","",COUNTIFS(Riscos!$B$5:$B$154,$B108,Riscos!$W$5:$W$154,G$92))</f>
        <v>1</v>
      </c>
      <c r="H108" s="36">
        <f>IF($B108="","",COUNTIFS(Riscos!$B$5:$B$154,$B108,Riscos!$W$5:$W$154,H$92))</f>
        <v>1</v>
      </c>
      <c r="I108" s="36">
        <f>IF($B108="","",COUNTIFS(Riscos!$B$5:$B$154,$B108,Riscos!$W$5:$W$154,I$92))</f>
        <v>0</v>
      </c>
      <c r="J108" s="36">
        <f ca="1">IF($B108="","",SUMPRODUCT((Riscos!$B$5:$B$154=$B108)*(Riscos!$AZ$5:$AZ$154&lt;&gt;"OK")*(Riscos!$AZ$5:$AZ$154&lt;&gt;""))+SUMPRODUCT((Oportunidades!$B$5:$B$154=$B108)*(Oportunidades!$AO$5:$AO$154&lt;&gt;"OK")*(Oportunidades!$AO$5:$AO$154&lt;&gt;"")))</f>
        <v>1</v>
      </c>
      <c r="K108" s="36">
        <f>IF($B108="","",COUNTIFS(Oportunidades!$B$5:$B$154,$B108,Oportunidades!$C$5:$C$154,"&lt;&gt;"))</f>
        <v>0</v>
      </c>
    </row>
    <row r="109" spans="2:11">
      <c r="B109" s="235" t="str">
        <f>IF(Critérios!B87="","",Critérios!B87)</f>
        <v>Laboratório da Qualidade</v>
      </c>
      <c r="C109" s="235"/>
      <c r="D109" s="235"/>
      <c r="E109" s="25">
        <f>IF($B109="","",COUNTIFS(Riscos!$B$5:$B$154,$B109,Riscos!$C$5:$C$154,"&lt;&gt;"))</f>
        <v>0</v>
      </c>
      <c r="F109" s="36">
        <f>IF($B109="","",COUNTIFS(Riscos!$B$5:$B$154,$B109,Riscos!$W$5:$W$154,F$92))</f>
        <v>0</v>
      </c>
      <c r="G109" s="36">
        <f>IF($B109="","",COUNTIFS(Riscos!$B$5:$B$154,$B109,Riscos!$W$5:$W$154,G$92))</f>
        <v>0</v>
      </c>
      <c r="H109" s="36">
        <f>IF($B109="","",COUNTIFS(Riscos!$B$5:$B$154,$B109,Riscos!$W$5:$W$154,H$92))</f>
        <v>0</v>
      </c>
      <c r="I109" s="36">
        <f>IF($B109="","",COUNTIFS(Riscos!$B$5:$B$154,$B109,Riscos!$W$5:$W$154,I$92))</f>
        <v>0</v>
      </c>
      <c r="J109" s="36">
        <f ca="1">IF($B109="","",SUMPRODUCT((Riscos!$B$5:$B$154=$B109)*(Riscos!$AZ$5:$AZ$154&lt;&gt;"OK")*(Riscos!$AZ$5:$AZ$154&lt;&gt;""))+SUMPRODUCT((Oportunidades!$B$5:$B$154=$B109)*(Oportunidades!$AO$5:$AO$154&lt;&gt;"OK")*(Oportunidades!$AO$5:$AO$154&lt;&gt;"")))</f>
        <v>0</v>
      </c>
      <c r="K109" s="36">
        <f>IF($B109="","",COUNTIFS(Oportunidades!$B$5:$B$154,$B109,Oportunidades!$C$5:$C$154,"&lt;&gt;"))</f>
        <v>1</v>
      </c>
    </row>
    <row r="110" spans="2:11">
      <c r="B110" s="235" t="str">
        <f>IF(Critérios!B88="","",Critérios!B88)</f>
        <v>Gestão Estratégica</v>
      </c>
      <c r="C110" s="235"/>
      <c r="D110" s="235"/>
      <c r="E110" s="25">
        <f>IF($B110="","",COUNTIFS(Riscos!$B$5:$B$154,$B110,Riscos!$C$5:$C$154,"&lt;&gt;"))</f>
        <v>1</v>
      </c>
      <c r="F110" s="36">
        <f>IF($B110="","",COUNTIFS(Riscos!$B$5:$B$154,$B110,Riscos!$W$5:$W$154,F$92))</f>
        <v>0</v>
      </c>
      <c r="G110" s="36">
        <f>IF($B110="","",COUNTIFS(Riscos!$B$5:$B$154,$B110,Riscos!$W$5:$W$154,G$92))</f>
        <v>1</v>
      </c>
      <c r="H110" s="36">
        <f>IF($B110="","",COUNTIFS(Riscos!$B$5:$B$154,$B110,Riscos!$W$5:$W$154,H$92))</f>
        <v>0</v>
      </c>
      <c r="I110" s="36">
        <f>IF($B110="","",COUNTIFS(Riscos!$B$5:$B$154,$B110,Riscos!$W$5:$W$154,I$92))</f>
        <v>0</v>
      </c>
      <c r="J110" s="36">
        <f ca="1">IF($B110="","",SUMPRODUCT((Riscos!$B$5:$B$154=$B110)*(Riscos!$AZ$5:$AZ$154&lt;&gt;"OK")*(Riscos!$AZ$5:$AZ$154&lt;&gt;""))+SUMPRODUCT((Oportunidades!$B$5:$B$154=$B110)*(Oportunidades!$AO$5:$AO$154&lt;&gt;"OK")*(Oportunidades!$AO$5:$AO$154&lt;&gt;"")))</f>
        <v>2</v>
      </c>
      <c r="K110" s="36">
        <f>IF($B110="","",COUNTIFS(Oportunidades!$B$5:$B$154,$B110,Oportunidades!$C$5:$C$154,"&lt;&gt;"))</f>
        <v>1</v>
      </c>
    </row>
    <row r="111" spans="2:11">
      <c r="B111" s="235" t="str">
        <f>IF(Critérios!B89="","",Critérios!B89)</f>
        <v>Gestão Comercial</v>
      </c>
      <c r="C111" s="235"/>
      <c r="D111" s="235"/>
      <c r="E111" s="25">
        <f>IF($B111="","",COUNTIFS(Riscos!$B$5:$B$154,$B111,Riscos!$C$5:$C$154,"&lt;&gt;"))</f>
        <v>1</v>
      </c>
      <c r="F111" s="36">
        <f>IF($B111="","",COUNTIFS(Riscos!$B$5:$B$154,$B111,Riscos!$W$5:$W$154,F$92))</f>
        <v>0</v>
      </c>
      <c r="G111" s="36">
        <f>IF($B111="","",COUNTIFS(Riscos!$B$5:$B$154,$B111,Riscos!$W$5:$W$154,G$92))</f>
        <v>0</v>
      </c>
      <c r="H111" s="36">
        <f>IF($B111="","",COUNTIFS(Riscos!$B$5:$B$154,$B111,Riscos!$W$5:$W$154,H$92))</f>
        <v>1</v>
      </c>
      <c r="I111" s="36">
        <f>IF($B111="","",COUNTIFS(Riscos!$B$5:$B$154,$B111,Riscos!$W$5:$W$154,I$92))</f>
        <v>0</v>
      </c>
      <c r="J111" s="36">
        <f ca="1">IF($B111="","",SUMPRODUCT((Riscos!$B$5:$B$154=$B111)*(Riscos!$AZ$5:$AZ$154&lt;&gt;"OK")*(Riscos!$AZ$5:$AZ$154&lt;&gt;""))+SUMPRODUCT((Oportunidades!$B$5:$B$154=$B111)*(Oportunidades!$AO$5:$AO$154&lt;&gt;"OK")*(Oportunidades!$AO$5:$AO$154&lt;&gt;"")))</f>
        <v>1</v>
      </c>
      <c r="K111" s="36">
        <f>IF($B111="","",COUNTIFS(Oportunidades!$B$5:$B$154,$B111,Oportunidades!$C$5:$C$154,"&lt;&gt;"))</f>
        <v>1</v>
      </c>
    </row>
    <row r="112" spans="2:11">
      <c r="B112" s="235" t="str">
        <f>IF(Critérios!B90="","",Critérios!B90)</f>
        <v>Produção (transversal)</v>
      </c>
      <c r="C112" s="235"/>
      <c r="D112" s="235"/>
      <c r="E112" s="25">
        <f>IF($B112="","",COUNTIFS(Riscos!$B$5:$B$154,$B112,Riscos!$C$5:$C$154,"&lt;&gt;"))</f>
        <v>1</v>
      </c>
      <c r="F112" s="36">
        <f>IF($B112="","",COUNTIFS(Riscos!$B$5:$B$154,$B112,Riscos!$W$5:$W$154,F$92))</f>
        <v>0</v>
      </c>
      <c r="G112" s="36">
        <f>IF($B112="","",COUNTIFS(Riscos!$B$5:$B$154,$B112,Riscos!$W$5:$W$154,G$92))</f>
        <v>1</v>
      </c>
      <c r="H112" s="36">
        <f>IF($B112="","",COUNTIFS(Riscos!$B$5:$B$154,$B112,Riscos!$W$5:$W$154,H$92))</f>
        <v>0</v>
      </c>
      <c r="I112" s="36">
        <f>IF($B112="","",COUNTIFS(Riscos!$B$5:$B$154,$B112,Riscos!$W$5:$W$154,I$92))</f>
        <v>0</v>
      </c>
      <c r="J112" s="36">
        <f ca="1">IF($B112="","",SUMPRODUCT((Riscos!$B$5:$B$154=$B112)*(Riscos!$AZ$5:$AZ$154&lt;&gt;"OK")*(Riscos!$AZ$5:$AZ$154&lt;&gt;""))+SUMPRODUCT((Oportunidades!$B$5:$B$154=$B112)*(Oportunidades!$AO$5:$AO$154&lt;&gt;"OK")*(Oportunidades!$AO$5:$AO$154&lt;&gt;"")))</f>
        <v>1</v>
      </c>
      <c r="K112" s="36">
        <f>IF($B112="","",COUNTIFS(Oportunidades!$B$5:$B$154,$B112,Oportunidades!$C$5:$C$154,"&lt;&gt;"))</f>
        <v>1</v>
      </c>
    </row>
    <row r="113" spans="2:11" ht="15" customHeight="1">
      <c r="B113" s="189" t="s">
        <v>284</v>
      </c>
      <c r="C113" s="189"/>
      <c r="D113" s="189"/>
      <c r="E113" s="34">
        <f t="shared" ref="E113:K113" si="0">SUM(E93:E112)</f>
        <v>39</v>
      </c>
      <c r="F113" s="34">
        <f t="shared" si="0"/>
        <v>3</v>
      </c>
      <c r="G113" s="34">
        <f t="shared" si="0"/>
        <v>16</v>
      </c>
      <c r="H113" s="34">
        <f t="shared" si="0"/>
        <v>19</v>
      </c>
      <c r="I113" s="34">
        <f t="shared" si="0"/>
        <v>1</v>
      </c>
      <c r="J113" s="34">
        <f t="shared" ca="1" si="0"/>
        <v>27</v>
      </c>
      <c r="K113" s="34">
        <f t="shared" si="0"/>
        <v>15</v>
      </c>
    </row>
  </sheetData>
  <mergeCells count="215">
    <mergeCell ref="B109:D109"/>
    <mergeCell ref="B110:D110"/>
    <mergeCell ref="B111:D111"/>
    <mergeCell ref="B112:D112"/>
    <mergeCell ref="B113:D113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A91:Q91"/>
    <mergeCell ref="B92:D92"/>
    <mergeCell ref="B93:D93"/>
    <mergeCell ref="B94:D94"/>
    <mergeCell ref="B95:D95"/>
    <mergeCell ref="B96:D96"/>
    <mergeCell ref="B97:D97"/>
    <mergeCell ref="B98:D98"/>
    <mergeCell ref="B99:D99"/>
    <mergeCell ref="D87:H87"/>
    <mergeCell ref="L87:M87"/>
    <mergeCell ref="N87:O87"/>
    <mergeCell ref="P87:Q87"/>
    <mergeCell ref="D88:H88"/>
    <mergeCell ref="L88:M88"/>
    <mergeCell ref="N88:O88"/>
    <mergeCell ref="P88:Q88"/>
    <mergeCell ref="D89:H89"/>
    <mergeCell ref="L89:M89"/>
    <mergeCell ref="N89:O89"/>
    <mergeCell ref="P89:Q89"/>
    <mergeCell ref="D84:H84"/>
    <mergeCell ref="L84:M84"/>
    <mergeCell ref="N84:O84"/>
    <mergeCell ref="P84:Q84"/>
    <mergeCell ref="D85:H85"/>
    <mergeCell ref="L85:M85"/>
    <mergeCell ref="N85:O85"/>
    <mergeCell ref="P85:Q85"/>
    <mergeCell ref="D86:H86"/>
    <mergeCell ref="L86:M86"/>
    <mergeCell ref="N86:O86"/>
    <mergeCell ref="P86:Q86"/>
    <mergeCell ref="D80:H80"/>
    <mergeCell ref="L80:M80"/>
    <mergeCell ref="N80:O80"/>
    <mergeCell ref="P80:Q80"/>
    <mergeCell ref="D81:H81"/>
    <mergeCell ref="L81:M81"/>
    <mergeCell ref="N81:O81"/>
    <mergeCell ref="P81:Q81"/>
    <mergeCell ref="A83:Q83"/>
    <mergeCell ref="D77:H77"/>
    <mergeCell ref="L77:M77"/>
    <mergeCell ref="N77:O77"/>
    <mergeCell ref="P77:Q77"/>
    <mergeCell ref="D78:H78"/>
    <mergeCell ref="L78:M78"/>
    <mergeCell ref="N78:O78"/>
    <mergeCell ref="P78:Q78"/>
    <mergeCell ref="D79:H79"/>
    <mergeCell ref="L79:M79"/>
    <mergeCell ref="N79:O79"/>
    <mergeCell ref="P79:Q79"/>
    <mergeCell ref="D74:H74"/>
    <mergeCell ref="L74:M74"/>
    <mergeCell ref="N74:O74"/>
    <mergeCell ref="P74:Q74"/>
    <mergeCell ref="D75:H75"/>
    <mergeCell ref="L75:M75"/>
    <mergeCell ref="N75:O75"/>
    <mergeCell ref="P75:Q75"/>
    <mergeCell ref="D76:H76"/>
    <mergeCell ref="L76:M76"/>
    <mergeCell ref="N76:O76"/>
    <mergeCell ref="P76:Q76"/>
    <mergeCell ref="D71:H71"/>
    <mergeCell ref="L71:M71"/>
    <mergeCell ref="N71:O71"/>
    <mergeCell ref="P71:Q71"/>
    <mergeCell ref="D72:H72"/>
    <mergeCell ref="L72:M72"/>
    <mergeCell ref="N72:O72"/>
    <mergeCell ref="P72:Q72"/>
    <mergeCell ref="D73:H73"/>
    <mergeCell ref="L73:M73"/>
    <mergeCell ref="N73:O73"/>
    <mergeCell ref="P73:Q73"/>
    <mergeCell ref="B60:F60"/>
    <mergeCell ref="B62:F62"/>
    <mergeCell ref="B63:C63"/>
    <mergeCell ref="B64:C64"/>
    <mergeCell ref="B65:C65"/>
    <mergeCell ref="B66:C66"/>
    <mergeCell ref="B67:C67"/>
    <mergeCell ref="B68:C68"/>
    <mergeCell ref="A70:Q70"/>
    <mergeCell ref="B56:C56"/>
    <mergeCell ref="E56:F56"/>
    <mergeCell ref="M56:Q56"/>
    <mergeCell ref="B57:C57"/>
    <mergeCell ref="E57:F57"/>
    <mergeCell ref="B58:C58"/>
    <mergeCell ref="E58:F58"/>
    <mergeCell ref="B59:C59"/>
    <mergeCell ref="E59:F59"/>
    <mergeCell ref="B53:C53"/>
    <mergeCell ref="E53:F53"/>
    <mergeCell ref="M53:Q53"/>
    <mergeCell ref="B54:C54"/>
    <mergeCell ref="E54:F54"/>
    <mergeCell ref="M54:Q54"/>
    <mergeCell ref="B55:C55"/>
    <mergeCell ref="E55:F55"/>
    <mergeCell ref="M55:Q55"/>
    <mergeCell ref="M49:Q49"/>
    <mergeCell ref="B50:F50"/>
    <mergeCell ref="M50:Q50"/>
    <mergeCell ref="B51:C51"/>
    <mergeCell ref="E51:F51"/>
    <mergeCell ref="M51:Q51"/>
    <mergeCell ref="B52:C52"/>
    <mergeCell ref="E52:F52"/>
    <mergeCell ref="M52:Q52"/>
    <mergeCell ref="B49:D49"/>
    <mergeCell ref="E49:F49"/>
    <mergeCell ref="B46:D46"/>
    <mergeCell ref="E46:F46"/>
    <mergeCell ref="M46:Q46"/>
    <mergeCell ref="B47:D47"/>
    <mergeCell ref="E47:F47"/>
    <mergeCell ref="M47:Q47"/>
    <mergeCell ref="B48:D48"/>
    <mergeCell ref="E48:F48"/>
    <mergeCell ref="M48:Q48"/>
    <mergeCell ref="B43:D43"/>
    <mergeCell ref="E43:F43"/>
    <mergeCell ref="M43:Q43"/>
    <mergeCell ref="B44:D44"/>
    <mergeCell ref="E44:F44"/>
    <mergeCell ref="M44:Q44"/>
    <mergeCell ref="B45:D45"/>
    <mergeCell ref="E45:F45"/>
    <mergeCell ref="M45:Q45"/>
    <mergeCell ref="B40:D40"/>
    <mergeCell ref="E40:F40"/>
    <mergeCell ref="M40:Q40"/>
    <mergeCell ref="B41:D41"/>
    <mergeCell ref="E41:F41"/>
    <mergeCell ref="M41:Q41"/>
    <mergeCell ref="B42:D42"/>
    <mergeCell ref="E42:F42"/>
    <mergeCell ref="M42:Q42"/>
    <mergeCell ref="B36:F36"/>
    <mergeCell ref="M36:Q36"/>
    <mergeCell ref="B37:D37"/>
    <mergeCell ref="E37:F37"/>
    <mergeCell ref="M37:Q37"/>
    <mergeCell ref="B38:D38"/>
    <mergeCell ref="E38:F38"/>
    <mergeCell ref="M38:Q38"/>
    <mergeCell ref="B39:D39"/>
    <mergeCell ref="E39:F39"/>
    <mergeCell ref="M39:Q39"/>
    <mergeCell ref="M29:Q29"/>
    <mergeCell ref="M30:Q30"/>
    <mergeCell ref="M31:Q31"/>
    <mergeCell ref="M32:Q32"/>
    <mergeCell ref="M33:Q33"/>
    <mergeCell ref="B34:D34"/>
    <mergeCell ref="E34:F34"/>
    <mergeCell ref="M34:Q34"/>
    <mergeCell ref="M35:Q35"/>
    <mergeCell ref="L21:Q21"/>
    <mergeCell ref="L22:Q22"/>
    <mergeCell ref="L23:Q23"/>
    <mergeCell ref="L24:Q24"/>
    <mergeCell ref="B25:H25"/>
    <mergeCell ref="L25:Q25"/>
    <mergeCell ref="B27:G27"/>
    <mergeCell ref="J27:Q27"/>
    <mergeCell ref="M28:Q28"/>
    <mergeCell ref="B9:C9"/>
    <mergeCell ref="J9:K9"/>
    <mergeCell ref="B15:Q15"/>
    <mergeCell ref="B17:H17"/>
    <mergeCell ref="J17:Q17"/>
    <mergeCell ref="L18:Q18"/>
    <mergeCell ref="B19:C19"/>
    <mergeCell ref="L19:Q19"/>
    <mergeCell ref="L20:Q20"/>
    <mergeCell ref="B5:C5"/>
    <mergeCell ref="D5:E5"/>
    <mergeCell ref="F5:G5"/>
    <mergeCell ref="H5:I5"/>
    <mergeCell ref="J5:K5"/>
    <mergeCell ref="L5:M5"/>
    <mergeCell ref="N5:O5"/>
    <mergeCell ref="P5:Q5"/>
    <mergeCell ref="B7:H7"/>
    <mergeCell ref="J7:P7"/>
    <mergeCell ref="A1:Q1"/>
    <mergeCell ref="A2:Q2"/>
    <mergeCell ref="B4:C4"/>
    <mergeCell ref="D4:E4"/>
    <mergeCell ref="F4:G4"/>
    <mergeCell ref="H4:I4"/>
    <mergeCell ref="J4:K4"/>
    <mergeCell ref="L4:M4"/>
    <mergeCell ref="N4:O4"/>
    <mergeCell ref="P4:Q4"/>
  </mergeCells>
  <conditionalFormatting sqref="C29:C32">
    <cfRule type="dataBar" priority="17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{4CE2D319-8AF7-4F5E-BD25-3F69309BD5B4}</x14:id>
        </ext>
      </extLst>
    </cfRule>
  </conditionalFormatting>
  <conditionalFormatting sqref="D29:D32">
    <cfRule type="dataBar" priority="18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{61507D84-AFF0-49BF-B2B0-AADC5347A578}</x14:id>
        </ext>
      </extLst>
    </cfRule>
  </conditionalFormatting>
  <conditionalFormatting sqref="D52:D57">
    <cfRule type="dataBar" priority="27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{1CA7F07D-6764-4CD9-A676-C51C1E303BE8}</x14:id>
        </ext>
      </extLst>
    </cfRule>
  </conditionalFormatting>
  <conditionalFormatting sqref="D10:H14">
    <cfRule type="expression" dxfId="95" priority="3">
      <formula>INDEX(Niveis,MAX(IFERROR(MATCH($C10*D$9,Limites,1),1),IF(D$9=5,MinIdx,1)))="Baixo"</formula>
    </cfRule>
    <cfRule type="expression" dxfId="94" priority="4">
      <formula>INDEX(Niveis,MAX(IFERROR(MATCH($C10*D$9,Limites,1),1),IF(D$9=5,MinIdx,1)))="Médio"</formula>
    </cfRule>
    <cfRule type="expression" dxfId="93" priority="5">
      <formula>INDEX(Niveis,MAX(IFERROR(MATCH($C10*D$9,Limites,1),1),IF(D$9=5,MinIdx,1)))="Alto"</formula>
    </cfRule>
    <cfRule type="expression" dxfId="92" priority="6">
      <formula>INDEX(Niveis,MAX(IFERROR(MATCH($C10*D$9,Limites,1),1),IF(D$9=5,MinIdx,1)))="Crítico"</formula>
    </cfRule>
  </conditionalFormatting>
  <conditionalFormatting sqref="D20:H24">
    <cfRule type="expression" dxfId="91" priority="11">
      <formula>INDEX(Niveis,IFERROR(MATCH($C20*D$19,Limites,1),1))="Baixo"</formula>
    </cfRule>
    <cfRule type="expression" dxfId="90" priority="12">
      <formula>INDEX(Niveis,IFERROR(MATCH($C20*D$19,Limites,1),1))="Médio"</formula>
    </cfRule>
    <cfRule type="expression" dxfId="89" priority="13">
      <formula>INDEX(Niveis,IFERROR(MATCH($C20*D$19,Limites,1),1))="Alto"</formula>
    </cfRule>
    <cfRule type="expression" dxfId="88" priority="14">
      <formula>INDEX(Niveis,IFERROR(MATCH($C20*D$19,Limites,1),1))="Crítico"</formula>
    </cfRule>
  </conditionalFormatting>
  <conditionalFormatting sqref="E29:E32">
    <cfRule type="dataBar" priority="19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{EC294BD5-6E8C-48B9-8E64-14D83084B482}</x14:id>
        </ext>
      </extLst>
    </cfRule>
  </conditionalFormatting>
  <conditionalFormatting sqref="E42:F45">
    <cfRule type="expression" dxfId="87" priority="21">
      <formula>AND(ISNUMBER($E42),$E42&gt;0)</formula>
    </cfRule>
  </conditionalFormatting>
  <conditionalFormatting sqref="E47:F49">
    <cfRule type="expression" dxfId="86" priority="1">
      <formula>AND(ISNUMBER($E47),$E47&gt;0)</formula>
    </cfRule>
  </conditionalFormatting>
  <conditionalFormatting sqref="F29:F32">
    <cfRule type="dataBar" priority="20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{1BE555D6-613C-4800-BE1A-D2747D951179}</x14:id>
        </ext>
      </extLst>
    </cfRule>
  </conditionalFormatting>
  <conditionalFormatting sqref="F93:F112">
    <cfRule type="expression" dxfId="85" priority="41">
      <formula>AND(ISNUMBER(F93),F93&gt;0)</formula>
    </cfRule>
  </conditionalFormatting>
  <conditionalFormatting sqref="G93:G112">
    <cfRule type="expression" dxfId="84" priority="42">
      <formula>AND(ISNUMBER(G93),G93&gt;0)</formula>
    </cfRule>
  </conditionalFormatting>
  <conditionalFormatting sqref="H93:H112">
    <cfRule type="expression" dxfId="83" priority="43">
      <formula>AND(ISNUMBER(H93),H93&gt;0)</formula>
    </cfRule>
  </conditionalFormatting>
  <conditionalFormatting sqref="I93:I112">
    <cfRule type="expression" dxfId="82" priority="44">
      <formula>AND(ISNUMBER(I93),I93&gt;0)</formula>
    </cfRule>
  </conditionalFormatting>
  <conditionalFormatting sqref="J72:J81">
    <cfRule type="cellIs" dxfId="81" priority="30" operator="equal">
      <formula>"Baixo"</formula>
    </cfRule>
    <cfRule type="cellIs" dxfId="80" priority="31" operator="equal">
      <formula>"Médio"</formula>
    </cfRule>
    <cfRule type="cellIs" dxfId="79" priority="32" operator="equal">
      <formula>"Alto"</formula>
    </cfRule>
    <cfRule type="cellIs" dxfId="78" priority="33" operator="equal">
      <formula>"Crítico"</formula>
    </cfRule>
  </conditionalFormatting>
  <conditionalFormatting sqref="J85:J89">
    <cfRule type="cellIs" dxfId="77" priority="36" operator="equal">
      <formula>"Baixo"</formula>
    </cfRule>
    <cfRule type="cellIs" dxfId="76" priority="37" operator="equal">
      <formula>"Médio"</formula>
    </cfRule>
    <cfRule type="cellIs" dxfId="75" priority="38" operator="equal">
      <formula>"Alto"</formula>
    </cfRule>
    <cfRule type="cellIs" dxfId="74" priority="39" operator="equal">
      <formula>"Crítico"</formula>
    </cfRule>
  </conditionalFormatting>
  <conditionalFormatting sqref="J93:J112">
    <cfRule type="expression" dxfId="73" priority="45">
      <formula>AND(ISNUMBER(J93),J93&gt;0)</formula>
    </cfRule>
  </conditionalFormatting>
  <conditionalFormatting sqref="K19:K21">
    <cfRule type="dataBar" priority="15">
      <dataBar>
        <cfvo type="num" val="0"/>
        <cfvo type="max"/>
        <color rgb="FFF4B183"/>
      </dataBar>
      <extLst>
        <ext xmlns:x14="http://schemas.microsoft.com/office/spreadsheetml/2009/9/main" uri="{B025F937-C7B1-47D3-B67F-A62EFF666E3E}">
          <x14:id>{FA547BC1-A849-4C20-B4A9-2E62C37DB2B1}</x14:id>
        </ext>
      </extLst>
    </cfRule>
  </conditionalFormatting>
  <conditionalFormatting sqref="K23:K25">
    <cfRule type="dataBar" priority="16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{F6B339FD-5A75-4C35-8641-994A11C514EE}</x14:id>
        </ext>
      </extLst>
    </cfRule>
  </conditionalFormatting>
  <conditionalFormatting sqref="K72:K81">
    <cfRule type="expression" dxfId="72" priority="35">
      <formula>AND(ISNUMBER($K72),$K72=5)</formula>
    </cfRule>
  </conditionalFormatting>
  <conditionalFormatting sqref="K29:L55">
    <cfRule type="expression" dxfId="71" priority="28">
      <formula>K29&gt;0</formula>
    </cfRule>
  </conditionalFormatting>
  <conditionalFormatting sqref="K56:L56">
    <cfRule type="expression" dxfId="70" priority="29">
      <formula>K56&gt;0</formula>
    </cfRule>
  </conditionalFormatting>
  <conditionalFormatting sqref="L10:P14">
    <cfRule type="expression" dxfId="69" priority="7">
      <formula>INDEX(Niveis,MAX(IFERROR(MATCH($K10*L$9,Limites,1),1),IF(L$9=5,MinIdx,1)))="Baixo"</formula>
    </cfRule>
    <cfRule type="expression" dxfId="68" priority="8">
      <formula>INDEX(Niveis,MAX(IFERROR(MATCH($K10*L$9,Limites,1),1),IF(L$9=5,MinIdx,1)))="Médio"</formula>
    </cfRule>
    <cfRule type="expression" dxfId="67" priority="9">
      <formula>INDEX(Niveis,MAX(IFERROR(MATCH($K10*L$9,Limites,1),1),IF(L$9=5,MinIdx,1)))="Alto"</formula>
    </cfRule>
    <cfRule type="expression" dxfId="66" priority="10">
      <formula>INDEX(Niveis,MAX(IFERROR(MATCH($K10*L$9,Limites,1),1),IF(L$9=5,MinIdx,1)))="Crítico"</formula>
    </cfRule>
  </conditionalFormatting>
  <conditionalFormatting sqref="P72:Q81">
    <cfRule type="expression" dxfId="65" priority="34">
      <formula>AND($P72&lt;&gt;"",$P72&lt;&gt;"OK")</formula>
    </cfRule>
  </conditionalFormatting>
  <conditionalFormatting sqref="P85:Q89">
    <cfRule type="expression" dxfId="64" priority="40">
      <formula>AND($P85&lt;&gt;"",$P85&lt;&gt;"OK")</formula>
    </cfRule>
  </conditionalFormatting>
  <pageMargins left="0.75" right="0.75" top="1" bottom="1" header="0.511811023622047" footer="0.511811023622047"/>
  <pageSetup paperSize="9"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E2D319-8AF7-4F5E-BD25-3F69309BD5B4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C29:C32</xm:sqref>
        </x14:conditionalFormatting>
        <x14:conditionalFormatting xmlns:xm="http://schemas.microsoft.com/office/excel/2006/main">
          <x14:cfRule type="dataBar" id="{61507D84-AFF0-49BF-B2B0-AADC5347A578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D29:D32</xm:sqref>
        </x14:conditionalFormatting>
        <x14:conditionalFormatting xmlns:xm="http://schemas.microsoft.com/office/excel/2006/main">
          <x14:cfRule type="dataBar" id="{1CA7F07D-6764-4CD9-A676-C51C1E303BE8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D52:D57</xm:sqref>
        </x14:conditionalFormatting>
        <x14:conditionalFormatting xmlns:xm="http://schemas.microsoft.com/office/excel/2006/main">
          <x14:cfRule type="dataBar" id="{EC294BD5-6E8C-48B9-8E64-14D83084B482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E29:E32</xm:sqref>
        </x14:conditionalFormatting>
        <x14:conditionalFormatting xmlns:xm="http://schemas.microsoft.com/office/excel/2006/main">
          <x14:cfRule type="dataBar" id="{1BE555D6-613C-4800-BE1A-D2747D951179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F29:F32</xm:sqref>
        </x14:conditionalFormatting>
        <x14:conditionalFormatting xmlns:xm="http://schemas.microsoft.com/office/excel/2006/main">
          <x14:cfRule type="dataBar" id="{FA547BC1-A849-4C20-B4A9-2E62C37DB2B1}">
            <x14:dataBar axisPosition="none">
              <x14:cfvo type="num">
                <xm:f>0</xm:f>
              </x14:cfvo>
              <x14:cfvo type="max"/>
              <x14:negativeFillColor rgb="FFF4B183"/>
            </x14:dataBar>
          </x14:cfRule>
          <xm:sqref>K19:K21</xm:sqref>
        </x14:conditionalFormatting>
        <x14:conditionalFormatting xmlns:xm="http://schemas.microsoft.com/office/excel/2006/main">
          <x14:cfRule type="dataBar" id="{F6B339FD-5A75-4C35-8641-994A11C514EE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K23:K25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K296"/>
  <sheetViews>
    <sheetView showGridLines="0" zoomScaleNormal="100" workbookViewId="0">
      <pane ySplit="6" topLeftCell="A32" activePane="bottomLeft" state="frozen"/>
      <selection activeCell="E8" sqref="E8:H8"/>
      <selection pane="bottomLeft" activeCell="E8" sqref="E8:H8"/>
    </sheetView>
  </sheetViews>
  <sheetFormatPr defaultColWidth="8.6640625" defaultRowHeight="14.4"/>
  <cols>
    <col min="1" max="1" width="18" customWidth="1"/>
    <col min="2" max="2" width="16" customWidth="1"/>
    <col min="3" max="3" width="46" customWidth="1"/>
    <col min="4" max="4" width="15" customWidth="1"/>
    <col min="5" max="5" width="20" customWidth="1"/>
    <col min="6" max="6" width="12" customWidth="1"/>
    <col min="7" max="7" width="13" customWidth="1"/>
    <col min="8" max="8" width="13.77734375" customWidth="1"/>
    <col min="9" max="9" width="16" customWidth="1"/>
    <col min="10" max="10" width="13" customWidth="1"/>
    <col min="11" max="11" width="14" customWidth="1"/>
  </cols>
  <sheetData>
    <row r="1" spans="1:11" ht="25.5" customHeight="1">
      <c r="A1" s="236" t="s">
        <v>285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</row>
    <row r="2" spans="1:11" ht="30" customHeight="1">
      <c r="A2" s="237" t="s">
        <v>2109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11" ht="25.95" customHeight="1">
      <c r="A3" s="220" t="s">
        <v>2110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</row>
    <row r="4" spans="1:11" ht="15" customHeight="1">
      <c r="A4" s="10" t="s">
        <v>286</v>
      </c>
      <c r="B4" s="15">
        <f>COUNTA(PlanosCod)</f>
        <v>36</v>
      </c>
      <c r="C4" s="37" t="s">
        <v>287</v>
      </c>
      <c r="D4" s="15">
        <f>SUMPRODUCT((PlanosCod&lt;&gt;"")*(COUNTIF(PlanosCod,PlanosCod)&gt;1))</f>
        <v>0</v>
      </c>
      <c r="E4" s="189" t="s">
        <v>288</v>
      </c>
      <c r="F4" s="189"/>
      <c r="G4" s="15">
        <f>SUMPRODUCT((PlanosCod&lt;&gt;"")*((COUNTIF(Riscos!$AI$5:$AI$154,PlanosCod)+COUNTIF(Oportunidades!$AC$5:$AC$154,PlanosCod))=0))</f>
        <v>11</v>
      </c>
    </row>
    <row r="6" spans="1:11" ht="42" customHeight="1">
      <c r="A6" s="134" t="s">
        <v>2171</v>
      </c>
      <c r="B6" s="135" t="s">
        <v>2172</v>
      </c>
      <c r="C6" s="135" t="s">
        <v>289</v>
      </c>
      <c r="D6" s="135" t="s">
        <v>290</v>
      </c>
      <c r="E6" s="135" t="s">
        <v>3</v>
      </c>
      <c r="F6" s="135" t="s">
        <v>291</v>
      </c>
      <c r="G6" s="135" t="s">
        <v>292</v>
      </c>
      <c r="H6" s="135" t="s">
        <v>293</v>
      </c>
      <c r="I6" s="135" t="s">
        <v>294</v>
      </c>
      <c r="J6" s="66" t="s">
        <v>2173</v>
      </c>
      <c r="K6" s="116" t="s">
        <v>2174</v>
      </c>
    </row>
    <row r="7" spans="1:11" ht="34.200000000000003">
      <c r="A7" s="132" t="s">
        <v>76</v>
      </c>
      <c r="B7" s="12" t="s">
        <v>61</v>
      </c>
      <c r="C7" s="13" t="s">
        <v>1202</v>
      </c>
      <c r="D7" s="12" t="s">
        <v>295</v>
      </c>
      <c r="E7" s="13" t="s">
        <v>688</v>
      </c>
      <c r="F7" s="16">
        <v>46444</v>
      </c>
      <c r="G7" s="12" t="s">
        <v>296</v>
      </c>
      <c r="H7" s="16"/>
      <c r="I7" s="16">
        <v>46377</v>
      </c>
      <c r="J7" s="14" t="str">
        <f>IF(A7="","",IFERROR(INDEX(Riscos!$A$5:$A$154,MATCH(A7,Riscos!$AI$5:$AI$154,0)),IFERROR(INDEX(Oportunidades!$A$5:$A$154,MATCH(A7,Oportunidades!$AC$5:$AC$154,0)),"—")))</f>
        <v>R1</v>
      </c>
      <c r="K7" s="133" t="str">
        <f>IF(A7="","",IF(ISNUMBER(MATCH(A7,Riscos!$AI$5:$AI$154,0)),"Riscos",IF(ISNUMBER(MATCH(A7,Oportunidades!$AC$5:$AC$154,0)),"Oportunidades","—")))</f>
        <v>Riscos</v>
      </c>
    </row>
    <row r="8" spans="1:11" ht="22.8">
      <c r="A8" s="132" t="s">
        <v>95</v>
      </c>
      <c r="B8" s="12" t="s">
        <v>96</v>
      </c>
      <c r="C8" s="13" t="s">
        <v>1203</v>
      </c>
      <c r="D8" s="12" t="s">
        <v>295</v>
      </c>
      <c r="E8" s="13" t="s">
        <v>104</v>
      </c>
      <c r="F8" s="16">
        <v>46430</v>
      </c>
      <c r="G8" s="12" t="s">
        <v>296</v>
      </c>
      <c r="H8" s="16"/>
      <c r="I8" s="16">
        <v>46244</v>
      </c>
      <c r="J8" s="14" t="str">
        <f>IF(A8="","",IFERROR(INDEX(Riscos!$A$5:$A$154,MATCH(A8,Riscos!$AI$5:$AI$154,0)),IFERROR(INDEX(Oportunidades!$A$5:$A$154,MATCH(A8,Oportunidades!$AC$5:$AC$154,0)),"—")))</f>
        <v>R4</v>
      </c>
      <c r="K8" s="133" t="str">
        <f>IF(A8="","",IF(ISNUMBER(MATCH(A8,Riscos!$AI$5:$AI$154,0)),"Riscos",IF(ISNUMBER(MATCH(A8,Oportunidades!$AC$5:$AC$154,0)),"Oportunidades","—")))</f>
        <v>Riscos</v>
      </c>
    </row>
    <row r="9" spans="1:11" ht="22.8">
      <c r="A9" s="132" t="s">
        <v>141</v>
      </c>
      <c r="B9" s="12" t="s">
        <v>729</v>
      </c>
      <c r="C9" s="13" t="s">
        <v>1204</v>
      </c>
      <c r="D9" s="12" t="s">
        <v>298</v>
      </c>
      <c r="E9" s="13" t="s">
        <v>86</v>
      </c>
      <c r="F9" s="16">
        <v>46477</v>
      </c>
      <c r="G9" s="12" t="s">
        <v>85</v>
      </c>
      <c r="H9" s="16"/>
      <c r="I9" s="16">
        <v>46378</v>
      </c>
      <c r="J9" s="14" t="str">
        <f>IF(A9="","",IFERROR(INDEX(Riscos!$A$5:$A$154,MATCH(A9,Riscos!$AI$5:$AI$154,0)),IFERROR(INDEX(Oportunidades!$A$5:$A$154,MATCH(A9,Oportunidades!$AC$5:$AC$154,0)),"—")))</f>
        <v>R5</v>
      </c>
      <c r="K9" s="133" t="str">
        <f>IF(A9="","",IF(ISNUMBER(MATCH(A9,Riscos!$AI$5:$AI$154,0)),"Riscos",IF(ISNUMBER(MATCH(A9,Oportunidades!$AC$5:$AC$154,0)),"Oportunidades","—")))</f>
        <v>Riscos</v>
      </c>
    </row>
    <row r="10" spans="1:11" ht="22.8">
      <c r="A10" s="132" t="s">
        <v>299</v>
      </c>
      <c r="B10" s="12" t="s">
        <v>77</v>
      </c>
      <c r="C10" s="13" t="s">
        <v>1205</v>
      </c>
      <c r="D10" s="12" t="s">
        <v>295</v>
      </c>
      <c r="E10" s="13" t="s">
        <v>86</v>
      </c>
      <c r="F10" s="16">
        <v>46188</v>
      </c>
      <c r="G10" s="12" t="s">
        <v>543</v>
      </c>
      <c r="H10" s="16">
        <v>46188</v>
      </c>
      <c r="I10" s="16">
        <v>46160</v>
      </c>
      <c r="J10" s="14" t="str">
        <f>IF(A10="","",IFERROR(INDEX(Riscos!$A$5:$A$154,MATCH(A10,Riscos!$AI$5:$AI$154,0)),IFERROR(INDEX(Oportunidades!$A$5:$A$154,MATCH(A10,Oportunidades!$AC$5:$AC$154,0)),"—")))</f>
        <v>—</v>
      </c>
      <c r="K10" s="133" t="str">
        <f>IF(A10="","",IF(ISNUMBER(MATCH(A10,Riscos!$AI$5:$AI$154,0)),"Riscos",IF(ISNUMBER(MATCH(A10,Oportunidades!$AC$5:$AC$154,0)),"Oportunidades","—")))</f>
        <v>—</v>
      </c>
    </row>
    <row r="11" spans="1:11" ht="22.8">
      <c r="A11" s="132" t="s">
        <v>701</v>
      </c>
      <c r="B11" s="12" t="s">
        <v>77</v>
      </c>
      <c r="C11" s="13" t="s">
        <v>1206</v>
      </c>
      <c r="D11" s="12" t="s">
        <v>298</v>
      </c>
      <c r="E11" s="13" t="s">
        <v>86</v>
      </c>
      <c r="F11" s="16">
        <v>46477</v>
      </c>
      <c r="G11" s="12" t="s">
        <v>85</v>
      </c>
      <c r="H11" s="16"/>
      <c r="I11" s="16">
        <v>46378</v>
      </c>
      <c r="J11" s="14" t="str">
        <f>IF(A11="","",IFERROR(INDEX(Riscos!$A$5:$A$154,MATCH(A11,Riscos!$AI$5:$AI$154,0)),IFERROR(INDEX(Oportunidades!$A$5:$A$154,MATCH(A11,Oportunidades!$AC$5:$AC$154,0)),"—")))</f>
        <v>R2</v>
      </c>
      <c r="K11" s="133" t="str">
        <f>IF(A11="","",IF(ISNUMBER(MATCH(A11,Riscos!$AI$5:$AI$154,0)),"Riscos",IF(ISNUMBER(MATCH(A11,Oportunidades!$AC$5:$AC$154,0)),"Oportunidades","—")))</f>
        <v>Riscos</v>
      </c>
    </row>
    <row r="12" spans="1:11" ht="22.8">
      <c r="A12" s="132" t="s">
        <v>829</v>
      </c>
      <c r="B12" s="12" t="s">
        <v>818</v>
      </c>
      <c r="C12" s="13" t="s">
        <v>1207</v>
      </c>
      <c r="D12" s="12" t="s">
        <v>295</v>
      </c>
      <c r="E12" s="13" t="s">
        <v>827</v>
      </c>
      <c r="F12" s="16">
        <v>46444</v>
      </c>
      <c r="G12" s="12" t="s">
        <v>296</v>
      </c>
      <c r="H12" s="16"/>
      <c r="I12" s="16">
        <v>46370</v>
      </c>
      <c r="J12" s="14" t="str">
        <f>IF(A12="","",IFERROR(INDEX(Riscos!$A$5:$A$154,MATCH(A12,Riscos!$AI$5:$AI$154,0)),IFERROR(INDEX(Oportunidades!$A$5:$A$154,MATCH(A12,Oportunidades!$AC$5:$AC$154,0)),"—")))</f>
        <v>R13</v>
      </c>
      <c r="K12" s="133" t="str">
        <f>IF(A12="","",IF(ISNUMBER(MATCH(A12,Riscos!$AI$5:$AI$154,0)),"Riscos",IF(ISNUMBER(MATCH(A12,Oportunidades!$AC$5:$AC$154,0)),"Oportunidades","—")))</f>
        <v>Riscos</v>
      </c>
    </row>
    <row r="13" spans="1:11" ht="22.8">
      <c r="A13" s="132" t="s">
        <v>747</v>
      </c>
      <c r="B13" s="12" t="s">
        <v>739</v>
      </c>
      <c r="C13" s="13" t="s">
        <v>1208</v>
      </c>
      <c r="D13" s="12" t="s">
        <v>295</v>
      </c>
      <c r="E13" s="13" t="s">
        <v>104</v>
      </c>
      <c r="F13" s="16">
        <v>46461</v>
      </c>
      <c r="G13" s="12" t="s">
        <v>85</v>
      </c>
      <c r="H13" s="16"/>
      <c r="I13" s="16">
        <v>46378</v>
      </c>
      <c r="J13" s="14" t="str">
        <f>IF(A13="","",IFERROR(INDEX(Riscos!$A$5:$A$154,MATCH(A13,Riscos!$AI$5:$AI$154,0)),IFERROR(INDEX(Oportunidades!$A$5:$A$154,MATCH(A13,Oportunidades!$AC$5:$AC$154,0)),"—")))</f>
        <v>R6</v>
      </c>
      <c r="K13" s="133" t="str">
        <f>IF(A13="","",IF(ISNUMBER(MATCH(A13,Riscos!$AI$5:$AI$154,0)),"Riscos",IF(ISNUMBER(MATCH(A13,Oportunidades!$AC$5:$AC$154,0)),"Oportunidades","—")))</f>
        <v>Riscos</v>
      </c>
    </row>
    <row r="14" spans="1:11" ht="22.8">
      <c r="A14" s="132" t="s">
        <v>771</v>
      </c>
      <c r="B14" s="12" t="s">
        <v>763</v>
      </c>
      <c r="C14" s="13" t="s">
        <v>1209</v>
      </c>
      <c r="D14" s="12" t="s">
        <v>298</v>
      </c>
      <c r="E14" s="13" t="s">
        <v>688</v>
      </c>
      <c r="F14" s="16">
        <v>46477</v>
      </c>
      <c r="G14" s="12" t="s">
        <v>85</v>
      </c>
      <c r="H14" s="16"/>
      <c r="I14" s="16">
        <v>46378</v>
      </c>
      <c r="J14" s="14" t="str">
        <f>IF(A14="","",IFERROR(INDEX(Riscos!$A$5:$A$154,MATCH(A14,Riscos!$AI$5:$AI$154,0)),IFERROR(INDEX(Oportunidades!$A$5:$A$154,MATCH(A14,Oportunidades!$AC$5:$AC$154,0)),"—")))</f>
        <v>R8</v>
      </c>
      <c r="K14" s="133" t="str">
        <f>IF(A14="","",IF(ISNUMBER(MATCH(A14,Riscos!$AI$5:$AI$154,0)),"Riscos",IF(ISNUMBER(MATCH(A14,Oportunidades!$AC$5:$AC$154,0)),"Oportunidades","—")))</f>
        <v>Riscos</v>
      </c>
    </row>
    <row r="15" spans="1:11" ht="22.8">
      <c r="A15" s="132" t="s">
        <v>758</v>
      </c>
      <c r="B15" s="12" t="s">
        <v>751</v>
      </c>
      <c r="C15" s="13" t="s">
        <v>1210</v>
      </c>
      <c r="D15" s="12" t="s">
        <v>295</v>
      </c>
      <c r="E15" s="13" t="s">
        <v>86</v>
      </c>
      <c r="F15" s="16">
        <v>46223</v>
      </c>
      <c r="G15" s="12" t="s">
        <v>543</v>
      </c>
      <c r="H15" s="16">
        <v>46218</v>
      </c>
      <c r="I15" s="16">
        <v>46183</v>
      </c>
      <c r="J15" s="14" t="str">
        <f>IF(A15="","",IFERROR(INDEX(Riscos!$A$5:$A$154,MATCH(A15,Riscos!$AI$5:$AI$154,0)),IFERROR(INDEX(Oportunidades!$A$5:$A$154,MATCH(A15,Oportunidades!$AC$5:$AC$154,0)),"—")))</f>
        <v>R7</v>
      </c>
      <c r="K15" s="133" t="str">
        <f>IF(A15="","",IF(ISNUMBER(MATCH(A15,Riscos!$AI$5:$AI$154,0)),"Riscos",IF(ISNUMBER(MATCH(A15,Oportunidades!$AC$5:$AC$154,0)),"Oportunidades","—")))</f>
        <v>Riscos</v>
      </c>
    </row>
    <row r="16" spans="1:11" ht="22.8">
      <c r="A16" s="132" t="s">
        <v>1211</v>
      </c>
      <c r="B16" s="12" t="s">
        <v>751</v>
      </c>
      <c r="C16" s="13" t="s">
        <v>1212</v>
      </c>
      <c r="D16" s="12" t="s">
        <v>298</v>
      </c>
      <c r="E16" s="13" t="s">
        <v>86</v>
      </c>
      <c r="F16" s="16">
        <v>46461</v>
      </c>
      <c r="G16" s="12" t="s">
        <v>85</v>
      </c>
      <c r="H16" s="16"/>
      <c r="I16" s="16">
        <v>46378</v>
      </c>
      <c r="J16" s="14" t="str">
        <f>IF(A16="","",IFERROR(INDEX(Riscos!$A$5:$A$154,MATCH(A16,Riscos!$AI$5:$AI$154,0)),IFERROR(INDEX(Oportunidades!$A$5:$A$154,MATCH(A16,Oportunidades!$AC$5:$AC$154,0)),"—")))</f>
        <v>—</v>
      </c>
      <c r="K16" s="133" t="str">
        <f>IF(A16="","",IF(ISNUMBER(MATCH(A16,Riscos!$AI$5:$AI$154,0)),"Riscos",IF(ISNUMBER(MATCH(A16,Oportunidades!$AC$5:$AC$154,0)),"Oportunidades","—")))</f>
        <v>—</v>
      </c>
    </row>
    <row r="17" spans="1:11" ht="22.8">
      <c r="A17" s="132" t="s">
        <v>713</v>
      </c>
      <c r="B17" s="12" t="s">
        <v>88</v>
      </c>
      <c r="C17" s="13" t="s">
        <v>1213</v>
      </c>
      <c r="D17" s="12" t="s">
        <v>295</v>
      </c>
      <c r="E17" s="13" t="s">
        <v>86</v>
      </c>
      <c r="F17" s="16">
        <v>46461</v>
      </c>
      <c r="G17" s="12" t="s">
        <v>296</v>
      </c>
      <c r="H17" s="16"/>
      <c r="I17" s="16">
        <v>46372</v>
      </c>
      <c r="J17" s="14" t="str">
        <f>IF(A17="","",IFERROR(INDEX(Riscos!$A$5:$A$154,MATCH(A17,Riscos!$AI$5:$AI$154,0)),IFERROR(INDEX(Oportunidades!$A$5:$A$154,MATCH(A17,Oportunidades!$AC$5:$AC$154,0)),"—")))</f>
        <v>R3</v>
      </c>
      <c r="K17" s="133" t="str">
        <f>IF(A17="","",IF(ISNUMBER(MATCH(A17,Riscos!$AI$5:$AI$154,0)),"Riscos",IF(ISNUMBER(MATCH(A17,Oportunidades!$AC$5:$AC$154,0)),"Oportunidades","—")))</f>
        <v>Riscos</v>
      </c>
    </row>
    <row r="18" spans="1:11" ht="22.8">
      <c r="A18" s="132" t="s">
        <v>785</v>
      </c>
      <c r="B18" s="12" t="s">
        <v>776</v>
      </c>
      <c r="C18" s="13" t="s">
        <v>1214</v>
      </c>
      <c r="D18" s="12" t="s">
        <v>298</v>
      </c>
      <c r="E18" s="13" t="s">
        <v>783</v>
      </c>
      <c r="F18" s="16">
        <v>46507</v>
      </c>
      <c r="G18" s="12" t="s">
        <v>85</v>
      </c>
      <c r="H18" s="16"/>
      <c r="I18" s="16">
        <v>46378</v>
      </c>
      <c r="J18" s="14" t="str">
        <f>IF(A18="","",IFERROR(INDEX(Riscos!$A$5:$A$154,MATCH(A18,Riscos!$AI$5:$AI$154,0)),IFERROR(INDEX(Oportunidades!$A$5:$A$154,MATCH(A18,Oportunidades!$AC$5:$AC$154,0)),"—")))</f>
        <v>R9</v>
      </c>
      <c r="K18" s="133" t="str">
        <f>IF(A18="","",IF(ISNUMBER(MATCH(A18,Riscos!$AI$5:$AI$154,0)),"Riscos",IF(ISNUMBER(MATCH(A18,Oportunidades!$AC$5:$AC$154,0)),"Oportunidades","—")))</f>
        <v>Riscos</v>
      </c>
    </row>
    <row r="19" spans="1:11" ht="22.8">
      <c r="A19" s="132" t="s">
        <v>796</v>
      </c>
      <c r="B19" s="12" t="s">
        <v>789</v>
      </c>
      <c r="C19" s="13" t="s">
        <v>1215</v>
      </c>
      <c r="D19" s="12" t="s">
        <v>298</v>
      </c>
      <c r="E19" s="13" t="s">
        <v>783</v>
      </c>
      <c r="F19" s="16">
        <v>46477</v>
      </c>
      <c r="G19" s="12" t="s">
        <v>85</v>
      </c>
      <c r="H19" s="16"/>
      <c r="I19" s="16">
        <v>46378</v>
      </c>
      <c r="J19" s="14" t="str">
        <f>IF(A19="","",IFERROR(INDEX(Riscos!$A$5:$A$154,MATCH(A19,Riscos!$AI$5:$AI$154,0)),IFERROR(INDEX(Oportunidades!$A$5:$A$154,MATCH(A19,Oportunidades!$AC$5:$AC$154,0)),"—")))</f>
        <v>R10</v>
      </c>
      <c r="K19" s="133" t="str">
        <f>IF(A19="","",IF(ISNUMBER(MATCH(A19,Riscos!$AI$5:$AI$154,0)),"Riscos",IF(ISNUMBER(MATCH(A19,Oportunidades!$AC$5:$AC$154,0)),"Oportunidades","—")))</f>
        <v>Riscos</v>
      </c>
    </row>
    <row r="20" spans="1:11" ht="22.8">
      <c r="A20" s="132" t="s">
        <v>1216</v>
      </c>
      <c r="B20" s="12" t="s">
        <v>818</v>
      </c>
      <c r="C20" s="13" t="s">
        <v>1217</v>
      </c>
      <c r="D20" s="12" t="s">
        <v>298</v>
      </c>
      <c r="E20" s="13" t="s">
        <v>827</v>
      </c>
      <c r="F20" s="16">
        <v>46507</v>
      </c>
      <c r="G20" s="12" t="s">
        <v>85</v>
      </c>
      <c r="H20" s="16"/>
      <c r="I20" s="16">
        <v>46378</v>
      </c>
      <c r="J20" s="14" t="str">
        <f>IF(A20="","",IFERROR(INDEX(Riscos!$A$5:$A$154,MATCH(A20,Riscos!$AI$5:$AI$154,0)),IFERROR(INDEX(Oportunidades!$A$5:$A$154,MATCH(A20,Oportunidades!$AC$5:$AC$154,0)),"—")))</f>
        <v>—</v>
      </c>
      <c r="K20" s="133" t="str">
        <f>IF(A20="","",IF(ISNUMBER(MATCH(A20,Riscos!$AI$5:$AI$154,0)),"Riscos",IF(ISNUMBER(MATCH(A20,Oportunidades!$AC$5:$AC$154,0)),"Oportunidades","—")))</f>
        <v>—</v>
      </c>
    </row>
    <row r="21" spans="1:11" ht="22.8">
      <c r="A21" s="132" t="s">
        <v>841</v>
      </c>
      <c r="B21" s="12" t="s">
        <v>809</v>
      </c>
      <c r="C21" s="13" t="s">
        <v>1218</v>
      </c>
      <c r="D21" s="12" t="s">
        <v>298</v>
      </c>
      <c r="E21" s="13" t="s">
        <v>827</v>
      </c>
      <c r="F21" s="16">
        <v>46538</v>
      </c>
      <c r="G21" s="12" t="s">
        <v>85</v>
      </c>
      <c r="H21" s="16"/>
      <c r="I21" s="16">
        <v>46378</v>
      </c>
      <c r="J21" s="14" t="str">
        <f>IF(A21="","",IFERROR(INDEX(Riscos!$A$5:$A$154,MATCH(A21,Riscos!$AI$5:$AI$154,0)),IFERROR(INDEX(Oportunidades!$A$5:$A$154,MATCH(A21,Oportunidades!$AC$5:$AC$154,0)),"—")))</f>
        <v>R14</v>
      </c>
      <c r="K21" s="133" t="str">
        <f>IF(A21="","",IF(ISNUMBER(MATCH(A21,Riscos!$AI$5:$AI$154,0)),"Riscos",IF(ISNUMBER(MATCH(A21,Oportunidades!$AC$5:$AC$154,0)),"Oportunidades","—")))</f>
        <v>Riscos</v>
      </c>
    </row>
    <row r="22" spans="1:11" ht="22.8">
      <c r="A22" s="132" t="s">
        <v>865</v>
      </c>
      <c r="B22" s="12" t="s">
        <v>858</v>
      </c>
      <c r="C22" s="13" t="s">
        <v>1219</v>
      </c>
      <c r="D22" s="12" t="s">
        <v>298</v>
      </c>
      <c r="E22" s="13" t="s">
        <v>104</v>
      </c>
      <c r="F22" s="16">
        <v>46477</v>
      </c>
      <c r="G22" s="12" t="s">
        <v>85</v>
      </c>
      <c r="H22" s="16"/>
      <c r="I22" s="16">
        <v>46378</v>
      </c>
      <c r="J22" s="14" t="str">
        <f>IF(A22="","",IFERROR(INDEX(Riscos!$A$5:$A$154,MATCH(A22,Riscos!$AI$5:$AI$154,0)),IFERROR(INDEX(Oportunidades!$A$5:$A$154,MATCH(A22,Oportunidades!$AC$5:$AC$154,0)),"—")))</f>
        <v>R16</v>
      </c>
      <c r="K22" s="133" t="str">
        <f>IF(A22="","",IF(ISNUMBER(MATCH(A22,Riscos!$AI$5:$AI$154,0)),"Riscos",IF(ISNUMBER(MATCH(A22,Oportunidades!$AC$5:$AC$154,0)),"Oportunidades","—")))</f>
        <v>Riscos</v>
      </c>
    </row>
    <row r="23" spans="1:11" ht="22.8">
      <c r="A23" s="132" t="s">
        <v>807</v>
      </c>
      <c r="B23" s="12" t="s">
        <v>799</v>
      </c>
      <c r="C23" s="13" t="s">
        <v>1220</v>
      </c>
      <c r="D23" s="12" t="s">
        <v>295</v>
      </c>
      <c r="E23" s="13" t="s">
        <v>104</v>
      </c>
      <c r="F23" s="16">
        <v>46461</v>
      </c>
      <c r="G23" s="12" t="s">
        <v>85</v>
      </c>
      <c r="H23" s="16"/>
      <c r="I23" s="16">
        <v>46378</v>
      </c>
      <c r="J23" s="14" t="str">
        <f>IF(A23="","",IFERROR(INDEX(Riscos!$A$5:$A$154,MATCH(A23,Riscos!$AI$5:$AI$154,0)),IFERROR(INDEX(Oportunidades!$A$5:$A$154,MATCH(A23,Oportunidades!$AC$5:$AC$154,0)),"—")))</f>
        <v>R11</v>
      </c>
      <c r="K23" s="133" t="str">
        <f>IF(A23="","",IF(ISNUMBER(MATCH(A23,Riscos!$AI$5:$AI$154,0)),"Riscos",IF(ISNUMBER(MATCH(A23,Oportunidades!$AC$5:$AC$154,0)),"Oportunidades","—")))</f>
        <v>Riscos</v>
      </c>
    </row>
    <row r="24" spans="1:11" ht="22.8">
      <c r="A24" s="132" t="s">
        <v>877</v>
      </c>
      <c r="B24" s="12" t="s">
        <v>869</v>
      </c>
      <c r="C24" s="13" t="s">
        <v>1221</v>
      </c>
      <c r="D24" s="12" t="s">
        <v>298</v>
      </c>
      <c r="E24" s="13" t="s">
        <v>875</v>
      </c>
      <c r="F24" s="16">
        <v>46741</v>
      </c>
      <c r="G24" s="12" t="s">
        <v>85</v>
      </c>
      <c r="H24" s="16"/>
      <c r="I24" s="16">
        <v>46378</v>
      </c>
      <c r="J24" s="14" t="str">
        <f>IF(A24="","",IFERROR(INDEX(Riscos!$A$5:$A$154,MATCH(A24,Riscos!$AI$5:$AI$154,0)),IFERROR(INDEX(Oportunidades!$A$5:$A$154,MATCH(A24,Oportunidades!$AC$5:$AC$154,0)),"—")))</f>
        <v>R17</v>
      </c>
      <c r="K24" s="133" t="str">
        <f>IF(A24="","",IF(ISNUMBER(MATCH(A24,Riscos!$AI$5:$AI$154,0)),"Riscos",IF(ISNUMBER(MATCH(A24,Oportunidades!$AC$5:$AC$154,0)),"Oportunidades","—")))</f>
        <v>Riscos</v>
      </c>
    </row>
    <row r="25" spans="1:11" ht="22.8">
      <c r="A25" s="132" t="s">
        <v>900</v>
      </c>
      <c r="B25" s="12" t="s">
        <v>775</v>
      </c>
      <c r="C25" s="13" t="s">
        <v>1222</v>
      </c>
      <c r="D25" s="12" t="s">
        <v>298</v>
      </c>
      <c r="E25" s="13" t="s">
        <v>886</v>
      </c>
      <c r="F25" s="16">
        <v>46538</v>
      </c>
      <c r="G25" s="12" t="s">
        <v>296</v>
      </c>
      <c r="H25" s="16"/>
      <c r="I25" s="16">
        <v>46374</v>
      </c>
      <c r="J25" s="14" t="str">
        <f>IF(A25="","",IFERROR(INDEX(Riscos!$A$5:$A$154,MATCH(A25,Riscos!$AI$5:$AI$154,0)),IFERROR(INDEX(Oportunidades!$A$5:$A$154,MATCH(A25,Oportunidades!$AC$5:$AC$154,0)),"—")))</f>
        <v>R19</v>
      </c>
      <c r="K25" s="133" t="str">
        <f>IF(A25="","",IF(ISNUMBER(MATCH(A25,Riscos!$AI$5:$AI$154,0)),"Riscos",IF(ISNUMBER(MATCH(A25,Oportunidades!$AC$5:$AC$154,0)),"Oportunidades","—")))</f>
        <v>Riscos</v>
      </c>
    </row>
    <row r="26" spans="1:11" ht="22.8">
      <c r="A26" s="132" t="s">
        <v>888</v>
      </c>
      <c r="B26" s="12" t="s">
        <v>880</v>
      </c>
      <c r="C26" s="13" t="s">
        <v>1223</v>
      </c>
      <c r="D26" s="12" t="s">
        <v>298</v>
      </c>
      <c r="E26" s="13" t="s">
        <v>886</v>
      </c>
      <c r="F26" s="16">
        <v>46538</v>
      </c>
      <c r="G26" s="12" t="s">
        <v>85</v>
      </c>
      <c r="H26" s="16"/>
      <c r="I26" s="16">
        <v>46378</v>
      </c>
      <c r="J26" s="14" t="str">
        <f>IF(A26="","",IFERROR(INDEX(Riscos!$A$5:$A$154,MATCH(A26,Riscos!$AI$5:$AI$154,0)),IFERROR(INDEX(Oportunidades!$A$5:$A$154,MATCH(A26,Oportunidades!$AC$5:$AC$154,0)),"—")))</f>
        <v>R18</v>
      </c>
      <c r="K26" s="133" t="str">
        <f>IF(A26="","",IF(ISNUMBER(MATCH(A26,Riscos!$AI$5:$AI$154,0)),"Riscos",IF(ISNUMBER(MATCH(A26,Oportunidades!$AC$5:$AC$154,0)),"Oportunidades","—")))</f>
        <v>Riscos</v>
      </c>
    </row>
    <row r="27" spans="1:11" ht="22.8">
      <c r="A27" s="132" t="s">
        <v>993</v>
      </c>
      <c r="B27" s="12" t="s">
        <v>986</v>
      </c>
      <c r="C27" s="13" t="s">
        <v>1224</v>
      </c>
      <c r="D27" s="12" t="s">
        <v>298</v>
      </c>
      <c r="E27" s="13" t="s">
        <v>992</v>
      </c>
      <c r="F27" s="16">
        <v>46477</v>
      </c>
      <c r="G27" s="12" t="s">
        <v>85</v>
      </c>
      <c r="H27" s="16"/>
      <c r="I27" s="16">
        <v>46378</v>
      </c>
      <c r="J27" s="14" t="str">
        <f>IF(A27="","",IFERROR(INDEX(Riscos!$A$5:$A$154,MATCH(A27,Riscos!$AI$5:$AI$154,0)),IFERROR(INDEX(Oportunidades!$A$5:$A$154,MATCH(A27,Oportunidades!$AC$5:$AC$154,0)),"—")))</f>
        <v>R27</v>
      </c>
      <c r="K27" s="133" t="str">
        <f>IF(A27="","",IF(ISNUMBER(MATCH(A27,Riscos!$AI$5:$AI$154,0)),"Riscos",IF(ISNUMBER(MATCH(A27,Oportunidades!$AC$5:$AC$154,0)),"Oportunidades","—")))</f>
        <v>Riscos</v>
      </c>
    </row>
    <row r="28" spans="1:11" ht="22.8">
      <c r="A28" s="132" t="s">
        <v>913</v>
      </c>
      <c r="B28" s="12" t="s">
        <v>905</v>
      </c>
      <c r="C28" s="13" t="s">
        <v>1225</v>
      </c>
      <c r="D28" s="12" t="s">
        <v>295</v>
      </c>
      <c r="E28" s="13" t="s">
        <v>390</v>
      </c>
      <c r="F28" s="16">
        <v>46477</v>
      </c>
      <c r="G28" s="12" t="s">
        <v>296</v>
      </c>
      <c r="H28" s="16"/>
      <c r="I28" s="16">
        <v>46370</v>
      </c>
      <c r="J28" s="14" t="str">
        <f>IF(A28="","",IFERROR(INDEX(Riscos!$A$5:$A$154,MATCH(A28,Riscos!$AI$5:$AI$154,0)),IFERROR(INDEX(Oportunidades!$A$5:$A$154,MATCH(A28,Oportunidades!$AC$5:$AC$154,0)),"—")))</f>
        <v>R20</v>
      </c>
      <c r="K28" s="133" t="str">
        <f>IF(A28="","",IF(ISNUMBER(MATCH(A28,Riscos!$AI$5:$AI$154,0)),"Riscos",IF(ISNUMBER(MATCH(A28,Oportunidades!$AC$5:$AC$154,0)),"Oportunidades","—")))</f>
        <v>Riscos</v>
      </c>
    </row>
    <row r="29" spans="1:11" ht="22.8">
      <c r="A29" s="132" t="s">
        <v>982</v>
      </c>
      <c r="B29" s="12" t="s">
        <v>974</v>
      </c>
      <c r="C29" s="13" t="s">
        <v>1226</v>
      </c>
      <c r="D29" s="12" t="s">
        <v>298</v>
      </c>
      <c r="E29" s="13" t="s">
        <v>980</v>
      </c>
      <c r="F29" s="16">
        <v>46477</v>
      </c>
      <c r="G29" s="12" t="s">
        <v>85</v>
      </c>
      <c r="H29" s="16"/>
      <c r="I29" s="16">
        <v>46378</v>
      </c>
      <c r="J29" s="14" t="str">
        <f>IF(A29="","",IFERROR(INDEX(Riscos!$A$5:$A$154,MATCH(A29,Riscos!$AI$5:$AI$154,0)),IFERROR(INDEX(Oportunidades!$A$5:$A$154,MATCH(A29,Oportunidades!$AC$5:$AC$154,0)),"—")))</f>
        <v>R26</v>
      </c>
      <c r="K29" s="133" t="str">
        <f>IF(A29="","",IF(ISNUMBER(MATCH(A29,Riscos!$AI$5:$AI$154,0)),"Riscos",IF(ISNUMBER(MATCH(A29,Oportunidades!$AC$5:$AC$154,0)),"Oportunidades","—")))</f>
        <v>Riscos</v>
      </c>
    </row>
    <row r="30" spans="1:11" ht="22.8">
      <c r="A30" s="132" t="s">
        <v>1003</v>
      </c>
      <c r="B30" s="12" t="s">
        <v>995</v>
      </c>
      <c r="C30" s="13" t="s">
        <v>1227</v>
      </c>
      <c r="D30" s="12" t="s">
        <v>295</v>
      </c>
      <c r="E30" s="13" t="s">
        <v>75</v>
      </c>
      <c r="F30" s="16">
        <v>46507</v>
      </c>
      <c r="G30" s="12" t="s">
        <v>85</v>
      </c>
      <c r="H30" s="16"/>
      <c r="I30" s="16">
        <v>46378</v>
      </c>
      <c r="J30" s="14" t="str">
        <f>IF(A30="","",IFERROR(INDEX(Riscos!$A$5:$A$154,MATCH(A30,Riscos!$AI$5:$AI$154,0)),IFERROR(INDEX(Oportunidades!$A$5:$A$154,MATCH(A30,Oportunidades!$AC$5:$AC$154,0)),"—")))</f>
        <v>R28</v>
      </c>
      <c r="K30" s="133" t="str">
        <f>IF(A30="","",IF(ISNUMBER(MATCH(A30,Riscos!$AI$5:$AI$154,0)),"Riscos",IF(ISNUMBER(MATCH(A30,Oportunidades!$AC$5:$AC$154,0)),"Oportunidades","—")))</f>
        <v>Riscos</v>
      </c>
    </row>
    <row r="31" spans="1:11" ht="22.8">
      <c r="A31" s="132" t="s">
        <v>1066</v>
      </c>
      <c r="B31" s="12" t="s">
        <v>87</v>
      </c>
      <c r="C31" s="13" t="s">
        <v>1228</v>
      </c>
      <c r="D31" s="12" t="s">
        <v>298</v>
      </c>
      <c r="E31" s="13" t="s">
        <v>104</v>
      </c>
      <c r="F31" s="16">
        <v>46507</v>
      </c>
      <c r="G31" s="12" t="s">
        <v>85</v>
      </c>
      <c r="H31" s="16"/>
      <c r="I31" s="16">
        <v>46378</v>
      </c>
      <c r="J31" s="14" t="str">
        <f>IF(A31="","",IFERROR(INDEX(Riscos!$A$5:$A$154,MATCH(A31,Riscos!$AI$5:$AI$154,0)),IFERROR(INDEX(Oportunidades!$A$5:$A$154,MATCH(A31,Oportunidades!$AC$5:$AC$154,0)),"—")))</f>
        <v>O1</v>
      </c>
      <c r="K31" s="133" t="str">
        <f>IF(A31="","",IF(ISNUMBER(MATCH(A31,Riscos!$AI$5:$AI$154,0)),"Riscos",IF(ISNUMBER(MATCH(A31,Oportunidades!$AC$5:$AC$154,0)),"Oportunidades","—")))</f>
        <v>Oportunidades</v>
      </c>
    </row>
    <row r="32" spans="1:11" ht="22.8">
      <c r="A32" s="132" t="s">
        <v>1075</v>
      </c>
      <c r="B32" s="12" t="s">
        <v>142</v>
      </c>
      <c r="C32" s="13" t="s">
        <v>1229</v>
      </c>
      <c r="D32" s="12" t="s">
        <v>298</v>
      </c>
      <c r="E32" s="13" t="s">
        <v>86</v>
      </c>
      <c r="F32" s="16">
        <v>46568</v>
      </c>
      <c r="G32" s="12" t="s">
        <v>85</v>
      </c>
      <c r="H32" s="16"/>
      <c r="I32" s="16">
        <v>46378</v>
      </c>
      <c r="J32" s="14" t="str">
        <f>IF(A32="","",IFERROR(INDEX(Riscos!$A$5:$A$154,MATCH(A32,Riscos!$AI$5:$AI$154,0)),IFERROR(INDEX(Oportunidades!$A$5:$A$154,MATCH(A32,Oportunidades!$AC$5:$AC$154,0)),"—")))</f>
        <v>O2</v>
      </c>
      <c r="K32" s="133" t="str">
        <f>IF(A32="","",IF(ISNUMBER(MATCH(A32,Riscos!$AI$5:$AI$154,0)),"Riscos",IF(ISNUMBER(MATCH(A32,Oportunidades!$AC$5:$AC$154,0)),"Oportunidades","—")))</f>
        <v>Oportunidades</v>
      </c>
    </row>
    <row r="33" spans="1:11" ht="22.8">
      <c r="A33" s="132" t="s">
        <v>1096</v>
      </c>
      <c r="B33" s="12" t="s">
        <v>1090</v>
      </c>
      <c r="C33" s="13" t="s">
        <v>1230</v>
      </c>
      <c r="D33" s="12" t="s">
        <v>298</v>
      </c>
      <c r="E33" s="13" t="s">
        <v>783</v>
      </c>
      <c r="F33" s="16">
        <v>46568</v>
      </c>
      <c r="G33" s="12" t="s">
        <v>85</v>
      </c>
      <c r="H33" s="16"/>
      <c r="I33" s="16">
        <v>46378</v>
      </c>
      <c r="J33" s="14" t="str">
        <f>IF(A33="","",IFERROR(INDEX(Riscos!$A$5:$A$154,MATCH(A33,Riscos!$AI$5:$AI$154,0)),IFERROR(INDEX(Oportunidades!$A$5:$A$154,MATCH(A33,Oportunidades!$AC$5:$AC$154,0)),"—")))</f>
        <v>O4</v>
      </c>
      <c r="K33" s="133" t="str">
        <f>IF(A33="","",IF(ISNUMBER(MATCH(A33,Riscos!$AI$5:$AI$154,0)),"Riscos",IF(ISNUMBER(MATCH(A33,Oportunidades!$AC$5:$AC$154,0)),"Oportunidades","—")))</f>
        <v>Oportunidades</v>
      </c>
    </row>
    <row r="34" spans="1:11" ht="22.8">
      <c r="A34" s="132" t="s">
        <v>1138</v>
      </c>
      <c r="B34" s="12" t="s">
        <v>1132</v>
      </c>
      <c r="C34" s="13" t="s">
        <v>1231</v>
      </c>
      <c r="D34" s="12" t="s">
        <v>298</v>
      </c>
      <c r="E34" s="13" t="s">
        <v>827</v>
      </c>
      <c r="F34" s="16">
        <v>46507</v>
      </c>
      <c r="G34" s="12" t="s">
        <v>296</v>
      </c>
      <c r="H34" s="16"/>
      <c r="I34" s="16">
        <v>46370</v>
      </c>
      <c r="J34" s="14" t="str">
        <f>IF(A34="","",IFERROR(INDEX(Riscos!$A$5:$A$154,MATCH(A34,Riscos!$AI$5:$AI$154,0)),IFERROR(INDEX(Oportunidades!$A$5:$A$154,MATCH(A34,Oportunidades!$AC$5:$AC$154,0)),"—")))</f>
        <v>O8</v>
      </c>
      <c r="K34" s="133" t="str">
        <f>IF(A34="","",IF(ISNUMBER(MATCH(A34,Riscos!$AI$5:$AI$154,0)),"Riscos",IF(ISNUMBER(MATCH(A34,Oportunidades!$AC$5:$AC$154,0)),"Oportunidades","—")))</f>
        <v>Oportunidades</v>
      </c>
    </row>
    <row r="35" spans="1:11" ht="22.8">
      <c r="A35" s="132" t="s">
        <v>1232</v>
      </c>
      <c r="B35" s="12" t="s">
        <v>61</v>
      </c>
      <c r="C35" s="13" t="s">
        <v>1233</v>
      </c>
      <c r="D35" s="12" t="s">
        <v>297</v>
      </c>
      <c r="E35" s="13" t="s">
        <v>104</v>
      </c>
      <c r="F35" s="16">
        <v>45848</v>
      </c>
      <c r="G35" s="12" t="s">
        <v>543</v>
      </c>
      <c r="H35" s="16">
        <v>45841</v>
      </c>
      <c r="I35" s="16">
        <v>45840</v>
      </c>
      <c r="J35" s="14" t="str">
        <f>IF(A35="","",IFERROR(INDEX(Riscos!$A$5:$A$154,MATCH(A35,Riscos!$AI$5:$AI$154,0)),IFERROR(INDEX(Oportunidades!$A$5:$A$154,MATCH(A35,Oportunidades!$AC$5:$AC$154,0)),"—")))</f>
        <v>—</v>
      </c>
      <c r="K35" s="133" t="str">
        <f>IF(A35="","",IF(ISNUMBER(MATCH(A35,Riscos!$AI$5:$AI$154,0)),"Riscos",IF(ISNUMBER(MATCH(A35,Oportunidades!$AC$5:$AC$154,0)),"Oportunidades","—")))</f>
        <v>—</v>
      </c>
    </row>
    <row r="36" spans="1:11" ht="22.8">
      <c r="A36" s="132" t="s">
        <v>1234</v>
      </c>
      <c r="B36" s="12" t="s">
        <v>763</v>
      </c>
      <c r="C36" s="13" t="s">
        <v>1235</v>
      </c>
      <c r="D36" s="12" t="s">
        <v>297</v>
      </c>
      <c r="E36" s="13" t="s">
        <v>104</v>
      </c>
      <c r="F36" s="16">
        <v>46028</v>
      </c>
      <c r="G36" s="12" t="s">
        <v>543</v>
      </c>
      <c r="H36" s="16">
        <v>46012</v>
      </c>
      <c r="I36" s="16">
        <v>45977</v>
      </c>
      <c r="J36" s="14" t="str">
        <f>IF(A36="","",IFERROR(INDEX(Riscos!$A$5:$A$154,MATCH(A36,Riscos!$AI$5:$AI$154,0)),IFERROR(INDEX(Oportunidades!$A$5:$A$154,MATCH(A36,Oportunidades!$AC$5:$AC$154,0)),"—")))</f>
        <v>—</v>
      </c>
      <c r="K36" s="133" t="str">
        <f>IF(A36="","",IF(ISNUMBER(MATCH(A36,Riscos!$AI$5:$AI$154,0)),"Riscos",IF(ISNUMBER(MATCH(A36,Oportunidades!$AC$5:$AC$154,0)),"Oportunidades","—")))</f>
        <v>—</v>
      </c>
    </row>
    <row r="37" spans="1:11" ht="34.200000000000003">
      <c r="A37" s="132" t="s">
        <v>1236</v>
      </c>
      <c r="B37" s="12" t="s">
        <v>729</v>
      </c>
      <c r="C37" s="13" t="s">
        <v>1237</v>
      </c>
      <c r="D37" s="12" t="s">
        <v>297</v>
      </c>
      <c r="E37" s="13" t="s">
        <v>104</v>
      </c>
      <c r="F37" s="16">
        <v>45989</v>
      </c>
      <c r="G37" s="12" t="s">
        <v>543</v>
      </c>
      <c r="H37" s="16">
        <v>46010</v>
      </c>
      <c r="I37" s="16">
        <v>45965</v>
      </c>
      <c r="J37" s="14" t="str">
        <f>IF(A37="","",IFERROR(INDEX(Riscos!$A$5:$A$154,MATCH(A37,Riscos!$AI$5:$AI$154,0)),IFERROR(INDEX(Oportunidades!$A$5:$A$154,MATCH(A37,Oportunidades!$AC$5:$AC$154,0)),"—")))</f>
        <v>—</v>
      </c>
      <c r="K37" s="133" t="str">
        <f>IF(A37="","",IF(ISNUMBER(MATCH(A37,Riscos!$AI$5:$AI$154,0)),"Riscos",IF(ISNUMBER(MATCH(A37,Oportunidades!$AC$5:$AC$154,0)),"Oportunidades","—")))</f>
        <v>—</v>
      </c>
    </row>
    <row r="38" spans="1:11" ht="22.8">
      <c r="A38" s="132" t="s">
        <v>1238</v>
      </c>
      <c r="B38" s="12" t="s">
        <v>818</v>
      </c>
      <c r="C38" s="13" t="s">
        <v>1239</v>
      </c>
      <c r="D38" s="12" t="s">
        <v>295</v>
      </c>
      <c r="E38" s="13" t="s">
        <v>104</v>
      </c>
      <c r="F38" s="16">
        <v>46003</v>
      </c>
      <c r="G38" s="12" t="s">
        <v>296</v>
      </c>
      <c r="H38" s="16"/>
      <c r="I38" s="16">
        <v>45965</v>
      </c>
      <c r="J38" s="14" t="str">
        <f>IF(A38="","",IFERROR(INDEX(Riscos!$A$5:$A$154,MATCH(A38,Riscos!$AI$5:$AI$154,0)),IFERROR(INDEX(Oportunidades!$A$5:$A$154,MATCH(A38,Oportunidades!$AC$5:$AC$154,0)),"—")))</f>
        <v>—</v>
      </c>
      <c r="K38" s="133" t="str">
        <f>IF(A38="","",IF(ISNUMBER(MATCH(A38,Riscos!$AI$5:$AI$154,0)),"Riscos",IF(ISNUMBER(MATCH(A38,Oportunidades!$AC$5:$AC$154,0)),"Oportunidades","—")))</f>
        <v>—</v>
      </c>
    </row>
    <row r="39" spans="1:11" ht="22.8">
      <c r="A39" s="132" t="s">
        <v>1240</v>
      </c>
      <c r="B39" s="12" t="s">
        <v>77</v>
      </c>
      <c r="C39" s="13" t="s">
        <v>1241</v>
      </c>
      <c r="D39" s="12" t="s">
        <v>297</v>
      </c>
      <c r="E39" s="13" t="s">
        <v>104</v>
      </c>
      <c r="F39" s="16">
        <v>46034</v>
      </c>
      <c r="G39" s="12" t="s">
        <v>543</v>
      </c>
      <c r="H39" s="16">
        <v>46020</v>
      </c>
      <c r="I39" s="16">
        <v>46020</v>
      </c>
      <c r="J39" s="14" t="str">
        <f>IF(A39="","",IFERROR(INDEX(Riscos!$A$5:$A$154,MATCH(A39,Riscos!$AI$5:$AI$154,0)),IFERROR(INDEX(Oportunidades!$A$5:$A$154,MATCH(A39,Oportunidades!$AC$5:$AC$154,0)),"—")))</f>
        <v>—</v>
      </c>
      <c r="K39" s="133" t="str">
        <f>IF(A39="","",IF(ISNUMBER(MATCH(A39,Riscos!$AI$5:$AI$154,0)),"Riscos",IF(ISNUMBER(MATCH(A39,Oportunidades!$AC$5:$AC$154,0)),"Oportunidades","—")))</f>
        <v>—</v>
      </c>
    </row>
    <row r="40" spans="1:11" ht="34.200000000000003">
      <c r="A40" s="132" t="s">
        <v>105</v>
      </c>
      <c r="B40" s="12" t="s">
        <v>799</v>
      </c>
      <c r="C40" s="13" t="s">
        <v>1242</v>
      </c>
      <c r="D40" s="12" t="s">
        <v>297</v>
      </c>
      <c r="E40" s="13" t="s">
        <v>104</v>
      </c>
      <c r="F40" s="16">
        <v>46112</v>
      </c>
      <c r="G40" s="12" t="s">
        <v>543</v>
      </c>
      <c r="H40" s="16">
        <v>46107</v>
      </c>
      <c r="I40" s="16">
        <v>46055</v>
      </c>
      <c r="J40" s="14" t="str">
        <f>IF(A40="","",IFERROR(INDEX(Riscos!$A$5:$A$154,MATCH(A40,Riscos!$AI$5:$AI$154,0)),IFERROR(INDEX(Oportunidades!$A$5:$A$154,MATCH(A40,Oportunidades!$AC$5:$AC$154,0)),"—")))</f>
        <v>—</v>
      </c>
      <c r="K40" s="133" t="str">
        <f>IF(A40="","",IF(ISNUMBER(MATCH(A40,Riscos!$AI$5:$AI$154,0)),"Riscos",IF(ISNUMBER(MATCH(A40,Oportunidades!$AC$5:$AC$154,0)),"Oportunidades","—")))</f>
        <v>—</v>
      </c>
    </row>
    <row r="41" spans="1:11" ht="34.200000000000003">
      <c r="A41" s="132" t="s">
        <v>1243</v>
      </c>
      <c r="B41" s="12" t="s">
        <v>739</v>
      </c>
      <c r="C41" s="13" t="s">
        <v>1244</v>
      </c>
      <c r="D41" s="12" t="s">
        <v>297</v>
      </c>
      <c r="E41" s="13" t="s">
        <v>104</v>
      </c>
      <c r="F41" s="16">
        <v>46132</v>
      </c>
      <c r="G41" s="12" t="s">
        <v>543</v>
      </c>
      <c r="H41" s="16">
        <v>46111</v>
      </c>
      <c r="I41" s="16">
        <v>46085</v>
      </c>
      <c r="J41" s="14" t="str">
        <f>IF(A41="","",IFERROR(INDEX(Riscos!$A$5:$A$154,MATCH(A41,Riscos!$AI$5:$AI$154,0)),IFERROR(INDEX(Oportunidades!$A$5:$A$154,MATCH(A41,Oportunidades!$AC$5:$AC$154,0)),"—")))</f>
        <v>—</v>
      </c>
      <c r="K41" s="133" t="str">
        <f>IF(A41="","",IF(ISNUMBER(MATCH(A41,Riscos!$AI$5:$AI$154,0)),"Riscos",IF(ISNUMBER(MATCH(A41,Oportunidades!$AC$5:$AC$154,0)),"Oportunidades","—")))</f>
        <v>—</v>
      </c>
    </row>
    <row r="42" spans="1:11" ht="22.8">
      <c r="A42" s="132" t="s">
        <v>1245</v>
      </c>
      <c r="B42" s="12" t="s">
        <v>751</v>
      </c>
      <c r="C42" s="13" t="s">
        <v>1246</v>
      </c>
      <c r="D42" s="12" t="s">
        <v>295</v>
      </c>
      <c r="E42" s="13" t="s">
        <v>104</v>
      </c>
      <c r="F42" s="16">
        <v>46198</v>
      </c>
      <c r="G42" s="12" t="s">
        <v>296</v>
      </c>
      <c r="H42" s="16"/>
      <c r="I42" s="16">
        <v>46141</v>
      </c>
      <c r="J42" s="14" t="str">
        <f>IF(A42="","",IFERROR(INDEX(Riscos!$A$5:$A$154,MATCH(A42,Riscos!$AI$5:$AI$154,0)),IFERROR(INDEX(Oportunidades!$A$5:$A$154,MATCH(A42,Oportunidades!$AC$5:$AC$154,0)),"—")))</f>
        <v>—</v>
      </c>
      <c r="K42" s="133" t="str">
        <f>IF(A42="","",IF(ISNUMBER(MATCH(A42,Riscos!$AI$5:$AI$154,0)),"Riscos",IF(ISNUMBER(MATCH(A42,Oportunidades!$AC$5:$AC$154,0)),"Oportunidades","—")))</f>
        <v>—</v>
      </c>
    </row>
    <row r="43" spans="1:11">
      <c r="A43" s="132"/>
      <c r="B43" s="12"/>
      <c r="C43" s="13"/>
      <c r="D43" s="12"/>
      <c r="E43" s="13"/>
      <c r="F43" s="16"/>
      <c r="G43" s="12"/>
      <c r="H43" s="16"/>
      <c r="I43" s="16"/>
      <c r="J43" s="14" t="str">
        <f>IF(A43="","",IFERROR(INDEX(Riscos!$A$5:$A$154,MATCH(A43,Riscos!$AI$5:$AI$154,0)),IFERROR(INDEX(Oportunidades!$A$5:$A$154,MATCH(A43,Oportunidades!$AC$5:$AC$154,0)),"—")))</f>
        <v/>
      </c>
      <c r="K43" s="133" t="str">
        <f>IF(A43="","",IF(ISNUMBER(MATCH(A43,Riscos!$AI$5:$AI$154,0)),"Riscos",IF(ISNUMBER(MATCH(A43,Oportunidades!$AC$5:$AC$154,0)),"Oportunidades","—")))</f>
        <v/>
      </c>
    </row>
    <row r="44" spans="1:11">
      <c r="A44" s="132"/>
      <c r="B44" s="12"/>
      <c r="C44" s="13"/>
      <c r="D44" s="12"/>
      <c r="E44" s="13"/>
      <c r="F44" s="16"/>
      <c r="G44" s="12"/>
      <c r="H44" s="16"/>
      <c r="I44" s="16"/>
      <c r="J44" s="14" t="str">
        <f>IF(A44="","",IFERROR(INDEX(Riscos!$A$5:$A$154,MATCH(A44,Riscos!$AI$5:$AI$154,0)),IFERROR(INDEX(Oportunidades!$A$5:$A$154,MATCH(A44,Oportunidades!$AC$5:$AC$154,0)),"—")))</f>
        <v/>
      </c>
      <c r="K44" s="133" t="str">
        <f>IF(A44="","",IF(ISNUMBER(MATCH(A44,Riscos!$AI$5:$AI$154,0)),"Riscos",IF(ISNUMBER(MATCH(A44,Oportunidades!$AC$5:$AC$154,0)),"Oportunidades","—")))</f>
        <v/>
      </c>
    </row>
    <row r="45" spans="1:11">
      <c r="A45" s="132"/>
      <c r="B45" s="12"/>
      <c r="C45" s="13"/>
      <c r="D45" s="12"/>
      <c r="E45" s="13"/>
      <c r="F45" s="16"/>
      <c r="G45" s="12"/>
      <c r="H45" s="16"/>
      <c r="I45" s="16"/>
      <c r="J45" s="14" t="str">
        <f>IF(A45="","",IFERROR(INDEX(Riscos!$A$5:$A$154,MATCH(A45,Riscos!$AI$5:$AI$154,0)),IFERROR(INDEX(Oportunidades!$A$5:$A$154,MATCH(A45,Oportunidades!$AC$5:$AC$154,0)),"—")))</f>
        <v/>
      </c>
      <c r="K45" s="133" t="str">
        <f>IF(A45="","",IF(ISNUMBER(MATCH(A45,Riscos!$AI$5:$AI$154,0)),"Riscos",IF(ISNUMBER(MATCH(A45,Oportunidades!$AC$5:$AC$154,0)),"Oportunidades","—")))</f>
        <v/>
      </c>
    </row>
    <row r="46" spans="1:11">
      <c r="A46" s="132"/>
      <c r="B46" s="12"/>
      <c r="C46" s="13"/>
      <c r="D46" s="12"/>
      <c r="E46" s="13"/>
      <c r="F46" s="16"/>
      <c r="G46" s="12"/>
      <c r="H46" s="16"/>
      <c r="I46" s="16"/>
      <c r="J46" s="14" t="str">
        <f>IF(A46="","",IFERROR(INDEX(Riscos!$A$5:$A$154,MATCH(A46,Riscos!$AI$5:$AI$154,0)),IFERROR(INDEX(Oportunidades!$A$5:$A$154,MATCH(A46,Oportunidades!$AC$5:$AC$154,0)),"—")))</f>
        <v/>
      </c>
      <c r="K46" s="133" t="str">
        <f>IF(A46="","",IF(ISNUMBER(MATCH(A46,Riscos!$AI$5:$AI$154,0)),"Riscos",IF(ISNUMBER(MATCH(A46,Oportunidades!$AC$5:$AC$154,0)),"Oportunidades","—")))</f>
        <v/>
      </c>
    </row>
    <row r="47" spans="1:11">
      <c r="A47" s="132"/>
      <c r="B47" s="12"/>
      <c r="C47" s="13"/>
      <c r="D47" s="12"/>
      <c r="E47" s="13"/>
      <c r="F47" s="16"/>
      <c r="G47" s="12"/>
      <c r="H47" s="16"/>
      <c r="I47" s="16"/>
      <c r="J47" s="14" t="str">
        <f>IF(A47="","",IFERROR(INDEX(Riscos!$A$5:$A$154,MATCH(A47,Riscos!$AI$5:$AI$154,0)),IFERROR(INDEX(Oportunidades!$A$5:$A$154,MATCH(A47,Oportunidades!$AC$5:$AC$154,0)),"—")))</f>
        <v/>
      </c>
      <c r="K47" s="133" t="str">
        <f>IF(A47="","",IF(ISNUMBER(MATCH(A47,Riscos!$AI$5:$AI$154,0)),"Riscos",IF(ISNUMBER(MATCH(A47,Oportunidades!$AC$5:$AC$154,0)),"Oportunidades","—")))</f>
        <v/>
      </c>
    </row>
    <row r="48" spans="1:11">
      <c r="A48" s="132"/>
      <c r="B48" s="12"/>
      <c r="C48" s="13"/>
      <c r="D48" s="12"/>
      <c r="E48" s="13"/>
      <c r="F48" s="16"/>
      <c r="G48" s="12"/>
      <c r="H48" s="16"/>
      <c r="I48" s="16"/>
      <c r="J48" s="14" t="str">
        <f>IF(A48="","",IFERROR(INDEX(Riscos!$A$5:$A$154,MATCH(A48,Riscos!$AI$5:$AI$154,0)),IFERROR(INDEX(Oportunidades!$A$5:$A$154,MATCH(A48,Oportunidades!$AC$5:$AC$154,0)),"—")))</f>
        <v/>
      </c>
      <c r="K48" s="133" t="str">
        <f>IF(A48="","",IF(ISNUMBER(MATCH(A48,Riscos!$AI$5:$AI$154,0)),"Riscos",IF(ISNUMBER(MATCH(A48,Oportunidades!$AC$5:$AC$154,0)),"Oportunidades","—")))</f>
        <v/>
      </c>
    </row>
    <row r="49" spans="1:11">
      <c r="A49" s="132"/>
      <c r="B49" s="12"/>
      <c r="C49" s="13"/>
      <c r="D49" s="12"/>
      <c r="E49" s="13"/>
      <c r="F49" s="16"/>
      <c r="G49" s="12"/>
      <c r="H49" s="16"/>
      <c r="I49" s="16"/>
      <c r="J49" s="14" t="str">
        <f>IF(A49="","",IFERROR(INDEX(Riscos!$A$5:$A$154,MATCH(A49,Riscos!$AI$5:$AI$154,0)),IFERROR(INDEX(Oportunidades!$A$5:$A$154,MATCH(A49,Oportunidades!$AC$5:$AC$154,0)),"—")))</f>
        <v/>
      </c>
      <c r="K49" s="133" t="str">
        <f>IF(A49="","",IF(ISNUMBER(MATCH(A49,Riscos!$AI$5:$AI$154,0)),"Riscos",IF(ISNUMBER(MATCH(A49,Oportunidades!$AC$5:$AC$154,0)),"Oportunidades","—")))</f>
        <v/>
      </c>
    </row>
    <row r="50" spans="1:11">
      <c r="A50" s="132"/>
      <c r="B50" s="12"/>
      <c r="C50" s="13"/>
      <c r="D50" s="12"/>
      <c r="E50" s="13"/>
      <c r="F50" s="16"/>
      <c r="G50" s="12"/>
      <c r="H50" s="16"/>
      <c r="I50" s="16"/>
      <c r="J50" s="14" t="str">
        <f>IF(A50="","",IFERROR(INDEX(Riscos!$A$5:$A$154,MATCH(A50,Riscos!$AI$5:$AI$154,0)),IFERROR(INDEX(Oportunidades!$A$5:$A$154,MATCH(A50,Oportunidades!$AC$5:$AC$154,0)),"—")))</f>
        <v/>
      </c>
      <c r="K50" s="133" t="str">
        <f>IF(A50="","",IF(ISNUMBER(MATCH(A50,Riscos!$AI$5:$AI$154,0)),"Riscos",IF(ISNUMBER(MATCH(A50,Oportunidades!$AC$5:$AC$154,0)),"Oportunidades","—")))</f>
        <v/>
      </c>
    </row>
    <row r="51" spans="1:11">
      <c r="A51" s="132"/>
      <c r="B51" s="12"/>
      <c r="C51" s="13"/>
      <c r="D51" s="12"/>
      <c r="E51" s="13"/>
      <c r="F51" s="16"/>
      <c r="G51" s="12"/>
      <c r="H51" s="16"/>
      <c r="I51" s="16"/>
      <c r="J51" s="14" t="str">
        <f>IF(A51="","",IFERROR(INDEX(Riscos!$A$5:$A$154,MATCH(A51,Riscos!$AI$5:$AI$154,0)),IFERROR(INDEX(Oportunidades!$A$5:$A$154,MATCH(A51,Oportunidades!$AC$5:$AC$154,0)),"—")))</f>
        <v/>
      </c>
      <c r="K51" s="133" t="str">
        <f>IF(A51="","",IF(ISNUMBER(MATCH(A51,Riscos!$AI$5:$AI$154,0)),"Riscos",IF(ISNUMBER(MATCH(A51,Oportunidades!$AC$5:$AC$154,0)),"Oportunidades","—")))</f>
        <v/>
      </c>
    </row>
    <row r="52" spans="1:11">
      <c r="A52" s="132"/>
      <c r="B52" s="12"/>
      <c r="C52" s="13"/>
      <c r="D52" s="12"/>
      <c r="E52" s="13"/>
      <c r="F52" s="16"/>
      <c r="G52" s="12"/>
      <c r="H52" s="16"/>
      <c r="I52" s="16"/>
      <c r="J52" s="14" t="str">
        <f>IF(A52="","",IFERROR(INDEX(Riscos!$A$5:$A$154,MATCH(A52,Riscos!$AI$5:$AI$154,0)),IFERROR(INDEX(Oportunidades!$A$5:$A$154,MATCH(A52,Oportunidades!$AC$5:$AC$154,0)),"—")))</f>
        <v/>
      </c>
      <c r="K52" s="133" t="str">
        <f>IF(A52="","",IF(ISNUMBER(MATCH(A52,Riscos!$AI$5:$AI$154,0)),"Riscos",IF(ISNUMBER(MATCH(A52,Oportunidades!$AC$5:$AC$154,0)),"Oportunidades","—")))</f>
        <v/>
      </c>
    </row>
    <row r="53" spans="1:11">
      <c r="A53" s="132"/>
      <c r="B53" s="12"/>
      <c r="C53" s="13"/>
      <c r="D53" s="12"/>
      <c r="E53" s="13"/>
      <c r="F53" s="16"/>
      <c r="G53" s="12"/>
      <c r="H53" s="16"/>
      <c r="I53" s="16"/>
      <c r="J53" s="14" t="str">
        <f>IF(A53="","",IFERROR(INDEX(Riscos!$A$5:$A$154,MATCH(A53,Riscos!$AI$5:$AI$154,0)),IFERROR(INDEX(Oportunidades!$A$5:$A$154,MATCH(A53,Oportunidades!$AC$5:$AC$154,0)),"—")))</f>
        <v/>
      </c>
      <c r="K53" s="133" t="str">
        <f>IF(A53="","",IF(ISNUMBER(MATCH(A53,Riscos!$AI$5:$AI$154,0)),"Riscos",IF(ISNUMBER(MATCH(A53,Oportunidades!$AC$5:$AC$154,0)),"Oportunidades","—")))</f>
        <v/>
      </c>
    </row>
    <row r="54" spans="1:11">
      <c r="A54" s="132"/>
      <c r="B54" s="12"/>
      <c r="C54" s="13"/>
      <c r="D54" s="12"/>
      <c r="E54" s="13"/>
      <c r="F54" s="16"/>
      <c r="G54" s="12"/>
      <c r="H54" s="16"/>
      <c r="I54" s="16"/>
      <c r="J54" s="14" t="str">
        <f>IF(A54="","",IFERROR(INDEX(Riscos!$A$5:$A$154,MATCH(A54,Riscos!$AI$5:$AI$154,0)),IFERROR(INDEX(Oportunidades!$A$5:$A$154,MATCH(A54,Oportunidades!$AC$5:$AC$154,0)),"—")))</f>
        <v/>
      </c>
      <c r="K54" s="133" t="str">
        <f>IF(A54="","",IF(ISNUMBER(MATCH(A54,Riscos!$AI$5:$AI$154,0)),"Riscos",IF(ISNUMBER(MATCH(A54,Oportunidades!$AC$5:$AC$154,0)),"Oportunidades","—")))</f>
        <v/>
      </c>
    </row>
    <row r="55" spans="1:11">
      <c r="A55" s="132"/>
      <c r="B55" s="12"/>
      <c r="C55" s="13"/>
      <c r="D55" s="12"/>
      <c r="E55" s="13"/>
      <c r="F55" s="16"/>
      <c r="G55" s="12"/>
      <c r="H55" s="16"/>
      <c r="I55" s="16"/>
      <c r="J55" s="14" t="str">
        <f>IF(A55="","",IFERROR(INDEX(Riscos!$A$5:$A$154,MATCH(A55,Riscos!$AI$5:$AI$154,0)),IFERROR(INDEX(Oportunidades!$A$5:$A$154,MATCH(A55,Oportunidades!$AC$5:$AC$154,0)),"—")))</f>
        <v/>
      </c>
      <c r="K55" s="133" t="str">
        <f>IF(A55="","",IF(ISNUMBER(MATCH(A55,Riscos!$AI$5:$AI$154,0)),"Riscos",IF(ISNUMBER(MATCH(A55,Oportunidades!$AC$5:$AC$154,0)),"Oportunidades","—")))</f>
        <v/>
      </c>
    </row>
    <row r="56" spans="1:11">
      <c r="A56" s="132"/>
      <c r="B56" s="12"/>
      <c r="C56" s="13"/>
      <c r="D56" s="12"/>
      <c r="E56" s="13"/>
      <c r="F56" s="16"/>
      <c r="G56" s="12"/>
      <c r="H56" s="16"/>
      <c r="I56" s="16"/>
      <c r="J56" s="14" t="str">
        <f>IF(A56="","",IFERROR(INDEX(Riscos!$A$5:$A$154,MATCH(A56,Riscos!$AI$5:$AI$154,0)),IFERROR(INDEX(Oportunidades!$A$5:$A$154,MATCH(A56,Oportunidades!$AC$5:$AC$154,0)),"—")))</f>
        <v/>
      </c>
      <c r="K56" s="133" t="str">
        <f>IF(A56="","",IF(ISNUMBER(MATCH(A56,Riscos!$AI$5:$AI$154,0)),"Riscos",IF(ISNUMBER(MATCH(A56,Oportunidades!$AC$5:$AC$154,0)),"Oportunidades","—")))</f>
        <v/>
      </c>
    </row>
    <row r="57" spans="1:11">
      <c r="A57" s="132"/>
      <c r="B57" s="12"/>
      <c r="C57" s="13"/>
      <c r="D57" s="12"/>
      <c r="E57" s="13"/>
      <c r="F57" s="16"/>
      <c r="G57" s="12"/>
      <c r="H57" s="16"/>
      <c r="I57" s="16"/>
      <c r="J57" s="14" t="str">
        <f>IF(A57="","",IFERROR(INDEX(Riscos!$A$5:$A$154,MATCH(A57,Riscos!$AI$5:$AI$154,0)),IFERROR(INDEX(Oportunidades!$A$5:$A$154,MATCH(A57,Oportunidades!$AC$5:$AC$154,0)),"—")))</f>
        <v/>
      </c>
      <c r="K57" s="133" t="str">
        <f>IF(A57="","",IF(ISNUMBER(MATCH(A57,Riscos!$AI$5:$AI$154,0)),"Riscos",IF(ISNUMBER(MATCH(A57,Oportunidades!$AC$5:$AC$154,0)),"Oportunidades","—")))</f>
        <v/>
      </c>
    </row>
    <row r="58" spans="1:11">
      <c r="A58" s="132"/>
      <c r="B58" s="12"/>
      <c r="C58" s="13"/>
      <c r="D58" s="12"/>
      <c r="E58" s="13"/>
      <c r="F58" s="16"/>
      <c r="G58" s="12"/>
      <c r="H58" s="16"/>
      <c r="I58" s="16"/>
      <c r="J58" s="14" t="str">
        <f>IF(A58="","",IFERROR(INDEX(Riscos!$A$5:$A$154,MATCH(A58,Riscos!$AI$5:$AI$154,0)),IFERROR(INDEX(Oportunidades!$A$5:$A$154,MATCH(A58,Oportunidades!$AC$5:$AC$154,0)),"—")))</f>
        <v/>
      </c>
      <c r="K58" s="133" t="str">
        <f>IF(A58="","",IF(ISNUMBER(MATCH(A58,Riscos!$AI$5:$AI$154,0)),"Riscos",IF(ISNUMBER(MATCH(A58,Oportunidades!$AC$5:$AC$154,0)),"Oportunidades","—")))</f>
        <v/>
      </c>
    </row>
    <row r="59" spans="1:11">
      <c r="A59" s="132"/>
      <c r="B59" s="12"/>
      <c r="C59" s="13"/>
      <c r="D59" s="12"/>
      <c r="E59" s="13"/>
      <c r="F59" s="16"/>
      <c r="G59" s="12"/>
      <c r="H59" s="16"/>
      <c r="I59" s="16"/>
      <c r="J59" s="14" t="str">
        <f>IF(A59="","",IFERROR(INDEX(Riscos!$A$5:$A$154,MATCH(A59,Riscos!$AI$5:$AI$154,0)),IFERROR(INDEX(Oportunidades!$A$5:$A$154,MATCH(A59,Oportunidades!$AC$5:$AC$154,0)),"—")))</f>
        <v/>
      </c>
      <c r="K59" s="133" t="str">
        <f>IF(A59="","",IF(ISNUMBER(MATCH(A59,Riscos!$AI$5:$AI$154,0)),"Riscos",IF(ISNUMBER(MATCH(A59,Oportunidades!$AC$5:$AC$154,0)),"Oportunidades","—")))</f>
        <v/>
      </c>
    </row>
    <row r="60" spans="1:11">
      <c r="A60" s="132"/>
      <c r="B60" s="12"/>
      <c r="C60" s="13"/>
      <c r="D60" s="12"/>
      <c r="E60" s="13"/>
      <c r="F60" s="16"/>
      <c r="G60" s="12"/>
      <c r="H60" s="16"/>
      <c r="I60" s="16"/>
      <c r="J60" s="14" t="str">
        <f>IF(A60="","",IFERROR(INDEX(Riscos!$A$5:$A$154,MATCH(A60,Riscos!$AI$5:$AI$154,0)),IFERROR(INDEX(Oportunidades!$A$5:$A$154,MATCH(A60,Oportunidades!$AC$5:$AC$154,0)),"—")))</f>
        <v/>
      </c>
      <c r="K60" s="133" t="str">
        <f>IF(A60="","",IF(ISNUMBER(MATCH(A60,Riscos!$AI$5:$AI$154,0)),"Riscos",IF(ISNUMBER(MATCH(A60,Oportunidades!$AC$5:$AC$154,0)),"Oportunidades","—")))</f>
        <v/>
      </c>
    </row>
    <row r="61" spans="1:11">
      <c r="A61" s="132"/>
      <c r="B61" s="12"/>
      <c r="C61" s="13"/>
      <c r="D61" s="12"/>
      <c r="E61" s="13"/>
      <c r="F61" s="16"/>
      <c r="G61" s="12"/>
      <c r="H61" s="16"/>
      <c r="I61" s="16"/>
      <c r="J61" s="14" t="str">
        <f>IF(A61="","",IFERROR(INDEX(Riscos!$A$5:$A$154,MATCH(A61,Riscos!$AI$5:$AI$154,0)),IFERROR(INDEX(Oportunidades!$A$5:$A$154,MATCH(A61,Oportunidades!$AC$5:$AC$154,0)),"—")))</f>
        <v/>
      </c>
      <c r="K61" s="133" t="str">
        <f>IF(A61="","",IF(ISNUMBER(MATCH(A61,Riscos!$AI$5:$AI$154,0)),"Riscos",IF(ISNUMBER(MATCH(A61,Oportunidades!$AC$5:$AC$154,0)),"Oportunidades","—")))</f>
        <v/>
      </c>
    </row>
    <row r="62" spans="1:11">
      <c r="A62" s="132"/>
      <c r="B62" s="12"/>
      <c r="C62" s="13"/>
      <c r="D62" s="12"/>
      <c r="E62" s="13"/>
      <c r="F62" s="16"/>
      <c r="G62" s="12"/>
      <c r="H62" s="16"/>
      <c r="I62" s="16"/>
      <c r="J62" s="14" t="str">
        <f>IF(A62="","",IFERROR(INDEX(Riscos!$A$5:$A$154,MATCH(A62,Riscos!$AI$5:$AI$154,0)),IFERROR(INDEX(Oportunidades!$A$5:$A$154,MATCH(A62,Oportunidades!$AC$5:$AC$154,0)),"—")))</f>
        <v/>
      </c>
      <c r="K62" s="133" t="str">
        <f>IF(A62="","",IF(ISNUMBER(MATCH(A62,Riscos!$AI$5:$AI$154,0)),"Riscos",IF(ISNUMBER(MATCH(A62,Oportunidades!$AC$5:$AC$154,0)),"Oportunidades","—")))</f>
        <v/>
      </c>
    </row>
    <row r="63" spans="1:11">
      <c r="A63" s="132"/>
      <c r="B63" s="12"/>
      <c r="C63" s="13"/>
      <c r="D63" s="12"/>
      <c r="E63" s="13"/>
      <c r="F63" s="16"/>
      <c r="G63" s="12"/>
      <c r="H63" s="16"/>
      <c r="I63" s="16"/>
      <c r="J63" s="14" t="str">
        <f>IF(A63="","",IFERROR(INDEX(Riscos!$A$5:$A$154,MATCH(A63,Riscos!$AI$5:$AI$154,0)),IFERROR(INDEX(Oportunidades!$A$5:$A$154,MATCH(A63,Oportunidades!$AC$5:$AC$154,0)),"—")))</f>
        <v/>
      </c>
      <c r="K63" s="133" t="str">
        <f>IF(A63="","",IF(ISNUMBER(MATCH(A63,Riscos!$AI$5:$AI$154,0)),"Riscos",IF(ISNUMBER(MATCH(A63,Oportunidades!$AC$5:$AC$154,0)),"Oportunidades","—")))</f>
        <v/>
      </c>
    </row>
    <row r="64" spans="1:11">
      <c r="A64" s="132"/>
      <c r="B64" s="12"/>
      <c r="C64" s="13"/>
      <c r="D64" s="12"/>
      <c r="E64" s="13"/>
      <c r="F64" s="16"/>
      <c r="G64" s="12"/>
      <c r="H64" s="16"/>
      <c r="I64" s="16"/>
      <c r="J64" s="14" t="str">
        <f>IF(A64="","",IFERROR(INDEX(Riscos!$A$5:$A$154,MATCH(A64,Riscos!$AI$5:$AI$154,0)),IFERROR(INDEX(Oportunidades!$A$5:$A$154,MATCH(A64,Oportunidades!$AC$5:$AC$154,0)),"—")))</f>
        <v/>
      </c>
      <c r="K64" s="133" t="str">
        <f>IF(A64="","",IF(ISNUMBER(MATCH(A64,Riscos!$AI$5:$AI$154,0)),"Riscos",IF(ISNUMBER(MATCH(A64,Oportunidades!$AC$5:$AC$154,0)),"Oportunidades","—")))</f>
        <v/>
      </c>
    </row>
    <row r="65" spans="1:11">
      <c r="A65" s="132"/>
      <c r="B65" s="12"/>
      <c r="C65" s="13"/>
      <c r="D65" s="12"/>
      <c r="E65" s="13"/>
      <c r="F65" s="16"/>
      <c r="G65" s="12"/>
      <c r="H65" s="16"/>
      <c r="I65" s="16"/>
      <c r="J65" s="14" t="str">
        <f>IF(A65="","",IFERROR(INDEX(Riscos!$A$5:$A$154,MATCH(A65,Riscos!$AI$5:$AI$154,0)),IFERROR(INDEX(Oportunidades!$A$5:$A$154,MATCH(A65,Oportunidades!$AC$5:$AC$154,0)),"—")))</f>
        <v/>
      </c>
      <c r="K65" s="133" t="str">
        <f>IF(A65="","",IF(ISNUMBER(MATCH(A65,Riscos!$AI$5:$AI$154,0)),"Riscos",IF(ISNUMBER(MATCH(A65,Oportunidades!$AC$5:$AC$154,0)),"Oportunidades","—")))</f>
        <v/>
      </c>
    </row>
    <row r="66" spans="1:11">
      <c r="A66" s="132"/>
      <c r="B66" s="12"/>
      <c r="C66" s="13"/>
      <c r="D66" s="12"/>
      <c r="E66" s="13"/>
      <c r="F66" s="16"/>
      <c r="G66" s="12"/>
      <c r="H66" s="16"/>
      <c r="I66" s="16"/>
      <c r="J66" s="14" t="str">
        <f>IF(A66="","",IFERROR(INDEX(Riscos!$A$5:$A$154,MATCH(A66,Riscos!$AI$5:$AI$154,0)),IFERROR(INDEX(Oportunidades!$A$5:$A$154,MATCH(A66,Oportunidades!$AC$5:$AC$154,0)),"—")))</f>
        <v/>
      </c>
      <c r="K66" s="133" t="str">
        <f>IF(A66="","",IF(ISNUMBER(MATCH(A66,Riscos!$AI$5:$AI$154,0)),"Riscos",IF(ISNUMBER(MATCH(A66,Oportunidades!$AC$5:$AC$154,0)),"Oportunidades","—")))</f>
        <v/>
      </c>
    </row>
    <row r="67" spans="1:11">
      <c r="A67" s="132"/>
      <c r="B67" s="12"/>
      <c r="C67" s="13"/>
      <c r="D67" s="12"/>
      <c r="E67" s="13"/>
      <c r="F67" s="16"/>
      <c r="G67" s="12"/>
      <c r="H67" s="16"/>
      <c r="I67" s="16"/>
      <c r="J67" s="14" t="str">
        <f>IF(A67="","",IFERROR(INDEX(Riscos!$A$5:$A$154,MATCH(A67,Riscos!$AI$5:$AI$154,0)),IFERROR(INDEX(Oportunidades!$A$5:$A$154,MATCH(A67,Oportunidades!$AC$5:$AC$154,0)),"—")))</f>
        <v/>
      </c>
      <c r="K67" s="133" t="str">
        <f>IF(A67="","",IF(ISNUMBER(MATCH(A67,Riscos!$AI$5:$AI$154,0)),"Riscos",IF(ISNUMBER(MATCH(A67,Oportunidades!$AC$5:$AC$154,0)),"Oportunidades","—")))</f>
        <v/>
      </c>
    </row>
    <row r="68" spans="1:11">
      <c r="A68" s="132"/>
      <c r="B68" s="12"/>
      <c r="C68" s="13"/>
      <c r="D68" s="12"/>
      <c r="E68" s="13"/>
      <c r="F68" s="16"/>
      <c r="G68" s="12"/>
      <c r="H68" s="16"/>
      <c r="I68" s="16"/>
      <c r="J68" s="14" t="str">
        <f>IF(A68="","",IFERROR(INDEX(Riscos!$A$5:$A$154,MATCH(A68,Riscos!$AI$5:$AI$154,0)),IFERROR(INDEX(Oportunidades!$A$5:$A$154,MATCH(A68,Oportunidades!$AC$5:$AC$154,0)),"—")))</f>
        <v/>
      </c>
      <c r="K68" s="133" t="str">
        <f>IF(A68="","",IF(ISNUMBER(MATCH(A68,Riscos!$AI$5:$AI$154,0)),"Riscos",IF(ISNUMBER(MATCH(A68,Oportunidades!$AC$5:$AC$154,0)),"Oportunidades","—")))</f>
        <v/>
      </c>
    </row>
    <row r="69" spans="1:11">
      <c r="A69" s="132"/>
      <c r="B69" s="12"/>
      <c r="C69" s="13"/>
      <c r="D69" s="12"/>
      <c r="E69" s="13"/>
      <c r="F69" s="16"/>
      <c r="G69" s="12"/>
      <c r="H69" s="16"/>
      <c r="I69" s="16"/>
      <c r="J69" s="14" t="str">
        <f>IF(A69="","",IFERROR(INDEX(Riscos!$A$5:$A$154,MATCH(A69,Riscos!$AI$5:$AI$154,0)),IFERROR(INDEX(Oportunidades!$A$5:$A$154,MATCH(A69,Oportunidades!$AC$5:$AC$154,0)),"—")))</f>
        <v/>
      </c>
      <c r="K69" s="133" t="str">
        <f>IF(A69="","",IF(ISNUMBER(MATCH(A69,Riscos!$AI$5:$AI$154,0)),"Riscos",IF(ISNUMBER(MATCH(A69,Oportunidades!$AC$5:$AC$154,0)),"Oportunidades","—")))</f>
        <v/>
      </c>
    </row>
    <row r="70" spans="1:11">
      <c r="A70" s="132"/>
      <c r="B70" s="12"/>
      <c r="C70" s="13"/>
      <c r="D70" s="12"/>
      <c r="E70" s="13"/>
      <c r="F70" s="16"/>
      <c r="G70" s="12"/>
      <c r="H70" s="16"/>
      <c r="I70" s="16"/>
      <c r="J70" s="14" t="str">
        <f>IF(A70="","",IFERROR(INDEX(Riscos!$A$5:$A$154,MATCH(A70,Riscos!$AI$5:$AI$154,0)),IFERROR(INDEX(Oportunidades!$A$5:$A$154,MATCH(A70,Oportunidades!$AC$5:$AC$154,0)),"—")))</f>
        <v/>
      </c>
      <c r="K70" s="133" t="str">
        <f>IF(A70="","",IF(ISNUMBER(MATCH(A70,Riscos!$AI$5:$AI$154,0)),"Riscos",IF(ISNUMBER(MATCH(A70,Oportunidades!$AC$5:$AC$154,0)),"Oportunidades","—")))</f>
        <v/>
      </c>
    </row>
    <row r="71" spans="1:11">
      <c r="A71" s="132"/>
      <c r="B71" s="12"/>
      <c r="C71" s="13"/>
      <c r="D71" s="12"/>
      <c r="E71" s="13"/>
      <c r="F71" s="16"/>
      <c r="G71" s="12"/>
      <c r="H71" s="16"/>
      <c r="I71" s="16"/>
      <c r="J71" s="14" t="str">
        <f>IF(A71="","",IFERROR(INDEX(Riscos!$A$5:$A$154,MATCH(A71,Riscos!$AI$5:$AI$154,0)),IFERROR(INDEX(Oportunidades!$A$5:$A$154,MATCH(A71,Oportunidades!$AC$5:$AC$154,0)),"—")))</f>
        <v/>
      </c>
      <c r="K71" s="133" t="str">
        <f>IF(A71="","",IF(ISNUMBER(MATCH(A71,Riscos!$AI$5:$AI$154,0)),"Riscos",IF(ISNUMBER(MATCH(A71,Oportunidades!$AC$5:$AC$154,0)),"Oportunidades","—")))</f>
        <v/>
      </c>
    </row>
    <row r="72" spans="1:11">
      <c r="A72" s="132"/>
      <c r="B72" s="12"/>
      <c r="C72" s="13"/>
      <c r="D72" s="12"/>
      <c r="E72" s="13"/>
      <c r="F72" s="16"/>
      <c r="G72" s="12"/>
      <c r="H72" s="16"/>
      <c r="I72" s="16"/>
      <c r="J72" s="14" t="str">
        <f>IF(A72="","",IFERROR(INDEX(Riscos!$A$5:$A$154,MATCH(A72,Riscos!$AI$5:$AI$154,0)),IFERROR(INDEX(Oportunidades!$A$5:$A$154,MATCH(A72,Oportunidades!$AC$5:$AC$154,0)),"—")))</f>
        <v/>
      </c>
      <c r="K72" s="133" t="str">
        <f>IF(A72="","",IF(ISNUMBER(MATCH(A72,Riscos!$AI$5:$AI$154,0)),"Riscos",IF(ISNUMBER(MATCH(A72,Oportunidades!$AC$5:$AC$154,0)),"Oportunidades","—")))</f>
        <v/>
      </c>
    </row>
    <row r="73" spans="1:11">
      <c r="A73" s="132"/>
      <c r="B73" s="12"/>
      <c r="C73" s="13"/>
      <c r="D73" s="12"/>
      <c r="E73" s="13"/>
      <c r="F73" s="16"/>
      <c r="G73" s="12"/>
      <c r="H73" s="16"/>
      <c r="I73" s="16"/>
      <c r="J73" s="14" t="str">
        <f>IF(A73="","",IFERROR(INDEX(Riscos!$A$5:$A$154,MATCH(A73,Riscos!$AI$5:$AI$154,0)),IFERROR(INDEX(Oportunidades!$A$5:$A$154,MATCH(A73,Oportunidades!$AC$5:$AC$154,0)),"—")))</f>
        <v/>
      </c>
      <c r="K73" s="133" t="str">
        <f>IF(A73="","",IF(ISNUMBER(MATCH(A73,Riscos!$AI$5:$AI$154,0)),"Riscos",IF(ISNUMBER(MATCH(A73,Oportunidades!$AC$5:$AC$154,0)),"Oportunidades","—")))</f>
        <v/>
      </c>
    </row>
    <row r="74" spans="1:11">
      <c r="A74" s="132"/>
      <c r="B74" s="12"/>
      <c r="C74" s="13"/>
      <c r="D74" s="12"/>
      <c r="E74" s="13"/>
      <c r="F74" s="16"/>
      <c r="G74" s="12"/>
      <c r="H74" s="16"/>
      <c r="I74" s="16"/>
      <c r="J74" s="14" t="str">
        <f>IF(A74="","",IFERROR(INDEX(Riscos!$A$5:$A$154,MATCH(A74,Riscos!$AI$5:$AI$154,0)),IFERROR(INDEX(Oportunidades!$A$5:$A$154,MATCH(A74,Oportunidades!$AC$5:$AC$154,0)),"—")))</f>
        <v/>
      </c>
      <c r="K74" s="133" t="str">
        <f>IF(A74="","",IF(ISNUMBER(MATCH(A74,Riscos!$AI$5:$AI$154,0)),"Riscos",IF(ISNUMBER(MATCH(A74,Oportunidades!$AC$5:$AC$154,0)),"Oportunidades","—")))</f>
        <v/>
      </c>
    </row>
    <row r="75" spans="1:11">
      <c r="A75" s="132"/>
      <c r="B75" s="12"/>
      <c r="C75" s="13"/>
      <c r="D75" s="12"/>
      <c r="E75" s="13"/>
      <c r="F75" s="16"/>
      <c r="G75" s="12"/>
      <c r="H75" s="16"/>
      <c r="I75" s="16"/>
      <c r="J75" s="14" t="str">
        <f>IF(A75="","",IFERROR(INDEX(Riscos!$A$5:$A$154,MATCH(A75,Riscos!$AI$5:$AI$154,0)),IFERROR(INDEX(Oportunidades!$A$5:$A$154,MATCH(A75,Oportunidades!$AC$5:$AC$154,0)),"—")))</f>
        <v/>
      </c>
      <c r="K75" s="133" t="str">
        <f>IF(A75="","",IF(ISNUMBER(MATCH(A75,Riscos!$AI$5:$AI$154,0)),"Riscos",IF(ISNUMBER(MATCH(A75,Oportunidades!$AC$5:$AC$154,0)),"Oportunidades","—")))</f>
        <v/>
      </c>
    </row>
    <row r="76" spans="1:11">
      <c r="A76" s="132"/>
      <c r="B76" s="12"/>
      <c r="C76" s="13"/>
      <c r="D76" s="12"/>
      <c r="E76" s="13"/>
      <c r="F76" s="16"/>
      <c r="G76" s="12"/>
      <c r="H76" s="16"/>
      <c r="I76" s="16"/>
      <c r="J76" s="14" t="str">
        <f>IF(A76="","",IFERROR(INDEX(Riscos!$A$5:$A$154,MATCH(A76,Riscos!$AI$5:$AI$154,0)),IFERROR(INDEX(Oportunidades!$A$5:$A$154,MATCH(A76,Oportunidades!$AC$5:$AC$154,0)),"—")))</f>
        <v/>
      </c>
      <c r="K76" s="133" t="str">
        <f>IF(A76="","",IF(ISNUMBER(MATCH(A76,Riscos!$AI$5:$AI$154,0)),"Riscos",IF(ISNUMBER(MATCH(A76,Oportunidades!$AC$5:$AC$154,0)),"Oportunidades","—")))</f>
        <v/>
      </c>
    </row>
    <row r="77" spans="1:11">
      <c r="A77" s="132"/>
      <c r="B77" s="12"/>
      <c r="C77" s="13"/>
      <c r="D77" s="12"/>
      <c r="E77" s="13"/>
      <c r="F77" s="16"/>
      <c r="G77" s="12"/>
      <c r="H77" s="16"/>
      <c r="I77" s="16"/>
      <c r="J77" s="14" t="str">
        <f>IF(A77="","",IFERROR(INDEX(Riscos!$A$5:$A$154,MATCH(A77,Riscos!$AI$5:$AI$154,0)),IFERROR(INDEX(Oportunidades!$A$5:$A$154,MATCH(A77,Oportunidades!$AC$5:$AC$154,0)),"—")))</f>
        <v/>
      </c>
      <c r="K77" s="133" t="str">
        <f>IF(A77="","",IF(ISNUMBER(MATCH(A77,Riscos!$AI$5:$AI$154,0)),"Riscos",IF(ISNUMBER(MATCH(A77,Oportunidades!$AC$5:$AC$154,0)),"Oportunidades","—")))</f>
        <v/>
      </c>
    </row>
    <row r="78" spans="1:11">
      <c r="A78" s="132"/>
      <c r="B78" s="12"/>
      <c r="C78" s="13"/>
      <c r="D78" s="12"/>
      <c r="E78" s="13"/>
      <c r="F78" s="16"/>
      <c r="G78" s="12"/>
      <c r="H78" s="16"/>
      <c r="I78" s="16"/>
      <c r="J78" s="14" t="str">
        <f>IF(A78="","",IFERROR(INDEX(Riscos!$A$5:$A$154,MATCH(A78,Riscos!$AI$5:$AI$154,0)),IFERROR(INDEX(Oportunidades!$A$5:$A$154,MATCH(A78,Oportunidades!$AC$5:$AC$154,0)),"—")))</f>
        <v/>
      </c>
      <c r="K78" s="133" t="str">
        <f>IF(A78="","",IF(ISNUMBER(MATCH(A78,Riscos!$AI$5:$AI$154,0)),"Riscos",IF(ISNUMBER(MATCH(A78,Oportunidades!$AC$5:$AC$154,0)),"Oportunidades","—")))</f>
        <v/>
      </c>
    </row>
    <row r="79" spans="1:11">
      <c r="A79" s="132"/>
      <c r="B79" s="12"/>
      <c r="C79" s="13"/>
      <c r="D79" s="12"/>
      <c r="E79" s="13"/>
      <c r="F79" s="16"/>
      <c r="G79" s="12"/>
      <c r="H79" s="16"/>
      <c r="I79" s="16"/>
      <c r="J79" s="14" t="str">
        <f>IF(A79="","",IFERROR(INDEX(Riscos!$A$5:$A$154,MATCH(A79,Riscos!$AI$5:$AI$154,0)),IFERROR(INDEX(Oportunidades!$A$5:$A$154,MATCH(A79,Oportunidades!$AC$5:$AC$154,0)),"—")))</f>
        <v/>
      </c>
      <c r="K79" s="133" t="str">
        <f>IF(A79="","",IF(ISNUMBER(MATCH(A79,Riscos!$AI$5:$AI$154,0)),"Riscos",IF(ISNUMBER(MATCH(A79,Oportunidades!$AC$5:$AC$154,0)),"Oportunidades","—")))</f>
        <v/>
      </c>
    </row>
    <row r="80" spans="1:11">
      <c r="A80" s="132"/>
      <c r="B80" s="12"/>
      <c r="C80" s="13"/>
      <c r="D80" s="12"/>
      <c r="E80" s="13"/>
      <c r="F80" s="16"/>
      <c r="G80" s="12"/>
      <c r="H80" s="16"/>
      <c r="I80" s="16"/>
      <c r="J80" s="14" t="str">
        <f>IF(A80="","",IFERROR(INDEX(Riscos!$A$5:$A$154,MATCH(A80,Riscos!$AI$5:$AI$154,0)),IFERROR(INDEX(Oportunidades!$A$5:$A$154,MATCH(A80,Oportunidades!$AC$5:$AC$154,0)),"—")))</f>
        <v/>
      </c>
      <c r="K80" s="133" t="str">
        <f>IF(A80="","",IF(ISNUMBER(MATCH(A80,Riscos!$AI$5:$AI$154,0)),"Riscos",IF(ISNUMBER(MATCH(A80,Oportunidades!$AC$5:$AC$154,0)),"Oportunidades","—")))</f>
        <v/>
      </c>
    </row>
    <row r="81" spans="1:11">
      <c r="A81" s="132"/>
      <c r="B81" s="12"/>
      <c r="C81" s="13"/>
      <c r="D81" s="12"/>
      <c r="E81" s="13"/>
      <c r="F81" s="16"/>
      <c r="G81" s="12"/>
      <c r="H81" s="16"/>
      <c r="I81" s="16"/>
      <c r="J81" s="14" t="str">
        <f>IF(A81="","",IFERROR(INDEX(Riscos!$A$5:$A$154,MATCH(A81,Riscos!$AI$5:$AI$154,0)),IFERROR(INDEX(Oportunidades!$A$5:$A$154,MATCH(A81,Oportunidades!$AC$5:$AC$154,0)),"—")))</f>
        <v/>
      </c>
      <c r="K81" s="133" t="str">
        <f>IF(A81="","",IF(ISNUMBER(MATCH(A81,Riscos!$AI$5:$AI$154,0)),"Riscos",IF(ISNUMBER(MATCH(A81,Oportunidades!$AC$5:$AC$154,0)),"Oportunidades","—")))</f>
        <v/>
      </c>
    </row>
    <row r="82" spans="1:11">
      <c r="A82" s="132"/>
      <c r="B82" s="12"/>
      <c r="C82" s="13"/>
      <c r="D82" s="12"/>
      <c r="E82" s="13"/>
      <c r="F82" s="16"/>
      <c r="G82" s="12"/>
      <c r="H82" s="16"/>
      <c r="I82" s="16"/>
      <c r="J82" s="14" t="str">
        <f>IF(A82="","",IFERROR(INDEX(Riscos!$A$5:$A$154,MATCH(A82,Riscos!$AI$5:$AI$154,0)),IFERROR(INDEX(Oportunidades!$A$5:$A$154,MATCH(A82,Oportunidades!$AC$5:$AC$154,0)),"—")))</f>
        <v/>
      </c>
      <c r="K82" s="133" t="str">
        <f>IF(A82="","",IF(ISNUMBER(MATCH(A82,Riscos!$AI$5:$AI$154,0)),"Riscos",IF(ISNUMBER(MATCH(A82,Oportunidades!$AC$5:$AC$154,0)),"Oportunidades","—")))</f>
        <v/>
      </c>
    </row>
    <row r="83" spans="1:11">
      <c r="A83" s="132"/>
      <c r="B83" s="12"/>
      <c r="C83" s="13"/>
      <c r="D83" s="12"/>
      <c r="E83" s="13"/>
      <c r="F83" s="16"/>
      <c r="G83" s="12"/>
      <c r="H83" s="16"/>
      <c r="I83" s="16"/>
      <c r="J83" s="14" t="str">
        <f>IF(A83="","",IFERROR(INDEX(Riscos!$A$5:$A$154,MATCH(A83,Riscos!$AI$5:$AI$154,0)),IFERROR(INDEX(Oportunidades!$A$5:$A$154,MATCH(A83,Oportunidades!$AC$5:$AC$154,0)),"—")))</f>
        <v/>
      </c>
      <c r="K83" s="133" t="str">
        <f>IF(A83="","",IF(ISNUMBER(MATCH(A83,Riscos!$AI$5:$AI$154,0)),"Riscos",IF(ISNUMBER(MATCH(A83,Oportunidades!$AC$5:$AC$154,0)),"Oportunidades","—")))</f>
        <v/>
      </c>
    </row>
    <row r="84" spans="1:11">
      <c r="A84" s="132"/>
      <c r="B84" s="12"/>
      <c r="C84" s="13"/>
      <c r="D84" s="12"/>
      <c r="E84" s="13"/>
      <c r="F84" s="16"/>
      <c r="G84" s="12"/>
      <c r="H84" s="16"/>
      <c r="I84" s="16"/>
      <c r="J84" s="14" t="str">
        <f>IF(A84="","",IFERROR(INDEX(Riscos!$A$5:$A$154,MATCH(A84,Riscos!$AI$5:$AI$154,0)),IFERROR(INDEX(Oportunidades!$A$5:$A$154,MATCH(A84,Oportunidades!$AC$5:$AC$154,0)),"—")))</f>
        <v/>
      </c>
      <c r="K84" s="133" t="str">
        <f>IF(A84="","",IF(ISNUMBER(MATCH(A84,Riscos!$AI$5:$AI$154,0)),"Riscos",IF(ISNUMBER(MATCH(A84,Oportunidades!$AC$5:$AC$154,0)),"Oportunidades","—")))</f>
        <v/>
      </c>
    </row>
    <row r="85" spans="1:11">
      <c r="A85" s="132"/>
      <c r="B85" s="12"/>
      <c r="C85" s="13"/>
      <c r="D85" s="12"/>
      <c r="E85" s="13"/>
      <c r="F85" s="16"/>
      <c r="G85" s="12"/>
      <c r="H85" s="16"/>
      <c r="I85" s="16"/>
      <c r="J85" s="14" t="str">
        <f>IF(A85="","",IFERROR(INDEX(Riscos!$A$5:$A$154,MATCH(A85,Riscos!$AI$5:$AI$154,0)),IFERROR(INDEX(Oportunidades!$A$5:$A$154,MATCH(A85,Oportunidades!$AC$5:$AC$154,0)),"—")))</f>
        <v/>
      </c>
      <c r="K85" s="133" t="str">
        <f>IF(A85="","",IF(ISNUMBER(MATCH(A85,Riscos!$AI$5:$AI$154,0)),"Riscos",IF(ISNUMBER(MATCH(A85,Oportunidades!$AC$5:$AC$154,0)),"Oportunidades","—")))</f>
        <v/>
      </c>
    </row>
    <row r="86" spans="1:11">
      <c r="A86" s="132"/>
      <c r="B86" s="12"/>
      <c r="C86" s="13"/>
      <c r="D86" s="12"/>
      <c r="E86" s="13"/>
      <c r="F86" s="16"/>
      <c r="G86" s="12"/>
      <c r="H86" s="16"/>
      <c r="I86" s="16"/>
      <c r="J86" s="14" t="str">
        <f>IF(A86="","",IFERROR(INDEX(Riscos!$A$5:$A$154,MATCH(A86,Riscos!$AI$5:$AI$154,0)),IFERROR(INDEX(Oportunidades!$A$5:$A$154,MATCH(A86,Oportunidades!$AC$5:$AC$154,0)),"—")))</f>
        <v/>
      </c>
      <c r="K86" s="133" t="str">
        <f>IF(A86="","",IF(ISNUMBER(MATCH(A86,Riscos!$AI$5:$AI$154,0)),"Riscos",IF(ISNUMBER(MATCH(A86,Oportunidades!$AC$5:$AC$154,0)),"Oportunidades","—")))</f>
        <v/>
      </c>
    </row>
    <row r="87" spans="1:11">
      <c r="A87" s="132"/>
      <c r="B87" s="12"/>
      <c r="C87" s="13"/>
      <c r="D87" s="12"/>
      <c r="E87" s="13"/>
      <c r="F87" s="16"/>
      <c r="G87" s="12"/>
      <c r="H87" s="16"/>
      <c r="I87" s="16"/>
      <c r="J87" s="14" t="str">
        <f>IF(A87="","",IFERROR(INDEX(Riscos!$A$5:$A$154,MATCH(A87,Riscos!$AI$5:$AI$154,0)),IFERROR(INDEX(Oportunidades!$A$5:$A$154,MATCH(A87,Oportunidades!$AC$5:$AC$154,0)),"—")))</f>
        <v/>
      </c>
      <c r="K87" s="133" t="str">
        <f>IF(A87="","",IF(ISNUMBER(MATCH(A87,Riscos!$AI$5:$AI$154,0)),"Riscos",IF(ISNUMBER(MATCH(A87,Oportunidades!$AC$5:$AC$154,0)),"Oportunidades","—")))</f>
        <v/>
      </c>
    </row>
    <row r="88" spans="1:11">
      <c r="A88" s="132"/>
      <c r="B88" s="12"/>
      <c r="C88" s="13"/>
      <c r="D88" s="12"/>
      <c r="E88" s="13"/>
      <c r="F88" s="16"/>
      <c r="G88" s="12"/>
      <c r="H88" s="16"/>
      <c r="I88" s="16"/>
      <c r="J88" s="14" t="str">
        <f>IF(A88="","",IFERROR(INDEX(Riscos!$A$5:$A$154,MATCH(A88,Riscos!$AI$5:$AI$154,0)),IFERROR(INDEX(Oportunidades!$A$5:$A$154,MATCH(A88,Oportunidades!$AC$5:$AC$154,0)),"—")))</f>
        <v/>
      </c>
      <c r="K88" s="133" t="str">
        <f>IF(A88="","",IF(ISNUMBER(MATCH(A88,Riscos!$AI$5:$AI$154,0)),"Riscos",IF(ISNUMBER(MATCH(A88,Oportunidades!$AC$5:$AC$154,0)),"Oportunidades","—")))</f>
        <v/>
      </c>
    </row>
    <row r="89" spans="1:11">
      <c r="A89" s="132"/>
      <c r="B89" s="12"/>
      <c r="C89" s="13"/>
      <c r="D89" s="12"/>
      <c r="E89" s="13"/>
      <c r="F89" s="16"/>
      <c r="G89" s="12"/>
      <c r="H89" s="16"/>
      <c r="I89" s="16"/>
      <c r="J89" s="14" t="str">
        <f>IF(A89="","",IFERROR(INDEX(Riscos!$A$5:$A$154,MATCH(A89,Riscos!$AI$5:$AI$154,0)),IFERROR(INDEX(Oportunidades!$A$5:$A$154,MATCH(A89,Oportunidades!$AC$5:$AC$154,0)),"—")))</f>
        <v/>
      </c>
      <c r="K89" s="133" t="str">
        <f>IF(A89="","",IF(ISNUMBER(MATCH(A89,Riscos!$AI$5:$AI$154,0)),"Riscos",IF(ISNUMBER(MATCH(A89,Oportunidades!$AC$5:$AC$154,0)),"Oportunidades","—")))</f>
        <v/>
      </c>
    </row>
    <row r="90" spans="1:11">
      <c r="A90" s="132"/>
      <c r="B90" s="12"/>
      <c r="C90" s="13"/>
      <c r="D90" s="12"/>
      <c r="E90" s="13"/>
      <c r="F90" s="16"/>
      <c r="G90" s="12"/>
      <c r="H90" s="16"/>
      <c r="I90" s="16"/>
      <c r="J90" s="14" t="str">
        <f>IF(A90="","",IFERROR(INDEX(Riscos!$A$5:$A$154,MATCH(A90,Riscos!$AI$5:$AI$154,0)),IFERROR(INDEX(Oportunidades!$A$5:$A$154,MATCH(A90,Oportunidades!$AC$5:$AC$154,0)),"—")))</f>
        <v/>
      </c>
      <c r="K90" s="133" t="str">
        <f>IF(A90="","",IF(ISNUMBER(MATCH(A90,Riscos!$AI$5:$AI$154,0)),"Riscos",IF(ISNUMBER(MATCH(A90,Oportunidades!$AC$5:$AC$154,0)),"Oportunidades","—")))</f>
        <v/>
      </c>
    </row>
    <row r="91" spans="1:11">
      <c r="A91" s="132"/>
      <c r="B91" s="12"/>
      <c r="C91" s="13"/>
      <c r="D91" s="12"/>
      <c r="E91" s="13"/>
      <c r="F91" s="16"/>
      <c r="G91" s="12"/>
      <c r="H91" s="16"/>
      <c r="I91" s="16"/>
      <c r="J91" s="14" t="str">
        <f>IF(A91="","",IFERROR(INDEX(Riscos!$A$5:$A$154,MATCH(A91,Riscos!$AI$5:$AI$154,0)),IFERROR(INDEX(Oportunidades!$A$5:$A$154,MATCH(A91,Oportunidades!$AC$5:$AC$154,0)),"—")))</f>
        <v/>
      </c>
      <c r="K91" s="133" t="str">
        <f>IF(A91="","",IF(ISNUMBER(MATCH(A91,Riscos!$AI$5:$AI$154,0)),"Riscos",IF(ISNUMBER(MATCH(A91,Oportunidades!$AC$5:$AC$154,0)),"Oportunidades","—")))</f>
        <v/>
      </c>
    </row>
    <row r="92" spans="1:11">
      <c r="A92" s="132"/>
      <c r="B92" s="12"/>
      <c r="C92" s="13"/>
      <c r="D92" s="12"/>
      <c r="E92" s="13"/>
      <c r="F92" s="16"/>
      <c r="G92" s="12"/>
      <c r="H92" s="16"/>
      <c r="I92" s="16"/>
      <c r="J92" s="14" t="str">
        <f>IF(A92="","",IFERROR(INDEX(Riscos!$A$5:$A$154,MATCH(A92,Riscos!$AI$5:$AI$154,0)),IFERROR(INDEX(Oportunidades!$A$5:$A$154,MATCH(A92,Oportunidades!$AC$5:$AC$154,0)),"—")))</f>
        <v/>
      </c>
      <c r="K92" s="133" t="str">
        <f>IF(A92="","",IF(ISNUMBER(MATCH(A92,Riscos!$AI$5:$AI$154,0)),"Riscos",IF(ISNUMBER(MATCH(A92,Oportunidades!$AC$5:$AC$154,0)),"Oportunidades","—")))</f>
        <v/>
      </c>
    </row>
    <row r="93" spans="1:11">
      <c r="A93" s="132"/>
      <c r="B93" s="12"/>
      <c r="C93" s="13"/>
      <c r="D93" s="12"/>
      <c r="E93" s="13"/>
      <c r="F93" s="16"/>
      <c r="G93" s="12"/>
      <c r="H93" s="16"/>
      <c r="I93" s="16"/>
      <c r="J93" s="14" t="str">
        <f>IF(A93="","",IFERROR(INDEX(Riscos!$A$5:$A$154,MATCH(A93,Riscos!$AI$5:$AI$154,0)),IFERROR(INDEX(Oportunidades!$A$5:$A$154,MATCH(A93,Oportunidades!$AC$5:$AC$154,0)),"—")))</f>
        <v/>
      </c>
      <c r="K93" s="133" t="str">
        <f>IF(A93="","",IF(ISNUMBER(MATCH(A93,Riscos!$AI$5:$AI$154,0)),"Riscos",IF(ISNUMBER(MATCH(A93,Oportunidades!$AC$5:$AC$154,0)),"Oportunidades","—")))</f>
        <v/>
      </c>
    </row>
    <row r="94" spans="1:11">
      <c r="A94" s="132"/>
      <c r="B94" s="12"/>
      <c r="C94" s="13"/>
      <c r="D94" s="12"/>
      <c r="E94" s="13"/>
      <c r="F94" s="16"/>
      <c r="G94" s="12"/>
      <c r="H94" s="16"/>
      <c r="I94" s="16"/>
      <c r="J94" s="14" t="str">
        <f>IF(A94="","",IFERROR(INDEX(Riscos!$A$5:$A$154,MATCH(A94,Riscos!$AI$5:$AI$154,0)),IFERROR(INDEX(Oportunidades!$A$5:$A$154,MATCH(A94,Oportunidades!$AC$5:$AC$154,0)),"—")))</f>
        <v/>
      </c>
      <c r="K94" s="133" t="str">
        <f>IF(A94="","",IF(ISNUMBER(MATCH(A94,Riscos!$AI$5:$AI$154,0)),"Riscos",IF(ISNUMBER(MATCH(A94,Oportunidades!$AC$5:$AC$154,0)),"Oportunidades","—")))</f>
        <v/>
      </c>
    </row>
    <row r="95" spans="1:11">
      <c r="A95" s="132"/>
      <c r="B95" s="12"/>
      <c r="C95" s="13"/>
      <c r="D95" s="12"/>
      <c r="E95" s="13"/>
      <c r="F95" s="16"/>
      <c r="G95" s="12"/>
      <c r="H95" s="16"/>
      <c r="I95" s="16"/>
      <c r="J95" s="14" t="str">
        <f>IF(A95="","",IFERROR(INDEX(Riscos!$A$5:$A$154,MATCH(A95,Riscos!$AI$5:$AI$154,0)),IFERROR(INDEX(Oportunidades!$A$5:$A$154,MATCH(A95,Oportunidades!$AC$5:$AC$154,0)),"—")))</f>
        <v/>
      </c>
      <c r="K95" s="133" t="str">
        <f>IF(A95="","",IF(ISNUMBER(MATCH(A95,Riscos!$AI$5:$AI$154,0)),"Riscos",IF(ISNUMBER(MATCH(A95,Oportunidades!$AC$5:$AC$154,0)),"Oportunidades","—")))</f>
        <v/>
      </c>
    </row>
    <row r="96" spans="1:11">
      <c r="A96" s="132"/>
      <c r="B96" s="12"/>
      <c r="C96" s="13"/>
      <c r="D96" s="12"/>
      <c r="E96" s="13"/>
      <c r="F96" s="16"/>
      <c r="G96" s="12"/>
      <c r="H96" s="16"/>
      <c r="I96" s="16"/>
      <c r="J96" s="14" t="str">
        <f>IF(A96="","",IFERROR(INDEX(Riscos!$A$5:$A$154,MATCH(A96,Riscos!$AI$5:$AI$154,0)),IFERROR(INDEX(Oportunidades!$A$5:$A$154,MATCH(A96,Oportunidades!$AC$5:$AC$154,0)),"—")))</f>
        <v/>
      </c>
      <c r="K96" s="133" t="str">
        <f>IF(A96="","",IF(ISNUMBER(MATCH(A96,Riscos!$AI$5:$AI$154,0)),"Riscos",IF(ISNUMBER(MATCH(A96,Oportunidades!$AC$5:$AC$154,0)),"Oportunidades","—")))</f>
        <v/>
      </c>
    </row>
    <row r="97" spans="1:11">
      <c r="A97" s="132"/>
      <c r="B97" s="12"/>
      <c r="C97" s="13"/>
      <c r="D97" s="12"/>
      <c r="E97" s="13"/>
      <c r="F97" s="16"/>
      <c r="G97" s="12"/>
      <c r="H97" s="16"/>
      <c r="I97" s="16"/>
      <c r="J97" s="14" t="str">
        <f>IF(A97="","",IFERROR(INDEX(Riscos!$A$5:$A$154,MATCH(A97,Riscos!$AI$5:$AI$154,0)),IFERROR(INDEX(Oportunidades!$A$5:$A$154,MATCH(A97,Oportunidades!$AC$5:$AC$154,0)),"—")))</f>
        <v/>
      </c>
      <c r="K97" s="133" t="str">
        <f>IF(A97="","",IF(ISNUMBER(MATCH(A97,Riscos!$AI$5:$AI$154,0)),"Riscos",IF(ISNUMBER(MATCH(A97,Oportunidades!$AC$5:$AC$154,0)),"Oportunidades","—")))</f>
        <v/>
      </c>
    </row>
    <row r="98" spans="1:11">
      <c r="A98" s="132"/>
      <c r="B98" s="12"/>
      <c r="C98" s="13"/>
      <c r="D98" s="12"/>
      <c r="E98" s="13"/>
      <c r="F98" s="16"/>
      <c r="G98" s="12"/>
      <c r="H98" s="16"/>
      <c r="I98" s="16"/>
      <c r="J98" s="14" t="str">
        <f>IF(A98="","",IFERROR(INDEX(Riscos!$A$5:$A$154,MATCH(A98,Riscos!$AI$5:$AI$154,0)),IFERROR(INDEX(Oportunidades!$A$5:$A$154,MATCH(A98,Oportunidades!$AC$5:$AC$154,0)),"—")))</f>
        <v/>
      </c>
      <c r="K98" s="133" t="str">
        <f>IF(A98="","",IF(ISNUMBER(MATCH(A98,Riscos!$AI$5:$AI$154,0)),"Riscos",IF(ISNUMBER(MATCH(A98,Oportunidades!$AC$5:$AC$154,0)),"Oportunidades","—")))</f>
        <v/>
      </c>
    </row>
    <row r="99" spans="1:11">
      <c r="A99" s="132"/>
      <c r="B99" s="12"/>
      <c r="C99" s="13"/>
      <c r="D99" s="12"/>
      <c r="E99" s="13"/>
      <c r="F99" s="16"/>
      <c r="G99" s="12"/>
      <c r="H99" s="16"/>
      <c r="I99" s="16"/>
      <c r="J99" s="14" t="str">
        <f>IF(A99="","",IFERROR(INDEX(Riscos!$A$5:$A$154,MATCH(A99,Riscos!$AI$5:$AI$154,0)),IFERROR(INDEX(Oportunidades!$A$5:$A$154,MATCH(A99,Oportunidades!$AC$5:$AC$154,0)),"—")))</f>
        <v/>
      </c>
      <c r="K99" s="133" t="str">
        <f>IF(A99="","",IF(ISNUMBER(MATCH(A99,Riscos!$AI$5:$AI$154,0)),"Riscos",IF(ISNUMBER(MATCH(A99,Oportunidades!$AC$5:$AC$154,0)),"Oportunidades","—")))</f>
        <v/>
      </c>
    </row>
    <row r="100" spans="1:11">
      <c r="A100" s="132"/>
      <c r="B100" s="12"/>
      <c r="C100" s="13"/>
      <c r="D100" s="12"/>
      <c r="E100" s="13"/>
      <c r="F100" s="16"/>
      <c r="G100" s="12"/>
      <c r="H100" s="16"/>
      <c r="I100" s="16"/>
      <c r="J100" s="14" t="str">
        <f>IF(A100="","",IFERROR(INDEX(Riscos!$A$5:$A$154,MATCH(A100,Riscos!$AI$5:$AI$154,0)),IFERROR(INDEX(Oportunidades!$A$5:$A$154,MATCH(A100,Oportunidades!$AC$5:$AC$154,0)),"—")))</f>
        <v/>
      </c>
      <c r="K100" s="133" t="str">
        <f>IF(A100="","",IF(ISNUMBER(MATCH(A100,Riscos!$AI$5:$AI$154,0)),"Riscos",IF(ISNUMBER(MATCH(A100,Oportunidades!$AC$5:$AC$154,0)),"Oportunidades","—")))</f>
        <v/>
      </c>
    </row>
    <row r="101" spans="1:11">
      <c r="A101" s="132"/>
      <c r="B101" s="12"/>
      <c r="C101" s="13"/>
      <c r="D101" s="12"/>
      <c r="E101" s="13"/>
      <c r="F101" s="16"/>
      <c r="G101" s="12"/>
      <c r="H101" s="16"/>
      <c r="I101" s="16"/>
      <c r="J101" s="14" t="str">
        <f>IF(A101="","",IFERROR(INDEX(Riscos!$A$5:$A$154,MATCH(A101,Riscos!$AI$5:$AI$154,0)),IFERROR(INDEX(Oportunidades!$A$5:$A$154,MATCH(A101,Oportunidades!$AC$5:$AC$154,0)),"—")))</f>
        <v/>
      </c>
      <c r="K101" s="133" t="str">
        <f>IF(A101="","",IF(ISNUMBER(MATCH(A101,Riscos!$AI$5:$AI$154,0)),"Riscos",IF(ISNUMBER(MATCH(A101,Oportunidades!$AC$5:$AC$154,0)),"Oportunidades","—")))</f>
        <v/>
      </c>
    </row>
    <row r="102" spans="1:11">
      <c r="A102" s="132"/>
      <c r="B102" s="12"/>
      <c r="C102" s="13"/>
      <c r="D102" s="12"/>
      <c r="E102" s="13"/>
      <c r="F102" s="16"/>
      <c r="G102" s="12"/>
      <c r="H102" s="16"/>
      <c r="I102" s="16"/>
      <c r="J102" s="14" t="str">
        <f>IF(A102="","",IFERROR(INDEX(Riscos!$A$5:$A$154,MATCH(A102,Riscos!$AI$5:$AI$154,0)),IFERROR(INDEX(Oportunidades!$A$5:$A$154,MATCH(A102,Oportunidades!$AC$5:$AC$154,0)),"—")))</f>
        <v/>
      </c>
      <c r="K102" s="133" t="str">
        <f>IF(A102="","",IF(ISNUMBER(MATCH(A102,Riscos!$AI$5:$AI$154,0)),"Riscos",IF(ISNUMBER(MATCH(A102,Oportunidades!$AC$5:$AC$154,0)),"Oportunidades","—")))</f>
        <v/>
      </c>
    </row>
    <row r="103" spans="1:11">
      <c r="A103" s="132"/>
      <c r="B103" s="12"/>
      <c r="C103" s="13"/>
      <c r="D103" s="12"/>
      <c r="E103" s="13"/>
      <c r="F103" s="16"/>
      <c r="G103" s="12"/>
      <c r="H103" s="16"/>
      <c r="I103" s="16"/>
      <c r="J103" s="14" t="str">
        <f>IF(A103="","",IFERROR(INDEX(Riscos!$A$5:$A$154,MATCH(A103,Riscos!$AI$5:$AI$154,0)),IFERROR(INDEX(Oportunidades!$A$5:$A$154,MATCH(A103,Oportunidades!$AC$5:$AC$154,0)),"—")))</f>
        <v/>
      </c>
      <c r="K103" s="133" t="str">
        <f>IF(A103="","",IF(ISNUMBER(MATCH(A103,Riscos!$AI$5:$AI$154,0)),"Riscos",IF(ISNUMBER(MATCH(A103,Oportunidades!$AC$5:$AC$154,0)),"Oportunidades","—")))</f>
        <v/>
      </c>
    </row>
    <row r="104" spans="1:11">
      <c r="A104" s="132"/>
      <c r="B104" s="12"/>
      <c r="C104" s="13"/>
      <c r="D104" s="12"/>
      <c r="E104" s="13"/>
      <c r="F104" s="16"/>
      <c r="G104" s="12"/>
      <c r="H104" s="16"/>
      <c r="I104" s="16"/>
      <c r="J104" s="14" t="str">
        <f>IF(A104="","",IFERROR(INDEX(Riscos!$A$5:$A$154,MATCH(A104,Riscos!$AI$5:$AI$154,0)),IFERROR(INDEX(Oportunidades!$A$5:$A$154,MATCH(A104,Oportunidades!$AC$5:$AC$154,0)),"—")))</f>
        <v/>
      </c>
      <c r="K104" s="133" t="str">
        <f>IF(A104="","",IF(ISNUMBER(MATCH(A104,Riscos!$AI$5:$AI$154,0)),"Riscos",IF(ISNUMBER(MATCH(A104,Oportunidades!$AC$5:$AC$154,0)),"Oportunidades","—")))</f>
        <v/>
      </c>
    </row>
    <row r="105" spans="1:11">
      <c r="A105" s="132"/>
      <c r="B105" s="12"/>
      <c r="C105" s="13"/>
      <c r="D105" s="12"/>
      <c r="E105" s="13"/>
      <c r="F105" s="16"/>
      <c r="G105" s="12"/>
      <c r="H105" s="16"/>
      <c r="I105" s="16"/>
      <c r="J105" s="14" t="str">
        <f>IF(A105="","",IFERROR(INDEX(Riscos!$A$5:$A$154,MATCH(A105,Riscos!$AI$5:$AI$154,0)),IFERROR(INDEX(Oportunidades!$A$5:$A$154,MATCH(A105,Oportunidades!$AC$5:$AC$154,0)),"—")))</f>
        <v/>
      </c>
      <c r="K105" s="133" t="str">
        <f>IF(A105="","",IF(ISNUMBER(MATCH(A105,Riscos!$AI$5:$AI$154,0)),"Riscos",IF(ISNUMBER(MATCH(A105,Oportunidades!$AC$5:$AC$154,0)),"Oportunidades","—")))</f>
        <v/>
      </c>
    </row>
    <row r="106" spans="1:11">
      <c r="A106" s="132"/>
      <c r="B106" s="12"/>
      <c r="C106" s="13"/>
      <c r="D106" s="12"/>
      <c r="E106" s="13"/>
      <c r="F106" s="16"/>
      <c r="G106" s="12"/>
      <c r="H106" s="16"/>
      <c r="I106" s="16"/>
      <c r="J106" s="14" t="str">
        <f>IF(A106="","",IFERROR(INDEX(Riscos!$A$5:$A$154,MATCH(A106,Riscos!$AI$5:$AI$154,0)),IFERROR(INDEX(Oportunidades!$A$5:$A$154,MATCH(A106,Oportunidades!$AC$5:$AC$154,0)),"—")))</f>
        <v/>
      </c>
      <c r="K106" s="133" t="str">
        <f>IF(A106="","",IF(ISNUMBER(MATCH(A106,Riscos!$AI$5:$AI$154,0)),"Riscos",IF(ISNUMBER(MATCH(A106,Oportunidades!$AC$5:$AC$154,0)),"Oportunidades","—")))</f>
        <v/>
      </c>
    </row>
    <row r="107" spans="1:11">
      <c r="A107" s="132"/>
      <c r="B107" s="12"/>
      <c r="C107" s="13"/>
      <c r="D107" s="12"/>
      <c r="E107" s="13"/>
      <c r="F107" s="16"/>
      <c r="G107" s="12"/>
      <c r="H107" s="16"/>
      <c r="I107" s="16"/>
      <c r="J107" s="14" t="str">
        <f>IF(A107="","",IFERROR(INDEX(Riscos!$A$5:$A$154,MATCH(A107,Riscos!$AI$5:$AI$154,0)),IFERROR(INDEX(Oportunidades!$A$5:$A$154,MATCH(A107,Oportunidades!$AC$5:$AC$154,0)),"—")))</f>
        <v/>
      </c>
      <c r="K107" s="133" t="str">
        <f>IF(A107="","",IF(ISNUMBER(MATCH(A107,Riscos!$AI$5:$AI$154,0)),"Riscos",IF(ISNUMBER(MATCH(A107,Oportunidades!$AC$5:$AC$154,0)),"Oportunidades","—")))</f>
        <v/>
      </c>
    </row>
    <row r="108" spans="1:11">
      <c r="A108" s="132"/>
      <c r="B108" s="12"/>
      <c r="C108" s="13"/>
      <c r="D108" s="12"/>
      <c r="E108" s="13"/>
      <c r="F108" s="16"/>
      <c r="G108" s="12"/>
      <c r="H108" s="16"/>
      <c r="I108" s="16"/>
      <c r="J108" s="14" t="str">
        <f>IF(A108="","",IFERROR(INDEX(Riscos!$A$5:$A$154,MATCH(A108,Riscos!$AI$5:$AI$154,0)),IFERROR(INDEX(Oportunidades!$A$5:$A$154,MATCH(A108,Oportunidades!$AC$5:$AC$154,0)),"—")))</f>
        <v/>
      </c>
      <c r="K108" s="133" t="str">
        <f>IF(A108="","",IF(ISNUMBER(MATCH(A108,Riscos!$AI$5:$AI$154,0)),"Riscos",IF(ISNUMBER(MATCH(A108,Oportunidades!$AC$5:$AC$154,0)),"Oportunidades","—")))</f>
        <v/>
      </c>
    </row>
    <row r="109" spans="1:11">
      <c r="A109" s="132"/>
      <c r="B109" s="12"/>
      <c r="C109" s="13"/>
      <c r="D109" s="12"/>
      <c r="E109" s="13"/>
      <c r="F109" s="16"/>
      <c r="G109" s="12"/>
      <c r="H109" s="16"/>
      <c r="I109" s="16"/>
      <c r="J109" s="14" t="str">
        <f>IF(A109="","",IFERROR(INDEX(Riscos!$A$5:$A$154,MATCH(A109,Riscos!$AI$5:$AI$154,0)),IFERROR(INDEX(Oportunidades!$A$5:$A$154,MATCH(A109,Oportunidades!$AC$5:$AC$154,0)),"—")))</f>
        <v/>
      </c>
      <c r="K109" s="133" t="str">
        <f>IF(A109="","",IF(ISNUMBER(MATCH(A109,Riscos!$AI$5:$AI$154,0)),"Riscos",IF(ISNUMBER(MATCH(A109,Oportunidades!$AC$5:$AC$154,0)),"Oportunidades","—")))</f>
        <v/>
      </c>
    </row>
    <row r="110" spans="1:11">
      <c r="A110" s="132"/>
      <c r="B110" s="12"/>
      <c r="C110" s="13"/>
      <c r="D110" s="12"/>
      <c r="E110" s="13"/>
      <c r="F110" s="16"/>
      <c r="G110" s="12"/>
      <c r="H110" s="16"/>
      <c r="I110" s="16"/>
      <c r="J110" s="14" t="str">
        <f>IF(A110="","",IFERROR(INDEX(Riscos!$A$5:$A$154,MATCH(A110,Riscos!$AI$5:$AI$154,0)),IFERROR(INDEX(Oportunidades!$A$5:$A$154,MATCH(A110,Oportunidades!$AC$5:$AC$154,0)),"—")))</f>
        <v/>
      </c>
      <c r="K110" s="133" t="str">
        <f>IF(A110="","",IF(ISNUMBER(MATCH(A110,Riscos!$AI$5:$AI$154,0)),"Riscos",IF(ISNUMBER(MATCH(A110,Oportunidades!$AC$5:$AC$154,0)),"Oportunidades","—")))</f>
        <v/>
      </c>
    </row>
    <row r="111" spans="1:11">
      <c r="A111" s="132"/>
      <c r="B111" s="12"/>
      <c r="C111" s="13"/>
      <c r="D111" s="12"/>
      <c r="E111" s="13"/>
      <c r="F111" s="16"/>
      <c r="G111" s="12"/>
      <c r="H111" s="16"/>
      <c r="I111" s="16"/>
      <c r="J111" s="14" t="str">
        <f>IF(A111="","",IFERROR(INDEX(Riscos!$A$5:$A$154,MATCH(A111,Riscos!$AI$5:$AI$154,0)),IFERROR(INDEX(Oportunidades!$A$5:$A$154,MATCH(A111,Oportunidades!$AC$5:$AC$154,0)),"—")))</f>
        <v/>
      </c>
      <c r="K111" s="133" t="str">
        <f>IF(A111="","",IF(ISNUMBER(MATCH(A111,Riscos!$AI$5:$AI$154,0)),"Riscos",IF(ISNUMBER(MATCH(A111,Oportunidades!$AC$5:$AC$154,0)),"Oportunidades","—")))</f>
        <v/>
      </c>
    </row>
    <row r="112" spans="1:11">
      <c r="A112" s="132"/>
      <c r="B112" s="12"/>
      <c r="C112" s="13"/>
      <c r="D112" s="12"/>
      <c r="E112" s="13"/>
      <c r="F112" s="16"/>
      <c r="G112" s="12"/>
      <c r="H112" s="16"/>
      <c r="I112" s="16"/>
      <c r="J112" s="14" t="str">
        <f>IF(A112="","",IFERROR(INDEX(Riscos!$A$5:$A$154,MATCH(A112,Riscos!$AI$5:$AI$154,0)),IFERROR(INDEX(Oportunidades!$A$5:$A$154,MATCH(A112,Oportunidades!$AC$5:$AC$154,0)),"—")))</f>
        <v/>
      </c>
      <c r="K112" s="133" t="str">
        <f>IF(A112="","",IF(ISNUMBER(MATCH(A112,Riscos!$AI$5:$AI$154,0)),"Riscos",IF(ISNUMBER(MATCH(A112,Oportunidades!$AC$5:$AC$154,0)),"Oportunidades","—")))</f>
        <v/>
      </c>
    </row>
    <row r="113" spans="1:11">
      <c r="A113" s="132"/>
      <c r="B113" s="12"/>
      <c r="C113" s="13"/>
      <c r="D113" s="12"/>
      <c r="E113" s="13"/>
      <c r="F113" s="16"/>
      <c r="G113" s="12"/>
      <c r="H113" s="16"/>
      <c r="I113" s="16"/>
      <c r="J113" s="14" t="str">
        <f>IF(A113="","",IFERROR(INDEX(Riscos!$A$5:$A$154,MATCH(A113,Riscos!$AI$5:$AI$154,0)),IFERROR(INDEX(Oportunidades!$A$5:$A$154,MATCH(A113,Oportunidades!$AC$5:$AC$154,0)),"—")))</f>
        <v/>
      </c>
      <c r="K113" s="133" t="str">
        <f>IF(A113="","",IF(ISNUMBER(MATCH(A113,Riscos!$AI$5:$AI$154,0)),"Riscos",IF(ISNUMBER(MATCH(A113,Oportunidades!$AC$5:$AC$154,0)),"Oportunidades","—")))</f>
        <v/>
      </c>
    </row>
    <row r="114" spans="1:11">
      <c r="A114" s="132"/>
      <c r="B114" s="12"/>
      <c r="C114" s="13"/>
      <c r="D114" s="12"/>
      <c r="E114" s="13"/>
      <c r="F114" s="16"/>
      <c r="G114" s="12"/>
      <c r="H114" s="16"/>
      <c r="I114" s="16"/>
      <c r="J114" s="14" t="str">
        <f>IF(A114="","",IFERROR(INDEX(Riscos!$A$5:$A$154,MATCH(A114,Riscos!$AI$5:$AI$154,0)),IFERROR(INDEX(Oportunidades!$A$5:$A$154,MATCH(A114,Oportunidades!$AC$5:$AC$154,0)),"—")))</f>
        <v/>
      </c>
      <c r="K114" s="133" t="str">
        <f>IF(A114="","",IF(ISNUMBER(MATCH(A114,Riscos!$AI$5:$AI$154,0)),"Riscos",IF(ISNUMBER(MATCH(A114,Oportunidades!$AC$5:$AC$154,0)),"Oportunidades","—")))</f>
        <v/>
      </c>
    </row>
    <row r="115" spans="1:11">
      <c r="A115" s="132"/>
      <c r="B115" s="12"/>
      <c r="C115" s="13"/>
      <c r="D115" s="12"/>
      <c r="E115" s="13"/>
      <c r="F115" s="16"/>
      <c r="G115" s="12"/>
      <c r="H115" s="16"/>
      <c r="I115" s="16"/>
      <c r="J115" s="14" t="str">
        <f>IF(A115="","",IFERROR(INDEX(Riscos!$A$5:$A$154,MATCH(A115,Riscos!$AI$5:$AI$154,0)),IFERROR(INDEX(Oportunidades!$A$5:$A$154,MATCH(A115,Oportunidades!$AC$5:$AC$154,0)),"—")))</f>
        <v/>
      </c>
      <c r="K115" s="133" t="str">
        <f>IF(A115="","",IF(ISNUMBER(MATCH(A115,Riscos!$AI$5:$AI$154,0)),"Riscos",IF(ISNUMBER(MATCH(A115,Oportunidades!$AC$5:$AC$154,0)),"Oportunidades","—")))</f>
        <v/>
      </c>
    </row>
    <row r="116" spans="1:11">
      <c r="A116" s="132"/>
      <c r="B116" s="12"/>
      <c r="C116" s="13"/>
      <c r="D116" s="12"/>
      <c r="E116" s="13"/>
      <c r="F116" s="16"/>
      <c r="G116" s="12"/>
      <c r="H116" s="16"/>
      <c r="I116" s="16"/>
      <c r="J116" s="14" t="str">
        <f>IF(A116="","",IFERROR(INDEX(Riscos!$A$5:$A$154,MATCH(A116,Riscos!$AI$5:$AI$154,0)),IFERROR(INDEX(Oportunidades!$A$5:$A$154,MATCH(A116,Oportunidades!$AC$5:$AC$154,0)),"—")))</f>
        <v/>
      </c>
      <c r="K116" s="133" t="str">
        <f>IF(A116="","",IF(ISNUMBER(MATCH(A116,Riscos!$AI$5:$AI$154,0)),"Riscos",IF(ISNUMBER(MATCH(A116,Oportunidades!$AC$5:$AC$154,0)),"Oportunidades","—")))</f>
        <v/>
      </c>
    </row>
    <row r="117" spans="1:11">
      <c r="A117" s="132"/>
      <c r="B117" s="12"/>
      <c r="C117" s="13"/>
      <c r="D117" s="12"/>
      <c r="E117" s="13"/>
      <c r="F117" s="16"/>
      <c r="G117" s="12"/>
      <c r="H117" s="16"/>
      <c r="I117" s="16"/>
      <c r="J117" s="14" t="str">
        <f>IF(A117="","",IFERROR(INDEX(Riscos!$A$5:$A$154,MATCH(A117,Riscos!$AI$5:$AI$154,0)),IFERROR(INDEX(Oportunidades!$A$5:$A$154,MATCH(A117,Oportunidades!$AC$5:$AC$154,0)),"—")))</f>
        <v/>
      </c>
      <c r="K117" s="133" t="str">
        <f>IF(A117="","",IF(ISNUMBER(MATCH(A117,Riscos!$AI$5:$AI$154,0)),"Riscos",IF(ISNUMBER(MATCH(A117,Oportunidades!$AC$5:$AC$154,0)),"Oportunidades","—")))</f>
        <v/>
      </c>
    </row>
    <row r="118" spans="1:11">
      <c r="A118" s="132"/>
      <c r="B118" s="12"/>
      <c r="C118" s="13"/>
      <c r="D118" s="12"/>
      <c r="E118" s="13"/>
      <c r="F118" s="16"/>
      <c r="G118" s="12"/>
      <c r="H118" s="16"/>
      <c r="I118" s="16"/>
      <c r="J118" s="14" t="str">
        <f>IF(A118="","",IFERROR(INDEX(Riscos!$A$5:$A$154,MATCH(A118,Riscos!$AI$5:$AI$154,0)),IFERROR(INDEX(Oportunidades!$A$5:$A$154,MATCH(A118,Oportunidades!$AC$5:$AC$154,0)),"—")))</f>
        <v/>
      </c>
      <c r="K118" s="133" t="str">
        <f>IF(A118="","",IF(ISNUMBER(MATCH(A118,Riscos!$AI$5:$AI$154,0)),"Riscos",IF(ISNUMBER(MATCH(A118,Oportunidades!$AC$5:$AC$154,0)),"Oportunidades","—")))</f>
        <v/>
      </c>
    </row>
    <row r="119" spans="1:11">
      <c r="A119" s="132"/>
      <c r="B119" s="12"/>
      <c r="C119" s="13"/>
      <c r="D119" s="12"/>
      <c r="E119" s="13"/>
      <c r="F119" s="16"/>
      <c r="G119" s="12"/>
      <c r="H119" s="16"/>
      <c r="I119" s="16"/>
      <c r="J119" s="14" t="str">
        <f>IF(A119="","",IFERROR(INDEX(Riscos!$A$5:$A$154,MATCH(A119,Riscos!$AI$5:$AI$154,0)),IFERROR(INDEX(Oportunidades!$A$5:$A$154,MATCH(A119,Oportunidades!$AC$5:$AC$154,0)),"—")))</f>
        <v/>
      </c>
      <c r="K119" s="133" t="str">
        <f>IF(A119="","",IF(ISNUMBER(MATCH(A119,Riscos!$AI$5:$AI$154,0)),"Riscos",IF(ISNUMBER(MATCH(A119,Oportunidades!$AC$5:$AC$154,0)),"Oportunidades","—")))</f>
        <v/>
      </c>
    </row>
    <row r="120" spans="1:11">
      <c r="A120" s="132"/>
      <c r="B120" s="12"/>
      <c r="C120" s="13"/>
      <c r="D120" s="12"/>
      <c r="E120" s="13"/>
      <c r="F120" s="16"/>
      <c r="G120" s="12"/>
      <c r="H120" s="16"/>
      <c r="I120" s="16"/>
      <c r="J120" s="14" t="str">
        <f>IF(A120="","",IFERROR(INDEX(Riscos!$A$5:$A$154,MATCH(A120,Riscos!$AI$5:$AI$154,0)),IFERROR(INDEX(Oportunidades!$A$5:$A$154,MATCH(A120,Oportunidades!$AC$5:$AC$154,0)),"—")))</f>
        <v/>
      </c>
      <c r="K120" s="133" t="str">
        <f>IF(A120="","",IF(ISNUMBER(MATCH(A120,Riscos!$AI$5:$AI$154,0)),"Riscos",IF(ISNUMBER(MATCH(A120,Oportunidades!$AC$5:$AC$154,0)),"Oportunidades","—")))</f>
        <v/>
      </c>
    </row>
    <row r="121" spans="1:11">
      <c r="A121" s="132"/>
      <c r="B121" s="12"/>
      <c r="C121" s="13"/>
      <c r="D121" s="12"/>
      <c r="E121" s="13"/>
      <c r="F121" s="16"/>
      <c r="G121" s="12"/>
      <c r="H121" s="16"/>
      <c r="I121" s="16"/>
      <c r="J121" s="14" t="str">
        <f>IF(A121="","",IFERROR(INDEX(Riscos!$A$5:$A$154,MATCH(A121,Riscos!$AI$5:$AI$154,0)),IFERROR(INDEX(Oportunidades!$A$5:$A$154,MATCH(A121,Oportunidades!$AC$5:$AC$154,0)),"—")))</f>
        <v/>
      </c>
      <c r="K121" s="133" t="str">
        <f>IF(A121="","",IF(ISNUMBER(MATCH(A121,Riscos!$AI$5:$AI$154,0)),"Riscos",IF(ISNUMBER(MATCH(A121,Oportunidades!$AC$5:$AC$154,0)),"Oportunidades","—")))</f>
        <v/>
      </c>
    </row>
    <row r="122" spans="1:11">
      <c r="A122" s="132"/>
      <c r="B122" s="12"/>
      <c r="C122" s="13"/>
      <c r="D122" s="12"/>
      <c r="E122" s="13"/>
      <c r="F122" s="16"/>
      <c r="G122" s="12"/>
      <c r="H122" s="16"/>
      <c r="I122" s="16"/>
      <c r="J122" s="14" t="str">
        <f>IF(A122="","",IFERROR(INDEX(Riscos!$A$5:$A$154,MATCH(A122,Riscos!$AI$5:$AI$154,0)),IFERROR(INDEX(Oportunidades!$A$5:$A$154,MATCH(A122,Oportunidades!$AC$5:$AC$154,0)),"—")))</f>
        <v/>
      </c>
      <c r="K122" s="133" t="str">
        <f>IF(A122="","",IF(ISNUMBER(MATCH(A122,Riscos!$AI$5:$AI$154,0)),"Riscos",IF(ISNUMBER(MATCH(A122,Oportunidades!$AC$5:$AC$154,0)),"Oportunidades","—")))</f>
        <v/>
      </c>
    </row>
    <row r="123" spans="1:11">
      <c r="A123" s="132"/>
      <c r="B123" s="12"/>
      <c r="C123" s="13"/>
      <c r="D123" s="12"/>
      <c r="E123" s="13"/>
      <c r="F123" s="16"/>
      <c r="G123" s="12"/>
      <c r="H123" s="16"/>
      <c r="I123" s="16"/>
      <c r="J123" s="14" t="str">
        <f>IF(A123="","",IFERROR(INDEX(Riscos!$A$5:$A$154,MATCH(A123,Riscos!$AI$5:$AI$154,0)),IFERROR(INDEX(Oportunidades!$A$5:$A$154,MATCH(A123,Oportunidades!$AC$5:$AC$154,0)),"—")))</f>
        <v/>
      </c>
      <c r="K123" s="133" t="str">
        <f>IF(A123="","",IF(ISNUMBER(MATCH(A123,Riscos!$AI$5:$AI$154,0)),"Riscos",IF(ISNUMBER(MATCH(A123,Oportunidades!$AC$5:$AC$154,0)),"Oportunidades","—")))</f>
        <v/>
      </c>
    </row>
    <row r="124" spans="1:11">
      <c r="A124" s="132"/>
      <c r="B124" s="12"/>
      <c r="C124" s="13"/>
      <c r="D124" s="12"/>
      <c r="E124" s="13"/>
      <c r="F124" s="16"/>
      <c r="G124" s="12"/>
      <c r="H124" s="16"/>
      <c r="I124" s="16"/>
      <c r="J124" s="14" t="str">
        <f>IF(A124="","",IFERROR(INDEX(Riscos!$A$5:$A$154,MATCH(A124,Riscos!$AI$5:$AI$154,0)),IFERROR(INDEX(Oportunidades!$A$5:$A$154,MATCH(A124,Oportunidades!$AC$5:$AC$154,0)),"—")))</f>
        <v/>
      </c>
      <c r="K124" s="133" t="str">
        <f>IF(A124="","",IF(ISNUMBER(MATCH(A124,Riscos!$AI$5:$AI$154,0)),"Riscos",IF(ISNUMBER(MATCH(A124,Oportunidades!$AC$5:$AC$154,0)),"Oportunidades","—")))</f>
        <v/>
      </c>
    </row>
    <row r="125" spans="1:11">
      <c r="A125" s="132"/>
      <c r="B125" s="12"/>
      <c r="C125" s="13"/>
      <c r="D125" s="12"/>
      <c r="E125" s="13"/>
      <c r="F125" s="16"/>
      <c r="G125" s="12"/>
      <c r="H125" s="16"/>
      <c r="I125" s="16"/>
      <c r="J125" s="14" t="str">
        <f>IF(A125="","",IFERROR(INDEX(Riscos!$A$5:$A$154,MATCH(A125,Riscos!$AI$5:$AI$154,0)),IFERROR(INDEX(Oportunidades!$A$5:$A$154,MATCH(A125,Oportunidades!$AC$5:$AC$154,0)),"—")))</f>
        <v/>
      </c>
      <c r="K125" s="133" t="str">
        <f>IF(A125="","",IF(ISNUMBER(MATCH(A125,Riscos!$AI$5:$AI$154,0)),"Riscos",IF(ISNUMBER(MATCH(A125,Oportunidades!$AC$5:$AC$154,0)),"Oportunidades","—")))</f>
        <v/>
      </c>
    </row>
    <row r="126" spans="1:11">
      <c r="A126" s="132"/>
      <c r="B126" s="12"/>
      <c r="C126" s="13"/>
      <c r="D126" s="12"/>
      <c r="E126" s="13"/>
      <c r="F126" s="16"/>
      <c r="G126" s="12"/>
      <c r="H126" s="16"/>
      <c r="I126" s="16"/>
      <c r="J126" s="14" t="str">
        <f>IF(A126="","",IFERROR(INDEX(Riscos!$A$5:$A$154,MATCH(A126,Riscos!$AI$5:$AI$154,0)),IFERROR(INDEX(Oportunidades!$A$5:$A$154,MATCH(A126,Oportunidades!$AC$5:$AC$154,0)),"—")))</f>
        <v/>
      </c>
      <c r="K126" s="133" t="str">
        <f>IF(A126="","",IF(ISNUMBER(MATCH(A126,Riscos!$AI$5:$AI$154,0)),"Riscos",IF(ISNUMBER(MATCH(A126,Oportunidades!$AC$5:$AC$154,0)),"Oportunidades","—")))</f>
        <v/>
      </c>
    </row>
    <row r="127" spans="1:11">
      <c r="A127" s="132"/>
      <c r="B127" s="12"/>
      <c r="C127" s="13"/>
      <c r="D127" s="12"/>
      <c r="E127" s="13"/>
      <c r="F127" s="16"/>
      <c r="G127" s="12"/>
      <c r="H127" s="16"/>
      <c r="I127" s="16"/>
      <c r="J127" s="14" t="str">
        <f>IF(A127="","",IFERROR(INDEX(Riscos!$A$5:$A$154,MATCH(A127,Riscos!$AI$5:$AI$154,0)),IFERROR(INDEX(Oportunidades!$A$5:$A$154,MATCH(A127,Oportunidades!$AC$5:$AC$154,0)),"—")))</f>
        <v/>
      </c>
      <c r="K127" s="133" t="str">
        <f>IF(A127="","",IF(ISNUMBER(MATCH(A127,Riscos!$AI$5:$AI$154,0)),"Riscos",IF(ISNUMBER(MATCH(A127,Oportunidades!$AC$5:$AC$154,0)),"Oportunidades","—")))</f>
        <v/>
      </c>
    </row>
    <row r="128" spans="1:11">
      <c r="A128" s="132"/>
      <c r="B128" s="12"/>
      <c r="C128" s="13"/>
      <c r="D128" s="12"/>
      <c r="E128" s="13"/>
      <c r="F128" s="16"/>
      <c r="G128" s="12"/>
      <c r="H128" s="16"/>
      <c r="I128" s="16"/>
      <c r="J128" s="14" t="str">
        <f>IF(A128="","",IFERROR(INDEX(Riscos!$A$5:$A$154,MATCH(A128,Riscos!$AI$5:$AI$154,0)),IFERROR(INDEX(Oportunidades!$A$5:$A$154,MATCH(A128,Oportunidades!$AC$5:$AC$154,0)),"—")))</f>
        <v/>
      </c>
      <c r="K128" s="133" t="str">
        <f>IF(A128="","",IF(ISNUMBER(MATCH(A128,Riscos!$AI$5:$AI$154,0)),"Riscos",IF(ISNUMBER(MATCH(A128,Oportunidades!$AC$5:$AC$154,0)),"Oportunidades","—")))</f>
        <v/>
      </c>
    </row>
    <row r="129" spans="1:11">
      <c r="A129" s="132"/>
      <c r="B129" s="12"/>
      <c r="C129" s="13"/>
      <c r="D129" s="12"/>
      <c r="E129" s="13"/>
      <c r="F129" s="16"/>
      <c r="G129" s="12"/>
      <c r="H129" s="16"/>
      <c r="I129" s="16"/>
      <c r="J129" s="14" t="str">
        <f>IF(A129="","",IFERROR(INDEX(Riscos!$A$5:$A$154,MATCH(A129,Riscos!$AI$5:$AI$154,0)),IFERROR(INDEX(Oportunidades!$A$5:$A$154,MATCH(A129,Oportunidades!$AC$5:$AC$154,0)),"—")))</f>
        <v/>
      </c>
      <c r="K129" s="133" t="str">
        <f>IF(A129="","",IF(ISNUMBER(MATCH(A129,Riscos!$AI$5:$AI$154,0)),"Riscos",IF(ISNUMBER(MATCH(A129,Oportunidades!$AC$5:$AC$154,0)),"Oportunidades","—")))</f>
        <v/>
      </c>
    </row>
    <row r="130" spans="1:11">
      <c r="A130" s="132"/>
      <c r="B130" s="12"/>
      <c r="C130" s="13"/>
      <c r="D130" s="12"/>
      <c r="E130" s="13"/>
      <c r="F130" s="16"/>
      <c r="G130" s="12"/>
      <c r="H130" s="16"/>
      <c r="I130" s="16"/>
      <c r="J130" s="14" t="str">
        <f>IF(A130="","",IFERROR(INDEX(Riscos!$A$5:$A$154,MATCH(A130,Riscos!$AI$5:$AI$154,0)),IFERROR(INDEX(Oportunidades!$A$5:$A$154,MATCH(A130,Oportunidades!$AC$5:$AC$154,0)),"—")))</f>
        <v/>
      </c>
      <c r="K130" s="133" t="str">
        <f>IF(A130="","",IF(ISNUMBER(MATCH(A130,Riscos!$AI$5:$AI$154,0)),"Riscos",IF(ISNUMBER(MATCH(A130,Oportunidades!$AC$5:$AC$154,0)),"Oportunidades","—")))</f>
        <v/>
      </c>
    </row>
    <row r="131" spans="1:11">
      <c r="A131" s="132"/>
      <c r="B131" s="12"/>
      <c r="C131" s="13"/>
      <c r="D131" s="12"/>
      <c r="E131" s="13"/>
      <c r="F131" s="16"/>
      <c r="G131" s="12"/>
      <c r="H131" s="16"/>
      <c r="I131" s="16"/>
      <c r="J131" s="14" t="str">
        <f>IF(A131="","",IFERROR(INDEX(Riscos!$A$5:$A$154,MATCH(A131,Riscos!$AI$5:$AI$154,0)),IFERROR(INDEX(Oportunidades!$A$5:$A$154,MATCH(A131,Oportunidades!$AC$5:$AC$154,0)),"—")))</f>
        <v/>
      </c>
      <c r="K131" s="133" t="str">
        <f>IF(A131="","",IF(ISNUMBER(MATCH(A131,Riscos!$AI$5:$AI$154,0)),"Riscos",IF(ISNUMBER(MATCH(A131,Oportunidades!$AC$5:$AC$154,0)),"Oportunidades","—")))</f>
        <v/>
      </c>
    </row>
    <row r="132" spans="1:11">
      <c r="A132" s="132"/>
      <c r="B132" s="12"/>
      <c r="C132" s="13"/>
      <c r="D132" s="12"/>
      <c r="E132" s="13"/>
      <c r="F132" s="16"/>
      <c r="G132" s="12"/>
      <c r="H132" s="16"/>
      <c r="I132" s="16"/>
      <c r="J132" s="14" t="str">
        <f>IF(A132="","",IFERROR(INDEX(Riscos!$A$5:$A$154,MATCH(A132,Riscos!$AI$5:$AI$154,0)),IFERROR(INDEX(Oportunidades!$A$5:$A$154,MATCH(A132,Oportunidades!$AC$5:$AC$154,0)),"—")))</f>
        <v/>
      </c>
      <c r="K132" s="133" t="str">
        <f>IF(A132="","",IF(ISNUMBER(MATCH(A132,Riscos!$AI$5:$AI$154,0)),"Riscos",IF(ISNUMBER(MATCH(A132,Oportunidades!$AC$5:$AC$154,0)),"Oportunidades","—")))</f>
        <v/>
      </c>
    </row>
    <row r="133" spans="1:11">
      <c r="A133" s="132"/>
      <c r="B133" s="12"/>
      <c r="C133" s="13"/>
      <c r="D133" s="12"/>
      <c r="E133" s="13"/>
      <c r="F133" s="16"/>
      <c r="G133" s="12"/>
      <c r="H133" s="16"/>
      <c r="I133" s="16"/>
      <c r="J133" s="14" t="str">
        <f>IF(A133="","",IFERROR(INDEX(Riscos!$A$5:$A$154,MATCH(A133,Riscos!$AI$5:$AI$154,0)),IFERROR(INDEX(Oportunidades!$A$5:$A$154,MATCH(A133,Oportunidades!$AC$5:$AC$154,0)),"—")))</f>
        <v/>
      </c>
      <c r="K133" s="133" t="str">
        <f>IF(A133="","",IF(ISNUMBER(MATCH(A133,Riscos!$AI$5:$AI$154,0)),"Riscos",IF(ISNUMBER(MATCH(A133,Oportunidades!$AC$5:$AC$154,0)),"Oportunidades","—")))</f>
        <v/>
      </c>
    </row>
    <row r="134" spans="1:11">
      <c r="A134" s="132"/>
      <c r="B134" s="12"/>
      <c r="C134" s="13"/>
      <c r="D134" s="12"/>
      <c r="E134" s="13"/>
      <c r="F134" s="16"/>
      <c r="G134" s="12"/>
      <c r="H134" s="16"/>
      <c r="I134" s="16"/>
      <c r="J134" s="14" t="str">
        <f>IF(A134="","",IFERROR(INDEX(Riscos!$A$5:$A$154,MATCH(A134,Riscos!$AI$5:$AI$154,0)),IFERROR(INDEX(Oportunidades!$A$5:$A$154,MATCH(A134,Oportunidades!$AC$5:$AC$154,0)),"—")))</f>
        <v/>
      </c>
      <c r="K134" s="133" t="str">
        <f>IF(A134="","",IF(ISNUMBER(MATCH(A134,Riscos!$AI$5:$AI$154,0)),"Riscos",IF(ISNUMBER(MATCH(A134,Oportunidades!$AC$5:$AC$154,0)),"Oportunidades","—")))</f>
        <v/>
      </c>
    </row>
    <row r="135" spans="1:11">
      <c r="A135" s="132"/>
      <c r="B135" s="12"/>
      <c r="C135" s="13"/>
      <c r="D135" s="12"/>
      <c r="E135" s="13"/>
      <c r="F135" s="16"/>
      <c r="G135" s="12"/>
      <c r="H135" s="16"/>
      <c r="I135" s="16"/>
      <c r="J135" s="14" t="str">
        <f>IF(A135="","",IFERROR(INDEX(Riscos!$A$5:$A$154,MATCH(A135,Riscos!$AI$5:$AI$154,0)),IFERROR(INDEX(Oportunidades!$A$5:$A$154,MATCH(A135,Oportunidades!$AC$5:$AC$154,0)),"—")))</f>
        <v/>
      </c>
      <c r="K135" s="133" t="str">
        <f>IF(A135="","",IF(ISNUMBER(MATCH(A135,Riscos!$AI$5:$AI$154,0)),"Riscos",IF(ISNUMBER(MATCH(A135,Oportunidades!$AC$5:$AC$154,0)),"Oportunidades","—")))</f>
        <v/>
      </c>
    </row>
    <row r="136" spans="1:11">
      <c r="A136" s="132"/>
      <c r="B136" s="12"/>
      <c r="C136" s="13"/>
      <c r="D136" s="12"/>
      <c r="E136" s="13"/>
      <c r="F136" s="16"/>
      <c r="G136" s="12"/>
      <c r="H136" s="16"/>
      <c r="I136" s="16"/>
      <c r="J136" s="14" t="str">
        <f>IF(A136="","",IFERROR(INDEX(Riscos!$A$5:$A$154,MATCH(A136,Riscos!$AI$5:$AI$154,0)),IFERROR(INDEX(Oportunidades!$A$5:$A$154,MATCH(A136,Oportunidades!$AC$5:$AC$154,0)),"—")))</f>
        <v/>
      </c>
      <c r="K136" s="133" t="str">
        <f>IF(A136="","",IF(ISNUMBER(MATCH(A136,Riscos!$AI$5:$AI$154,0)),"Riscos",IF(ISNUMBER(MATCH(A136,Oportunidades!$AC$5:$AC$154,0)),"Oportunidades","—")))</f>
        <v/>
      </c>
    </row>
    <row r="137" spans="1:11">
      <c r="A137" s="132"/>
      <c r="B137" s="12"/>
      <c r="C137" s="13"/>
      <c r="D137" s="12"/>
      <c r="E137" s="13"/>
      <c r="F137" s="16"/>
      <c r="G137" s="12"/>
      <c r="H137" s="16"/>
      <c r="I137" s="16"/>
      <c r="J137" s="14" t="str">
        <f>IF(A137="","",IFERROR(INDEX(Riscos!$A$5:$A$154,MATCH(A137,Riscos!$AI$5:$AI$154,0)),IFERROR(INDEX(Oportunidades!$A$5:$A$154,MATCH(A137,Oportunidades!$AC$5:$AC$154,0)),"—")))</f>
        <v/>
      </c>
      <c r="K137" s="133" t="str">
        <f>IF(A137="","",IF(ISNUMBER(MATCH(A137,Riscos!$AI$5:$AI$154,0)),"Riscos",IF(ISNUMBER(MATCH(A137,Oportunidades!$AC$5:$AC$154,0)),"Oportunidades","—")))</f>
        <v/>
      </c>
    </row>
    <row r="138" spans="1:11">
      <c r="A138" s="132"/>
      <c r="B138" s="12"/>
      <c r="C138" s="13"/>
      <c r="D138" s="12"/>
      <c r="E138" s="13"/>
      <c r="F138" s="16"/>
      <c r="G138" s="12"/>
      <c r="H138" s="16"/>
      <c r="I138" s="16"/>
      <c r="J138" s="14" t="str">
        <f>IF(A138="","",IFERROR(INDEX(Riscos!$A$5:$A$154,MATCH(A138,Riscos!$AI$5:$AI$154,0)),IFERROR(INDEX(Oportunidades!$A$5:$A$154,MATCH(A138,Oportunidades!$AC$5:$AC$154,0)),"—")))</f>
        <v/>
      </c>
      <c r="K138" s="133" t="str">
        <f>IF(A138="","",IF(ISNUMBER(MATCH(A138,Riscos!$AI$5:$AI$154,0)),"Riscos",IF(ISNUMBER(MATCH(A138,Oportunidades!$AC$5:$AC$154,0)),"Oportunidades","—")))</f>
        <v/>
      </c>
    </row>
    <row r="139" spans="1:11">
      <c r="A139" s="132"/>
      <c r="B139" s="12"/>
      <c r="C139" s="13"/>
      <c r="D139" s="12"/>
      <c r="E139" s="13"/>
      <c r="F139" s="16"/>
      <c r="G139" s="12"/>
      <c r="H139" s="16"/>
      <c r="I139" s="16"/>
      <c r="J139" s="14" t="str">
        <f>IF(A139="","",IFERROR(INDEX(Riscos!$A$5:$A$154,MATCH(A139,Riscos!$AI$5:$AI$154,0)),IFERROR(INDEX(Oportunidades!$A$5:$A$154,MATCH(A139,Oportunidades!$AC$5:$AC$154,0)),"—")))</f>
        <v/>
      </c>
      <c r="K139" s="133" t="str">
        <f>IF(A139="","",IF(ISNUMBER(MATCH(A139,Riscos!$AI$5:$AI$154,0)),"Riscos",IF(ISNUMBER(MATCH(A139,Oportunidades!$AC$5:$AC$154,0)),"Oportunidades","—")))</f>
        <v/>
      </c>
    </row>
    <row r="140" spans="1:11">
      <c r="A140" s="132"/>
      <c r="B140" s="12"/>
      <c r="C140" s="13"/>
      <c r="D140" s="12"/>
      <c r="E140" s="13"/>
      <c r="F140" s="16"/>
      <c r="G140" s="12"/>
      <c r="H140" s="16"/>
      <c r="I140" s="16"/>
      <c r="J140" s="14" t="str">
        <f>IF(A140="","",IFERROR(INDEX(Riscos!$A$5:$A$154,MATCH(A140,Riscos!$AI$5:$AI$154,0)),IFERROR(INDEX(Oportunidades!$A$5:$A$154,MATCH(A140,Oportunidades!$AC$5:$AC$154,0)),"—")))</f>
        <v/>
      </c>
      <c r="K140" s="133" t="str">
        <f>IF(A140="","",IF(ISNUMBER(MATCH(A140,Riscos!$AI$5:$AI$154,0)),"Riscos",IF(ISNUMBER(MATCH(A140,Oportunidades!$AC$5:$AC$154,0)),"Oportunidades","—")))</f>
        <v/>
      </c>
    </row>
    <row r="141" spans="1:11">
      <c r="A141" s="132"/>
      <c r="B141" s="12"/>
      <c r="C141" s="13"/>
      <c r="D141" s="12"/>
      <c r="E141" s="13"/>
      <c r="F141" s="16"/>
      <c r="G141" s="12"/>
      <c r="H141" s="16"/>
      <c r="I141" s="16"/>
      <c r="J141" s="14" t="str">
        <f>IF(A141="","",IFERROR(INDEX(Riscos!$A$5:$A$154,MATCH(A141,Riscos!$AI$5:$AI$154,0)),IFERROR(INDEX(Oportunidades!$A$5:$A$154,MATCH(A141,Oportunidades!$AC$5:$AC$154,0)),"—")))</f>
        <v/>
      </c>
      <c r="K141" s="133" t="str">
        <f>IF(A141="","",IF(ISNUMBER(MATCH(A141,Riscos!$AI$5:$AI$154,0)),"Riscos",IF(ISNUMBER(MATCH(A141,Oportunidades!$AC$5:$AC$154,0)),"Oportunidades","—")))</f>
        <v/>
      </c>
    </row>
    <row r="142" spans="1:11">
      <c r="A142" s="132"/>
      <c r="B142" s="12"/>
      <c r="C142" s="13"/>
      <c r="D142" s="12"/>
      <c r="E142" s="13"/>
      <c r="F142" s="16"/>
      <c r="G142" s="12"/>
      <c r="H142" s="16"/>
      <c r="I142" s="16"/>
      <c r="J142" s="14" t="str">
        <f>IF(A142="","",IFERROR(INDEX(Riscos!$A$5:$A$154,MATCH(A142,Riscos!$AI$5:$AI$154,0)),IFERROR(INDEX(Oportunidades!$A$5:$A$154,MATCH(A142,Oportunidades!$AC$5:$AC$154,0)),"—")))</f>
        <v/>
      </c>
      <c r="K142" s="133" t="str">
        <f>IF(A142="","",IF(ISNUMBER(MATCH(A142,Riscos!$AI$5:$AI$154,0)),"Riscos",IF(ISNUMBER(MATCH(A142,Oportunidades!$AC$5:$AC$154,0)),"Oportunidades","—")))</f>
        <v/>
      </c>
    </row>
    <row r="143" spans="1:11">
      <c r="A143" s="132"/>
      <c r="B143" s="12"/>
      <c r="C143" s="13"/>
      <c r="D143" s="12"/>
      <c r="E143" s="13"/>
      <c r="F143" s="16"/>
      <c r="G143" s="12"/>
      <c r="H143" s="16"/>
      <c r="I143" s="16"/>
      <c r="J143" s="14" t="str">
        <f>IF(A143="","",IFERROR(INDEX(Riscos!$A$5:$A$154,MATCH(A143,Riscos!$AI$5:$AI$154,0)),IFERROR(INDEX(Oportunidades!$A$5:$A$154,MATCH(A143,Oportunidades!$AC$5:$AC$154,0)),"—")))</f>
        <v/>
      </c>
      <c r="K143" s="133" t="str">
        <f>IF(A143="","",IF(ISNUMBER(MATCH(A143,Riscos!$AI$5:$AI$154,0)),"Riscos",IF(ISNUMBER(MATCH(A143,Oportunidades!$AC$5:$AC$154,0)),"Oportunidades","—")))</f>
        <v/>
      </c>
    </row>
    <row r="144" spans="1:11">
      <c r="A144" s="132"/>
      <c r="B144" s="12"/>
      <c r="C144" s="13"/>
      <c r="D144" s="12"/>
      <c r="E144" s="13"/>
      <c r="F144" s="16"/>
      <c r="G144" s="12"/>
      <c r="H144" s="16"/>
      <c r="I144" s="16"/>
      <c r="J144" s="14" t="str">
        <f>IF(A144="","",IFERROR(INDEX(Riscos!$A$5:$A$154,MATCH(A144,Riscos!$AI$5:$AI$154,0)),IFERROR(INDEX(Oportunidades!$A$5:$A$154,MATCH(A144,Oportunidades!$AC$5:$AC$154,0)),"—")))</f>
        <v/>
      </c>
      <c r="K144" s="133" t="str">
        <f>IF(A144="","",IF(ISNUMBER(MATCH(A144,Riscos!$AI$5:$AI$154,0)),"Riscos",IF(ISNUMBER(MATCH(A144,Oportunidades!$AC$5:$AC$154,0)),"Oportunidades","—")))</f>
        <v/>
      </c>
    </row>
    <row r="145" spans="1:11">
      <c r="A145" s="132"/>
      <c r="B145" s="12"/>
      <c r="C145" s="13"/>
      <c r="D145" s="12"/>
      <c r="E145" s="13"/>
      <c r="F145" s="16"/>
      <c r="G145" s="12"/>
      <c r="H145" s="16"/>
      <c r="I145" s="16"/>
      <c r="J145" s="14" t="str">
        <f>IF(A145="","",IFERROR(INDEX(Riscos!$A$5:$A$154,MATCH(A145,Riscos!$AI$5:$AI$154,0)),IFERROR(INDEX(Oportunidades!$A$5:$A$154,MATCH(A145,Oportunidades!$AC$5:$AC$154,0)),"—")))</f>
        <v/>
      </c>
      <c r="K145" s="133" t="str">
        <f>IF(A145="","",IF(ISNUMBER(MATCH(A145,Riscos!$AI$5:$AI$154,0)),"Riscos",IF(ISNUMBER(MATCH(A145,Oportunidades!$AC$5:$AC$154,0)),"Oportunidades","—")))</f>
        <v/>
      </c>
    </row>
    <row r="146" spans="1:11">
      <c r="A146" s="132"/>
      <c r="B146" s="12"/>
      <c r="C146" s="13"/>
      <c r="D146" s="12"/>
      <c r="E146" s="13"/>
      <c r="F146" s="16"/>
      <c r="G146" s="12"/>
      <c r="H146" s="16"/>
      <c r="I146" s="16"/>
      <c r="J146" s="14" t="str">
        <f>IF(A146="","",IFERROR(INDEX(Riscos!$A$5:$A$154,MATCH(A146,Riscos!$AI$5:$AI$154,0)),IFERROR(INDEX(Oportunidades!$A$5:$A$154,MATCH(A146,Oportunidades!$AC$5:$AC$154,0)),"—")))</f>
        <v/>
      </c>
      <c r="K146" s="133" t="str">
        <f>IF(A146="","",IF(ISNUMBER(MATCH(A146,Riscos!$AI$5:$AI$154,0)),"Riscos",IF(ISNUMBER(MATCH(A146,Oportunidades!$AC$5:$AC$154,0)),"Oportunidades","—")))</f>
        <v/>
      </c>
    </row>
    <row r="147" spans="1:11">
      <c r="A147" s="132"/>
      <c r="B147" s="12"/>
      <c r="C147" s="13"/>
      <c r="D147" s="12"/>
      <c r="E147" s="13"/>
      <c r="F147" s="16"/>
      <c r="G147" s="12"/>
      <c r="H147" s="16"/>
      <c r="I147" s="16"/>
      <c r="J147" s="14" t="str">
        <f>IF(A147="","",IFERROR(INDEX(Riscos!$A$5:$A$154,MATCH(A147,Riscos!$AI$5:$AI$154,0)),IFERROR(INDEX(Oportunidades!$A$5:$A$154,MATCH(A147,Oportunidades!$AC$5:$AC$154,0)),"—")))</f>
        <v/>
      </c>
      <c r="K147" s="133" t="str">
        <f>IF(A147="","",IF(ISNUMBER(MATCH(A147,Riscos!$AI$5:$AI$154,0)),"Riscos",IF(ISNUMBER(MATCH(A147,Oportunidades!$AC$5:$AC$154,0)),"Oportunidades","—")))</f>
        <v/>
      </c>
    </row>
    <row r="148" spans="1:11">
      <c r="A148" s="132"/>
      <c r="B148" s="12"/>
      <c r="C148" s="13"/>
      <c r="D148" s="12"/>
      <c r="E148" s="13"/>
      <c r="F148" s="16"/>
      <c r="G148" s="12"/>
      <c r="H148" s="16"/>
      <c r="I148" s="16"/>
      <c r="J148" s="14" t="str">
        <f>IF(A148="","",IFERROR(INDEX(Riscos!$A$5:$A$154,MATCH(A148,Riscos!$AI$5:$AI$154,0)),IFERROR(INDEX(Oportunidades!$A$5:$A$154,MATCH(A148,Oportunidades!$AC$5:$AC$154,0)),"—")))</f>
        <v/>
      </c>
      <c r="K148" s="133" t="str">
        <f>IF(A148="","",IF(ISNUMBER(MATCH(A148,Riscos!$AI$5:$AI$154,0)),"Riscos",IF(ISNUMBER(MATCH(A148,Oportunidades!$AC$5:$AC$154,0)),"Oportunidades","—")))</f>
        <v/>
      </c>
    </row>
    <row r="149" spans="1:11">
      <c r="A149" s="132"/>
      <c r="B149" s="12"/>
      <c r="C149" s="13"/>
      <c r="D149" s="12"/>
      <c r="E149" s="13"/>
      <c r="F149" s="16"/>
      <c r="G149" s="12"/>
      <c r="H149" s="16"/>
      <c r="I149" s="16"/>
      <c r="J149" s="14" t="str">
        <f>IF(A149="","",IFERROR(INDEX(Riscos!$A$5:$A$154,MATCH(A149,Riscos!$AI$5:$AI$154,0)),IFERROR(INDEX(Oportunidades!$A$5:$A$154,MATCH(A149,Oportunidades!$AC$5:$AC$154,0)),"—")))</f>
        <v/>
      </c>
      <c r="K149" s="133" t="str">
        <f>IF(A149="","",IF(ISNUMBER(MATCH(A149,Riscos!$AI$5:$AI$154,0)),"Riscos",IF(ISNUMBER(MATCH(A149,Oportunidades!$AC$5:$AC$154,0)),"Oportunidades","—")))</f>
        <v/>
      </c>
    </row>
    <row r="150" spans="1:11">
      <c r="A150" s="132"/>
      <c r="B150" s="12"/>
      <c r="C150" s="13"/>
      <c r="D150" s="12"/>
      <c r="E150" s="13"/>
      <c r="F150" s="16"/>
      <c r="G150" s="12"/>
      <c r="H150" s="16"/>
      <c r="I150" s="16"/>
      <c r="J150" s="14" t="str">
        <f>IF(A150="","",IFERROR(INDEX(Riscos!$A$5:$A$154,MATCH(A150,Riscos!$AI$5:$AI$154,0)),IFERROR(INDEX(Oportunidades!$A$5:$A$154,MATCH(A150,Oportunidades!$AC$5:$AC$154,0)),"—")))</f>
        <v/>
      </c>
      <c r="K150" s="133" t="str">
        <f>IF(A150="","",IF(ISNUMBER(MATCH(A150,Riscos!$AI$5:$AI$154,0)),"Riscos",IF(ISNUMBER(MATCH(A150,Oportunidades!$AC$5:$AC$154,0)),"Oportunidades","—")))</f>
        <v/>
      </c>
    </row>
    <row r="151" spans="1:11">
      <c r="A151" s="132"/>
      <c r="B151" s="12"/>
      <c r="C151" s="13"/>
      <c r="D151" s="12"/>
      <c r="E151" s="13"/>
      <c r="F151" s="16"/>
      <c r="G151" s="12"/>
      <c r="H151" s="16"/>
      <c r="I151" s="16"/>
      <c r="J151" s="14" t="str">
        <f>IF(A151="","",IFERROR(INDEX(Riscos!$A$5:$A$154,MATCH(A151,Riscos!$AI$5:$AI$154,0)),IFERROR(INDEX(Oportunidades!$A$5:$A$154,MATCH(A151,Oportunidades!$AC$5:$AC$154,0)),"—")))</f>
        <v/>
      </c>
      <c r="K151" s="133" t="str">
        <f>IF(A151="","",IF(ISNUMBER(MATCH(A151,Riscos!$AI$5:$AI$154,0)),"Riscos",IF(ISNUMBER(MATCH(A151,Oportunidades!$AC$5:$AC$154,0)),"Oportunidades","—")))</f>
        <v/>
      </c>
    </row>
    <row r="152" spans="1:11">
      <c r="A152" s="132"/>
      <c r="B152" s="12"/>
      <c r="C152" s="13"/>
      <c r="D152" s="12"/>
      <c r="E152" s="13"/>
      <c r="F152" s="16"/>
      <c r="G152" s="12"/>
      <c r="H152" s="16"/>
      <c r="I152" s="16"/>
      <c r="J152" s="14" t="str">
        <f>IF(A152="","",IFERROR(INDEX(Riscos!$A$5:$A$154,MATCH(A152,Riscos!$AI$5:$AI$154,0)),IFERROR(INDEX(Oportunidades!$A$5:$A$154,MATCH(A152,Oportunidades!$AC$5:$AC$154,0)),"—")))</f>
        <v/>
      </c>
      <c r="K152" s="133" t="str">
        <f>IF(A152="","",IF(ISNUMBER(MATCH(A152,Riscos!$AI$5:$AI$154,0)),"Riscos",IF(ISNUMBER(MATCH(A152,Oportunidades!$AC$5:$AC$154,0)),"Oportunidades","—")))</f>
        <v/>
      </c>
    </row>
    <row r="153" spans="1:11">
      <c r="A153" s="132"/>
      <c r="B153" s="12"/>
      <c r="C153" s="13"/>
      <c r="D153" s="12"/>
      <c r="E153" s="13"/>
      <c r="F153" s="16"/>
      <c r="G153" s="12"/>
      <c r="H153" s="16"/>
      <c r="I153" s="16"/>
      <c r="J153" s="14" t="str">
        <f>IF(A153="","",IFERROR(INDEX(Riscos!$A$5:$A$154,MATCH(A153,Riscos!$AI$5:$AI$154,0)),IFERROR(INDEX(Oportunidades!$A$5:$A$154,MATCH(A153,Oportunidades!$AC$5:$AC$154,0)),"—")))</f>
        <v/>
      </c>
      <c r="K153" s="133" t="str">
        <f>IF(A153="","",IF(ISNUMBER(MATCH(A153,Riscos!$AI$5:$AI$154,0)),"Riscos",IF(ISNUMBER(MATCH(A153,Oportunidades!$AC$5:$AC$154,0)),"Oportunidades","—")))</f>
        <v/>
      </c>
    </row>
    <row r="154" spans="1:11">
      <c r="A154" s="132"/>
      <c r="B154" s="12"/>
      <c r="C154" s="13"/>
      <c r="D154" s="12"/>
      <c r="E154" s="13"/>
      <c r="F154" s="16"/>
      <c r="G154" s="12"/>
      <c r="H154" s="16"/>
      <c r="I154" s="16"/>
      <c r="J154" s="14" t="str">
        <f>IF(A154="","",IFERROR(INDEX(Riscos!$A$5:$A$154,MATCH(A154,Riscos!$AI$5:$AI$154,0)),IFERROR(INDEX(Oportunidades!$A$5:$A$154,MATCH(A154,Oportunidades!$AC$5:$AC$154,0)),"—")))</f>
        <v/>
      </c>
      <c r="K154" s="133" t="str">
        <f>IF(A154="","",IF(ISNUMBER(MATCH(A154,Riscos!$AI$5:$AI$154,0)),"Riscos",IF(ISNUMBER(MATCH(A154,Oportunidades!$AC$5:$AC$154,0)),"Oportunidades","—")))</f>
        <v/>
      </c>
    </row>
    <row r="155" spans="1:11">
      <c r="A155" s="132"/>
      <c r="B155" s="12"/>
      <c r="C155" s="13"/>
      <c r="D155" s="12"/>
      <c r="E155" s="13"/>
      <c r="F155" s="16"/>
      <c r="G155" s="12"/>
      <c r="H155" s="16"/>
      <c r="I155" s="16"/>
      <c r="J155" s="14" t="str">
        <f>IF(A155="","",IFERROR(INDEX(Riscos!$A$5:$A$154,MATCH(A155,Riscos!$AI$5:$AI$154,0)),IFERROR(INDEX(Oportunidades!$A$5:$A$154,MATCH(A155,Oportunidades!$AC$5:$AC$154,0)),"—")))</f>
        <v/>
      </c>
      <c r="K155" s="133" t="str">
        <f>IF(A155="","",IF(ISNUMBER(MATCH(A155,Riscos!$AI$5:$AI$154,0)),"Riscos",IF(ISNUMBER(MATCH(A155,Oportunidades!$AC$5:$AC$154,0)),"Oportunidades","—")))</f>
        <v/>
      </c>
    </row>
    <row r="156" spans="1:11">
      <c r="A156" s="132"/>
      <c r="B156" s="12"/>
      <c r="C156" s="13"/>
      <c r="D156" s="12"/>
      <c r="E156" s="13"/>
      <c r="F156" s="16"/>
      <c r="G156" s="12"/>
      <c r="H156" s="16"/>
      <c r="I156" s="16"/>
      <c r="J156" s="14" t="str">
        <f>IF(A156="","",IFERROR(INDEX(Riscos!$A$5:$A$154,MATCH(A156,Riscos!$AI$5:$AI$154,0)),IFERROR(INDEX(Oportunidades!$A$5:$A$154,MATCH(A156,Oportunidades!$AC$5:$AC$154,0)),"—")))</f>
        <v/>
      </c>
      <c r="K156" s="133" t="str">
        <f>IF(A156="","",IF(ISNUMBER(MATCH(A156,Riscos!$AI$5:$AI$154,0)),"Riscos",IF(ISNUMBER(MATCH(A156,Oportunidades!$AC$5:$AC$154,0)),"Oportunidades","—")))</f>
        <v/>
      </c>
    </row>
    <row r="157" spans="1:11">
      <c r="A157" s="132"/>
      <c r="B157" s="12"/>
      <c r="C157" s="13"/>
      <c r="D157" s="12"/>
      <c r="E157" s="13"/>
      <c r="F157" s="16"/>
      <c r="G157" s="12"/>
      <c r="H157" s="16"/>
      <c r="I157" s="16"/>
      <c r="J157" s="14" t="str">
        <f>IF(A157="","",IFERROR(INDEX(Riscos!$A$5:$A$154,MATCH(A157,Riscos!$AI$5:$AI$154,0)),IFERROR(INDEX(Oportunidades!$A$5:$A$154,MATCH(A157,Oportunidades!$AC$5:$AC$154,0)),"—")))</f>
        <v/>
      </c>
      <c r="K157" s="133" t="str">
        <f>IF(A157="","",IF(ISNUMBER(MATCH(A157,Riscos!$AI$5:$AI$154,0)),"Riscos",IF(ISNUMBER(MATCH(A157,Oportunidades!$AC$5:$AC$154,0)),"Oportunidades","—")))</f>
        <v/>
      </c>
    </row>
    <row r="158" spans="1:11">
      <c r="A158" s="132"/>
      <c r="B158" s="12"/>
      <c r="C158" s="13"/>
      <c r="D158" s="12"/>
      <c r="E158" s="13"/>
      <c r="F158" s="16"/>
      <c r="G158" s="12"/>
      <c r="H158" s="16"/>
      <c r="I158" s="16"/>
      <c r="J158" s="14" t="str">
        <f>IF(A158="","",IFERROR(INDEX(Riscos!$A$5:$A$154,MATCH(A158,Riscos!$AI$5:$AI$154,0)),IFERROR(INDEX(Oportunidades!$A$5:$A$154,MATCH(A158,Oportunidades!$AC$5:$AC$154,0)),"—")))</f>
        <v/>
      </c>
      <c r="K158" s="133" t="str">
        <f>IF(A158="","",IF(ISNUMBER(MATCH(A158,Riscos!$AI$5:$AI$154,0)),"Riscos",IF(ISNUMBER(MATCH(A158,Oportunidades!$AC$5:$AC$154,0)),"Oportunidades","—")))</f>
        <v/>
      </c>
    </row>
    <row r="159" spans="1:11">
      <c r="A159" s="132"/>
      <c r="B159" s="12"/>
      <c r="C159" s="13"/>
      <c r="D159" s="12"/>
      <c r="E159" s="13"/>
      <c r="F159" s="16"/>
      <c r="G159" s="12"/>
      <c r="H159" s="16"/>
      <c r="I159" s="16"/>
      <c r="J159" s="14" t="str">
        <f>IF(A159="","",IFERROR(INDEX(Riscos!$A$5:$A$154,MATCH(A159,Riscos!$AI$5:$AI$154,0)),IFERROR(INDEX(Oportunidades!$A$5:$A$154,MATCH(A159,Oportunidades!$AC$5:$AC$154,0)),"—")))</f>
        <v/>
      </c>
      <c r="K159" s="133" t="str">
        <f>IF(A159="","",IF(ISNUMBER(MATCH(A159,Riscos!$AI$5:$AI$154,0)),"Riscos",IF(ISNUMBER(MATCH(A159,Oportunidades!$AC$5:$AC$154,0)),"Oportunidades","—")))</f>
        <v/>
      </c>
    </row>
    <row r="160" spans="1:11">
      <c r="A160" s="132"/>
      <c r="B160" s="12"/>
      <c r="C160" s="13"/>
      <c r="D160" s="12"/>
      <c r="E160" s="13"/>
      <c r="F160" s="16"/>
      <c r="G160" s="12"/>
      <c r="H160" s="16"/>
      <c r="I160" s="16"/>
      <c r="J160" s="14" t="str">
        <f>IF(A160="","",IFERROR(INDEX(Riscos!$A$5:$A$154,MATCH(A160,Riscos!$AI$5:$AI$154,0)),IFERROR(INDEX(Oportunidades!$A$5:$A$154,MATCH(A160,Oportunidades!$AC$5:$AC$154,0)),"—")))</f>
        <v/>
      </c>
      <c r="K160" s="133" t="str">
        <f>IF(A160="","",IF(ISNUMBER(MATCH(A160,Riscos!$AI$5:$AI$154,0)),"Riscos",IF(ISNUMBER(MATCH(A160,Oportunidades!$AC$5:$AC$154,0)),"Oportunidades","—")))</f>
        <v/>
      </c>
    </row>
    <row r="161" spans="1:11">
      <c r="A161" s="132"/>
      <c r="B161" s="12"/>
      <c r="C161" s="13"/>
      <c r="D161" s="12"/>
      <c r="E161" s="13"/>
      <c r="F161" s="16"/>
      <c r="G161" s="12"/>
      <c r="H161" s="16"/>
      <c r="I161" s="16"/>
      <c r="J161" s="14" t="str">
        <f>IF(A161="","",IFERROR(INDEX(Riscos!$A$5:$A$154,MATCH(A161,Riscos!$AI$5:$AI$154,0)),IFERROR(INDEX(Oportunidades!$A$5:$A$154,MATCH(A161,Oportunidades!$AC$5:$AC$154,0)),"—")))</f>
        <v/>
      </c>
      <c r="K161" s="133" t="str">
        <f>IF(A161="","",IF(ISNUMBER(MATCH(A161,Riscos!$AI$5:$AI$154,0)),"Riscos",IF(ISNUMBER(MATCH(A161,Oportunidades!$AC$5:$AC$154,0)),"Oportunidades","—")))</f>
        <v/>
      </c>
    </row>
    <row r="162" spans="1:11">
      <c r="A162" s="132"/>
      <c r="B162" s="12"/>
      <c r="C162" s="13"/>
      <c r="D162" s="12"/>
      <c r="E162" s="13"/>
      <c r="F162" s="16"/>
      <c r="G162" s="12"/>
      <c r="H162" s="16"/>
      <c r="I162" s="16"/>
      <c r="J162" s="14" t="str">
        <f>IF(A162="","",IFERROR(INDEX(Riscos!$A$5:$A$154,MATCH(A162,Riscos!$AI$5:$AI$154,0)),IFERROR(INDEX(Oportunidades!$A$5:$A$154,MATCH(A162,Oportunidades!$AC$5:$AC$154,0)),"—")))</f>
        <v/>
      </c>
      <c r="K162" s="133" t="str">
        <f>IF(A162="","",IF(ISNUMBER(MATCH(A162,Riscos!$AI$5:$AI$154,0)),"Riscos",IF(ISNUMBER(MATCH(A162,Oportunidades!$AC$5:$AC$154,0)),"Oportunidades","—")))</f>
        <v/>
      </c>
    </row>
    <row r="163" spans="1:11">
      <c r="A163" s="132"/>
      <c r="B163" s="12"/>
      <c r="C163" s="13"/>
      <c r="D163" s="12"/>
      <c r="E163" s="13"/>
      <c r="F163" s="16"/>
      <c r="G163" s="12"/>
      <c r="H163" s="16"/>
      <c r="I163" s="16"/>
      <c r="J163" s="14" t="str">
        <f>IF(A163="","",IFERROR(INDEX(Riscos!$A$5:$A$154,MATCH(A163,Riscos!$AI$5:$AI$154,0)),IFERROR(INDEX(Oportunidades!$A$5:$A$154,MATCH(A163,Oportunidades!$AC$5:$AC$154,0)),"—")))</f>
        <v/>
      </c>
      <c r="K163" s="133" t="str">
        <f>IF(A163="","",IF(ISNUMBER(MATCH(A163,Riscos!$AI$5:$AI$154,0)),"Riscos",IF(ISNUMBER(MATCH(A163,Oportunidades!$AC$5:$AC$154,0)),"Oportunidades","—")))</f>
        <v/>
      </c>
    </row>
    <row r="164" spans="1:11">
      <c r="A164" s="132"/>
      <c r="B164" s="12"/>
      <c r="C164" s="13"/>
      <c r="D164" s="12"/>
      <c r="E164" s="13"/>
      <c r="F164" s="16"/>
      <c r="G164" s="12"/>
      <c r="H164" s="16"/>
      <c r="I164" s="16"/>
      <c r="J164" s="14" t="str">
        <f>IF(A164="","",IFERROR(INDEX(Riscos!$A$5:$A$154,MATCH(A164,Riscos!$AI$5:$AI$154,0)),IFERROR(INDEX(Oportunidades!$A$5:$A$154,MATCH(A164,Oportunidades!$AC$5:$AC$154,0)),"—")))</f>
        <v/>
      </c>
      <c r="K164" s="133" t="str">
        <f>IF(A164="","",IF(ISNUMBER(MATCH(A164,Riscos!$AI$5:$AI$154,0)),"Riscos",IF(ISNUMBER(MATCH(A164,Oportunidades!$AC$5:$AC$154,0)),"Oportunidades","—")))</f>
        <v/>
      </c>
    </row>
    <row r="165" spans="1:11">
      <c r="A165" s="132"/>
      <c r="B165" s="12"/>
      <c r="C165" s="13"/>
      <c r="D165" s="12"/>
      <c r="E165" s="13"/>
      <c r="F165" s="16"/>
      <c r="G165" s="12"/>
      <c r="H165" s="16"/>
      <c r="I165" s="16"/>
      <c r="J165" s="14" t="str">
        <f>IF(A165="","",IFERROR(INDEX(Riscos!$A$5:$A$154,MATCH(A165,Riscos!$AI$5:$AI$154,0)),IFERROR(INDEX(Oportunidades!$A$5:$A$154,MATCH(A165,Oportunidades!$AC$5:$AC$154,0)),"—")))</f>
        <v/>
      </c>
      <c r="K165" s="133" t="str">
        <f>IF(A165="","",IF(ISNUMBER(MATCH(A165,Riscos!$AI$5:$AI$154,0)),"Riscos",IF(ISNUMBER(MATCH(A165,Oportunidades!$AC$5:$AC$154,0)),"Oportunidades","—")))</f>
        <v/>
      </c>
    </row>
    <row r="166" spans="1:11">
      <c r="A166" s="132"/>
      <c r="B166" s="12"/>
      <c r="C166" s="13"/>
      <c r="D166" s="12"/>
      <c r="E166" s="13"/>
      <c r="F166" s="16"/>
      <c r="G166" s="12"/>
      <c r="H166" s="16"/>
      <c r="I166" s="16"/>
      <c r="J166" s="14" t="str">
        <f>IF(A166="","",IFERROR(INDEX(Riscos!$A$5:$A$154,MATCH(A166,Riscos!$AI$5:$AI$154,0)),IFERROR(INDEX(Oportunidades!$A$5:$A$154,MATCH(A166,Oportunidades!$AC$5:$AC$154,0)),"—")))</f>
        <v/>
      </c>
      <c r="K166" s="133" t="str">
        <f>IF(A166="","",IF(ISNUMBER(MATCH(A166,Riscos!$AI$5:$AI$154,0)),"Riscos",IF(ISNUMBER(MATCH(A166,Oportunidades!$AC$5:$AC$154,0)),"Oportunidades","—")))</f>
        <v/>
      </c>
    </row>
    <row r="167" spans="1:11">
      <c r="A167" s="132"/>
      <c r="B167" s="12"/>
      <c r="C167" s="13"/>
      <c r="D167" s="12"/>
      <c r="E167" s="13"/>
      <c r="F167" s="16"/>
      <c r="G167" s="12"/>
      <c r="H167" s="16"/>
      <c r="I167" s="16"/>
      <c r="J167" s="14" t="str">
        <f>IF(A167="","",IFERROR(INDEX(Riscos!$A$5:$A$154,MATCH(A167,Riscos!$AI$5:$AI$154,0)),IFERROR(INDEX(Oportunidades!$A$5:$A$154,MATCH(A167,Oportunidades!$AC$5:$AC$154,0)),"—")))</f>
        <v/>
      </c>
      <c r="K167" s="133" t="str">
        <f>IF(A167="","",IF(ISNUMBER(MATCH(A167,Riscos!$AI$5:$AI$154,0)),"Riscos",IF(ISNUMBER(MATCH(A167,Oportunidades!$AC$5:$AC$154,0)),"Oportunidades","—")))</f>
        <v/>
      </c>
    </row>
    <row r="168" spans="1:11">
      <c r="A168" s="132"/>
      <c r="B168" s="12"/>
      <c r="C168" s="13"/>
      <c r="D168" s="12"/>
      <c r="E168" s="13"/>
      <c r="F168" s="16"/>
      <c r="G168" s="12"/>
      <c r="H168" s="16"/>
      <c r="I168" s="16"/>
      <c r="J168" s="14" t="str">
        <f>IF(A168="","",IFERROR(INDEX(Riscos!$A$5:$A$154,MATCH(A168,Riscos!$AI$5:$AI$154,0)),IFERROR(INDEX(Oportunidades!$A$5:$A$154,MATCH(A168,Oportunidades!$AC$5:$AC$154,0)),"—")))</f>
        <v/>
      </c>
      <c r="K168" s="133" t="str">
        <f>IF(A168="","",IF(ISNUMBER(MATCH(A168,Riscos!$AI$5:$AI$154,0)),"Riscos",IF(ISNUMBER(MATCH(A168,Oportunidades!$AC$5:$AC$154,0)),"Oportunidades","—")))</f>
        <v/>
      </c>
    </row>
    <row r="169" spans="1:11">
      <c r="A169" s="132"/>
      <c r="B169" s="12"/>
      <c r="C169" s="13"/>
      <c r="D169" s="12"/>
      <c r="E169" s="13"/>
      <c r="F169" s="16"/>
      <c r="G169" s="12"/>
      <c r="H169" s="16"/>
      <c r="I169" s="16"/>
      <c r="J169" s="14" t="str">
        <f>IF(A169="","",IFERROR(INDEX(Riscos!$A$5:$A$154,MATCH(A169,Riscos!$AI$5:$AI$154,0)),IFERROR(INDEX(Oportunidades!$A$5:$A$154,MATCH(A169,Oportunidades!$AC$5:$AC$154,0)),"—")))</f>
        <v/>
      </c>
      <c r="K169" s="133" t="str">
        <f>IF(A169="","",IF(ISNUMBER(MATCH(A169,Riscos!$AI$5:$AI$154,0)),"Riscos",IF(ISNUMBER(MATCH(A169,Oportunidades!$AC$5:$AC$154,0)),"Oportunidades","—")))</f>
        <v/>
      </c>
    </row>
    <row r="170" spans="1:11">
      <c r="A170" s="132"/>
      <c r="B170" s="12"/>
      <c r="C170" s="13"/>
      <c r="D170" s="12"/>
      <c r="E170" s="13"/>
      <c r="F170" s="16"/>
      <c r="G170" s="12"/>
      <c r="H170" s="16"/>
      <c r="I170" s="16"/>
      <c r="J170" s="14" t="str">
        <f>IF(A170="","",IFERROR(INDEX(Riscos!$A$5:$A$154,MATCH(A170,Riscos!$AI$5:$AI$154,0)),IFERROR(INDEX(Oportunidades!$A$5:$A$154,MATCH(A170,Oportunidades!$AC$5:$AC$154,0)),"—")))</f>
        <v/>
      </c>
      <c r="K170" s="133" t="str">
        <f>IF(A170="","",IF(ISNUMBER(MATCH(A170,Riscos!$AI$5:$AI$154,0)),"Riscos",IF(ISNUMBER(MATCH(A170,Oportunidades!$AC$5:$AC$154,0)),"Oportunidades","—")))</f>
        <v/>
      </c>
    </row>
    <row r="171" spans="1:11">
      <c r="A171" s="132"/>
      <c r="B171" s="12"/>
      <c r="C171" s="13"/>
      <c r="D171" s="12"/>
      <c r="E171" s="13"/>
      <c r="F171" s="16"/>
      <c r="G171" s="12"/>
      <c r="H171" s="16"/>
      <c r="I171" s="16"/>
      <c r="J171" s="14" t="str">
        <f>IF(A171="","",IFERROR(INDEX(Riscos!$A$5:$A$154,MATCH(A171,Riscos!$AI$5:$AI$154,0)),IFERROR(INDEX(Oportunidades!$A$5:$A$154,MATCH(A171,Oportunidades!$AC$5:$AC$154,0)),"—")))</f>
        <v/>
      </c>
      <c r="K171" s="133" t="str">
        <f>IF(A171="","",IF(ISNUMBER(MATCH(A171,Riscos!$AI$5:$AI$154,0)),"Riscos",IF(ISNUMBER(MATCH(A171,Oportunidades!$AC$5:$AC$154,0)),"Oportunidades","—")))</f>
        <v/>
      </c>
    </row>
    <row r="172" spans="1:11">
      <c r="A172" s="132"/>
      <c r="B172" s="12"/>
      <c r="C172" s="13"/>
      <c r="D172" s="12"/>
      <c r="E172" s="13"/>
      <c r="F172" s="16"/>
      <c r="G172" s="12"/>
      <c r="H172" s="16"/>
      <c r="I172" s="16"/>
      <c r="J172" s="14" t="str">
        <f>IF(A172="","",IFERROR(INDEX(Riscos!$A$5:$A$154,MATCH(A172,Riscos!$AI$5:$AI$154,0)),IFERROR(INDEX(Oportunidades!$A$5:$A$154,MATCH(A172,Oportunidades!$AC$5:$AC$154,0)),"—")))</f>
        <v/>
      </c>
      <c r="K172" s="133" t="str">
        <f>IF(A172="","",IF(ISNUMBER(MATCH(A172,Riscos!$AI$5:$AI$154,0)),"Riscos",IF(ISNUMBER(MATCH(A172,Oportunidades!$AC$5:$AC$154,0)),"Oportunidades","—")))</f>
        <v/>
      </c>
    </row>
    <row r="173" spans="1:11">
      <c r="A173" s="132"/>
      <c r="B173" s="12"/>
      <c r="C173" s="13"/>
      <c r="D173" s="12"/>
      <c r="E173" s="13"/>
      <c r="F173" s="16"/>
      <c r="G173" s="12"/>
      <c r="H173" s="16"/>
      <c r="I173" s="16"/>
      <c r="J173" s="14" t="str">
        <f>IF(A173="","",IFERROR(INDEX(Riscos!$A$5:$A$154,MATCH(A173,Riscos!$AI$5:$AI$154,0)),IFERROR(INDEX(Oportunidades!$A$5:$A$154,MATCH(A173,Oportunidades!$AC$5:$AC$154,0)),"—")))</f>
        <v/>
      </c>
      <c r="K173" s="133" t="str">
        <f>IF(A173="","",IF(ISNUMBER(MATCH(A173,Riscos!$AI$5:$AI$154,0)),"Riscos",IF(ISNUMBER(MATCH(A173,Oportunidades!$AC$5:$AC$154,0)),"Oportunidades","—")))</f>
        <v/>
      </c>
    </row>
    <row r="174" spans="1:11">
      <c r="A174" s="132"/>
      <c r="B174" s="12"/>
      <c r="C174" s="13"/>
      <c r="D174" s="12"/>
      <c r="E174" s="13"/>
      <c r="F174" s="16"/>
      <c r="G174" s="12"/>
      <c r="H174" s="16"/>
      <c r="I174" s="16"/>
      <c r="J174" s="14" t="str">
        <f>IF(A174="","",IFERROR(INDEX(Riscos!$A$5:$A$154,MATCH(A174,Riscos!$AI$5:$AI$154,0)),IFERROR(INDEX(Oportunidades!$A$5:$A$154,MATCH(A174,Oportunidades!$AC$5:$AC$154,0)),"—")))</f>
        <v/>
      </c>
      <c r="K174" s="133" t="str">
        <f>IF(A174="","",IF(ISNUMBER(MATCH(A174,Riscos!$AI$5:$AI$154,0)),"Riscos",IF(ISNUMBER(MATCH(A174,Oportunidades!$AC$5:$AC$154,0)),"Oportunidades","—")))</f>
        <v/>
      </c>
    </row>
    <row r="175" spans="1:11">
      <c r="A175" s="132"/>
      <c r="B175" s="12"/>
      <c r="C175" s="13"/>
      <c r="D175" s="12"/>
      <c r="E175" s="13"/>
      <c r="F175" s="16"/>
      <c r="G175" s="12"/>
      <c r="H175" s="16"/>
      <c r="I175" s="16"/>
      <c r="J175" s="14" t="str">
        <f>IF(A175="","",IFERROR(INDEX(Riscos!$A$5:$A$154,MATCH(A175,Riscos!$AI$5:$AI$154,0)),IFERROR(INDEX(Oportunidades!$A$5:$A$154,MATCH(A175,Oportunidades!$AC$5:$AC$154,0)),"—")))</f>
        <v/>
      </c>
      <c r="K175" s="133" t="str">
        <f>IF(A175="","",IF(ISNUMBER(MATCH(A175,Riscos!$AI$5:$AI$154,0)),"Riscos",IF(ISNUMBER(MATCH(A175,Oportunidades!$AC$5:$AC$154,0)),"Oportunidades","—")))</f>
        <v/>
      </c>
    </row>
    <row r="176" spans="1:11">
      <c r="A176" s="132"/>
      <c r="B176" s="12"/>
      <c r="C176" s="13"/>
      <c r="D176" s="12"/>
      <c r="E176" s="13"/>
      <c r="F176" s="16"/>
      <c r="G176" s="12"/>
      <c r="H176" s="16"/>
      <c r="I176" s="16"/>
      <c r="J176" s="14" t="str">
        <f>IF(A176="","",IFERROR(INDEX(Riscos!$A$5:$A$154,MATCH(A176,Riscos!$AI$5:$AI$154,0)),IFERROR(INDEX(Oportunidades!$A$5:$A$154,MATCH(A176,Oportunidades!$AC$5:$AC$154,0)),"—")))</f>
        <v/>
      </c>
      <c r="K176" s="133" t="str">
        <f>IF(A176="","",IF(ISNUMBER(MATCH(A176,Riscos!$AI$5:$AI$154,0)),"Riscos",IF(ISNUMBER(MATCH(A176,Oportunidades!$AC$5:$AC$154,0)),"Oportunidades","—")))</f>
        <v/>
      </c>
    </row>
    <row r="177" spans="1:11">
      <c r="A177" s="132"/>
      <c r="B177" s="12"/>
      <c r="C177" s="13"/>
      <c r="D177" s="12"/>
      <c r="E177" s="13"/>
      <c r="F177" s="16"/>
      <c r="G177" s="12"/>
      <c r="H177" s="16"/>
      <c r="I177" s="16"/>
      <c r="J177" s="14" t="str">
        <f>IF(A177="","",IFERROR(INDEX(Riscos!$A$5:$A$154,MATCH(A177,Riscos!$AI$5:$AI$154,0)),IFERROR(INDEX(Oportunidades!$A$5:$A$154,MATCH(A177,Oportunidades!$AC$5:$AC$154,0)),"—")))</f>
        <v/>
      </c>
      <c r="K177" s="133" t="str">
        <f>IF(A177="","",IF(ISNUMBER(MATCH(A177,Riscos!$AI$5:$AI$154,0)),"Riscos",IF(ISNUMBER(MATCH(A177,Oportunidades!$AC$5:$AC$154,0)),"Oportunidades","—")))</f>
        <v/>
      </c>
    </row>
    <row r="178" spans="1:11">
      <c r="A178" s="132"/>
      <c r="B178" s="12"/>
      <c r="C178" s="13"/>
      <c r="D178" s="12"/>
      <c r="E178" s="13"/>
      <c r="F178" s="16"/>
      <c r="G178" s="12"/>
      <c r="H178" s="16"/>
      <c r="I178" s="16"/>
      <c r="J178" s="14" t="str">
        <f>IF(A178="","",IFERROR(INDEX(Riscos!$A$5:$A$154,MATCH(A178,Riscos!$AI$5:$AI$154,0)),IFERROR(INDEX(Oportunidades!$A$5:$A$154,MATCH(A178,Oportunidades!$AC$5:$AC$154,0)),"—")))</f>
        <v/>
      </c>
      <c r="K178" s="133" t="str">
        <f>IF(A178="","",IF(ISNUMBER(MATCH(A178,Riscos!$AI$5:$AI$154,0)),"Riscos",IF(ISNUMBER(MATCH(A178,Oportunidades!$AC$5:$AC$154,0)),"Oportunidades","—")))</f>
        <v/>
      </c>
    </row>
    <row r="179" spans="1:11">
      <c r="A179" s="132"/>
      <c r="B179" s="12"/>
      <c r="C179" s="13"/>
      <c r="D179" s="12"/>
      <c r="E179" s="13"/>
      <c r="F179" s="16"/>
      <c r="G179" s="12"/>
      <c r="H179" s="16"/>
      <c r="I179" s="16"/>
      <c r="J179" s="14" t="str">
        <f>IF(A179="","",IFERROR(INDEX(Riscos!$A$5:$A$154,MATCH(A179,Riscos!$AI$5:$AI$154,0)),IFERROR(INDEX(Oportunidades!$A$5:$A$154,MATCH(A179,Oportunidades!$AC$5:$AC$154,0)),"—")))</f>
        <v/>
      </c>
      <c r="K179" s="133" t="str">
        <f>IF(A179="","",IF(ISNUMBER(MATCH(A179,Riscos!$AI$5:$AI$154,0)),"Riscos",IF(ISNUMBER(MATCH(A179,Oportunidades!$AC$5:$AC$154,0)),"Oportunidades","—")))</f>
        <v/>
      </c>
    </row>
    <row r="180" spans="1:11">
      <c r="A180" s="132"/>
      <c r="B180" s="12"/>
      <c r="C180" s="13"/>
      <c r="D180" s="12"/>
      <c r="E180" s="13"/>
      <c r="F180" s="16"/>
      <c r="G180" s="12"/>
      <c r="H180" s="16"/>
      <c r="I180" s="16"/>
      <c r="J180" s="14" t="str">
        <f>IF(A180="","",IFERROR(INDEX(Riscos!$A$5:$A$154,MATCH(A180,Riscos!$AI$5:$AI$154,0)),IFERROR(INDEX(Oportunidades!$A$5:$A$154,MATCH(A180,Oportunidades!$AC$5:$AC$154,0)),"—")))</f>
        <v/>
      </c>
      <c r="K180" s="133" t="str">
        <f>IF(A180="","",IF(ISNUMBER(MATCH(A180,Riscos!$AI$5:$AI$154,0)),"Riscos",IF(ISNUMBER(MATCH(A180,Oportunidades!$AC$5:$AC$154,0)),"Oportunidades","—")))</f>
        <v/>
      </c>
    </row>
    <row r="181" spans="1:11">
      <c r="A181" s="132"/>
      <c r="B181" s="12"/>
      <c r="C181" s="13"/>
      <c r="D181" s="12"/>
      <c r="E181" s="13"/>
      <c r="F181" s="16"/>
      <c r="G181" s="12"/>
      <c r="H181" s="16"/>
      <c r="I181" s="16"/>
      <c r="J181" s="14" t="str">
        <f>IF(A181="","",IFERROR(INDEX(Riscos!$A$5:$A$154,MATCH(A181,Riscos!$AI$5:$AI$154,0)),IFERROR(INDEX(Oportunidades!$A$5:$A$154,MATCH(A181,Oportunidades!$AC$5:$AC$154,0)),"—")))</f>
        <v/>
      </c>
      <c r="K181" s="133" t="str">
        <f>IF(A181="","",IF(ISNUMBER(MATCH(A181,Riscos!$AI$5:$AI$154,0)),"Riscos",IF(ISNUMBER(MATCH(A181,Oportunidades!$AC$5:$AC$154,0)),"Oportunidades","—")))</f>
        <v/>
      </c>
    </row>
    <row r="182" spans="1:11">
      <c r="A182" s="132"/>
      <c r="B182" s="12"/>
      <c r="C182" s="13"/>
      <c r="D182" s="12"/>
      <c r="E182" s="13"/>
      <c r="F182" s="16"/>
      <c r="G182" s="12"/>
      <c r="H182" s="16"/>
      <c r="I182" s="16"/>
      <c r="J182" s="14" t="str">
        <f>IF(A182="","",IFERROR(INDEX(Riscos!$A$5:$A$154,MATCH(A182,Riscos!$AI$5:$AI$154,0)),IFERROR(INDEX(Oportunidades!$A$5:$A$154,MATCH(A182,Oportunidades!$AC$5:$AC$154,0)),"—")))</f>
        <v/>
      </c>
      <c r="K182" s="133" t="str">
        <f>IF(A182="","",IF(ISNUMBER(MATCH(A182,Riscos!$AI$5:$AI$154,0)),"Riscos",IF(ISNUMBER(MATCH(A182,Oportunidades!$AC$5:$AC$154,0)),"Oportunidades","—")))</f>
        <v/>
      </c>
    </row>
    <row r="183" spans="1:11">
      <c r="A183" s="132"/>
      <c r="B183" s="12"/>
      <c r="C183" s="13"/>
      <c r="D183" s="12"/>
      <c r="E183" s="13"/>
      <c r="F183" s="16"/>
      <c r="G183" s="12"/>
      <c r="H183" s="16"/>
      <c r="I183" s="16"/>
      <c r="J183" s="14" t="str">
        <f>IF(A183="","",IFERROR(INDEX(Riscos!$A$5:$A$154,MATCH(A183,Riscos!$AI$5:$AI$154,0)),IFERROR(INDEX(Oportunidades!$A$5:$A$154,MATCH(A183,Oportunidades!$AC$5:$AC$154,0)),"—")))</f>
        <v/>
      </c>
      <c r="K183" s="133" t="str">
        <f>IF(A183="","",IF(ISNUMBER(MATCH(A183,Riscos!$AI$5:$AI$154,0)),"Riscos",IF(ISNUMBER(MATCH(A183,Oportunidades!$AC$5:$AC$154,0)),"Oportunidades","—")))</f>
        <v/>
      </c>
    </row>
    <row r="184" spans="1:11">
      <c r="A184" s="132"/>
      <c r="B184" s="12"/>
      <c r="C184" s="13"/>
      <c r="D184" s="12"/>
      <c r="E184" s="13"/>
      <c r="F184" s="16"/>
      <c r="G184" s="12"/>
      <c r="H184" s="16"/>
      <c r="I184" s="16"/>
      <c r="J184" s="14" t="str">
        <f>IF(A184="","",IFERROR(INDEX(Riscos!$A$5:$A$154,MATCH(A184,Riscos!$AI$5:$AI$154,0)),IFERROR(INDEX(Oportunidades!$A$5:$A$154,MATCH(A184,Oportunidades!$AC$5:$AC$154,0)),"—")))</f>
        <v/>
      </c>
      <c r="K184" s="133" t="str">
        <f>IF(A184="","",IF(ISNUMBER(MATCH(A184,Riscos!$AI$5:$AI$154,0)),"Riscos",IF(ISNUMBER(MATCH(A184,Oportunidades!$AC$5:$AC$154,0)),"Oportunidades","—")))</f>
        <v/>
      </c>
    </row>
    <row r="185" spans="1:11">
      <c r="A185" s="132"/>
      <c r="B185" s="12"/>
      <c r="C185" s="13"/>
      <c r="D185" s="12"/>
      <c r="E185" s="13"/>
      <c r="F185" s="16"/>
      <c r="G185" s="12"/>
      <c r="H185" s="16"/>
      <c r="I185" s="16"/>
      <c r="J185" s="14" t="str">
        <f>IF(A185="","",IFERROR(INDEX(Riscos!$A$5:$A$154,MATCH(A185,Riscos!$AI$5:$AI$154,0)),IFERROR(INDEX(Oportunidades!$A$5:$A$154,MATCH(A185,Oportunidades!$AC$5:$AC$154,0)),"—")))</f>
        <v/>
      </c>
      <c r="K185" s="133" t="str">
        <f>IF(A185="","",IF(ISNUMBER(MATCH(A185,Riscos!$AI$5:$AI$154,0)),"Riscos",IF(ISNUMBER(MATCH(A185,Oportunidades!$AC$5:$AC$154,0)),"Oportunidades","—")))</f>
        <v/>
      </c>
    </row>
    <row r="186" spans="1:11">
      <c r="A186" s="132"/>
      <c r="B186" s="12"/>
      <c r="C186" s="13"/>
      <c r="D186" s="12"/>
      <c r="E186" s="13"/>
      <c r="F186" s="16"/>
      <c r="G186" s="12"/>
      <c r="H186" s="16"/>
      <c r="I186" s="16"/>
      <c r="J186" s="14" t="str">
        <f>IF(A186="","",IFERROR(INDEX(Riscos!$A$5:$A$154,MATCH(A186,Riscos!$AI$5:$AI$154,0)),IFERROR(INDEX(Oportunidades!$A$5:$A$154,MATCH(A186,Oportunidades!$AC$5:$AC$154,0)),"—")))</f>
        <v/>
      </c>
      <c r="K186" s="133" t="str">
        <f>IF(A186="","",IF(ISNUMBER(MATCH(A186,Riscos!$AI$5:$AI$154,0)),"Riscos",IF(ISNUMBER(MATCH(A186,Oportunidades!$AC$5:$AC$154,0)),"Oportunidades","—")))</f>
        <v/>
      </c>
    </row>
    <row r="187" spans="1:11">
      <c r="A187" s="132"/>
      <c r="B187" s="12"/>
      <c r="C187" s="13"/>
      <c r="D187" s="12"/>
      <c r="E187" s="13"/>
      <c r="F187" s="16"/>
      <c r="G187" s="12"/>
      <c r="H187" s="16"/>
      <c r="I187" s="16"/>
      <c r="J187" s="14" t="str">
        <f>IF(A187="","",IFERROR(INDEX(Riscos!$A$5:$A$154,MATCH(A187,Riscos!$AI$5:$AI$154,0)),IFERROR(INDEX(Oportunidades!$A$5:$A$154,MATCH(A187,Oportunidades!$AC$5:$AC$154,0)),"—")))</f>
        <v/>
      </c>
      <c r="K187" s="133" t="str">
        <f>IF(A187="","",IF(ISNUMBER(MATCH(A187,Riscos!$AI$5:$AI$154,0)),"Riscos",IF(ISNUMBER(MATCH(A187,Oportunidades!$AC$5:$AC$154,0)),"Oportunidades","—")))</f>
        <v/>
      </c>
    </row>
    <row r="188" spans="1:11">
      <c r="A188" s="132"/>
      <c r="B188" s="12"/>
      <c r="C188" s="13"/>
      <c r="D188" s="12"/>
      <c r="E188" s="13"/>
      <c r="F188" s="16"/>
      <c r="G188" s="12"/>
      <c r="H188" s="16"/>
      <c r="I188" s="16"/>
      <c r="J188" s="14" t="str">
        <f>IF(A188="","",IFERROR(INDEX(Riscos!$A$5:$A$154,MATCH(A188,Riscos!$AI$5:$AI$154,0)),IFERROR(INDEX(Oportunidades!$A$5:$A$154,MATCH(A188,Oportunidades!$AC$5:$AC$154,0)),"—")))</f>
        <v/>
      </c>
      <c r="K188" s="133" t="str">
        <f>IF(A188="","",IF(ISNUMBER(MATCH(A188,Riscos!$AI$5:$AI$154,0)),"Riscos",IF(ISNUMBER(MATCH(A188,Oportunidades!$AC$5:$AC$154,0)),"Oportunidades","—")))</f>
        <v/>
      </c>
    </row>
    <row r="189" spans="1:11">
      <c r="A189" s="132"/>
      <c r="B189" s="12"/>
      <c r="C189" s="13"/>
      <c r="D189" s="12"/>
      <c r="E189" s="13"/>
      <c r="F189" s="16"/>
      <c r="G189" s="12"/>
      <c r="H189" s="16"/>
      <c r="I189" s="16"/>
      <c r="J189" s="14" t="str">
        <f>IF(A189="","",IFERROR(INDEX(Riscos!$A$5:$A$154,MATCH(A189,Riscos!$AI$5:$AI$154,0)),IFERROR(INDEX(Oportunidades!$A$5:$A$154,MATCH(A189,Oportunidades!$AC$5:$AC$154,0)),"—")))</f>
        <v/>
      </c>
      <c r="K189" s="133" t="str">
        <f>IF(A189="","",IF(ISNUMBER(MATCH(A189,Riscos!$AI$5:$AI$154,0)),"Riscos",IF(ISNUMBER(MATCH(A189,Oportunidades!$AC$5:$AC$154,0)),"Oportunidades","—")))</f>
        <v/>
      </c>
    </row>
    <row r="190" spans="1:11">
      <c r="A190" s="132"/>
      <c r="B190" s="12"/>
      <c r="C190" s="13"/>
      <c r="D190" s="12"/>
      <c r="E190" s="13"/>
      <c r="F190" s="16"/>
      <c r="G190" s="12"/>
      <c r="H190" s="16"/>
      <c r="I190" s="16"/>
      <c r="J190" s="14" t="str">
        <f>IF(A190="","",IFERROR(INDEX(Riscos!$A$5:$A$154,MATCH(A190,Riscos!$AI$5:$AI$154,0)),IFERROR(INDEX(Oportunidades!$A$5:$A$154,MATCH(A190,Oportunidades!$AC$5:$AC$154,0)),"—")))</f>
        <v/>
      </c>
      <c r="K190" s="133" t="str">
        <f>IF(A190="","",IF(ISNUMBER(MATCH(A190,Riscos!$AI$5:$AI$154,0)),"Riscos",IF(ISNUMBER(MATCH(A190,Oportunidades!$AC$5:$AC$154,0)),"Oportunidades","—")))</f>
        <v/>
      </c>
    </row>
    <row r="191" spans="1:11">
      <c r="A191" s="132"/>
      <c r="B191" s="12"/>
      <c r="C191" s="13"/>
      <c r="D191" s="12"/>
      <c r="E191" s="13"/>
      <c r="F191" s="16"/>
      <c r="G191" s="12"/>
      <c r="H191" s="16"/>
      <c r="I191" s="16"/>
      <c r="J191" s="14" t="str">
        <f>IF(A191="","",IFERROR(INDEX(Riscos!$A$5:$A$154,MATCH(A191,Riscos!$AI$5:$AI$154,0)),IFERROR(INDEX(Oportunidades!$A$5:$A$154,MATCH(A191,Oportunidades!$AC$5:$AC$154,0)),"—")))</f>
        <v/>
      </c>
      <c r="K191" s="133" t="str">
        <f>IF(A191="","",IF(ISNUMBER(MATCH(A191,Riscos!$AI$5:$AI$154,0)),"Riscos",IF(ISNUMBER(MATCH(A191,Oportunidades!$AC$5:$AC$154,0)),"Oportunidades","—")))</f>
        <v/>
      </c>
    </row>
    <row r="192" spans="1:11">
      <c r="A192" s="132"/>
      <c r="B192" s="12"/>
      <c r="C192" s="13"/>
      <c r="D192" s="12"/>
      <c r="E192" s="13"/>
      <c r="F192" s="16"/>
      <c r="G192" s="12"/>
      <c r="H192" s="16"/>
      <c r="I192" s="16"/>
      <c r="J192" s="14" t="str">
        <f>IF(A192="","",IFERROR(INDEX(Riscos!$A$5:$A$154,MATCH(A192,Riscos!$AI$5:$AI$154,0)),IFERROR(INDEX(Oportunidades!$A$5:$A$154,MATCH(A192,Oportunidades!$AC$5:$AC$154,0)),"—")))</f>
        <v/>
      </c>
      <c r="K192" s="133" t="str">
        <f>IF(A192="","",IF(ISNUMBER(MATCH(A192,Riscos!$AI$5:$AI$154,0)),"Riscos",IF(ISNUMBER(MATCH(A192,Oportunidades!$AC$5:$AC$154,0)),"Oportunidades","—")))</f>
        <v/>
      </c>
    </row>
    <row r="193" spans="1:11">
      <c r="A193" s="132"/>
      <c r="B193" s="12"/>
      <c r="C193" s="13"/>
      <c r="D193" s="12"/>
      <c r="E193" s="13"/>
      <c r="F193" s="16"/>
      <c r="G193" s="12"/>
      <c r="H193" s="16"/>
      <c r="I193" s="16"/>
      <c r="J193" s="14" t="str">
        <f>IF(A193="","",IFERROR(INDEX(Riscos!$A$5:$A$154,MATCH(A193,Riscos!$AI$5:$AI$154,0)),IFERROR(INDEX(Oportunidades!$A$5:$A$154,MATCH(A193,Oportunidades!$AC$5:$AC$154,0)),"—")))</f>
        <v/>
      </c>
      <c r="K193" s="133" t="str">
        <f>IF(A193="","",IF(ISNUMBER(MATCH(A193,Riscos!$AI$5:$AI$154,0)),"Riscos",IF(ISNUMBER(MATCH(A193,Oportunidades!$AC$5:$AC$154,0)),"Oportunidades","—")))</f>
        <v/>
      </c>
    </row>
    <row r="194" spans="1:11">
      <c r="A194" s="132"/>
      <c r="B194" s="12"/>
      <c r="C194" s="13"/>
      <c r="D194" s="12"/>
      <c r="E194" s="13"/>
      <c r="F194" s="16"/>
      <c r="G194" s="12"/>
      <c r="H194" s="16"/>
      <c r="I194" s="16"/>
      <c r="J194" s="14" t="str">
        <f>IF(A194="","",IFERROR(INDEX(Riscos!$A$5:$A$154,MATCH(A194,Riscos!$AI$5:$AI$154,0)),IFERROR(INDEX(Oportunidades!$A$5:$A$154,MATCH(A194,Oportunidades!$AC$5:$AC$154,0)),"—")))</f>
        <v/>
      </c>
      <c r="K194" s="133" t="str">
        <f>IF(A194="","",IF(ISNUMBER(MATCH(A194,Riscos!$AI$5:$AI$154,0)),"Riscos",IF(ISNUMBER(MATCH(A194,Oportunidades!$AC$5:$AC$154,0)),"Oportunidades","—")))</f>
        <v/>
      </c>
    </row>
    <row r="195" spans="1:11">
      <c r="A195" s="132"/>
      <c r="B195" s="12"/>
      <c r="C195" s="13"/>
      <c r="D195" s="12"/>
      <c r="E195" s="13"/>
      <c r="F195" s="16"/>
      <c r="G195" s="12"/>
      <c r="H195" s="16"/>
      <c r="I195" s="16"/>
      <c r="J195" s="14" t="str">
        <f>IF(A195="","",IFERROR(INDEX(Riscos!$A$5:$A$154,MATCH(A195,Riscos!$AI$5:$AI$154,0)),IFERROR(INDEX(Oportunidades!$A$5:$A$154,MATCH(A195,Oportunidades!$AC$5:$AC$154,0)),"—")))</f>
        <v/>
      </c>
      <c r="K195" s="133" t="str">
        <f>IF(A195="","",IF(ISNUMBER(MATCH(A195,Riscos!$AI$5:$AI$154,0)),"Riscos",IF(ISNUMBER(MATCH(A195,Oportunidades!$AC$5:$AC$154,0)),"Oportunidades","—")))</f>
        <v/>
      </c>
    </row>
    <row r="196" spans="1:11">
      <c r="A196" s="132"/>
      <c r="B196" s="12"/>
      <c r="C196" s="13"/>
      <c r="D196" s="12"/>
      <c r="E196" s="13"/>
      <c r="F196" s="16"/>
      <c r="G196" s="12"/>
      <c r="H196" s="16"/>
      <c r="I196" s="16"/>
      <c r="J196" s="14" t="str">
        <f>IF(A196="","",IFERROR(INDEX(Riscos!$A$5:$A$154,MATCH(A196,Riscos!$AI$5:$AI$154,0)),IFERROR(INDEX(Oportunidades!$A$5:$A$154,MATCH(A196,Oportunidades!$AC$5:$AC$154,0)),"—")))</f>
        <v/>
      </c>
      <c r="K196" s="133" t="str">
        <f>IF(A196="","",IF(ISNUMBER(MATCH(A196,Riscos!$AI$5:$AI$154,0)),"Riscos",IF(ISNUMBER(MATCH(A196,Oportunidades!$AC$5:$AC$154,0)),"Oportunidades","—")))</f>
        <v/>
      </c>
    </row>
    <row r="197" spans="1:11">
      <c r="A197" s="132"/>
      <c r="B197" s="12"/>
      <c r="C197" s="13"/>
      <c r="D197" s="12"/>
      <c r="E197" s="13"/>
      <c r="F197" s="16"/>
      <c r="G197" s="12"/>
      <c r="H197" s="16"/>
      <c r="I197" s="16"/>
      <c r="J197" s="14" t="str">
        <f>IF(A197="","",IFERROR(INDEX(Riscos!$A$5:$A$154,MATCH(A197,Riscos!$AI$5:$AI$154,0)),IFERROR(INDEX(Oportunidades!$A$5:$A$154,MATCH(A197,Oportunidades!$AC$5:$AC$154,0)),"—")))</f>
        <v/>
      </c>
      <c r="K197" s="133" t="str">
        <f>IF(A197="","",IF(ISNUMBER(MATCH(A197,Riscos!$AI$5:$AI$154,0)),"Riscos",IF(ISNUMBER(MATCH(A197,Oportunidades!$AC$5:$AC$154,0)),"Oportunidades","—")))</f>
        <v/>
      </c>
    </row>
    <row r="198" spans="1:11">
      <c r="A198" s="132"/>
      <c r="B198" s="12"/>
      <c r="C198" s="13"/>
      <c r="D198" s="12"/>
      <c r="E198" s="13"/>
      <c r="F198" s="16"/>
      <c r="G198" s="12"/>
      <c r="H198" s="16"/>
      <c r="I198" s="16"/>
      <c r="J198" s="14" t="str">
        <f>IF(A198="","",IFERROR(INDEX(Riscos!$A$5:$A$154,MATCH(A198,Riscos!$AI$5:$AI$154,0)),IFERROR(INDEX(Oportunidades!$A$5:$A$154,MATCH(A198,Oportunidades!$AC$5:$AC$154,0)),"—")))</f>
        <v/>
      </c>
      <c r="K198" s="133" t="str">
        <f>IF(A198="","",IF(ISNUMBER(MATCH(A198,Riscos!$AI$5:$AI$154,0)),"Riscos",IF(ISNUMBER(MATCH(A198,Oportunidades!$AC$5:$AC$154,0)),"Oportunidades","—")))</f>
        <v/>
      </c>
    </row>
    <row r="199" spans="1:11">
      <c r="A199" s="132"/>
      <c r="B199" s="12"/>
      <c r="C199" s="13"/>
      <c r="D199" s="12"/>
      <c r="E199" s="13"/>
      <c r="F199" s="16"/>
      <c r="G199" s="12"/>
      <c r="H199" s="16"/>
      <c r="I199" s="16"/>
      <c r="J199" s="14" t="str">
        <f>IF(A199="","",IFERROR(INDEX(Riscos!$A$5:$A$154,MATCH(A199,Riscos!$AI$5:$AI$154,0)),IFERROR(INDEX(Oportunidades!$A$5:$A$154,MATCH(A199,Oportunidades!$AC$5:$AC$154,0)),"—")))</f>
        <v/>
      </c>
      <c r="K199" s="133" t="str">
        <f>IF(A199="","",IF(ISNUMBER(MATCH(A199,Riscos!$AI$5:$AI$154,0)),"Riscos",IF(ISNUMBER(MATCH(A199,Oportunidades!$AC$5:$AC$154,0)),"Oportunidades","—")))</f>
        <v/>
      </c>
    </row>
    <row r="200" spans="1:11">
      <c r="A200" s="132"/>
      <c r="B200" s="12"/>
      <c r="C200" s="13"/>
      <c r="D200" s="12"/>
      <c r="E200" s="13"/>
      <c r="F200" s="16"/>
      <c r="G200" s="12"/>
      <c r="H200" s="16"/>
      <c r="I200" s="16"/>
      <c r="J200" s="14" t="str">
        <f>IF(A200="","",IFERROR(INDEX(Riscos!$A$5:$A$154,MATCH(A200,Riscos!$AI$5:$AI$154,0)),IFERROR(INDEX(Oportunidades!$A$5:$A$154,MATCH(A200,Oportunidades!$AC$5:$AC$154,0)),"—")))</f>
        <v/>
      </c>
      <c r="K200" s="133" t="str">
        <f>IF(A200="","",IF(ISNUMBER(MATCH(A200,Riscos!$AI$5:$AI$154,0)),"Riscos",IF(ISNUMBER(MATCH(A200,Oportunidades!$AC$5:$AC$154,0)),"Oportunidades","—")))</f>
        <v/>
      </c>
    </row>
    <row r="201" spans="1:11">
      <c r="A201" s="132"/>
      <c r="B201" s="12"/>
      <c r="C201" s="13"/>
      <c r="D201" s="12"/>
      <c r="E201" s="13"/>
      <c r="F201" s="16"/>
      <c r="G201" s="12"/>
      <c r="H201" s="16"/>
      <c r="I201" s="16"/>
      <c r="J201" s="14" t="str">
        <f>IF(A201="","",IFERROR(INDEX(Riscos!$A$5:$A$154,MATCH(A201,Riscos!$AI$5:$AI$154,0)),IFERROR(INDEX(Oportunidades!$A$5:$A$154,MATCH(A201,Oportunidades!$AC$5:$AC$154,0)),"—")))</f>
        <v/>
      </c>
      <c r="K201" s="133" t="str">
        <f>IF(A201="","",IF(ISNUMBER(MATCH(A201,Riscos!$AI$5:$AI$154,0)),"Riscos",IF(ISNUMBER(MATCH(A201,Oportunidades!$AC$5:$AC$154,0)),"Oportunidades","—")))</f>
        <v/>
      </c>
    </row>
    <row r="202" spans="1:11">
      <c r="A202" s="132"/>
      <c r="B202" s="12"/>
      <c r="C202" s="13"/>
      <c r="D202" s="12"/>
      <c r="E202" s="13"/>
      <c r="F202" s="16"/>
      <c r="G202" s="12"/>
      <c r="H202" s="16"/>
      <c r="I202" s="16"/>
      <c r="J202" s="14" t="str">
        <f>IF(A202="","",IFERROR(INDEX(Riscos!$A$5:$A$154,MATCH(A202,Riscos!$AI$5:$AI$154,0)),IFERROR(INDEX(Oportunidades!$A$5:$A$154,MATCH(A202,Oportunidades!$AC$5:$AC$154,0)),"—")))</f>
        <v/>
      </c>
      <c r="K202" s="133" t="str">
        <f>IF(A202="","",IF(ISNUMBER(MATCH(A202,Riscos!$AI$5:$AI$154,0)),"Riscos",IF(ISNUMBER(MATCH(A202,Oportunidades!$AC$5:$AC$154,0)),"Oportunidades","—")))</f>
        <v/>
      </c>
    </row>
    <row r="203" spans="1:11">
      <c r="A203" s="132"/>
      <c r="B203" s="12"/>
      <c r="C203" s="13"/>
      <c r="D203" s="12"/>
      <c r="E203" s="13"/>
      <c r="F203" s="16"/>
      <c r="G203" s="12"/>
      <c r="H203" s="16"/>
      <c r="I203" s="16"/>
      <c r="J203" s="14" t="str">
        <f>IF(A203="","",IFERROR(INDEX(Riscos!$A$5:$A$154,MATCH(A203,Riscos!$AI$5:$AI$154,0)),IFERROR(INDEX(Oportunidades!$A$5:$A$154,MATCH(A203,Oportunidades!$AC$5:$AC$154,0)),"—")))</f>
        <v/>
      </c>
      <c r="K203" s="133" t="str">
        <f>IF(A203="","",IF(ISNUMBER(MATCH(A203,Riscos!$AI$5:$AI$154,0)),"Riscos",IF(ISNUMBER(MATCH(A203,Oportunidades!$AC$5:$AC$154,0)),"Oportunidades","—")))</f>
        <v/>
      </c>
    </row>
    <row r="204" spans="1:11">
      <c r="A204" s="132"/>
      <c r="B204" s="12"/>
      <c r="C204" s="13"/>
      <c r="D204" s="12"/>
      <c r="E204" s="13"/>
      <c r="F204" s="16"/>
      <c r="G204" s="12"/>
      <c r="H204" s="16"/>
      <c r="I204" s="16"/>
      <c r="J204" s="14" t="str">
        <f>IF(A204="","",IFERROR(INDEX(Riscos!$A$5:$A$154,MATCH(A204,Riscos!$AI$5:$AI$154,0)),IFERROR(INDEX(Oportunidades!$A$5:$A$154,MATCH(A204,Oportunidades!$AC$5:$AC$154,0)),"—")))</f>
        <v/>
      </c>
      <c r="K204" s="133" t="str">
        <f>IF(A204="","",IF(ISNUMBER(MATCH(A204,Riscos!$AI$5:$AI$154,0)),"Riscos",IF(ISNUMBER(MATCH(A204,Oportunidades!$AC$5:$AC$154,0)),"Oportunidades","—")))</f>
        <v/>
      </c>
    </row>
    <row r="205" spans="1:11">
      <c r="A205" s="132"/>
      <c r="B205" s="12"/>
      <c r="C205" s="13"/>
      <c r="D205" s="12"/>
      <c r="E205" s="13"/>
      <c r="F205" s="16"/>
      <c r="G205" s="12"/>
      <c r="H205" s="16"/>
      <c r="I205" s="16"/>
      <c r="J205" s="14" t="str">
        <f>IF(A205="","",IFERROR(INDEX(Riscos!$A$5:$A$154,MATCH(A205,Riscos!$AI$5:$AI$154,0)),IFERROR(INDEX(Oportunidades!$A$5:$A$154,MATCH(A205,Oportunidades!$AC$5:$AC$154,0)),"—")))</f>
        <v/>
      </c>
      <c r="K205" s="133" t="str">
        <f>IF(A205="","",IF(ISNUMBER(MATCH(A205,Riscos!$AI$5:$AI$154,0)),"Riscos",IF(ISNUMBER(MATCH(A205,Oportunidades!$AC$5:$AC$154,0)),"Oportunidades","—")))</f>
        <v/>
      </c>
    </row>
    <row r="206" spans="1:11">
      <c r="A206" s="132"/>
      <c r="B206" s="12"/>
      <c r="C206" s="13"/>
      <c r="D206" s="12"/>
      <c r="E206" s="13"/>
      <c r="F206" s="16"/>
      <c r="G206" s="12"/>
      <c r="H206" s="16"/>
      <c r="I206" s="16"/>
      <c r="J206" s="14" t="str">
        <f>IF(A206="","",IFERROR(INDEX(Riscos!$A$5:$A$154,MATCH(A206,Riscos!$AI$5:$AI$154,0)),IFERROR(INDEX(Oportunidades!$A$5:$A$154,MATCH(A206,Oportunidades!$AC$5:$AC$154,0)),"—")))</f>
        <v/>
      </c>
      <c r="K206" s="133" t="str">
        <f>IF(A206="","",IF(ISNUMBER(MATCH(A206,Riscos!$AI$5:$AI$154,0)),"Riscos",IF(ISNUMBER(MATCH(A206,Oportunidades!$AC$5:$AC$154,0)),"Oportunidades","—")))</f>
        <v/>
      </c>
    </row>
    <row r="207" spans="1:11">
      <c r="A207" s="132"/>
      <c r="B207" s="12"/>
      <c r="C207" s="13"/>
      <c r="D207" s="12"/>
      <c r="E207" s="13"/>
      <c r="F207" s="16"/>
      <c r="G207" s="12"/>
      <c r="H207" s="16"/>
      <c r="I207" s="16"/>
      <c r="J207" s="14" t="str">
        <f>IF(A207="","",IFERROR(INDEX(Riscos!$A$5:$A$154,MATCH(A207,Riscos!$AI$5:$AI$154,0)),IFERROR(INDEX(Oportunidades!$A$5:$A$154,MATCH(A207,Oportunidades!$AC$5:$AC$154,0)),"—")))</f>
        <v/>
      </c>
      <c r="K207" s="133" t="str">
        <f>IF(A207="","",IF(ISNUMBER(MATCH(A207,Riscos!$AI$5:$AI$154,0)),"Riscos",IF(ISNUMBER(MATCH(A207,Oportunidades!$AC$5:$AC$154,0)),"Oportunidades","—")))</f>
        <v/>
      </c>
    </row>
    <row r="208" spans="1:11">
      <c r="A208" s="132"/>
      <c r="B208" s="12"/>
      <c r="C208" s="13"/>
      <c r="D208" s="12"/>
      <c r="E208" s="13"/>
      <c r="F208" s="16"/>
      <c r="G208" s="12"/>
      <c r="H208" s="16"/>
      <c r="I208" s="16"/>
      <c r="J208" s="14" t="str">
        <f>IF(A208="","",IFERROR(INDEX(Riscos!$A$5:$A$154,MATCH(A208,Riscos!$AI$5:$AI$154,0)),IFERROR(INDEX(Oportunidades!$A$5:$A$154,MATCH(A208,Oportunidades!$AC$5:$AC$154,0)),"—")))</f>
        <v/>
      </c>
      <c r="K208" s="133" t="str">
        <f>IF(A208="","",IF(ISNUMBER(MATCH(A208,Riscos!$AI$5:$AI$154,0)),"Riscos",IF(ISNUMBER(MATCH(A208,Oportunidades!$AC$5:$AC$154,0)),"Oportunidades","—")))</f>
        <v/>
      </c>
    </row>
    <row r="209" spans="1:11">
      <c r="A209" s="132"/>
      <c r="B209" s="12"/>
      <c r="C209" s="13"/>
      <c r="D209" s="12"/>
      <c r="E209" s="13"/>
      <c r="F209" s="16"/>
      <c r="G209" s="12"/>
      <c r="H209" s="16"/>
      <c r="I209" s="16"/>
      <c r="J209" s="14" t="str">
        <f>IF(A209="","",IFERROR(INDEX(Riscos!$A$5:$A$154,MATCH(A209,Riscos!$AI$5:$AI$154,0)),IFERROR(INDEX(Oportunidades!$A$5:$A$154,MATCH(A209,Oportunidades!$AC$5:$AC$154,0)),"—")))</f>
        <v/>
      </c>
      <c r="K209" s="133" t="str">
        <f>IF(A209="","",IF(ISNUMBER(MATCH(A209,Riscos!$AI$5:$AI$154,0)),"Riscos",IF(ISNUMBER(MATCH(A209,Oportunidades!$AC$5:$AC$154,0)),"Oportunidades","—")))</f>
        <v/>
      </c>
    </row>
    <row r="210" spans="1:11">
      <c r="A210" s="132"/>
      <c r="B210" s="12"/>
      <c r="C210" s="13"/>
      <c r="D210" s="12"/>
      <c r="E210" s="13"/>
      <c r="F210" s="16"/>
      <c r="G210" s="12"/>
      <c r="H210" s="16"/>
      <c r="I210" s="16"/>
      <c r="J210" s="14" t="str">
        <f>IF(A210="","",IFERROR(INDEX(Riscos!$A$5:$A$154,MATCH(A210,Riscos!$AI$5:$AI$154,0)),IFERROR(INDEX(Oportunidades!$A$5:$A$154,MATCH(A210,Oportunidades!$AC$5:$AC$154,0)),"—")))</f>
        <v/>
      </c>
      <c r="K210" s="133" t="str">
        <f>IF(A210="","",IF(ISNUMBER(MATCH(A210,Riscos!$AI$5:$AI$154,0)),"Riscos",IF(ISNUMBER(MATCH(A210,Oportunidades!$AC$5:$AC$154,0)),"Oportunidades","—")))</f>
        <v/>
      </c>
    </row>
    <row r="211" spans="1:11">
      <c r="A211" s="132"/>
      <c r="B211" s="12"/>
      <c r="C211" s="13"/>
      <c r="D211" s="12"/>
      <c r="E211" s="13"/>
      <c r="F211" s="16"/>
      <c r="G211" s="12"/>
      <c r="H211" s="16"/>
      <c r="I211" s="16"/>
      <c r="J211" s="14" t="str">
        <f>IF(A211="","",IFERROR(INDEX(Riscos!$A$5:$A$154,MATCH(A211,Riscos!$AI$5:$AI$154,0)),IFERROR(INDEX(Oportunidades!$A$5:$A$154,MATCH(A211,Oportunidades!$AC$5:$AC$154,0)),"—")))</f>
        <v/>
      </c>
      <c r="K211" s="133" t="str">
        <f>IF(A211="","",IF(ISNUMBER(MATCH(A211,Riscos!$AI$5:$AI$154,0)),"Riscos",IF(ISNUMBER(MATCH(A211,Oportunidades!$AC$5:$AC$154,0)),"Oportunidades","—")))</f>
        <v/>
      </c>
    </row>
    <row r="212" spans="1:11">
      <c r="A212" s="132"/>
      <c r="B212" s="12"/>
      <c r="C212" s="13"/>
      <c r="D212" s="12"/>
      <c r="E212" s="13"/>
      <c r="F212" s="16"/>
      <c r="G212" s="12"/>
      <c r="H212" s="16"/>
      <c r="I212" s="16"/>
      <c r="J212" s="14" t="str">
        <f>IF(A212="","",IFERROR(INDEX(Riscos!$A$5:$A$154,MATCH(A212,Riscos!$AI$5:$AI$154,0)),IFERROR(INDEX(Oportunidades!$A$5:$A$154,MATCH(A212,Oportunidades!$AC$5:$AC$154,0)),"—")))</f>
        <v/>
      </c>
      <c r="K212" s="133" t="str">
        <f>IF(A212="","",IF(ISNUMBER(MATCH(A212,Riscos!$AI$5:$AI$154,0)),"Riscos",IF(ISNUMBER(MATCH(A212,Oportunidades!$AC$5:$AC$154,0)),"Oportunidades","—")))</f>
        <v/>
      </c>
    </row>
    <row r="213" spans="1:11">
      <c r="A213" s="132"/>
      <c r="B213" s="12"/>
      <c r="C213" s="13"/>
      <c r="D213" s="12"/>
      <c r="E213" s="13"/>
      <c r="F213" s="16"/>
      <c r="G213" s="12"/>
      <c r="H213" s="16"/>
      <c r="I213" s="16"/>
      <c r="J213" s="14" t="str">
        <f>IF(A213="","",IFERROR(INDEX(Riscos!$A$5:$A$154,MATCH(A213,Riscos!$AI$5:$AI$154,0)),IFERROR(INDEX(Oportunidades!$A$5:$A$154,MATCH(A213,Oportunidades!$AC$5:$AC$154,0)),"—")))</f>
        <v/>
      </c>
      <c r="K213" s="133" t="str">
        <f>IF(A213="","",IF(ISNUMBER(MATCH(A213,Riscos!$AI$5:$AI$154,0)),"Riscos",IF(ISNUMBER(MATCH(A213,Oportunidades!$AC$5:$AC$154,0)),"Oportunidades","—")))</f>
        <v/>
      </c>
    </row>
    <row r="214" spans="1:11">
      <c r="A214" s="132"/>
      <c r="B214" s="12"/>
      <c r="C214" s="13"/>
      <c r="D214" s="12"/>
      <c r="E214" s="13"/>
      <c r="F214" s="16"/>
      <c r="G214" s="12"/>
      <c r="H214" s="16"/>
      <c r="I214" s="16"/>
      <c r="J214" s="14" t="str">
        <f>IF(A214="","",IFERROR(INDEX(Riscos!$A$5:$A$154,MATCH(A214,Riscos!$AI$5:$AI$154,0)),IFERROR(INDEX(Oportunidades!$A$5:$A$154,MATCH(A214,Oportunidades!$AC$5:$AC$154,0)),"—")))</f>
        <v/>
      </c>
      <c r="K214" s="133" t="str">
        <f>IF(A214="","",IF(ISNUMBER(MATCH(A214,Riscos!$AI$5:$AI$154,0)),"Riscos",IF(ISNUMBER(MATCH(A214,Oportunidades!$AC$5:$AC$154,0)),"Oportunidades","—")))</f>
        <v/>
      </c>
    </row>
    <row r="215" spans="1:11">
      <c r="A215" s="132"/>
      <c r="B215" s="12"/>
      <c r="C215" s="13"/>
      <c r="D215" s="12"/>
      <c r="E215" s="13"/>
      <c r="F215" s="16"/>
      <c r="G215" s="12"/>
      <c r="H215" s="16"/>
      <c r="I215" s="16"/>
      <c r="J215" s="14" t="str">
        <f>IF(A215="","",IFERROR(INDEX(Riscos!$A$5:$A$154,MATCH(A215,Riscos!$AI$5:$AI$154,0)),IFERROR(INDEX(Oportunidades!$A$5:$A$154,MATCH(A215,Oportunidades!$AC$5:$AC$154,0)),"—")))</f>
        <v/>
      </c>
      <c r="K215" s="133" t="str">
        <f>IF(A215="","",IF(ISNUMBER(MATCH(A215,Riscos!$AI$5:$AI$154,0)),"Riscos",IF(ISNUMBER(MATCH(A215,Oportunidades!$AC$5:$AC$154,0)),"Oportunidades","—")))</f>
        <v/>
      </c>
    </row>
    <row r="216" spans="1:11">
      <c r="A216" s="132"/>
      <c r="B216" s="12"/>
      <c r="C216" s="13"/>
      <c r="D216" s="12"/>
      <c r="E216" s="13"/>
      <c r="F216" s="16"/>
      <c r="G216" s="12"/>
      <c r="H216" s="16"/>
      <c r="I216" s="16"/>
      <c r="J216" s="14" t="str">
        <f>IF(A216="","",IFERROR(INDEX(Riscos!$A$5:$A$154,MATCH(A216,Riscos!$AI$5:$AI$154,0)),IFERROR(INDEX(Oportunidades!$A$5:$A$154,MATCH(A216,Oportunidades!$AC$5:$AC$154,0)),"—")))</f>
        <v/>
      </c>
      <c r="K216" s="133" t="str">
        <f>IF(A216="","",IF(ISNUMBER(MATCH(A216,Riscos!$AI$5:$AI$154,0)),"Riscos",IF(ISNUMBER(MATCH(A216,Oportunidades!$AC$5:$AC$154,0)),"Oportunidades","—")))</f>
        <v/>
      </c>
    </row>
    <row r="217" spans="1:11">
      <c r="A217" s="132"/>
      <c r="B217" s="12"/>
      <c r="C217" s="13"/>
      <c r="D217" s="12"/>
      <c r="E217" s="13"/>
      <c r="F217" s="16"/>
      <c r="G217" s="12"/>
      <c r="H217" s="16"/>
      <c r="I217" s="16"/>
      <c r="J217" s="14" t="str">
        <f>IF(A217="","",IFERROR(INDEX(Riscos!$A$5:$A$154,MATCH(A217,Riscos!$AI$5:$AI$154,0)),IFERROR(INDEX(Oportunidades!$A$5:$A$154,MATCH(A217,Oportunidades!$AC$5:$AC$154,0)),"—")))</f>
        <v/>
      </c>
      <c r="K217" s="133" t="str">
        <f>IF(A217="","",IF(ISNUMBER(MATCH(A217,Riscos!$AI$5:$AI$154,0)),"Riscos",IF(ISNUMBER(MATCH(A217,Oportunidades!$AC$5:$AC$154,0)),"Oportunidades","—")))</f>
        <v/>
      </c>
    </row>
    <row r="218" spans="1:11">
      <c r="A218" s="132"/>
      <c r="B218" s="12"/>
      <c r="C218" s="13"/>
      <c r="D218" s="12"/>
      <c r="E218" s="13"/>
      <c r="F218" s="16"/>
      <c r="G218" s="12"/>
      <c r="H218" s="16"/>
      <c r="I218" s="16"/>
      <c r="J218" s="14" t="str">
        <f>IF(A218="","",IFERROR(INDEX(Riscos!$A$5:$A$154,MATCH(A218,Riscos!$AI$5:$AI$154,0)),IFERROR(INDEX(Oportunidades!$A$5:$A$154,MATCH(A218,Oportunidades!$AC$5:$AC$154,0)),"—")))</f>
        <v/>
      </c>
      <c r="K218" s="133" t="str">
        <f>IF(A218="","",IF(ISNUMBER(MATCH(A218,Riscos!$AI$5:$AI$154,0)),"Riscos",IF(ISNUMBER(MATCH(A218,Oportunidades!$AC$5:$AC$154,0)),"Oportunidades","—")))</f>
        <v/>
      </c>
    </row>
    <row r="219" spans="1:11">
      <c r="A219" s="132"/>
      <c r="B219" s="12"/>
      <c r="C219" s="13"/>
      <c r="D219" s="12"/>
      <c r="E219" s="13"/>
      <c r="F219" s="16"/>
      <c r="G219" s="12"/>
      <c r="H219" s="16"/>
      <c r="I219" s="16"/>
      <c r="J219" s="14" t="str">
        <f>IF(A219="","",IFERROR(INDEX(Riscos!$A$5:$A$154,MATCH(A219,Riscos!$AI$5:$AI$154,0)),IFERROR(INDEX(Oportunidades!$A$5:$A$154,MATCH(A219,Oportunidades!$AC$5:$AC$154,0)),"—")))</f>
        <v/>
      </c>
      <c r="K219" s="133" t="str">
        <f>IF(A219="","",IF(ISNUMBER(MATCH(A219,Riscos!$AI$5:$AI$154,0)),"Riscos",IF(ISNUMBER(MATCH(A219,Oportunidades!$AC$5:$AC$154,0)),"Oportunidades","—")))</f>
        <v/>
      </c>
    </row>
    <row r="220" spans="1:11">
      <c r="A220" s="132"/>
      <c r="B220" s="12"/>
      <c r="C220" s="13"/>
      <c r="D220" s="12"/>
      <c r="E220" s="13"/>
      <c r="F220" s="16"/>
      <c r="G220" s="12"/>
      <c r="H220" s="16"/>
      <c r="I220" s="16"/>
      <c r="J220" s="14" t="str">
        <f>IF(A220="","",IFERROR(INDEX(Riscos!$A$5:$A$154,MATCH(A220,Riscos!$AI$5:$AI$154,0)),IFERROR(INDEX(Oportunidades!$A$5:$A$154,MATCH(A220,Oportunidades!$AC$5:$AC$154,0)),"—")))</f>
        <v/>
      </c>
      <c r="K220" s="133" t="str">
        <f>IF(A220="","",IF(ISNUMBER(MATCH(A220,Riscos!$AI$5:$AI$154,0)),"Riscos",IF(ISNUMBER(MATCH(A220,Oportunidades!$AC$5:$AC$154,0)),"Oportunidades","—")))</f>
        <v/>
      </c>
    </row>
    <row r="221" spans="1:11">
      <c r="A221" s="132"/>
      <c r="B221" s="12"/>
      <c r="C221" s="13"/>
      <c r="D221" s="12"/>
      <c r="E221" s="13"/>
      <c r="F221" s="16"/>
      <c r="G221" s="12"/>
      <c r="H221" s="16"/>
      <c r="I221" s="16"/>
      <c r="J221" s="14" t="str">
        <f>IF(A221="","",IFERROR(INDEX(Riscos!$A$5:$A$154,MATCH(A221,Riscos!$AI$5:$AI$154,0)),IFERROR(INDEX(Oportunidades!$A$5:$A$154,MATCH(A221,Oportunidades!$AC$5:$AC$154,0)),"—")))</f>
        <v/>
      </c>
      <c r="K221" s="133" t="str">
        <f>IF(A221="","",IF(ISNUMBER(MATCH(A221,Riscos!$AI$5:$AI$154,0)),"Riscos",IF(ISNUMBER(MATCH(A221,Oportunidades!$AC$5:$AC$154,0)),"Oportunidades","—")))</f>
        <v/>
      </c>
    </row>
    <row r="222" spans="1:11">
      <c r="A222" s="132"/>
      <c r="B222" s="12"/>
      <c r="C222" s="13"/>
      <c r="D222" s="12"/>
      <c r="E222" s="13"/>
      <c r="F222" s="16"/>
      <c r="G222" s="12"/>
      <c r="H222" s="16"/>
      <c r="I222" s="16"/>
      <c r="J222" s="14" t="str">
        <f>IF(A222="","",IFERROR(INDEX(Riscos!$A$5:$A$154,MATCH(A222,Riscos!$AI$5:$AI$154,0)),IFERROR(INDEX(Oportunidades!$A$5:$A$154,MATCH(A222,Oportunidades!$AC$5:$AC$154,0)),"—")))</f>
        <v/>
      </c>
      <c r="K222" s="133" t="str">
        <f>IF(A222="","",IF(ISNUMBER(MATCH(A222,Riscos!$AI$5:$AI$154,0)),"Riscos",IF(ISNUMBER(MATCH(A222,Oportunidades!$AC$5:$AC$154,0)),"Oportunidades","—")))</f>
        <v/>
      </c>
    </row>
    <row r="223" spans="1:11">
      <c r="A223" s="132"/>
      <c r="B223" s="12"/>
      <c r="C223" s="13"/>
      <c r="D223" s="12"/>
      <c r="E223" s="13"/>
      <c r="F223" s="16"/>
      <c r="G223" s="12"/>
      <c r="H223" s="16"/>
      <c r="I223" s="16"/>
      <c r="J223" s="14" t="str">
        <f>IF(A223="","",IFERROR(INDEX(Riscos!$A$5:$A$154,MATCH(A223,Riscos!$AI$5:$AI$154,0)),IFERROR(INDEX(Oportunidades!$A$5:$A$154,MATCH(A223,Oportunidades!$AC$5:$AC$154,0)),"—")))</f>
        <v/>
      </c>
      <c r="K223" s="133" t="str">
        <f>IF(A223="","",IF(ISNUMBER(MATCH(A223,Riscos!$AI$5:$AI$154,0)),"Riscos",IF(ISNUMBER(MATCH(A223,Oportunidades!$AC$5:$AC$154,0)),"Oportunidades","—")))</f>
        <v/>
      </c>
    </row>
    <row r="224" spans="1:11">
      <c r="A224" s="132"/>
      <c r="B224" s="12"/>
      <c r="C224" s="13"/>
      <c r="D224" s="12"/>
      <c r="E224" s="13"/>
      <c r="F224" s="16"/>
      <c r="G224" s="12"/>
      <c r="H224" s="16"/>
      <c r="I224" s="16"/>
      <c r="J224" s="14" t="str">
        <f>IF(A224="","",IFERROR(INDEX(Riscos!$A$5:$A$154,MATCH(A224,Riscos!$AI$5:$AI$154,0)),IFERROR(INDEX(Oportunidades!$A$5:$A$154,MATCH(A224,Oportunidades!$AC$5:$AC$154,0)),"—")))</f>
        <v/>
      </c>
      <c r="K224" s="133" t="str">
        <f>IF(A224="","",IF(ISNUMBER(MATCH(A224,Riscos!$AI$5:$AI$154,0)),"Riscos",IF(ISNUMBER(MATCH(A224,Oportunidades!$AC$5:$AC$154,0)),"Oportunidades","—")))</f>
        <v/>
      </c>
    </row>
    <row r="225" spans="1:11">
      <c r="A225" s="132"/>
      <c r="B225" s="12"/>
      <c r="C225" s="13"/>
      <c r="D225" s="12"/>
      <c r="E225" s="13"/>
      <c r="F225" s="16"/>
      <c r="G225" s="12"/>
      <c r="H225" s="16"/>
      <c r="I225" s="16"/>
      <c r="J225" s="14" t="str">
        <f>IF(A225="","",IFERROR(INDEX(Riscos!$A$5:$A$154,MATCH(A225,Riscos!$AI$5:$AI$154,0)),IFERROR(INDEX(Oportunidades!$A$5:$A$154,MATCH(A225,Oportunidades!$AC$5:$AC$154,0)),"—")))</f>
        <v/>
      </c>
      <c r="K225" s="133" t="str">
        <f>IF(A225="","",IF(ISNUMBER(MATCH(A225,Riscos!$AI$5:$AI$154,0)),"Riscos",IF(ISNUMBER(MATCH(A225,Oportunidades!$AC$5:$AC$154,0)),"Oportunidades","—")))</f>
        <v/>
      </c>
    </row>
    <row r="226" spans="1:11">
      <c r="A226" s="132"/>
      <c r="B226" s="12"/>
      <c r="C226" s="13"/>
      <c r="D226" s="12"/>
      <c r="E226" s="13"/>
      <c r="F226" s="16"/>
      <c r="G226" s="12"/>
      <c r="H226" s="16"/>
      <c r="I226" s="16"/>
      <c r="J226" s="14" t="str">
        <f>IF(A226="","",IFERROR(INDEX(Riscos!$A$5:$A$154,MATCH(A226,Riscos!$AI$5:$AI$154,0)),IFERROR(INDEX(Oportunidades!$A$5:$A$154,MATCH(A226,Oportunidades!$AC$5:$AC$154,0)),"—")))</f>
        <v/>
      </c>
      <c r="K226" s="133" t="str">
        <f>IF(A226="","",IF(ISNUMBER(MATCH(A226,Riscos!$AI$5:$AI$154,0)),"Riscos",IF(ISNUMBER(MATCH(A226,Oportunidades!$AC$5:$AC$154,0)),"Oportunidades","—")))</f>
        <v/>
      </c>
    </row>
    <row r="227" spans="1:11">
      <c r="A227" s="132"/>
      <c r="B227" s="12"/>
      <c r="C227" s="13"/>
      <c r="D227" s="12"/>
      <c r="E227" s="13"/>
      <c r="F227" s="16"/>
      <c r="G227" s="12"/>
      <c r="H227" s="16"/>
      <c r="I227" s="16"/>
      <c r="J227" s="14" t="str">
        <f>IF(A227="","",IFERROR(INDEX(Riscos!$A$5:$A$154,MATCH(A227,Riscos!$AI$5:$AI$154,0)),IFERROR(INDEX(Oportunidades!$A$5:$A$154,MATCH(A227,Oportunidades!$AC$5:$AC$154,0)),"—")))</f>
        <v/>
      </c>
      <c r="K227" s="133" t="str">
        <f>IF(A227="","",IF(ISNUMBER(MATCH(A227,Riscos!$AI$5:$AI$154,0)),"Riscos",IF(ISNUMBER(MATCH(A227,Oportunidades!$AC$5:$AC$154,0)),"Oportunidades","—")))</f>
        <v/>
      </c>
    </row>
    <row r="228" spans="1:11">
      <c r="A228" s="132"/>
      <c r="B228" s="12"/>
      <c r="C228" s="13"/>
      <c r="D228" s="12"/>
      <c r="E228" s="13"/>
      <c r="F228" s="16"/>
      <c r="G228" s="12"/>
      <c r="H228" s="16"/>
      <c r="I228" s="16"/>
      <c r="J228" s="14" t="str">
        <f>IF(A228="","",IFERROR(INDEX(Riscos!$A$5:$A$154,MATCH(A228,Riscos!$AI$5:$AI$154,0)),IFERROR(INDEX(Oportunidades!$A$5:$A$154,MATCH(A228,Oportunidades!$AC$5:$AC$154,0)),"—")))</f>
        <v/>
      </c>
      <c r="K228" s="133" t="str">
        <f>IF(A228="","",IF(ISNUMBER(MATCH(A228,Riscos!$AI$5:$AI$154,0)),"Riscos",IF(ISNUMBER(MATCH(A228,Oportunidades!$AC$5:$AC$154,0)),"Oportunidades","—")))</f>
        <v/>
      </c>
    </row>
    <row r="229" spans="1:11">
      <c r="A229" s="132"/>
      <c r="B229" s="12"/>
      <c r="C229" s="13"/>
      <c r="D229" s="12"/>
      <c r="E229" s="13"/>
      <c r="F229" s="16"/>
      <c r="G229" s="12"/>
      <c r="H229" s="16"/>
      <c r="I229" s="16"/>
      <c r="J229" s="14" t="str">
        <f>IF(A229="","",IFERROR(INDEX(Riscos!$A$5:$A$154,MATCH(A229,Riscos!$AI$5:$AI$154,0)),IFERROR(INDEX(Oportunidades!$A$5:$A$154,MATCH(A229,Oportunidades!$AC$5:$AC$154,0)),"—")))</f>
        <v/>
      </c>
      <c r="K229" s="133" t="str">
        <f>IF(A229="","",IF(ISNUMBER(MATCH(A229,Riscos!$AI$5:$AI$154,0)),"Riscos",IF(ISNUMBER(MATCH(A229,Oportunidades!$AC$5:$AC$154,0)),"Oportunidades","—")))</f>
        <v/>
      </c>
    </row>
    <row r="230" spans="1:11">
      <c r="A230" s="132"/>
      <c r="B230" s="12"/>
      <c r="C230" s="13"/>
      <c r="D230" s="12"/>
      <c r="E230" s="13"/>
      <c r="F230" s="16"/>
      <c r="G230" s="12"/>
      <c r="H230" s="16"/>
      <c r="I230" s="16"/>
      <c r="J230" s="14" t="str">
        <f>IF(A230="","",IFERROR(INDEX(Riscos!$A$5:$A$154,MATCH(A230,Riscos!$AI$5:$AI$154,0)),IFERROR(INDEX(Oportunidades!$A$5:$A$154,MATCH(A230,Oportunidades!$AC$5:$AC$154,0)),"—")))</f>
        <v/>
      </c>
      <c r="K230" s="133" t="str">
        <f>IF(A230="","",IF(ISNUMBER(MATCH(A230,Riscos!$AI$5:$AI$154,0)),"Riscos",IF(ISNUMBER(MATCH(A230,Oportunidades!$AC$5:$AC$154,0)),"Oportunidades","—")))</f>
        <v/>
      </c>
    </row>
    <row r="231" spans="1:11">
      <c r="A231" s="132"/>
      <c r="B231" s="12"/>
      <c r="C231" s="13"/>
      <c r="D231" s="12"/>
      <c r="E231" s="13"/>
      <c r="F231" s="16"/>
      <c r="G231" s="12"/>
      <c r="H231" s="16"/>
      <c r="I231" s="16"/>
      <c r="J231" s="14" t="str">
        <f>IF(A231="","",IFERROR(INDEX(Riscos!$A$5:$A$154,MATCH(A231,Riscos!$AI$5:$AI$154,0)),IFERROR(INDEX(Oportunidades!$A$5:$A$154,MATCH(A231,Oportunidades!$AC$5:$AC$154,0)),"—")))</f>
        <v/>
      </c>
      <c r="K231" s="133" t="str">
        <f>IF(A231="","",IF(ISNUMBER(MATCH(A231,Riscos!$AI$5:$AI$154,0)),"Riscos",IF(ISNUMBER(MATCH(A231,Oportunidades!$AC$5:$AC$154,0)),"Oportunidades","—")))</f>
        <v/>
      </c>
    </row>
    <row r="232" spans="1:11">
      <c r="A232" s="132"/>
      <c r="B232" s="12"/>
      <c r="C232" s="13"/>
      <c r="D232" s="12"/>
      <c r="E232" s="13"/>
      <c r="F232" s="16"/>
      <c r="G232" s="12"/>
      <c r="H232" s="16"/>
      <c r="I232" s="16"/>
      <c r="J232" s="14" t="str">
        <f>IF(A232="","",IFERROR(INDEX(Riscos!$A$5:$A$154,MATCH(A232,Riscos!$AI$5:$AI$154,0)),IFERROR(INDEX(Oportunidades!$A$5:$A$154,MATCH(A232,Oportunidades!$AC$5:$AC$154,0)),"—")))</f>
        <v/>
      </c>
      <c r="K232" s="133" t="str">
        <f>IF(A232="","",IF(ISNUMBER(MATCH(A232,Riscos!$AI$5:$AI$154,0)),"Riscos",IF(ISNUMBER(MATCH(A232,Oportunidades!$AC$5:$AC$154,0)),"Oportunidades","—")))</f>
        <v/>
      </c>
    </row>
    <row r="233" spans="1:11">
      <c r="A233" s="132"/>
      <c r="B233" s="12"/>
      <c r="C233" s="13"/>
      <c r="D233" s="12"/>
      <c r="E233" s="13"/>
      <c r="F233" s="16"/>
      <c r="G233" s="12"/>
      <c r="H233" s="16"/>
      <c r="I233" s="16"/>
      <c r="J233" s="14" t="str">
        <f>IF(A233="","",IFERROR(INDEX(Riscos!$A$5:$A$154,MATCH(A233,Riscos!$AI$5:$AI$154,0)),IFERROR(INDEX(Oportunidades!$A$5:$A$154,MATCH(A233,Oportunidades!$AC$5:$AC$154,0)),"—")))</f>
        <v/>
      </c>
      <c r="K233" s="133" t="str">
        <f>IF(A233="","",IF(ISNUMBER(MATCH(A233,Riscos!$AI$5:$AI$154,0)),"Riscos",IF(ISNUMBER(MATCH(A233,Oportunidades!$AC$5:$AC$154,0)),"Oportunidades","—")))</f>
        <v/>
      </c>
    </row>
    <row r="234" spans="1:11">
      <c r="A234" s="132"/>
      <c r="B234" s="12"/>
      <c r="C234" s="13"/>
      <c r="D234" s="12"/>
      <c r="E234" s="13"/>
      <c r="F234" s="16"/>
      <c r="G234" s="12"/>
      <c r="H234" s="16"/>
      <c r="I234" s="16"/>
      <c r="J234" s="14" t="str">
        <f>IF(A234="","",IFERROR(INDEX(Riscos!$A$5:$A$154,MATCH(A234,Riscos!$AI$5:$AI$154,0)),IFERROR(INDEX(Oportunidades!$A$5:$A$154,MATCH(A234,Oportunidades!$AC$5:$AC$154,0)),"—")))</f>
        <v/>
      </c>
      <c r="K234" s="133" t="str">
        <f>IF(A234="","",IF(ISNUMBER(MATCH(A234,Riscos!$AI$5:$AI$154,0)),"Riscos",IF(ISNUMBER(MATCH(A234,Oportunidades!$AC$5:$AC$154,0)),"Oportunidades","—")))</f>
        <v/>
      </c>
    </row>
    <row r="235" spans="1:11">
      <c r="A235" s="132"/>
      <c r="B235" s="12"/>
      <c r="C235" s="13"/>
      <c r="D235" s="12"/>
      <c r="E235" s="13"/>
      <c r="F235" s="16"/>
      <c r="G235" s="12"/>
      <c r="H235" s="16"/>
      <c r="I235" s="16"/>
      <c r="J235" s="14" t="str">
        <f>IF(A235="","",IFERROR(INDEX(Riscos!$A$5:$A$154,MATCH(A235,Riscos!$AI$5:$AI$154,0)),IFERROR(INDEX(Oportunidades!$A$5:$A$154,MATCH(A235,Oportunidades!$AC$5:$AC$154,0)),"—")))</f>
        <v/>
      </c>
      <c r="K235" s="133" t="str">
        <f>IF(A235="","",IF(ISNUMBER(MATCH(A235,Riscos!$AI$5:$AI$154,0)),"Riscos",IF(ISNUMBER(MATCH(A235,Oportunidades!$AC$5:$AC$154,0)),"Oportunidades","—")))</f>
        <v/>
      </c>
    </row>
    <row r="236" spans="1:11">
      <c r="A236" s="132"/>
      <c r="B236" s="12"/>
      <c r="C236" s="13"/>
      <c r="D236" s="12"/>
      <c r="E236" s="13"/>
      <c r="F236" s="16"/>
      <c r="G236" s="12"/>
      <c r="H236" s="16"/>
      <c r="I236" s="16"/>
      <c r="J236" s="14" t="str">
        <f>IF(A236="","",IFERROR(INDEX(Riscos!$A$5:$A$154,MATCH(A236,Riscos!$AI$5:$AI$154,0)),IFERROR(INDEX(Oportunidades!$A$5:$A$154,MATCH(A236,Oportunidades!$AC$5:$AC$154,0)),"—")))</f>
        <v/>
      </c>
      <c r="K236" s="133" t="str">
        <f>IF(A236="","",IF(ISNUMBER(MATCH(A236,Riscos!$AI$5:$AI$154,0)),"Riscos",IF(ISNUMBER(MATCH(A236,Oportunidades!$AC$5:$AC$154,0)),"Oportunidades","—")))</f>
        <v/>
      </c>
    </row>
    <row r="237" spans="1:11">
      <c r="A237" s="132"/>
      <c r="B237" s="12"/>
      <c r="C237" s="13"/>
      <c r="D237" s="12"/>
      <c r="E237" s="13"/>
      <c r="F237" s="16"/>
      <c r="G237" s="12"/>
      <c r="H237" s="16"/>
      <c r="I237" s="16"/>
      <c r="J237" s="14" t="str">
        <f>IF(A237="","",IFERROR(INDEX(Riscos!$A$5:$A$154,MATCH(A237,Riscos!$AI$5:$AI$154,0)),IFERROR(INDEX(Oportunidades!$A$5:$A$154,MATCH(A237,Oportunidades!$AC$5:$AC$154,0)),"—")))</f>
        <v/>
      </c>
      <c r="K237" s="133" t="str">
        <f>IF(A237="","",IF(ISNUMBER(MATCH(A237,Riscos!$AI$5:$AI$154,0)),"Riscos",IF(ISNUMBER(MATCH(A237,Oportunidades!$AC$5:$AC$154,0)),"Oportunidades","—")))</f>
        <v/>
      </c>
    </row>
    <row r="238" spans="1:11">
      <c r="A238" s="132"/>
      <c r="B238" s="12"/>
      <c r="C238" s="13"/>
      <c r="D238" s="12"/>
      <c r="E238" s="13"/>
      <c r="F238" s="16"/>
      <c r="G238" s="12"/>
      <c r="H238" s="16"/>
      <c r="I238" s="16"/>
      <c r="J238" s="14" t="str">
        <f>IF(A238="","",IFERROR(INDEX(Riscos!$A$5:$A$154,MATCH(A238,Riscos!$AI$5:$AI$154,0)),IFERROR(INDEX(Oportunidades!$A$5:$A$154,MATCH(A238,Oportunidades!$AC$5:$AC$154,0)),"—")))</f>
        <v/>
      </c>
      <c r="K238" s="133" t="str">
        <f>IF(A238="","",IF(ISNUMBER(MATCH(A238,Riscos!$AI$5:$AI$154,0)),"Riscos",IF(ISNUMBER(MATCH(A238,Oportunidades!$AC$5:$AC$154,0)),"Oportunidades","—")))</f>
        <v/>
      </c>
    </row>
    <row r="239" spans="1:11">
      <c r="A239" s="132"/>
      <c r="B239" s="12"/>
      <c r="C239" s="13"/>
      <c r="D239" s="12"/>
      <c r="E239" s="13"/>
      <c r="F239" s="16"/>
      <c r="G239" s="12"/>
      <c r="H239" s="16"/>
      <c r="I239" s="16"/>
      <c r="J239" s="14" t="str">
        <f>IF(A239="","",IFERROR(INDEX(Riscos!$A$5:$A$154,MATCH(A239,Riscos!$AI$5:$AI$154,0)),IFERROR(INDEX(Oportunidades!$A$5:$A$154,MATCH(A239,Oportunidades!$AC$5:$AC$154,0)),"—")))</f>
        <v/>
      </c>
      <c r="K239" s="133" t="str">
        <f>IF(A239="","",IF(ISNUMBER(MATCH(A239,Riscos!$AI$5:$AI$154,0)),"Riscos",IF(ISNUMBER(MATCH(A239,Oportunidades!$AC$5:$AC$154,0)),"Oportunidades","—")))</f>
        <v/>
      </c>
    </row>
    <row r="240" spans="1:11">
      <c r="A240" s="132"/>
      <c r="B240" s="12"/>
      <c r="C240" s="13"/>
      <c r="D240" s="12"/>
      <c r="E240" s="13"/>
      <c r="F240" s="16"/>
      <c r="G240" s="12"/>
      <c r="H240" s="16"/>
      <c r="I240" s="16"/>
      <c r="J240" s="14" t="str">
        <f>IF(A240="","",IFERROR(INDEX(Riscos!$A$5:$A$154,MATCH(A240,Riscos!$AI$5:$AI$154,0)),IFERROR(INDEX(Oportunidades!$A$5:$A$154,MATCH(A240,Oportunidades!$AC$5:$AC$154,0)),"—")))</f>
        <v/>
      </c>
      <c r="K240" s="133" t="str">
        <f>IF(A240="","",IF(ISNUMBER(MATCH(A240,Riscos!$AI$5:$AI$154,0)),"Riscos",IF(ISNUMBER(MATCH(A240,Oportunidades!$AC$5:$AC$154,0)),"Oportunidades","—")))</f>
        <v/>
      </c>
    </row>
    <row r="241" spans="1:11">
      <c r="A241" s="132"/>
      <c r="B241" s="12"/>
      <c r="C241" s="13"/>
      <c r="D241" s="12"/>
      <c r="E241" s="13"/>
      <c r="F241" s="16"/>
      <c r="G241" s="12"/>
      <c r="H241" s="16"/>
      <c r="I241" s="16"/>
      <c r="J241" s="14" t="str">
        <f>IF(A241="","",IFERROR(INDEX(Riscos!$A$5:$A$154,MATCH(A241,Riscos!$AI$5:$AI$154,0)),IFERROR(INDEX(Oportunidades!$A$5:$A$154,MATCH(A241,Oportunidades!$AC$5:$AC$154,0)),"—")))</f>
        <v/>
      </c>
      <c r="K241" s="133" t="str">
        <f>IF(A241="","",IF(ISNUMBER(MATCH(A241,Riscos!$AI$5:$AI$154,0)),"Riscos",IF(ISNUMBER(MATCH(A241,Oportunidades!$AC$5:$AC$154,0)),"Oportunidades","—")))</f>
        <v/>
      </c>
    </row>
    <row r="242" spans="1:11">
      <c r="A242" s="132"/>
      <c r="B242" s="12"/>
      <c r="C242" s="13"/>
      <c r="D242" s="12"/>
      <c r="E242" s="13"/>
      <c r="F242" s="16"/>
      <c r="G242" s="12"/>
      <c r="H242" s="16"/>
      <c r="I242" s="16"/>
      <c r="J242" s="14" t="str">
        <f>IF(A242="","",IFERROR(INDEX(Riscos!$A$5:$A$154,MATCH(A242,Riscos!$AI$5:$AI$154,0)),IFERROR(INDEX(Oportunidades!$A$5:$A$154,MATCH(A242,Oportunidades!$AC$5:$AC$154,0)),"—")))</f>
        <v/>
      </c>
      <c r="K242" s="133" t="str">
        <f>IF(A242="","",IF(ISNUMBER(MATCH(A242,Riscos!$AI$5:$AI$154,0)),"Riscos",IF(ISNUMBER(MATCH(A242,Oportunidades!$AC$5:$AC$154,0)),"Oportunidades","—")))</f>
        <v/>
      </c>
    </row>
    <row r="243" spans="1:11">
      <c r="A243" s="132"/>
      <c r="B243" s="12"/>
      <c r="C243" s="13"/>
      <c r="D243" s="12"/>
      <c r="E243" s="13"/>
      <c r="F243" s="16"/>
      <c r="G243" s="12"/>
      <c r="H243" s="16"/>
      <c r="I243" s="16"/>
      <c r="J243" s="14" t="str">
        <f>IF(A243="","",IFERROR(INDEX(Riscos!$A$5:$A$154,MATCH(A243,Riscos!$AI$5:$AI$154,0)),IFERROR(INDEX(Oportunidades!$A$5:$A$154,MATCH(A243,Oportunidades!$AC$5:$AC$154,0)),"—")))</f>
        <v/>
      </c>
      <c r="K243" s="133" t="str">
        <f>IF(A243="","",IF(ISNUMBER(MATCH(A243,Riscos!$AI$5:$AI$154,0)),"Riscos",IF(ISNUMBER(MATCH(A243,Oportunidades!$AC$5:$AC$154,0)),"Oportunidades","—")))</f>
        <v/>
      </c>
    </row>
    <row r="244" spans="1:11">
      <c r="A244" s="132"/>
      <c r="B244" s="12"/>
      <c r="C244" s="13"/>
      <c r="D244" s="12"/>
      <c r="E244" s="13"/>
      <c r="F244" s="16"/>
      <c r="G244" s="12"/>
      <c r="H244" s="16"/>
      <c r="I244" s="16"/>
      <c r="J244" s="14" t="str">
        <f>IF(A244="","",IFERROR(INDEX(Riscos!$A$5:$A$154,MATCH(A244,Riscos!$AI$5:$AI$154,0)),IFERROR(INDEX(Oportunidades!$A$5:$A$154,MATCH(A244,Oportunidades!$AC$5:$AC$154,0)),"—")))</f>
        <v/>
      </c>
      <c r="K244" s="133" t="str">
        <f>IF(A244="","",IF(ISNUMBER(MATCH(A244,Riscos!$AI$5:$AI$154,0)),"Riscos",IF(ISNUMBER(MATCH(A244,Oportunidades!$AC$5:$AC$154,0)),"Oportunidades","—")))</f>
        <v/>
      </c>
    </row>
    <row r="245" spans="1:11">
      <c r="A245" s="132"/>
      <c r="B245" s="12"/>
      <c r="C245" s="13"/>
      <c r="D245" s="12"/>
      <c r="E245" s="13"/>
      <c r="F245" s="16"/>
      <c r="G245" s="12"/>
      <c r="H245" s="16"/>
      <c r="I245" s="16"/>
      <c r="J245" s="14" t="str">
        <f>IF(A245="","",IFERROR(INDEX(Riscos!$A$5:$A$154,MATCH(A245,Riscos!$AI$5:$AI$154,0)),IFERROR(INDEX(Oportunidades!$A$5:$A$154,MATCH(A245,Oportunidades!$AC$5:$AC$154,0)),"—")))</f>
        <v/>
      </c>
      <c r="K245" s="133" t="str">
        <f>IF(A245="","",IF(ISNUMBER(MATCH(A245,Riscos!$AI$5:$AI$154,0)),"Riscos",IF(ISNUMBER(MATCH(A245,Oportunidades!$AC$5:$AC$154,0)),"Oportunidades","—")))</f>
        <v/>
      </c>
    </row>
    <row r="246" spans="1:11">
      <c r="A246" s="132"/>
      <c r="B246" s="12"/>
      <c r="C246" s="13"/>
      <c r="D246" s="12"/>
      <c r="E246" s="13"/>
      <c r="F246" s="16"/>
      <c r="G246" s="12"/>
      <c r="H246" s="16"/>
      <c r="I246" s="16"/>
      <c r="J246" s="14" t="str">
        <f>IF(A246="","",IFERROR(INDEX(Riscos!$A$5:$A$154,MATCH(A246,Riscos!$AI$5:$AI$154,0)),IFERROR(INDEX(Oportunidades!$A$5:$A$154,MATCH(A246,Oportunidades!$AC$5:$AC$154,0)),"—")))</f>
        <v/>
      </c>
      <c r="K246" s="133" t="str">
        <f>IF(A246="","",IF(ISNUMBER(MATCH(A246,Riscos!$AI$5:$AI$154,0)),"Riscos",IF(ISNUMBER(MATCH(A246,Oportunidades!$AC$5:$AC$154,0)),"Oportunidades","—")))</f>
        <v/>
      </c>
    </row>
    <row r="247" spans="1:11">
      <c r="A247" s="132"/>
      <c r="B247" s="12"/>
      <c r="C247" s="13"/>
      <c r="D247" s="12"/>
      <c r="E247" s="13"/>
      <c r="F247" s="16"/>
      <c r="G247" s="12"/>
      <c r="H247" s="16"/>
      <c r="I247" s="16"/>
      <c r="J247" s="14" t="str">
        <f>IF(A247="","",IFERROR(INDEX(Riscos!$A$5:$A$154,MATCH(A247,Riscos!$AI$5:$AI$154,0)),IFERROR(INDEX(Oportunidades!$A$5:$A$154,MATCH(A247,Oportunidades!$AC$5:$AC$154,0)),"—")))</f>
        <v/>
      </c>
      <c r="K247" s="133" t="str">
        <f>IF(A247="","",IF(ISNUMBER(MATCH(A247,Riscos!$AI$5:$AI$154,0)),"Riscos",IF(ISNUMBER(MATCH(A247,Oportunidades!$AC$5:$AC$154,0)),"Oportunidades","—")))</f>
        <v/>
      </c>
    </row>
    <row r="248" spans="1:11">
      <c r="A248" s="132"/>
      <c r="B248" s="12"/>
      <c r="C248" s="13"/>
      <c r="D248" s="12"/>
      <c r="E248" s="13"/>
      <c r="F248" s="16"/>
      <c r="G248" s="12"/>
      <c r="H248" s="16"/>
      <c r="I248" s="16"/>
      <c r="J248" s="14" t="str">
        <f>IF(A248="","",IFERROR(INDEX(Riscos!$A$5:$A$154,MATCH(A248,Riscos!$AI$5:$AI$154,0)),IFERROR(INDEX(Oportunidades!$A$5:$A$154,MATCH(A248,Oportunidades!$AC$5:$AC$154,0)),"—")))</f>
        <v/>
      </c>
      <c r="K248" s="133" t="str">
        <f>IF(A248="","",IF(ISNUMBER(MATCH(A248,Riscos!$AI$5:$AI$154,0)),"Riscos",IF(ISNUMBER(MATCH(A248,Oportunidades!$AC$5:$AC$154,0)),"Oportunidades","—")))</f>
        <v/>
      </c>
    </row>
    <row r="249" spans="1:11">
      <c r="A249" s="132"/>
      <c r="B249" s="12"/>
      <c r="C249" s="13"/>
      <c r="D249" s="12"/>
      <c r="E249" s="13"/>
      <c r="F249" s="16"/>
      <c r="G249" s="12"/>
      <c r="H249" s="16"/>
      <c r="I249" s="16"/>
      <c r="J249" s="14" t="str">
        <f>IF(A249="","",IFERROR(INDEX(Riscos!$A$5:$A$154,MATCH(A249,Riscos!$AI$5:$AI$154,0)),IFERROR(INDEX(Oportunidades!$A$5:$A$154,MATCH(A249,Oportunidades!$AC$5:$AC$154,0)),"—")))</f>
        <v/>
      </c>
      <c r="K249" s="133" t="str">
        <f>IF(A249="","",IF(ISNUMBER(MATCH(A249,Riscos!$AI$5:$AI$154,0)),"Riscos",IF(ISNUMBER(MATCH(A249,Oportunidades!$AC$5:$AC$154,0)),"Oportunidades","—")))</f>
        <v/>
      </c>
    </row>
    <row r="250" spans="1:11">
      <c r="A250" s="132"/>
      <c r="B250" s="12"/>
      <c r="C250" s="13"/>
      <c r="D250" s="12"/>
      <c r="E250" s="13"/>
      <c r="F250" s="16"/>
      <c r="G250" s="12"/>
      <c r="H250" s="16"/>
      <c r="I250" s="16"/>
      <c r="J250" s="14" t="str">
        <f>IF(A250="","",IFERROR(INDEX(Riscos!$A$5:$A$154,MATCH(A250,Riscos!$AI$5:$AI$154,0)),IFERROR(INDEX(Oportunidades!$A$5:$A$154,MATCH(A250,Oportunidades!$AC$5:$AC$154,0)),"—")))</f>
        <v/>
      </c>
      <c r="K250" s="133" t="str">
        <f>IF(A250="","",IF(ISNUMBER(MATCH(A250,Riscos!$AI$5:$AI$154,0)),"Riscos",IF(ISNUMBER(MATCH(A250,Oportunidades!$AC$5:$AC$154,0)),"Oportunidades","—")))</f>
        <v/>
      </c>
    </row>
    <row r="251" spans="1:11">
      <c r="A251" s="132"/>
      <c r="B251" s="12"/>
      <c r="C251" s="13"/>
      <c r="D251" s="12"/>
      <c r="E251" s="13"/>
      <c r="F251" s="16"/>
      <c r="G251" s="12"/>
      <c r="H251" s="16"/>
      <c r="I251" s="16"/>
      <c r="J251" s="14" t="str">
        <f>IF(A251="","",IFERROR(INDEX(Riscos!$A$5:$A$154,MATCH(A251,Riscos!$AI$5:$AI$154,0)),IFERROR(INDEX(Oportunidades!$A$5:$A$154,MATCH(A251,Oportunidades!$AC$5:$AC$154,0)),"—")))</f>
        <v/>
      </c>
      <c r="K251" s="133" t="str">
        <f>IF(A251="","",IF(ISNUMBER(MATCH(A251,Riscos!$AI$5:$AI$154,0)),"Riscos",IF(ISNUMBER(MATCH(A251,Oportunidades!$AC$5:$AC$154,0)),"Oportunidades","—")))</f>
        <v/>
      </c>
    </row>
    <row r="252" spans="1:11">
      <c r="A252" s="132"/>
      <c r="B252" s="12"/>
      <c r="C252" s="13"/>
      <c r="D252" s="12"/>
      <c r="E252" s="13"/>
      <c r="F252" s="16"/>
      <c r="G252" s="12"/>
      <c r="H252" s="16"/>
      <c r="I252" s="16"/>
      <c r="J252" s="14" t="str">
        <f>IF(A252="","",IFERROR(INDEX(Riscos!$A$5:$A$154,MATCH(A252,Riscos!$AI$5:$AI$154,0)),IFERROR(INDEX(Oportunidades!$A$5:$A$154,MATCH(A252,Oportunidades!$AC$5:$AC$154,0)),"—")))</f>
        <v/>
      </c>
      <c r="K252" s="133" t="str">
        <f>IF(A252="","",IF(ISNUMBER(MATCH(A252,Riscos!$AI$5:$AI$154,0)),"Riscos",IF(ISNUMBER(MATCH(A252,Oportunidades!$AC$5:$AC$154,0)),"Oportunidades","—")))</f>
        <v/>
      </c>
    </row>
    <row r="253" spans="1:11">
      <c r="A253" s="132"/>
      <c r="B253" s="12"/>
      <c r="C253" s="13"/>
      <c r="D253" s="12"/>
      <c r="E253" s="13"/>
      <c r="F253" s="16"/>
      <c r="G253" s="12"/>
      <c r="H253" s="16"/>
      <c r="I253" s="16"/>
      <c r="J253" s="14" t="str">
        <f>IF(A253="","",IFERROR(INDEX(Riscos!$A$5:$A$154,MATCH(A253,Riscos!$AI$5:$AI$154,0)),IFERROR(INDEX(Oportunidades!$A$5:$A$154,MATCH(A253,Oportunidades!$AC$5:$AC$154,0)),"—")))</f>
        <v/>
      </c>
      <c r="K253" s="133" t="str">
        <f>IF(A253="","",IF(ISNUMBER(MATCH(A253,Riscos!$AI$5:$AI$154,0)),"Riscos",IF(ISNUMBER(MATCH(A253,Oportunidades!$AC$5:$AC$154,0)),"Oportunidades","—")))</f>
        <v/>
      </c>
    </row>
    <row r="254" spans="1:11">
      <c r="A254" s="132"/>
      <c r="B254" s="12"/>
      <c r="C254" s="13"/>
      <c r="D254" s="12"/>
      <c r="E254" s="13"/>
      <c r="F254" s="16"/>
      <c r="G254" s="12"/>
      <c r="H254" s="16"/>
      <c r="I254" s="16"/>
      <c r="J254" s="14" t="str">
        <f>IF(A254="","",IFERROR(INDEX(Riscos!$A$5:$A$154,MATCH(A254,Riscos!$AI$5:$AI$154,0)),IFERROR(INDEX(Oportunidades!$A$5:$A$154,MATCH(A254,Oportunidades!$AC$5:$AC$154,0)),"—")))</f>
        <v/>
      </c>
      <c r="K254" s="133" t="str">
        <f>IF(A254="","",IF(ISNUMBER(MATCH(A254,Riscos!$AI$5:$AI$154,0)),"Riscos",IF(ISNUMBER(MATCH(A254,Oportunidades!$AC$5:$AC$154,0)),"Oportunidades","—")))</f>
        <v/>
      </c>
    </row>
    <row r="255" spans="1:11">
      <c r="A255" s="132"/>
      <c r="B255" s="12"/>
      <c r="C255" s="13"/>
      <c r="D255" s="12"/>
      <c r="E255" s="13"/>
      <c r="F255" s="16"/>
      <c r="G255" s="12"/>
      <c r="H255" s="16"/>
      <c r="I255" s="16"/>
      <c r="J255" s="14" t="str">
        <f>IF(A255="","",IFERROR(INDEX(Riscos!$A$5:$A$154,MATCH(A255,Riscos!$AI$5:$AI$154,0)),IFERROR(INDEX(Oportunidades!$A$5:$A$154,MATCH(A255,Oportunidades!$AC$5:$AC$154,0)),"—")))</f>
        <v/>
      </c>
      <c r="K255" s="133" t="str">
        <f>IF(A255="","",IF(ISNUMBER(MATCH(A255,Riscos!$AI$5:$AI$154,0)),"Riscos",IF(ISNUMBER(MATCH(A255,Oportunidades!$AC$5:$AC$154,0)),"Oportunidades","—")))</f>
        <v/>
      </c>
    </row>
    <row r="256" spans="1:11">
      <c r="A256" s="132"/>
      <c r="B256" s="12"/>
      <c r="C256" s="13"/>
      <c r="D256" s="12"/>
      <c r="E256" s="13"/>
      <c r="F256" s="16"/>
      <c r="G256" s="12"/>
      <c r="H256" s="16"/>
      <c r="I256" s="16"/>
      <c r="J256" s="14" t="str">
        <f>IF(A256="","",IFERROR(INDEX(Riscos!$A$5:$A$154,MATCH(A256,Riscos!$AI$5:$AI$154,0)),IFERROR(INDEX(Oportunidades!$A$5:$A$154,MATCH(A256,Oportunidades!$AC$5:$AC$154,0)),"—")))</f>
        <v/>
      </c>
      <c r="K256" s="133" t="str">
        <f>IF(A256="","",IF(ISNUMBER(MATCH(A256,Riscos!$AI$5:$AI$154,0)),"Riscos",IF(ISNUMBER(MATCH(A256,Oportunidades!$AC$5:$AC$154,0)),"Oportunidades","—")))</f>
        <v/>
      </c>
    </row>
    <row r="257" spans="1:11">
      <c r="A257" s="132"/>
      <c r="B257" s="12"/>
      <c r="C257" s="13"/>
      <c r="D257" s="12"/>
      <c r="E257" s="13"/>
      <c r="F257" s="16"/>
      <c r="G257" s="12"/>
      <c r="H257" s="16"/>
      <c r="I257" s="16"/>
      <c r="J257" s="14" t="str">
        <f>IF(A257="","",IFERROR(INDEX(Riscos!$A$5:$A$154,MATCH(A257,Riscos!$AI$5:$AI$154,0)),IFERROR(INDEX(Oportunidades!$A$5:$A$154,MATCH(A257,Oportunidades!$AC$5:$AC$154,0)),"—")))</f>
        <v/>
      </c>
      <c r="K257" s="133" t="str">
        <f>IF(A257="","",IF(ISNUMBER(MATCH(A257,Riscos!$AI$5:$AI$154,0)),"Riscos",IF(ISNUMBER(MATCH(A257,Oportunidades!$AC$5:$AC$154,0)),"Oportunidades","—")))</f>
        <v/>
      </c>
    </row>
    <row r="258" spans="1:11">
      <c r="A258" s="132"/>
      <c r="B258" s="12"/>
      <c r="C258" s="13"/>
      <c r="D258" s="12"/>
      <c r="E258" s="13"/>
      <c r="F258" s="16"/>
      <c r="G258" s="12"/>
      <c r="H258" s="16"/>
      <c r="I258" s="16"/>
      <c r="J258" s="14" t="str">
        <f>IF(A258="","",IFERROR(INDEX(Riscos!$A$5:$A$154,MATCH(A258,Riscos!$AI$5:$AI$154,0)),IFERROR(INDEX(Oportunidades!$A$5:$A$154,MATCH(A258,Oportunidades!$AC$5:$AC$154,0)),"—")))</f>
        <v/>
      </c>
      <c r="K258" s="133" t="str">
        <f>IF(A258="","",IF(ISNUMBER(MATCH(A258,Riscos!$AI$5:$AI$154,0)),"Riscos",IF(ISNUMBER(MATCH(A258,Oportunidades!$AC$5:$AC$154,0)),"Oportunidades","—")))</f>
        <v/>
      </c>
    </row>
    <row r="259" spans="1:11">
      <c r="A259" s="132"/>
      <c r="B259" s="12"/>
      <c r="C259" s="13"/>
      <c r="D259" s="12"/>
      <c r="E259" s="13"/>
      <c r="F259" s="16"/>
      <c r="G259" s="12"/>
      <c r="H259" s="16"/>
      <c r="I259" s="16"/>
      <c r="J259" s="14" t="str">
        <f>IF(A259="","",IFERROR(INDEX(Riscos!$A$5:$A$154,MATCH(A259,Riscos!$AI$5:$AI$154,0)),IFERROR(INDEX(Oportunidades!$A$5:$A$154,MATCH(A259,Oportunidades!$AC$5:$AC$154,0)),"—")))</f>
        <v/>
      </c>
      <c r="K259" s="133" t="str">
        <f>IF(A259="","",IF(ISNUMBER(MATCH(A259,Riscos!$AI$5:$AI$154,0)),"Riscos",IF(ISNUMBER(MATCH(A259,Oportunidades!$AC$5:$AC$154,0)),"Oportunidades","—")))</f>
        <v/>
      </c>
    </row>
    <row r="260" spans="1:11">
      <c r="A260" s="132"/>
      <c r="B260" s="12"/>
      <c r="C260" s="13"/>
      <c r="D260" s="12"/>
      <c r="E260" s="13"/>
      <c r="F260" s="16"/>
      <c r="G260" s="12"/>
      <c r="H260" s="16"/>
      <c r="I260" s="16"/>
      <c r="J260" s="14" t="str">
        <f>IF(A260="","",IFERROR(INDEX(Riscos!$A$5:$A$154,MATCH(A260,Riscos!$AI$5:$AI$154,0)),IFERROR(INDEX(Oportunidades!$A$5:$A$154,MATCH(A260,Oportunidades!$AC$5:$AC$154,0)),"—")))</f>
        <v/>
      </c>
      <c r="K260" s="133" t="str">
        <f>IF(A260="","",IF(ISNUMBER(MATCH(A260,Riscos!$AI$5:$AI$154,0)),"Riscos",IF(ISNUMBER(MATCH(A260,Oportunidades!$AC$5:$AC$154,0)),"Oportunidades","—")))</f>
        <v/>
      </c>
    </row>
    <row r="261" spans="1:11">
      <c r="A261" s="132"/>
      <c r="B261" s="12"/>
      <c r="C261" s="13"/>
      <c r="D261" s="12"/>
      <c r="E261" s="13"/>
      <c r="F261" s="16"/>
      <c r="G261" s="12"/>
      <c r="H261" s="16"/>
      <c r="I261" s="16"/>
      <c r="J261" s="14" t="str">
        <f>IF(A261="","",IFERROR(INDEX(Riscos!$A$5:$A$154,MATCH(A261,Riscos!$AI$5:$AI$154,0)),IFERROR(INDEX(Oportunidades!$A$5:$A$154,MATCH(A261,Oportunidades!$AC$5:$AC$154,0)),"—")))</f>
        <v/>
      </c>
      <c r="K261" s="133" t="str">
        <f>IF(A261="","",IF(ISNUMBER(MATCH(A261,Riscos!$AI$5:$AI$154,0)),"Riscos",IF(ISNUMBER(MATCH(A261,Oportunidades!$AC$5:$AC$154,0)),"Oportunidades","—")))</f>
        <v/>
      </c>
    </row>
    <row r="262" spans="1:11">
      <c r="A262" s="132"/>
      <c r="B262" s="12"/>
      <c r="C262" s="13"/>
      <c r="D262" s="12"/>
      <c r="E262" s="13"/>
      <c r="F262" s="16"/>
      <c r="G262" s="12"/>
      <c r="H262" s="16"/>
      <c r="I262" s="16"/>
      <c r="J262" s="14" t="str">
        <f>IF(A262="","",IFERROR(INDEX(Riscos!$A$5:$A$154,MATCH(A262,Riscos!$AI$5:$AI$154,0)),IFERROR(INDEX(Oportunidades!$A$5:$A$154,MATCH(A262,Oportunidades!$AC$5:$AC$154,0)),"—")))</f>
        <v/>
      </c>
      <c r="K262" s="133" t="str">
        <f>IF(A262="","",IF(ISNUMBER(MATCH(A262,Riscos!$AI$5:$AI$154,0)),"Riscos",IF(ISNUMBER(MATCH(A262,Oportunidades!$AC$5:$AC$154,0)),"Oportunidades","—")))</f>
        <v/>
      </c>
    </row>
    <row r="263" spans="1:11">
      <c r="A263" s="132"/>
      <c r="B263" s="12"/>
      <c r="C263" s="13"/>
      <c r="D263" s="12"/>
      <c r="E263" s="13"/>
      <c r="F263" s="16"/>
      <c r="G263" s="12"/>
      <c r="H263" s="16"/>
      <c r="I263" s="16"/>
      <c r="J263" s="14" t="str">
        <f>IF(A263="","",IFERROR(INDEX(Riscos!$A$5:$A$154,MATCH(A263,Riscos!$AI$5:$AI$154,0)),IFERROR(INDEX(Oportunidades!$A$5:$A$154,MATCH(A263,Oportunidades!$AC$5:$AC$154,0)),"—")))</f>
        <v/>
      </c>
      <c r="K263" s="133" t="str">
        <f>IF(A263="","",IF(ISNUMBER(MATCH(A263,Riscos!$AI$5:$AI$154,0)),"Riscos",IF(ISNUMBER(MATCH(A263,Oportunidades!$AC$5:$AC$154,0)),"Oportunidades","—")))</f>
        <v/>
      </c>
    </row>
    <row r="264" spans="1:11">
      <c r="A264" s="132"/>
      <c r="B264" s="12"/>
      <c r="C264" s="13"/>
      <c r="D264" s="12"/>
      <c r="E264" s="13"/>
      <c r="F264" s="16"/>
      <c r="G264" s="12"/>
      <c r="H264" s="16"/>
      <c r="I264" s="16"/>
      <c r="J264" s="14" t="str">
        <f>IF(A264="","",IFERROR(INDEX(Riscos!$A$5:$A$154,MATCH(A264,Riscos!$AI$5:$AI$154,0)),IFERROR(INDEX(Oportunidades!$A$5:$A$154,MATCH(A264,Oportunidades!$AC$5:$AC$154,0)),"—")))</f>
        <v/>
      </c>
      <c r="K264" s="133" t="str">
        <f>IF(A264="","",IF(ISNUMBER(MATCH(A264,Riscos!$AI$5:$AI$154,0)),"Riscos",IF(ISNUMBER(MATCH(A264,Oportunidades!$AC$5:$AC$154,0)),"Oportunidades","—")))</f>
        <v/>
      </c>
    </row>
    <row r="265" spans="1:11">
      <c r="A265" s="132"/>
      <c r="B265" s="12"/>
      <c r="C265" s="13"/>
      <c r="D265" s="12"/>
      <c r="E265" s="13"/>
      <c r="F265" s="16"/>
      <c r="G265" s="12"/>
      <c r="H265" s="16"/>
      <c r="I265" s="16"/>
      <c r="J265" s="14" t="str">
        <f>IF(A265="","",IFERROR(INDEX(Riscos!$A$5:$A$154,MATCH(A265,Riscos!$AI$5:$AI$154,0)),IFERROR(INDEX(Oportunidades!$A$5:$A$154,MATCH(A265,Oportunidades!$AC$5:$AC$154,0)),"—")))</f>
        <v/>
      </c>
      <c r="K265" s="133" t="str">
        <f>IF(A265="","",IF(ISNUMBER(MATCH(A265,Riscos!$AI$5:$AI$154,0)),"Riscos",IF(ISNUMBER(MATCH(A265,Oportunidades!$AC$5:$AC$154,0)),"Oportunidades","—")))</f>
        <v/>
      </c>
    </row>
    <row r="266" spans="1:11">
      <c r="A266" s="132"/>
      <c r="B266" s="12"/>
      <c r="C266" s="13"/>
      <c r="D266" s="12"/>
      <c r="E266" s="13"/>
      <c r="F266" s="16"/>
      <c r="G266" s="12"/>
      <c r="H266" s="16"/>
      <c r="I266" s="16"/>
      <c r="J266" s="14" t="str">
        <f>IF(A266="","",IFERROR(INDEX(Riscos!$A$5:$A$154,MATCH(A266,Riscos!$AI$5:$AI$154,0)),IFERROR(INDEX(Oportunidades!$A$5:$A$154,MATCH(A266,Oportunidades!$AC$5:$AC$154,0)),"—")))</f>
        <v/>
      </c>
      <c r="K266" s="133" t="str">
        <f>IF(A266="","",IF(ISNUMBER(MATCH(A266,Riscos!$AI$5:$AI$154,0)),"Riscos",IF(ISNUMBER(MATCH(A266,Oportunidades!$AC$5:$AC$154,0)),"Oportunidades","—")))</f>
        <v/>
      </c>
    </row>
    <row r="267" spans="1:11">
      <c r="A267" s="132"/>
      <c r="B267" s="12"/>
      <c r="C267" s="13"/>
      <c r="D267" s="12"/>
      <c r="E267" s="13"/>
      <c r="F267" s="16"/>
      <c r="G267" s="12"/>
      <c r="H267" s="16"/>
      <c r="I267" s="16"/>
      <c r="J267" s="14" t="str">
        <f>IF(A267="","",IFERROR(INDEX(Riscos!$A$5:$A$154,MATCH(A267,Riscos!$AI$5:$AI$154,0)),IFERROR(INDEX(Oportunidades!$A$5:$A$154,MATCH(A267,Oportunidades!$AC$5:$AC$154,0)),"—")))</f>
        <v/>
      </c>
      <c r="K267" s="133" t="str">
        <f>IF(A267="","",IF(ISNUMBER(MATCH(A267,Riscos!$AI$5:$AI$154,0)),"Riscos",IF(ISNUMBER(MATCH(A267,Oportunidades!$AC$5:$AC$154,0)),"Oportunidades","—")))</f>
        <v/>
      </c>
    </row>
    <row r="268" spans="1:11">
      <c r="A268" s="132"/>
      <c r="B268" s="12"/>
      <c r="C268" s="13"/>
      <c r="D268" s="12"/>
      <c r="E268" s="13"/>
      <c r="F268" s="16"/>
      <c r="G268" s="12"/>
      <c r="H268" s="16"/>
      <c r="I268" s="16"/>
      <c r="J268" s="14" t="str">
        <f>IF(A268="","",IFERROR(INDEX(Riscos!$A$5:$A$154,MATCH(A268,Riscos!$AI$5:$AI$154,0)),IFERROR(INDEX(Oportunidades!$A$5:$A$154,MATCH(A268,Oportunidades!$AC$5:$AC$154,0)),"—")))</f>
        <v/>
      </c>
      <c r="K268" s="133" t="str">
        <f>IF(A268="","",IF(ISNUMBER(MATCH(A268,Riscos!$AI$5:$AI$154,0)),"Riscos",IF(ISNUMBER(MATCH(A268,Oportunidades!$AC$5:$AC$154,0)),"Oportunidades","—")))</f>
        <v/>
      </c>
    </row>
    <row r="269" spans="1:11">
      <c r="A269" s="132"/>
      <c r="B269" s="12"/>
      <c r="C269" s="13"/>
      <c r="D269" s="12"/>
      <c r="E269" s="13"/>
      <c r="F269" s="16"/>
      <c r="G269" s="12"/>
      <c r="H269" s="16"/>
      <c r="I269" s="16"/>
      <c r="J269" s="14" t="str">
        <f>IF(A269="","",IFERROR(INDEX(Riscos!$A$5:$A$154,MATCH(A269,Riscos!$AI$5:$AI$154,0)),IFERROR(INDEX(Oportunidades!$A$5:$A$154,MATCH(A269,Oportunidades!$AC$5:$AC$154,0)),"—")))</f>
        <v/>
      </c>
      <c r="K269" s="133" t="str">
        <f>IF(A269="","",IF(ISNUMBER(MATCH(A269,Riscos!$AI$5:$AI$154,0)),"Riscos",IF(ISNUMBER(MATCH(A269,Oportunidades!$AC$5:$AC$154,0)),"Oportunidades","—")))</f>
        <v/>
      </c>
    </row>
    <row r="270" spans="1:11">
      <c r="A270" s="132"/>
      <c r="B270" s="12"/>
      <c r="C270" s="13"/>
      <c r="D270" s="12"/>
      <c r="E270" s="13"/>
      <c r="F270" s="16"/>
      <c r="G270" s="12"/>
      <c r="H270" s="16"/>
      <c r="I270" s="16"/>
      <c r="J270" s="14" t="str">
        <f>IF(A270="","",IFERROR(INDEX(Riscos!$A$5:$A$154,MATCH(A270,Riscos!$AI$5:$AI$154,0)),IFERROR(INDEX(Oportunidades!$A$5:$A$154,MATCH(A270,Oportunidades!$AC$5:$AC$154,0)),"—")))</f>
        <v/>
      </c>
      <c r="K270" s="133" t="str">
        <f>IF(A270="","",IF(ISNUMBER(MATCH(A270,Riscos!$AI$5:$AI$154,0)),"Riscos",IF(ISNUMBER(MATCH(A270,Oportunidades!$AC$5:$AC$154,0)),"Oportunidades","—")))</f>
        <v/>
      </c>
    </row>
    <row r="271" spans="1:11">
      <c r="A271" s="132"/>
      <c r="B271" s="12"/>
      <c r="C271" s="13"/>
      <c r="D271" s="12"/>
      <c r="E271" s="13"/>
      <c r="F271" s="16"/>
      <c r="G271" s="12"/>
      <c r="H271" s="16"/>
      <c r="I271" s="16"/>
      <c r="J271" s="14" t="str">
        <f>IF(A271="","",IFERROR(INDEX(Riscos!$A$5:$A$154,MATCH(A271,Riscos!$AI$5:$AI$154,0)),IFERROR(INDEX(Oportunidades!$A$5:$A$154,MATCH(A271,Oportunidades!$AC$5:$AC$154,0)),"—")))</f>
        <v/>
      </c>
      <c r="K271" s="133" t="str">
        <f>IF(A271="","",IF(ISNUMBER(MATCH(A271,Riscos!$AI$5:$AI$154,0)),"Riscos",IF(ISNUMBER(MATCH(A271,Oportunidades!$AC$5:$AC$154,0)),"Oportunidades","—")))</f>
        <v/>
      </c>
    </row>
    <row r="272" spans="1:11">
      <c r="A272" s="132"/>
      <c r="B272" s="12"/>
      <c r="C272" s="13"/>
      <c r="D272" s="12"/>
      <c r="E272" s="13"/>
      <c r="F272" s="16"/>
      <c r="G272" s="12"/>
      <c r="H272" s="16"/>
      <c r="I272" s="16"/>
      <c r="J272" s="14" t="str">
        <f>IF(A272="","",IFERROR(INDEX(Riscos!$A$5:$A$154,MATCH(A272,Riscos!$AI$5:$AI$154,0)),IFERROR(INDEX(Oportunidades!$A$5:$A$154,MATCH(A272,Oportunidades!$AC$5:$AC$154,0)),"—")))</f>
        <v/>
      </c>
      <c r="K272" s="133" t="str">
        <f>IF(A272="","",IF(ISNUMBER(MATCH(A272,Riscos!$AI$5:$AI$154,0)),"Riscos",IF(ISNUMBER(MATCH(A272,Oportunidades!$AC$5:$AC$154,0)),"Oportunidades","—")))</f>
        <v/>
      </c>
    </row>
    <row r="273" spans="1:11">
      <c r="A273" s="132"/>
      <c r="B273" s="12"/>
      <c r="C273" s="13"/>
      <c r="D273" s="12"/>
      <c r="E273" s="13"/>
      <c r="F273" s="16"/>
      <c r="G273" s="12"/>
      <c r="H273" s="16"/>
      <c r="I273" s="16"/>
      <c r="J273" s="14" t="str">
        <f>IF(A273="","",IFERROR(INDEX(Riscos!$A$5:$A$154,MATCH(A273,Riscos!$AI$5:$AI$154,0)),IFERROR(INDEX(Oportunidades!$A$5:$A$154,MATCH(A273,Oportunidades!$AC$5:$AC$154,0)),"—")))</f>
        <v/>
      </c>
      <c r="K273" s="133" t="str">
        <f>IF(A273="","",IF(ISNUMBER(MATCH(A273,Riscos!$AI$5:$AI$154,0)),"Riscos",IF(ISNUMBER(MATCH(A273,Oportunidades!$AC$5:$AC$154,0)),"Oportunidades","—")))</f>
        <v/>
      </c>
    </row>
    <row r="274" spans="1:11">
      <c r="A274" s="132"/>
      <c r="B274" s="12"/>
      <c r="C274" s="13"/>
      <c r="D274" s="12"/>
      <c r="E274" s="13"/>
      <c r="F274" s="16"/>
      <c r="G274" s="12"/>
      <c r="H274" s="16"/>
      <c r="I274" s="16"/>
      <c r="J274" s="14" t="str">
        <f>IF(A274="","",IFERROR(INDEX(Riscos!$A$5:$A$154,MATCH(A274,Riscos!$AI$5:$AI$154,0)),IFERROR(INDEX(Oportunidades!$A$5:$A$154,MATCH(A274,Oportunidades!$AC$5:$AC$154,0)),"—")))</f>
        <v/>
      </c>
      <c r="K274" s="133" t="str">
        <f>IF(A274="","",IF(ISNUMBER(MATCH(A274,Riscos!$AI$5:$AI$154,0)),"Riscos",IF(ISNUMBER(MATCH(A274,Oportunidades!$AC$5:$AC$154,0)),"Oportunidades","—")))</f>
        <v/>
      </c>
    </row>
    <row r="275" spans="1:11">
      <c r="A275" s="132"/>
      <c r="B275" s="12"/>
      <c r="C275" s="13"/>
      <c r="D275" s="12"/>
      <c r="E275" s="13"/>
      <c r="F275" s="16"/>
      <c r="G275" s="12"/>
      <c r="H275" s="16"/>
      <c r="I275" s="16"/>
      <c r="J275" s="14" t="str">
        <f>IF(A275="","",IFERROR(INDEX(Riscos!$A$5:$A$154,MATCH(A275,Riscos!$AI$5:$AI$154,0)),IFERROR(INDEX(Oportunidades!$A$5:$A$154,MATCH(A275,Oportunidades!$AC$5:$AC$154,0)),"—")))</f>
        <v/>
      </c>
      <c r="K275" s="133" t="str">
        <f>IF(A275="","",IF(ISNUMBER(MATCH(A275,Riscos!$AI$5:$AI$154,0)),"Riscos",IF(ISNUMBER(MATCH(A275,Oportunidades!$AC$5:$AC$154,0)),"Oportunidades","—")))</f>
        <v/>
      </c>
    </row>
    <row r="276" spans="1:11">
      <c r="A276" s="132"/>
      <c r="B276" s="12"/>
      <c r="C276" s="13"/>
      <c r="D276" s="12"/>
      <c r="E276" s="13"/>
      <c r="F276" s="16"/>
      <c r="G276" s="12"/>
      <c r="H276" s="16"/>
      <c r="I276" s="16"/>
      <c r="J276" s="14" t="str">
        <f>IF(A276="","",IFERROR(INDEX(Riscos!$A$5:$A$154,MATCH(A276,Riscos!$AI$5:$AI$154,0)),IFERROR(INDEX(Oportunidades!$A$5:$A$154,MATCH(A276,Oportunidades!$AC$5:$AC$154,0)),"—")))</f>
        <v/>
      </c>
      <c r="K276" s="133" t="str">
        <f>IF(A276="","",IF(ISNUMBER(MATCH(A276,Riscos!$AI$5:$AI$154,0)),"Riscos",IF(ISNUMBER(MATCH(A276,Oportunidades!$AC$5:$AC$154,0)),"Oportunidades","—")))</f>
        <v/>
      </c>
    </row>
    <row r="277" spans="1:11">
      <c r="A277" s="132"/>
      <c r="B277" s="12"/>
      <c r="C277" s="13"/>
      <c r="D277" s="12"/>
      <c r="E277" s="13"/>
      <c r="F277" s="16"/>
      <c r="G277" s="12"/>
      <c r="H277" s="16"/>
      <c r="I277" s="16"/>
      <c r="J277" s="14" t="str">
        <f>IF(A277="","",IFERROR(INDEX(Riscos!$A$5:$A$154,MATCH(A277,Riscos!$AI$5:$AI$154,0)),IFERROR(INDEX(Oportunidades!$A$5:$A$154,MATCH(A277,Oportunidades!$AC$5:$AC$154,0)),"—")))</f>
        <v/>
      </c>
      <c r="K277" s="133" t="str">
        <f>IF(A277="","",IF(ISNUMBER(MATCH(A277,Riscos!$AI$5:$AI$154,0)),"Riscos",IF(ISNUMBER(MATCH(A277,Oportunidades!$AC$5:$AC$154,0)),"Oportunidades","—")))</f>
        <v/>
      </c>
    </row>
    <row r="278" spans="1:11">
      <c r="A278" s="132"/>
      <c r="B278" s="12"/>
      <c r="C278" s="13"/>
      <c r="D278" s="12"/>
      <c r="E278" s="13"/>
      <c r="F278" s="16"/>
      <c r="G278" s="12"/>
      <c r="H278" s="16"/>
      <c r="I278" s="16"/>
      <c r="J278" s="14" t="str">
        <f>IF(A278="","",IFERROR(INDEX(Riscos!$A$5:$A$154,MATCH(A278,Riscos!$AI$5:$AI$154,0)),IFERROR(INDEX(Oportunidades!$A$5:$A$154,MATCH(A278,Oportunidades!$AC$5:$AC$154,0)),"—")))</f>
        <v/>
      </c>
      <c r="K278" s="133" t="str">
        <f>IF(A278="","",IF(ISNUMBER(MATCH(A278,Riscos!$AI$5:$AI$154,0)),"Riscos",IF(ISNUMBER(MATCH(A278,Oportunidades!$AC$5:$AC$154,0)),"Oportunidades","—")))</f>
        <v/>
      </c>
    </row>
    <row r="279" spans="1:11">
      <c r="A279" s="132"/>
      <c r="B279" s="12"/>
      <c r="C279" s="13"/>
      <c r="D279" s="12"/>
      <c r="E279" s="13"/>
      <c r="F279" s="16"/>
      <c r="G279" s="12"/>
      <c r="H279" s="16"/>
      <c r="I279" s="16"/>
      <c r="J279" s="14" t="str">
        <f>IF(A279="","",IFERROR(INDEX(Riscos!$A$5:$A$154,MATCH(A279,Riscos!$AI$5:$AI$154,0)),IFERROR(INDEX(Oportunidades!$A$5:$A$154,MATCH(A279,Oportunidades!$AC$5:$AC$154,0)),"—")))</f>
        <v/>
      </c>
      <c r="K279" s="133" t="str">
        <f>IF(A279="","",IF(ISNUMBER(MATCH(A279,Riscos!$AI$5:$AI$154,0)),"Riscos",IF(ISNUMBER(MATCH(A279,Oportunidades!$AC$5:$AC$154,0)),"Oportunidades","—")))</f>
        <v/>
      </c>
    </row>
    <row r="280" spans="1:11">
      <c r="A280" s="132"/>
      <c r="B280" s="12"/>
      <c r="C280" s="13"/>
      <c r="D280" s="12"/>
      <c r="E280" s="13"/>
      <c r="F280" s="16"/>
      <c r="G280" s="12"/>
      <c r="H280" s="16"/>
      <c r="I280" s="16"/>
      <c r="J280" s="14" t="str">
        <f>IF(A280="","",IFERROR(INDEX(Riscos!$A$5:$A$154,MATCH(A280,Riscos!$AI$5:$AI$154,0)),IFERROR(INDEX(Oportunidades!$A$5:$A$154,MATCH(A280,Oportunidades!$AC$5:$AC$154,0)),"—")))</f>
        <v/>
      </c>
      <c r="K280" s="133" t="str">
        <f>IF(A280="","",IF(ISNUMBER(MATCH(A280,Riscos!$AI$5:$AI$154,0)),"Riscos",IF(ISNUMBER(MATCH(A280,Oportunidades!$AC$5:$AC$154,0)),"Oportunidades","—")))</f>
        <v/>
      </c>
    </row>
    <row r="281" spans="1:11">
      <c r="A281" s="132"/>
      <c r="B281" s="12"/>
      <c r="C281" s="13"/>
      <c r="D281" s="12"/>
      <c r="E281" s="13"/>
      <c r="F281" s="16"/>
      <c r="G281" s="12"/>
      <c r="H281" s="16"/>
      <c r="I281" s="16"/>
      <c r="J281" s="14" t="str">
        <f>IF(A281="","",IFERROR(INDEX(Riscos!$A$5:$A$154,MATCH(A281,Riscos!$AI$5:$AI$154,0)),IFERROR(INDEX(Oportunidades!$A$5:$A$154,MATCH(A281,Oportunidades!$AC$5:$AC$154,0)),"—")))</f>
        <v/>
      </c>
      <c r="K281" s="133" t="str">
        <f>IF(A281="","",IF(ISNUMBER(MATCH(A281,Riscos!$AI$5:$AI$154,0)),"Riscos",IF(ISNUMBER(MATCH(A281,Oportunidades!$AC$5:$AC$154,0)),"Oportunidades","—")))</f>
        <v/>
      </c>
    </row>
    <row r="282" spans="1:11">
      <c r="A282" s="132"/>
      <c r="B282" s="12"/>
      <c r="C282" s="13"/>
      <c r="D282" s="12"/>
      <c r="E282" s="13"/>
      <c r="F282" s="16"/>
      <c r="G282" s="12"/>
      <c r="H282" s="16"/>
      <c r="I282" s="16"/>
      <c r="J282" s="14" t="str">
        <f>IF(A282="","",IFERROR(INDEX(Riscos!$A$5:$A$154,MATCH(A282,Riscos!$AI$5:$AI$154,0)),IFERROR(INDEX(Oportunidades!$A$5:$A$154,MATCH(A282,Oportunidades!$AC$5:$AC$154,0)),"—")))</f>
        <v/>
      </c>
      <c r="K282" s="133" t="str">
        <f>IF(A282="","",IF(ISNUMBER(MATCH(A282,Riscos!$AI$5:$AI$154,0)),"Riscos",IF(ISNUMBER(MATCH(A282,Oportunidades!$AC$5:$AC$154,0)),"Oportunidades","—")))</f>
        <v/>
      </c>
    </row>
    <row r="283" spans="1:11">
      <c r="A283" s="132"/>
      <c r="B283" s="12"/>
      <c r="C283" s="13"/>
      <c r="D283" s="12"/>
      <c r="E283" s="13"/>
      <c r="F283" s="16"/>
      <c r="G283" s="12"/>
      <c r="H283" s="16"/>
      <c r="I283" s="16"/>
      <c r="J283" s="14" t="str">
        <f>IF(A283="","",IFERROR(INDEX(Riscos!$A$5:$A$154,MATCH(A283,Riscos!$AI$5:$AI$154,0)),IFERROR(INDEX(Oportunidades!$A$5:$A$154,MATCH(A283,Oportunidades!$AC$5:$AC$154,0)),"—")))</f>
        <v/>
      </c>
      <c r="K283" s="133" t="str">
        <f>IF(A283="","",IF(ISNUMBER(MATCH(A283,Riscos!$AI$5:$AI$154,0)),"Riscos",IF(ISNUMBER(MATCH(A283,Oportunidades!$AC$5:$AC$154,0)),"Oportunidades","—")))</f>
        <v/>
      </c>
    </row>
    <row r="284" spans="1:11">
      <c r="A284" s="132"/>
      <c r="B284" s="12"/>
      <c r="C284" s="13"/>
      <c r="D284" s="12"/>
      <c r="E284" s="13"/>
      <c r="F284" s="16"/>
      <c r="G284" s="12"/>
      <c r="H284" s="16"/>
      <c r="I284" s="16"/>
      <c r="J284" s="14" t="str">
        <f>IF(A284="","",IFERROR(INDEX(Riscos!$A$5:$A$154,MATCH(A284,Riscos!$AI$5:$AI$154,0)),IFERROR(INDEX(Oportunidades!$A$5:$A$154,MATCH(A284,Oportunidades!$AC$5:$AC$154,0)),"—")))</f>
        <v/>
      </c>
      <c r="K284" s="133" t="str">
        <f>IF(A284="","",IF(ISNUMBER(MATCH(A284,Riscos!$AI$5:$AI$154,0)),"Riscos",IF(ISNUMBER(MATCH(A284,Oportunidades!$AC$5:$AC$154,0)),"Oportunidades","—")))</f>
        <v/>
      </c>
    </row>
    <row r="285" spans="1:11">
      <c r="A285" s="132"/>
      <c r="B285" s="12"/>
      <c r="C285" s="13"/>
      <c r="D285" s="12"/>
      <c r="E285" s="13"/>
      <c r="F285" s="16"/>
      <c r="G285" s="12"/>
      <c r="H285" s="16"/>
      <c r="I285" s="16"/>
      <c r="J285" s="14" t="str">
        <f>IF(A285="","",IFERROR(INDEX(Riscos!$A$5:$A$154,MATCH(A285,Riscos!$AI$5:$AI$154,0)),IFERROR(INDEX(Oportunidades!$A$5:$A$154,MATCH(A285,Oportunidades!$AC$5:$AC$154,0)),"—")))</f>
        <v/>
      </c>
      <c r="K285" s="133" t="str">
        <f>IF(A285="","",IF(ISNUMBER(MATCH(A285,Riscos!$AI$5:$AI$154,0)),"Riscos",IF(ISNUMBER(MATCH(A285,Oportunidades!$AC$5:$AC$154,0)),"Oportunidades","—")))</f>
        <v/>
      </c>
    </row>
    <row r="286" spans="1:11">
      <c r="A286" s="132"/>
      <c r="B286" s="12"/>
      <c r="C286" s="13"/>
      <c r="D286" s="12"/>
      <c r="E286" s="13"/>
      <c r="F286" s="16"/>
      <c r="G286" s="12"/>
      <c r="H286" s="16"/>
      <c r="I286" s="16"/>
      <c r="J286" s="14" t="str">
        <f>IF(A286="","",IFERROR(INDEX(Riscos!$A$5:$A$154,MATCH(A286,Riscos!$AI$5:$AI$154,0)),IFERROR(INDEX(Oportunidades!$A$5:$A$154,MATCH(A286,Oportunidades!$AC$5:$AC$154,0)),"—")))</f>
        <v/>
      </c>
      <c r="K286" s="133" t="str">
        <f>IF(A286="","",IF(ISNUMBER(MATCH(A286,Riscos!$AI$5:$AI$154,0)),"Riscos",IF(ISNUMBER(MATCH(A286,Oportunidades!$AC$5:$AC$154,0)),"Oportunidades","—")))</f>
        <v/>
      </c>
    </row>
    <row r="287" spans="1:11">
      <c r="A287" s="132"/>
      <c r="B287" s="12"/>
      <c r="C287" s="13"/>
      <c r="D287" s="12"/>
      <c r="E287" s="13"/>
      <c r="F287" s="16"/>
      <c r="G287" s="12"/>
      <c r="H287" s="16"/>
      <c r="I287" s="16"/>
      <c r="J287" s="14" t="str">
        <f>IF(A287="","",IFERROR(INDEX(Riscos!$A$5:$A$154,MATCH(A287,Riscos!$AI$5:$AI$154,0)),IFERROR(INDEX(Oportunidades!$A$5:$A$154,MATCH(A287,Oportunidades!$AC$5:$AC$154,0)),"—")))</f>
        <v/>
      </c>
      <c r="K287" s="133" t="str">
        <f>IF(A287="","",IF(ISNUMBER(MATCH(A287,Riscos!$AI$5:$AI$154,0)),"Riscos",IF(ISNUMBER(MATCH(A287,Oportunidades!$AC$5:$AC$154,0)),"Oportunidades","—")))</f>
        <v/>
      </c>
    </row>
    <row r="288" spans="1:11">
      <c r="A288" s="132"/>
      <c r="B288" s="12"/>
      <c r="C288" s="13"/>
      <c r="D288" s="12"/>
      <c r="E288" s="13"/>
      <c r="F288" s="16"/>
      <c r="G288" s="12"/>
      <c r="H288" s="16"/>
      <c r="I288" s="16"/>
      <c r="J288" s="14" t="str">
        <f>IF(A288="","",IFERROR(INDEX(Riscos!$A$5:$A$154,MATCH(A288,Riscos!$AI$5:$AI$154,0)),IFERROR(INDEX(Oportunidades!$A$5:$A$154,MATCH(A288,Oportunidades!$AC$5:$AC$154,0)),"—")))</f>
        <v/>
      </c>
      <c r="K288" s="133" t="str">
        <f>IF(A288="","",IF(ISNUMBER(MATCH(A288,Riscos!$AI$5:$AI$154,0)),"Riscos",IF(ISNUMBER(MATCH(A288,Oportunidades!$AC$5:$AC$154,0)),"Oportunidades","—")))</f>
        <v/>
      </c>
    </row>
    <row r="289" spans="1:11">
      <c r="A289" s="132"/>
      <c r="B289" s="12"/>
      <c r="C289" s="13"/>
      <c r="D289" s="12"/>
      <c r="E289" s="13"/>
      <c r="F289" s="16"/>
      <c r="G289" s="12"/>
      <c r="H289" s="16"/>
      <c r="I289" s="16"/>
      <c r="J289" s="14" t="str">
        <f>IF(A289="","",IFERROR(INDEX(Riscos!$A$5:$A$154,MATCH(A289,Riscos!$AI$5:$AI$154,0)),IFERROR(INDEX(Oportunidades!$A$5:$A$154,MATCH(A289,Oportunidades!$AC$5:$AC$154,0)),"—")))</f>
        <v/>
      </c>
      <c r="K289" s="133" t="str">
        <f>IF(A289="","",IF(ISNUMBER(MATCH(A289,Riscos!$AI$5:$AI$154,0)),"Riscos",IF(ISNUMBER(MATCH(A289,Oportunidades!$AC$5:$AC$154,0)),"Oportunidades","—")))</f>
        <v/>
      </c>
    </row>
    <row r="290" spans="1:11">
      <c r="A290" s="132"/>
      <c r="B290" s="12"/>
      <c r="C290" s="13"/>
      <c r="D290" s="12"/>
      <c r="E290" s="13"/>
      <c r="F290" s="16"/>
      <c r="G290" s="12"/>
      <c r="H290" s="16"/>
      <c r="I290" s="16"/>
      <c r="J290" s="14" t="str">
        <f>IF(A290="","",IFERROR(INDEX(Riscos!$A$5:$A$154,MATCH(A290,Riscos!$AI$5:$AI$154,0)),IFERROR(INDEX(Oportunidades!$A$5:$A$154,MATCH(A290,Oportunidades!$AC$5:$AC$154,0)),"—")))</f>
        <v/>
      </c>
      <c r="K290" s="133" t="str">
        <f>IF(A290="","",IF(ISNUMBER(MATCH(A290,Riscos!$AI$5:$AI$154,0)),"Riscos",IF(ISNUMBER(MATCH(A290,Oportunidades!$AC$5:$AC$154,0)),"Oportunidades","—")))</f>
        <v/>
      </c>
    </row>
    <row r="291" spans="1:11">
      <c r="A291" s="132"/>
      <c r="B291" s="12"/>
      <c r="C291" s="13"/>
      <c r="D291" s="12"/>
      <c r="E291" s="13"/>
      <c r="F291" s="16"/>
      <c r="G291" s="12"/>
      <c r="H291" s="16"/>
      <c r="I291" s="16"/>
      <c r="J291" s="14" t="str">
        <f>IF(A291="","",IFERROR(INDEX(Riscos!$A$5:$A$154,MATCH(A291,Riscos!$AI$5:$AI$154,0)),IFERROR(INDEX(Oportunidades!$A$5:$A$154,MATCH(A291,Oportunidades!$AC$5:$AC$154,0)),"—")))</f>
        <v/>
      </c>
      <c r="K291" s="133" t="str">
        <f>IF(A291="","",IF(ISNUMBER(MATCH(A291,Riscos!$AI$5:$AI$154,0)),"Riscos",IF(ISNUMBER(MATCH(A291,Oportunidades!$AC$5:$AC$154,0)),"Oportunidades","—")))</f>
        <v/>
      </c>
    </row>
    <row r="292" spans="1:11">
      <c r="A292" s="132"/>
      <c r="B292" s="12"/>
      <c r="C292" s="13"/>
      <c r="D292" s="12"/>
      <c r="E292" s="13"/>
      <c r="F292" s="16"/>
      <c r="G292" s="12"/>
      <c r="H292" s="16"/>
      <c r="I292" s="16"/>
      <c r="J292" s="14" t="str">
        <f>IF(A292="","",IFERROR(INDEX(Riscos!$A$5:$A$154,MATCH(A292,Riscos!$AI$5:$AI$154,0)),IFERROR(INDEX(Oportunidades!$A$5:$A$154,MATCH(A292,Oportunidades!$AC$5:$AC$154,0)),"—")))</f>
        <v/>
      </c>
      <c r="K292" s="133" t="str">
        <f>IF(A292="","",IF(ISNUMBER(MATCH(A292,Riscos!$AI$5:$AI$154,0)),"Riscos",IF(ISNUMBER(MATCH(A292,Oportunidades!$AC$5:$AC$154,0)),"Oportunidades","—")))</f>
        <v/>
      </c>
    </row>
    <row r="293" spans="1:11">
      <c r="A293" s="132"/>
      <c r="B293" s="12"/>
      <c r="C293" s="13"/>
      <c r="D293" s="12"/>
      <c r="E293" s="13"/>
      <c r="F293" s="16"/>
      <c r="G293" s="12"/>
      <c r="H293" s="16"/>
      <c r="I293" s="16"/>
      <c r="J293" s="14" t="str">
        <f>IF(A293="","",IFERROR(INDEX(Riscos!$A$5:$A$154,MATCH(A293,Riscos!$AI$5:$AI$154,0)),IFERROR(INDEX(Oportunidades!$A$5:$A$154,MATCH(A293,Oportunidades!$AC$5:$AC$154,0)),"—")))</f>
        <v/>
      </c>
      <c r="K293" s="133" t="str">
        <f>IF(A293="","",IF(ISNUMBER(MATCH(A293,Riscos!$AI$5:$AI$154,0)),"Riscos",IF(ISNUMBER(MATCH(A293,Oportunidades!$AC$5:$AC$154,0)),"Oportunidades","—")))</f>
        <v/>
      </c>
    </row>
    <row r="294" spans="1:11">
      <c r="A294" s="132"/>
      <c r="B294" s="12"/>
      <c r="C294" s="13"/>
      <c r="D294" s="12"/>
      <c r="E294" s="13"/>
      <c r="F294" s="16"/>
      <c r="G294" s="12"/>
      <c r="H294" s="16"/>
      <c r="I294" s="16"/>
      <c r="J294" s="14" t="str">
        <f>IF(A294="","",IFERROR(INDEX(Riscos!$A$5:$A$154,MATCH(A294,Riscos!$AI$5:$AI$154,0)),IFERROR(INDEX(Oportunidades!$A$5:$A$154,MATCH(A294,Oportunidades!$AC$5:$AC$154,0)),"—")))</f>
        <v/>
      </c>
      <c r="K294" s="133" t="str">
        <f>IF(A294="","",IF(ISNUMBER(MATCH(A294,Riscos!$AI$5:$AI$154,0)),"Riscos",IF(ISNUMBER(MATCH(A294,Oportunidades!$AC$5:$AC$154,0)),"Oportunidades","—")))</f>
        <v/>
      </c>
    </row>
    <row r="295" spans="1:11">
      <c r="A295" s="132"/>
      <c r="B295" s="12"/>
      <c r="C295" s="13"/>
      <c r="D295" s="12"/>
      <c r="E295" s="13"/>
      <c r="F295" s="16"/>
      <c r="G295" s="12"/>
      <c r="H295" s="16"/>
      <c r="I295" s="16"/>
      <c r="J295" s="14" t="str">
        <f>IF(A295="","",IFERROR(INDEX(Riscos!$A$5:$A$154,MATCH(A295,Riscos!$AI$5:$AI$154,0)),IFERROR(INDEX(Oportunidades!$A$5:$A$154,MATCH(A295,Oportunidades!$AC$5:$AC$154,0)),"—")))</f>
        <v/>
      </c>
      <c r="K295" s="133" t="str">
        <f>IF(A295="","",IF(ISNUMBER(MATCH(A295,Riscos!$AI$5:$AI$154,0)),"Riscos",IF(ISNUMBER(MATCH(A295,Oportunidades!$AC$5:$AC$154,0)),"Oportunidades","—")))</f>
        <v/>
      </c>
    </row>
    <row r="296" spans="1:11">
      <c r="A296" s="136"/>
      <c r="B296" s="119"/>
      <c r="C296" s="120"/>
      <c r="D296" s="119"/>
      <c r="E296" s="120"/>
      <c r="F296" s="123"/>
      <c r="G296" s="119"/>
      <c r="H296" s="123"/>
      <c r="I296" s="123"/>
      <c r="J296" s="121" t="str">
        <f>IF(A296="","",IFERROR(INDEX(Riscos!$A$5:$A$154,MATCH(A296,Riscos!$AI$5:$AI$154,0)),IFERROR(INDEX(Oportunidades!$A$5:$A$154,MATCH(A296,Oportunidades!$AC$5:$AC$154,0)),"—")))</f>
        <v/>
      </c>
      <c r="K296" s="137" t="str">
        <f>IF(A296="","",IF(ISNUMBER(MATCH(A296,Riscos!$AI$5:$AI$154,0)),"Riscos",IF(ISNUMBER(MATCH(A296,Oportunidades!$AC$5:$AC$154,0)),"Oportunidades","—")))</f>
        <v/>
      </c>
    </row>
  </sheetData>
  <mergeCells count="4">
    <mergeCell ref="A1:K1"/>
    <mergeCell ref="A2:K2"/>
    <mergeCell ref="A3:K3"/>
    <mergeCell ref="E4:F4"/>
  </mergeCells>
  <conditionalFormatting sqref="A7:A296">
    <cfRule type="expression" dxfId="63" priority="57">
      <formula>AND($A7&lt;&gt;"",COUNTIF($A$7:$A$296,$A7)&gt;1)</formula>
    </cfRule>
  </conditionalFormatting>
  <conditionalFormatting sqref="D4">
    <cfRule type="expression" dxfId="62" priority="2">
      <formula>D4&gt;0</formula>
    </cfRule>
  </conditionalFormatting>
  <dataValidations count="2">
    <dataValidation type="list" allowBlank="1" showErrorMessage="1" errorTitle="Status" error="Use: Aberto, Em andamento, Concluído ou Cancelado." sqref="G7:G296" xr:uid="{00000000-0002-0000-0300-000000000000}">
      <formula1>ListaStatus</formula1>
      <formula2>0</formula2>
    </dataValidation>
    <dataValidation type="list" allowBlank="1" sqref="D7:D296" xr:uid="{00000000-0002-0000-0300-000001000000}">
      <formula1>"C1 - Correção,C2 - Corretiva,M - Melhoria"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06666"/>
    <pageSetUpPr fitToPage="1"/>
  </sheetPr>
  <dimension ref="A1:V66"/>
  <sheetViews>
    <sheetView showGridLines="0" zoomScaleNormal="100" workbookViewId="0">
      <pane xSplit="4" ySplit="6" topLeftCell="E17" activePane="bottomRight" state="frozen"/>
      <selection activeCell="E8" sqref="E8:H8"/>
      <selection pane="topRight" activeCell="E8" sqref="E8:H8"/>
      <selection pane="bottomLeft" activeCell="E8" sqref="E8:H8"/>
      <selection pane="bottomRight" activeCell="E8" sqref="E8:H8"/>
    </sheetView>
  </sheetViews>
  <sheetFormatPr defaultColWidth="8.6640625" defaultRowHeight="14.4"/>
  <cols>
    <col min="1" max="1" width="8.77734375" customWidth="1"/>
    <col min="2" max="2" width="11.33203125" customWidth="1"/>
    <col min="3" max="3" width="30" customWidth="1"/>
    <col min="4" max="4" width="32" customWidth="1"/>
    <col min="5" max="5" width="9.44140625" customWidth="1"/>
    <col min="6" max="6" width="17" customWidth="1"/>
    <col min="7" max="7" width="13" customWidth="1"/>
    <col min="8" max="8" width="19.44140625" customWidth="1"/>
    <col min="9" max="9" width="19.6640625" customWidth="1"/>
    <col min="10" max="13" width="9.33203125" customWidth="1"/>
    <col min="14" max="14" width="21" customWidth="1"/>
    <col min="15" max="15" width="12.33203125" customWidth="1"/>
    <col min="16" max="16" width="20.21875" customWidth="1"/>
    <col min="17" max="18" width="12" customWidth="1"/>
    <col min="19" max="19" width="13" customWidth="1"/>
    <col min="20" max="20" width="14.44140625" customWidth="1"/>
    <col min="21" max="21" width="22" customWidth="1"/>
    <col min="22" max="22" width="17" customWidth="1"/>
  </cols>
  <sheetData>
    <row r="1" spans="1:22" ht="25.5" customHeight="1">
      <c r="A1" s="238" t="s">
        <v>301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9"/>
    </row>
    <row r="2" spans="1:22" ht="30" customHeight="1">
      <c r="A2" s="240" t="s">
        <v>2106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1"/>
    </row>
    <row r="3" spans="1:22" ht="15" customHeight="1">
      <c r="A3" s="10"/>
      <c r="B3" s="10" t="s">
        <v>302</v>
      </c>
      <c r="C3" s="235" t="s">
        <v>303</v>
      </c>
      <c r="D3" s="235"/>
      <c r="E3" s="38">
        <v>3</v>
      </c>
    </row>
    <row r="5" spans="1:22">
      <c r="H5" s="39" t="s">
        <v>304</v>
      </c>
      <c r="I5" s="40">
        <v>1</v>
      </c>
      <c r="J5" s="40">
        <v>2</v>
      </c>
      <c r="K5" s="40">
        <v>3</v>
      </c>
      <c r="L5" s="40">
        <v>4</v>
      </c>
      <c r="M5" s="40">
        <v>5</v>
      </c>
      <c r="N5" s="40">
        <v>6</v>
      </c>
    </row>
    <row r="6" spans="1:22" ht="42" customHeight="1">
      <c r="A6" s="138" t="s">
        <v>2112</v>
      </c>
      <c r="B6" s="139" t="s">
        <v>305</v>
      </c>
      <c r="C6" s="139" t="s">
        <v>306</v>
      </c>
      <c r="D6" s="139" t="s">
        <v>307</v>
      </c>
      <c r="E6" s="139" t="s">
        <v>308</v>
      </c>
      <c r="F6" s="139" t="s">
        <v>309</v>
      </c>
      <c r="G6" s="139" t="s">
        <v>310</v>
      </c>
      <c r="H6" s="139" t="s">
        <v>311</v>
      </c>
      <c r="I6" s="139" t="s">
        <v>2175</v>
      </c>
      <c r="J6" s="139" t="s">
        <v>312</v>
      </c>
      <c r="K6" s="139" t="s">
        <v>313</v>
      </c>
      <c r="L6" s="139" t="s">
        <v>314</v>
      </c>
      <c r="M6" s="139" t="s">
        <v>315</v>
      </c>
      <c r="N6" s="139" t="s">
        <v>2176</v>
      </c>
      <c r="O6" s="139" t="s">
        <v>316</v>
      </c>
      <c r="P6" s="139" t="s">
        <v>317</v>
      </c>
      <c r="Q6" s="139" t="s">
        <v>318</v>
      </c>
      <c r="R6" s="139" t="s">
        <v>319</v>
      </c>
      <c r="S6" s="139" t="s">
        <v>320</v>
      </c>
      <c r="T6" s="139" t="s">
        <v>321</v>
      </c>
      <c r="U6" s="139" t="s">
        <v>322</v>
      </c>
      <c r="V6" s="140" t="s">
        <v>323</v>
      </c>
    </row>
    <row r="7" spans="1:22" ht="45.6">
      <c r="A7" s="115" t="s">
        <v>2113</v>
      </c>
      <c r="B7" s="11" t="s">
        <v>61</v>
      </c>
      <c r="C7" s="41" t="str">
        <f>IF($B7="","",IFERROR(INDEX(Riscos!$C$5:$C$154,MATCH($B7,Riscos!$A$5:$A$154,0)),"ID não encontrado"))</f>
        <v>Instabilidade da espessura de parede na ISBM-003 gera frascos fora de especificação e lotes rejeitados/refeitos</v>
      </c>
      <c r="D7" s="13" t="s">
        <v>1247</v>
      </c>
      <c r="E7" s="12" t="s">
        <v>1248</v>
      </c>
      <c r="F7" s="12">
        <v>1.3</v>
      </c>
      <c r="G7" s="12" t="s">
        <v>325</v>
      </c>
      <c r="H7" s="12" t="s">
        <v>326</v>
      </c>
      <c r="I7" s="60">
        <f>IF($A7="","",IF(COUNTIFS(tbKRIColetas[ID KRI],$A7)-6+I$5&lt;1,"",SUMIFS(tbKRIColetas[Valor],tbKRIColetas[ID KRI],$A7,tbKRIColetas[Data da coleta],_xlfn.AGGREGATE(15,6,tbKRIColetas[Data da coleta]/(tbKRIColetas[ID KRI]=$A7),COUNTIFS(tbKRIColetas[ID KRI],$A7)-6+I$5))))</f>
        <v>2.81</v>
      </c>
      <c r="J7" s="60">
        <f>IF($A7="","",IF(COUNTIFS(tbKRIColetas[ID KRI],$A7)-6+J$5&lt;1,"",SUMIFS(tbKRIColetas[Valor],tbKRIColetas[ID KRI],$A7,tbKRIColetas[Data da coleta],_xlfn.AGGREGATE(15,6,tbKRIColetas[Data da coleta]/(tbKRIColetas[ID KRI]=$A7),COUNTIFS(tbKRIColetas[ID KRI],$A7)-6+J$5))))</f>
        <v>3.15</v>
      </c>
      <c r="K7" s="60">
        <f>IF($A7="","",IF(COUNTIFS(tbKRIColetas[ID KRI],$A7)-6+K$5&lt;1,"",SUMIFS(tbKRIColetas[Valor],tbKRIColetas[ID KRI],$A7,tbKRIColetas[Data da coleta],_xlfn.AGGREGATE(15,6,tbKRIColetas[Data da coleta]/(tbKRIColetas[ID KRI]=$A7),COUNTIFS(tbKRIColetas[ID KRI],$A7)-6+K$5))))</f>
        <v>2.83</v>
      </c>
      <c r="L7" s="60">
        <f>IF($A7="","",IF(COUNTIFS(tbKRIColetas[ID KRI],$A7)-6+L$5&lt;1,"",SUMIFS(tbKRIColetas[Valor],tbKRIColetas[ID KRI],$A7,tbKRIColetas[Data da coleta],_xlfn.AGGREGATE(15,6,tbKRIColetas[Data da coleta]/(tbKRIColetas[ID KRI]=$A7),COUNTIFS(tbKRIColetas[ID KRI],$A7)-6+L$5))))</f>
        <v>3.08</v>
      </c>
      <c r="M7" s="60">
        <f>IF($A7="","",IF(COUNTIFS(tbKRIColetas[ID KRI],$A7)-6+M$5&lt;1,"",SUMIFS(tbKRIColetas[Valor],tbKRIColetas[ID KRI],$A7,tbKRIColetas[Data da coleta],_xlfn.AGGREGATE(15,6,tbKRIColetas[Data da coleta]/(tbKRIColetas[ID KRI]=$A7),COUNTIFS(tbKRIColetas[ID KRI],$A7)-6+M$5))))</f>
        <v>2.95</v>
      </c>
      <c r="N7" s="60">
        <f>IF($A7="","",IF(COUNTIFS(tbKRIColetas[ID KRI],$A7)-6+N$5&lt;1,"",SUMIFS(tbKRIColetas[Valor],tbKRIColetas[ID KRI],$A7,tbKRIColetas[Data da coleta],_xlfn.AGGREGATE(15,6,tbKRIColetas[Data da coleta]/(tbKRIColetas[ID KRI]=$A7),COUNTIFS(tbKRIColetas[ID KRI],$A7)-6+N$5))))</f>
        <v>3.2</v>
      </c>
      <c r="O7" s="15">
        <f t="shared" ref="O7:O38" si="0">IF(COUNT($I7:$N7)=0,"",INDEX($I7:$N7,SUMPRODUCT(MAX(($I7:$N7&lt;&gt;"")*(COLUMN($I7:$N7)-COLUMN($I7)+1)))))</f>
        <v>3.2</v>
      </c>
      <c r="P7" s="42">
        <f t="shared" ref="P7:P38" si="1">IF(COUNT($I7:$N7)&lt;3,"",(COUNT($I7:$N7)*SUMPRODUCT($I$5:$N$5,$I7:$N7)-SUMPRODUCT(--ISNUMBER($I7:$N7),$I$5:$N$5)*SUM($I7:$N7))/(COUNT($I7:$N7)*SUMPRODUCT(--ISNUMBER($I7:$N7),$I$5:$N$5,$I$5:$N$5)-SUMPRODUCT(--ISNUMBER($I7:$N7),$I$5:$N$5)^2))</f>
        <v>4.5714285714285825E-2</v>
      </c>
      <c r="Q7" s="14" t="str">
        <f t="shared" ref="Q7:Q38" si="2">IF(OR($B7="",$P7=""),IF($B7="","","—"),IF(ABS($P7)&lt;0.000000001,"► estável",IF(($G7&lt;&gt;"Menor é pior")=($P7&gt;0),"▲ piora","▼ melhora")))</f>
        <v>▲ piora</v>
      </c>
      <c r="R7" s="15" t="str">
        <f t="shared" ref="R7:R38" si="3">IF(AND($B7="",$D7=""),"",IF(OR($B7="",$O7="",$F7=""),"Sem dados",IF($G7&lt;&gt;"Menor é pior",IF($O7&gt;$F7,"Estourou",IF(AND(N($P7)&gt;0,$O7+N($P7)*KriHoriz&gt;=$F7),"Atenção","OK")),IF($O7&lt;$F7,"Estourou",IF(AND(N($P7)&lt;0,$O7+N($P7)*KriHoriz&lt;=$F7),"Atenção","OK")))))</f>
        <v>Estourou</v>
      </c>
      <c r="S7" s="65">
        <f>IF($A7="","",IFERROR(_xlfn.AGGREGATE(14,6,tbKRIColetas[Data da coleta]/(tbKRIColetas[ID KRI]=$A7),1),""))</f>
        <v>46387</v>
      </c>
      <c r="T7" s="17">
        <f t="shared" ref="T7:T38" si="4">IF(OR($S7="",$H7=""),"",IFERROR(IF(N(INDEX(FreqDias,MATCH($H7,ListaFreq,0)))=0,"",$S7+INDEX(FreqDias,MATCH($H7,ListaFreq,0))),""))</f>
        <v>46417</v>
      </c>
      <c r="U7" s="13" t="s">
        <v>1249</v>
      </c>
      <c r="V7" s="117" t="s">
        <v>327</v>
      </c>
    </row>
    <row r="8" spans="1:22" ht="34.200000000000003">
      <c r="A8" s="115" t="s">
        <v>2114</v>
      </c>
      <c r="B8" s="11" t="s">
        <v>61</v>
      </c>
      <c r="C8" s="41" t="str">
        <f>IF($B8="","",IFERROR(INDEX(Riscos!$C$5:$C$154,MATCH($B8,Riscos!$A$5:$A$154,0)),"ID não encontrado"))</f>
        <v>Instabilidade da espessura de parede na ISBM-003 gera frascos fora de especificação e lotes rejeitados/refeitos</v>
      </c>
      <c r="D8" s="13" t="s">
        <v>1250</v>
      </c>
      <c r="E8" s="12" t="s">
        <v>328</v>
      </c>
      <c r="F8" s="12">
        <v>1</v>
      </c>
      <c r="G8" s="12" t="s">
        <v>325</v>
      </c>
      <c r="H8" s="12" t="s">
        <v>326</v>
      </c>
      <c r="I8" s="60">
        <f>IF($A8="","",IF(COUNTIFS(tbKRIColetas[ID KRI],$A8)-6+I$5&lt;1,"",SUMIFS(tbKRIColetas[Valor],tbKRIColetas[ID KRI],$A8,tbKRIColetas[Data da coleta],_xlfn.AGGREGATE(15,6,tbKRIColetas[Data da coleta]/(tbKRIColetas[ID KRI]=$A8),COUNTIFS(tbKRIColetas[ID KRI],$A8)-6+I$5))))</f>
        <v>0.85</v>
      </c>
      <c r="J8" s="60">
        <f>IF($A8="","",IF(COUNTIFS(tbKRIColetas[ID KRI],$A8)-6+J$5&lt;1,"",SUMIFS(tbKRIColetas[Valor],tbKRIColetas[ID KRI],$A8,tbKRIColetas[Data da coleta],_xlfn.AGGREGATE(15,6,tbKRIColetas[Data da coleta]/(tbKRIColetas[ID KRI]=$A8),COUNTIFS(tbKRIColetas[ID KRI],$A8)-6+J$5))))</f>
        <v>1.75</v>
      </c>
      <c r="K8" s="60">
        <f>IF($A8="","",IF(COUNTIFS(tbKRIColetas[ID KRI],$A8)-6+K$5&lt;1,"",SUMIFS(tbKRIColetas[Valor],tbKRIColetas[ID KRI],$A8,tbKRIColetas[Data da coleta],_xlfn.AGGREGATE(15,6,tbKRIColetas[Data da coleta]/(tbKRIColetas[ID KRI]=$A8),COUNTIFS(tbKRIColetas[ID KRI],$A8)-6+K$5))))</f>
        <v>0</v>
      </c>
      <c r="L8" s="60">
        <f>IF($A8="","",IF(COUNTIFS(tbKRIColetas[ID KRI],$A8)-6+L$5&lt;1,"",SUMIFS(tbKRIColetas[Valor],tbKRIColetas[ID KRI],$A8,tbKRIColetas[Data da coleta],_xlfn.AGGREGATE(15,6,tbKRIColetas[Data da coleta]/(tbKRIColetas[ID KRI]=$A8),COUNTIFS(tbKRIColetas[ID KRI],$A8)-6+L$5))))</f>
        <v>0</v>
      </c>
      <c r="M8" s="60">
        <f>IF($A8="","",IF(COUNTIFS(tbKRIColetas[ID KRI],$A8)-6+M$5&lt;1,"",SUMIFS(tbKRIColetas[Valor],tbKRIColetas[ID KRI],$A8,tbKRIColetas[Data da coleta],_xlfn.AGGREGATE(15,6,tbKRIColetas[Data da coleta]/(tbKRIColetas[ID KRI]=$A8),COUNTIFS(tbKRIColetas[ID KRI],$A8)-6+M$5))))</f>
        <v>0.9</v>
      </c>
      <c r="N8" s="60">
        <f>IF($A8="","",IF(COUNTIFS(tbKRIColetas[ID KRI],$A8)-6+N$5&lt;1,"",SUMIFS(tbKRIColetas[Valor],tbKRIColetas[ID KRI],$A8,tbKRIColetas[Data da coleta],_xlfn.AGGREGATE(15,6,tbKRIColetas[Data da coleta]/(tbKRIColetas[ID KRI]=$A8),COUNTIFS(tbKRIColetas[ID KRI],$A8)-6+N$5))))</f>
        <v>1.75</v>
      </c>
      <c r="O8" s="15">
        <f t="shared" si="0"/>
        <v>1.75</v>
      </c>
      <c r="P8" s="42">
        <f t="shared" si="1"/>
        <v>5.5714285714285793E-2</v>
      </c>
      <c r="Q8" s="14" t="str">
        <f t="shared" si="2"/>
        <v>▲ piora</v>
      </c>
      <c r="R8" s="15" t="str">
        <f t="shared" si="3"/>
        <v>Estourou</v>
      </c>
      <c r="S8" s="65">
        <f>IF($A8="","",IFERROR(_xlfn.AGGREGATE(14,6,tbKRIColetas[Data da coleta]/(tbKRIColetas[ID KRI]=$A8),1),""))</f>
        <v>46387</v>
      </c>
      <c r="T8" s="17">
        <f t="shared" si="4"/>
        <v>46417</v>
      </c>
      <c r="U8" s="13" t="s">
        <v>1251</v>
      </c>
      <c r="V8" s="117" t="s">
        <v>327</v>
      </c>
    </row>
    <row r="9" spans="1:22" ht="45.6">
      <c r="A9" s="115" t="s">
        <v>2115</v>
      </c>
      <c r="B9" s="11" t="s">
        <v>77</v>
      </c>
      <c r="C9" s="41" t="str">
        <f>IF($B9="","",IFERROR(INDEX(Riscos!$C$5:$C$154,MATCH($B9,Riscos!$A$5:$A$154,0)),"ID não encontrado"))</f>
        <v>Desgaste acumulado do molde M-SOP-007 (ISBM-001) eleva Flash/Leakage até a reforma</v>
      </c>
      <c r="D9" s="13" t="s">
        <v>1252</v>
      </c>
      <c r="E9" s="12" t="s">
        <v>1253</v>
      </c>
      <c r="F9" s="12">
        <v>1200</v>
      </c>
      <c r="G9" s="12" t="s">
        <v>325</v>
      </c>
      <c r="H9" s="12" t="s">
        <v>326</v>
      </c>
      <c r="I9" s="60">
        <f>IF($A9="","",IF(COUNTIFS(tbKRIColetas[ID KRI],$A9)-6+I$5&lt;1,"",SUMIFS(tbKRIColetas[Valor],tbKRIColetas[ID KRI],$A9,tbKRIColetas[Data da coleta],_xlfn.AGGREGATE(15,6,tbKRIColetas[Data da coleta]/(tbKRIColetas[ID KRI]=$A9),COUNTIFS(tbKRIColetas[ID KRI],$A9)-6+I$5))))</f>
        <v>292</v>
      </c>
      <c r="J9" s="60">
        <f>IF($A9="","",IF(COUNTIFS(tbKRIColetas[ID KRI],$A9)-6+J$5&lt;1,"",SUMIFS(tbKRIColetas[Valor],tbKRIColetas[ID KRI],$A9,tbKRIColetas[Data da coleta],_xlfn.AGGREGATE(15,6,tbKRIColetas[Data da coleta]/(tbKRIColetas[ID KRI]=$A9),COUNTIFS(tbKRIColetas[ID KRI],$A9)-6+J$5))))</f>
        <v>484</v>
      </c>
      <c r="K9" s="60">
        <f>IF($A9="","",IF(COUNTIFS(tbKRIColetas[ID KRI],$A9)-6+K$5&lt;1,"",SUMIFS(tbKRIColetas[Valor],tbKRIColetas[ID KRI],$A9,tbKRIColetas[Data da coleta],_xlfn.AGGREGATE(15,6,tbKRIColetas[Data da coleta]/(tbKRIColetas[ID KRI]=$A9),COUNTIFS(tbKRIColetas[ID KRI],$A9)-6+K$5))))</f>
        <v>703</v>
      </c>
      <c r="L9" s="60">
        <f>IF($A9="","",IF(COUNTIFS(tbKRIColetas[ID KRI],$A9)-6+L$5&lt;1,"",SUMIFS(tbKRIColetas[Valor],tbKRIColetas[ID KRI],$A9,tbKRIColetas[Data da coleta],_xlfn.AGGREGATE(15,6,tbKRIColetas[Data da coleta]/(tbKRIColetas[ID KRI]=$A9),COUNTIFS(tbKRIColetas[ID KRI],$A9)-6+L$5))))</f>
        <v>851</v>
      </c>
      <c r="M9" s="60">
        <f>IF($A9="","",IF(COUNTIFS(tbKRIColetas[ID KRI],$A9)-6+M$5&lt;1,"",SUMIFS(tbKRIColetas[Valor],tbKRIColetas[ID KRI],$A9,tbKRIColetas[Data da coleta],_xlfn.AGGREGATE(15,6,tbKRIColetas[Data da coleta]/(tbKRIColetas[ID KRI]=$A9),COUNTIFS(tbKRIColetas[ID KRI],$A9)-6+M$5))))</f>
        <v>996</v>
      </c>
      <c r="N9" s="60">
        <f>IF($A9="","",IF(COUNTIFS(tbKRIColetas[ID KRI],$A9)-6+N$5&lt;1,"",SUMIFS(tbKRIColetas[Valor],tbKRIColetas[ID KRI],$A9,tbKRIColetas[Data da coleta],_xlfn.AGGREGATE(15,6,tbKRIColetas[Data da coleta]/(tbKRIColetas[ID KRI]=$A9),COUNTIFS(tbKRIColetas[ID KRI],$A9)-6+N$5))))</f>
        <v>1133</v>
      </c>
      <c r="O9" s="15">
        <f t="shared" si="0"/>
        <v>1133</v>
      </c>
      <c r="P9" s="42">
        <f t="shared" si="1"/>
        <v>168.25714285714287</v>
      </c>
      <c r="Q9" s="14" t="str">
        <f t="shared" si="2"/>
        <v>▲ piora</v>
      </c>
      <c r="R9" s="15" t="str">
        <f t="shared" si="3"/>
        <v>Atenção</v>
      </c>
      <c r="S9" s="65">
        <f>IF($A9="","",IFERROR(_xlfn.AGGREGATE(14,6,tbKRIColetas[Data da coleta]/(tbKRIColetas[ID KRI]=$A9),1),""))</f>
        <v>46387</v>
      </c>
      <c r="T9" s="17">
        <f t="shared" si="4"/>
        <v>46417</v>
      </c>
      <c r="U9" s="13" t="s">
        <v>1254</v>
      </c>
      <c r="V9" s="117" t="s">
        <v>327</v>
      </c>
    </row>
    <row r="10" spans="1:22" ht="34.200000000000003">
      <c r="A10" s="115" t="s">
        <v>2116</v>
      </c>
      <c r="B10" s="11" t="s">
        <v>77</v>
      </c>
      <c r="C10" s="41" t="str">
        <f>IF($B10="","",IFERROR(INDEX(Riscos!$C$5:$C$154,MATCH($B10,Riscos!$A$5:$A$154,0)),"ID não encontrado"))</f>
        <v>Desgaste acumulado do molde M-SOP-007 (ISBM-001) eleva Flash/Leakage até a reforma</v>
      </c>
      <c r="D10" s="13" t="s">
        <v>1255</v>
      </c>
      <c r="E10" s="12" t="s">
        <v>1256</v>
      </c>
      <c r="F10" s="12">
        <v>1</v>
      </c>
      <c r="G10" s="12" t="s">
        <v>325</v>
      </c>
      <c r="H10" s="12" t="s">
        <v>326</v>
      </c>
      <c r="I10" s="60">
        <f>IF($A10="","",IF(COUNTIFS(tbKRIColetas[ID KRI],$A10)-6+I$5&lt;1,"",SUMIFS(tbKRIColetas[Valor],tbKRIColetas[ID KRI],$A10,tbKRIColetas[Data da coleta],_xlfn.AGGREGATE(15,6,tbKRIColetas[Data da coleta]/(tbKRIColetas[ID KRI]=$A10),COUNTIFS(tbKRIColetas[ID KRI],$A10)-6+I$5))))</f>
        <v>0.94</v>
      </c>
      <c r="J10" s="60">
        <f>IF($A10="","",IF(COUNTIFS(tbKRIColetas[ID KRI],$A10)-6+J$5&lt;1,"",SUMIFS(tbKRIColetas[Valor],tbKRIColetas[ID KRI],$A10,tbKRIColetas[Data da coleta],_xlfn.AGGREGATE(15,6,tbKRIColetas[Data da coleta]/(tbKRIColetas[ID KRI]=$A10),COUNTIFS(tbKRIColetas[ID KRI],$A10)-6+J$5))))</f>
        <v>0.87</v>
      </c>
      <c r="K10" s="60">
        <f>IF($A10="","",IF(COUNTIFS(tbKRIColetas[ID KRI],$A10)-6+K$5&lt;1,"",SUMIFS(tbKRIColetas[Valor],tbKRIColetas[ID KRI],$A10,tbKRIColetas[Data da coleta],_xlfn.AGGREGATE(15,6,tbKRIColetas[Data da coleta]/(tbKRIColetas[ID KRI]=$A10),COUNTIFS(tbKRIColetas[ID KRI],$A10)-6+K$5))))</f>
        <v>0.65</v>
      </c>
      <c r="L10" s="60">
        <f>IF($A10="","",IF(COUNTIFS(tbKRIColetas[ID KRI],$A10)-6+L$5&lt;1,"",SUMIFS(tbKRIColetas[Valor],tbKRIColetas[ID KRI],$A10,tbKRIColetas[Data da coleta],_xlfn.AGGREGATE(15,6,tbKRIColetas[Data da coleta]/(tbKRIColetas[ID KRI]=$A10),COUNTIFS(tbKRIColetas[ID KRI],$A10)-6+L$5))))</f>
        <v>0.94</v>
      </c>
      <c r="M10" s="60">
        <f>IF($A10="","",IF(COUNTIFS(tbKRIColetas[ID KRI],$A10)-6+M$5&lt;1,"",SUMIFS(tbKRIColetas[Valor],tbKRIColetas[ID KRI],$A10,tbKRIColetas[Data da coleta],_xlfn.AGGREGATE(15,6,tbKRIColetas[Data da coleta]/(tbKRIColetas[ID KRI]=$A10),COUNTIFS(tbKRIColetas[ID KRI],$A10)-6+M$5))))</f>
        <v>1.24</v>
      </c>
      <c r="N10" s="60">
        <f>IF($A10="","",IF(COUNTIFS(tbKRIColetas[ID KRI],$A10)-6+N$5&lt;1,"",SUMIFS(tbKRIColetas[Valor],tbKRIColetas[ID KRI],$A10,tbKRIColetas[Data da coleta],_xlfn.AGGREGATE(15,6,tbKRIColetas[Data da coleta]/(tbKRIColetas[ID KRI]=$A10),COUNTIFS(tbKRIColetas[ID KRI],$A10)-6+N$5))))</f>
        <v>0.74</v>
      </c>
      <c r="O10" s="15">
        <f t="shared" si="0"/>
        <v>0.74</v>
      </c>
      <c r="P10" s="42">
        <f t="shared" si="1"/>
        <v>1.1428571428571456E-2</v>
      </c>
      <c r="Q10" s="14" t="str">
        <f t="shared" si="2"/>
        <v>▲ piora</v>
      </c>
      <c r="R10" s="15" t="str">
        <f t="shared" si="3"/>
        <v>OK</v>
      </c>
      <c r="S10" s="65">
        <f>IF($A10="","",IFERROR(_xlfn.AGGREGATE(14,6,tbKRIColetas[Data da coleta]/(tbKRIColetas[ID KRI]=$A10),1),""))</f>
        <v>46387</v>
      </c>
      <c r="T10" s="17">
        <f t="shared" si="4"/>
        <v>46417</v>
      </c>
      <c r="U10" s="13" t="s">
        <v>1257</v>
      </c>
      <c r="V10" s="117" t="s">
        <v>330</v>
      </c>
    </row>
    <row r="11" spans="1:22" ht="34.200000000000003">
      <c r="A11" s="115" t="s">
        <v>2117</v>
      </c>
      <c r="B11" s="11" t="s">
        <v>88</v>
      </c>
      <c r="C11" s="41" t="str">
        <f>IF($B11="","",IFERROR(INDEX(Riscos!$C$5:$C$154,MATCH($B11,Riscos!$A$5:$A$154,0)),"ID não encontrado"))</f>
        <v>Paradas não planejadas recorrentes na ISBM-005 por envelhecimento hidráulico reduzem a disponibilidade</v>
      </c>
      <c r="D11" s="13" t="s">
        <v>1258</v>
      </c>
      <c r="E11" s="12" t="s">
        <v>1259</v>
      </c>
      <c r="F11" s="12">
        <v>90</v>
      </c>
      <c r="G11" s="12" t="s">
        <v>325</v>
      </c>
      <c r="H11" s="12" t="s">
        <v>326</v>
      </c>
      <c r="I11" s="60">
        <f>IF($A11="","",IF(COUNTIFS(tbKRIColetas[ID KRI],$A11)-6+I$5&lt;1,"",SUMIFS(tbKRIColetas[Valor],tbKRIColetas[ID KRI],$A11,tbKRIColetas[Data da coleta],_xlfn.AGGREGATE(15,6,tbKRIColetas[Data da coleta]/(tbKRIColetas[ID KRI]=$A11),COUNTIFS(tbKRIColetas[ID KRI],$A11)-6+I$5))))</f>
        <v>116</v>
      </c>
      <c r="J11" s="60">
        <f>IF($A11="","",IF(COUNTIFS(tbKRIColetas[ID KRI],$A11)-6+J$5&lt;1,"",SUMIFS(tbKRIColetas[Valor],tbKRIColetas[ID KRI],$A11,tbKRIColetas[Data da coleta],_xlfn.AGGREGATE(15,6,tbKRIColetas[Data da coleta]/(tbKRIColetas[ID KRI]=$A11),COUNTIFS(tbKRIColetas[ID KRI],$A11)-6+J$5))))</f>
        <v>120</v>
      </c>
      <c r="K11" s="60">
        <f>IF($A11="","",IF(COUNTIFS(tbKRIColetas[ID KRI],$A11)-6+K$5&lt;1,"",SUMIFS(tbKRIColetas[Valor],tbKRIColetas[ID KRI],$A11,tbKRIColetas[Data da coleta],_xlfn.AGGREGATE(15,6,tbKRIColetas[Data da coleta]/(tbKRIColetas[ID KRI]=$A11),COUNTIFS(tbKRIColetas[ID KRI],$A11)-6+K$5))))</f>
        <v>116</v>
      </c>
      <c r="L11" s="60">
        <f>IF($A11="","",IF(COUNTIFS(tbKRIColetas[ID KRI],$A11)-6+L$5&lt;1,"",SUMIFS(tbKRIColetas[Valor],tbKRIColetas[ID KRI],$A11,tbKRIColetas[Data da coleta],_xlfn.AGGREGATE(15,6,tbKRIColetas[Data da coleta]/(tbKRIColetas[ID KRI]=$A11),COUNTIFS(tbKRIColetas[ID KRI],$A11)-6+L$5))))</f>
        <v>117</v>
      </c>
      <c r="M11" s="60">
        <f>IF($A11="","",IF(COUNTIFS(tbKRIColetas[ID KRI],$A11)-6+M$5&lt;1,"",SUMIFS(tbKRIColetas[Valor],tbKRIColetas[ID KRI],$A11,tbKRIColetas[Data da coleta],_xlfn.AGGREGATE(15,6,tbKRIColetas[Data da coleta]/(tbKRIColetas[ID KRI]=$A11),COUNTIFS(tbKRIColetas[ID KRI],$A11)-6+M$5))))</f>
        <v>105</v>
      </c>
      <c r="N11" s="60">
        <f>IF($A11="","",IF(COUNTIFS(tbKRIColetas[ID KRI],$A11)-6+N$5&lt;1,"",SUMIFS(tbKRIColetas[Valor],tbKRIColetas[ID KRI],$A11,tbKRIColetas[Data da coleta],_xlfn.AGGREGATE(15,6,tbKRIColetas[Data da coleta]/(tbKRIColetas[ID KRI]=$A11),COUNTIFS(tbKRIColetas[ID KRI],$A11)-6+N$5))))</f>
        <v>112</v>
      </c>
      <c r="O11" s="15">
        <f t="shared" si="0"/>
        <v>112</v>
      </c>
      <c r="P11" s="42">
        <f t="shared" si="1"/>
        <v>-1.8285714285714285</v>
      </c>
      <c r="Q11" s="14" t="str">
        <f t="shared" si="2"/>
        <v>▼ melhora</v>
      </c>
      <c r="R11" s="15" t="str">
        <f t="shared" si="3"/>
        <v>Estourou</v>
      </c>
      <c r="S11" s="65">
        <f>IF($A11="","",IFERROR(_xlfn.AGGREGATE(14,6,tbKRIColetas[Data da coleta]/(tbKRIColetas[ID KRI]=$A11),1),""))</f>
        <v>46387</v>
      </c>
      <c r="T11" s="17">
        <f t="shared" si="4"/>
        <v>46417</v>
      </c>
      <c r="U11" s="13" t="s">
        <v>1260</v>
      </c>
      <c r="V11" s="117" t="s">
        <v>330</v>
      </c>
    </row>
    <row r="12" spans="1:22" ht="34.200000000000003">
      <c r="A12" s="115" t="s">
        <v>2118</v>
      </c>
      <c r="B12" s="11" t="s">
        <v>88</v>
      </c>
      <c r="C12" s="41" t="str">
        <f>IF($B12="","",IFERROR(INDEX(Riscos!$C$5:$C$154,MATCH($B12,Riscos!$A$5:$A$154,0)),"ID não encontrado"))</f>
        <v>Paradas não planejadas recorrentes na ISBM-005 por envelhecimento hidráulico reduzem a disponibilidade</v>
      </c>
      <c r="D12" s="13" t="s">
        <v>1261</v>
      </c>
      <c r="E12" s="12" t="s">
        <v>328</v>
      </c>
      <c r="F12" s="12">
        <v>85</v>
      </c>
      <c r="G12" s="12" t="s">
        <v>1262</v>
      </c>
      <c r="H12" s="12" t="s">
        <v>326</v>
      </c>
      <c r="I12" s="60">
        <f>IF($A12="","",IF(COUNTIFS(tbKRIColetas[ID KRI],$A12)-6+I$5&lt;1,"",SUMIFS(tbKRIColetas[Valor],tbKRIColetas[ID KRI],$A12,tbKRIColetas[Data da coleta],_xlfn.AGGREGATE(15,6,tbKRIColetas[Data da coleta]/(tbKRIColetas[ID KRI]=$A12),COUNTIFS(tbKRIColetas[ID KRI],$A12)-6+I$5))))</f>
        <v>80</v>
      </c>
      <c r="J12" s="60">
        <f>IF($A12="","",IF(COUNTIFS(tbKRIColetas[ID KRI],$A12)-6+J$5&lt;1,"",SUMIFS(tbKRIColetas[Valor],tbKRIColetas[ID KRI],$A12,tbKRIColetas[Data da coleta],_xlfn.AGGREGATE(15,6,tbKRIColetas[Data da coleta]/(tbKRIColetas[ID KRI]=$A12),COUNTIFS(tbKRIColetas[ID KRI],$A12)-6+J$5))))</f>
        <v>79.2</v>
      </c>
      <c r="K12" s="60">
        <f>IF($A12="","",IF(COUNTIFS(tbKRIColetas[ID KRI],$A12)-6+K$5&lt;1,"",SUMIFS(tbKRIColetas[Valor],tbKRIColetas[ID KRI],$A12,tbKRIColetas[Data da coleta],_xlfn.AGGREGATE(15,6,tbKRIColetas[Data da coleta]/(tbKRIColetas[ID KRI]=$A12),COUNTIFS(tbKRIColetas[ID KRI],$A12)-6+K$5))))</f>
        <v>79.400000000000006</v>
      </c>
      <c r="L12" s="60">
        <f>IF($A12="","",IF(COUNTIFS(tbKRIColetas[ID KRI],$A12)-6+L$5&lt;1,"",SUMIFS(tbKRIColetas[Valor],tbKRIColetas[ID KRI],$A12,tbKRIColetas[Data da coleta],_xlfn.AGGREGATE(15,6,tbKRIColetas[Data da coleta]/(tbKRIColetas[ID KRI]=$A12),COUNTIFS(tbKRIColetas[ID KRI],$A12)-6+L$5))))</f>
        <v>79.900000000000006</v>
      </c>
      <c r="M12" s="60">
        <f>IF($A12="","",IF(COUNTIFS(tbKRIColetas[ID KRI],$A12)-6+M$5&lt;1,"",SUMIFS(tbKRIColetas[Valor],tbKRIColetas[ID KRI],$A12,tbKRIColetas[Data da coleta],_xlfn.AGGREGATE(15,6,tbKRIColetas[Data da coleta]/(tbKRIColetas[ID KRI]=$A12),COUNTIFS(tbKRIColetas[ID KRI],$A12)-6+M$5))))</f>
        <v>81.599999999999994</v>
      </c>
      <c r="N12" s="60">
        <f>IF($A12="","",IF(COUNTIFS(tbKRIColetas[ID KRI],$A12)-6+N$5&lt;1,"",SUMIFS(tbKRIColetas[Valor],tbKRIColetas[ID KRI],$A12,tbKRIColetas[Data da coleta],_xlfn.AGGREGATE(15,6,tbKRIColetas[Data da coleta]/(tbKRIColetas[ID KRI]=$A12),COUNTIFS(tbKRIColetas[ID KRI],$A12)-6+N$5))))</f>
        <v>80.900000000000006</v>
      </c>
      <c r="O12" s="15">
        <f t="shared" si="0"/>
        <v>80.900000000000006</v>
      </c>
      <c r="P12" s="42">
        <f t="shared" si="1"/>
        <v>0.34857142857143203</v>
      </c>
      <c r="Q12" s="14" t="str">
        <f t="shared" si="2"/>
        <v>▼ melhora</v>
      </c>
      <c r="R12" s="15" t="str">
        <f t="shared" si="3"/>
        <v>Estourou</v>
      </c>
      <c r="S12" s="65">
        <f>IF($A12="","",IFERROR(_xlfn.AGGREGATE(14,6,tbKRIColetas[Data da coleta]/(tbKRIColetas[ID KRI]=$A12),1),""))</f>
        <v>46387</v>
      </c>
      <c r="T12" s="17">
        <f t="shared" si="4"/>
        <v>46417</v>
      </c>
      <c r="U12" s="13" t="s">
        <v>1263</v>
      </c>
      <c r="V12" s="117" t="s">
        <v>330</v>
      </c>
    </row>
    <row r="13" spans="1:22" ht="34.200000000000003">
      <c r="A13" s="115" t="s">
        <v>2119</v>
      </c>
      <c r="B13" s="11" t="s">
        <v>96</v>
      </c>
      <c r="C13" s="41" t="str">
        <f>IF($B13="","",IFERROR(INDEX(Riscos!$C$5:$C$154,MATCH($B13,Riscos!$A$5:$A$154,0)),"ID não encontrado"))</f>
        <v>Short shot e variação de peso na IM-002 causados por banda de aquecimento marginal e janela de parâmetros inadequada</v>
      </c>
      <c r="D13" s="13" t="s">
        <v>1264</v>
      </c>
      <c r="E13" s="12" t="s">
        <v>1265</v>
      </c>
      <c r="F13" s="12">
        <v>8000</v>
      </c>
      <c r="G13" s="12" t="s">
        <v>325</v>
      </c>
      <c r="H13" s="12" t="s">
        <v>326</v>
      </c>
      <c r="I13" s="60">
        <f>IF($A13="","",IF(COUNTIFS(tbKRIColetas[ID KRI],$A13)-6+I$5&lt;1,"",SUMIFS(tbKRIColetas[Valor],tbKRIColetas[ID KRI],$A13,tbKRIColetas[Data da coleta],_xlfn.AGGREGATE(15,6,tbKRIColetas[Data da coleta]/(tbKRIColetas[ID KRI]=$A13),COUNTIFS(tbKRIColetas[ID KRI],$A13)-6+I$5))))</f>
        <v>12096</v>
      </c>
      <c r="J13" s="60">
        <f>IF($A13="","",IF(COUNTIFS(tbKRIColetas[ID KRI],$A13)-6+J$5&lt;1,"",SUMIFS(tbKRIColetas[Valor],tbKRIColetas[ID KRI],$A13,tbKRIColetas[Data da coleta],_xlfn.AGGREGATE(15,6,tbKRIColetas[Data da coleta]/(tbKRIColetas[ID KRI]=$A13),COUNTIFS(tbKRIColetas[ID KRI],$A13)-6+J$5))))</f>
        <v>11603</v>
      </c>
      <c r="K13" s="60">
        <f>IF($A13="","",IF(COUNTIFS(tbKRIColetas[ID KRI],$A13)-6+K$5&lt;1,"",SUMIFS(tbKRIColetas[Valor],tbKRIColetas[ID KRI],$A13,tbKRIColetas[Data da coleta],_xlfn.AGGREGATE(15,6,tbKRIColetas[Data da coleta]/(tbKRIColetas[ID KRI]=$A13),COUNTIFS(tbKRIColetas[ID KRI],$A13)-6+K$5))))</f>
        <v>13287</v>
      </c>
      <c r="L13" s="60">
        <f>IF($A13="","",IF(COUNTIFS(tbKRIColetas[ID KRI],$A13)-6+L$5&lt;1,"",SUMIFS(tbKRIColetas[Valor],tbKRIColetas[ID KRI],$A13,tbKRIColetas[Data da coleta],_xlfn.AGGREGATE(15,6,tbKRIColetas[Data da coleta]/(tbKRIColetas[ID KRI]=$A13),COUNTIFS(tbKRIColetas[ID KRI],$A13)-6+L$5))))</f>
        <v>10491</v>
      </c>
      <c r="M13" s="60">
        <f>IF($A13="","",IF(COUNTIFS(tbKRIColetas[ID KRI],$A13)-6+M$5&lt;1,"",SUMIFS(tbKRIColetas[Valor],tbKRIColetas[ID KRI],$A13,tbKRIColetas[Data da coleta],_xlfn.AGGREGATE(15,6,tbKRIColetas[Data da coleta]/(tbKRIColetas[ID KRI]=$A13),COUNTIFS(tbKRIColetas[ID KRI],$A13)-6+M$5))))</f>
        <v>17801</v>
      </c>
      <c r="N13" s="60">
        <f>IF($A13="","",IF(COUNTIFS(tbKRIColetas[ID KRI],$A13)-6+N$5&lt;1,"",SUMIFS(tbKRIColetas[Valor],tbKRIColetas[ID KRI],$A13,tbKRIColetas[Data da coleta],_xlfn.AGGREGATE(15,6,tbKRIColetas[Data da coleta]/(tbKRIColetas[ID KRI]=$A13),COUNTIFS(tbKRIColetas[ID KRI],$A13)-6+N$5))))</f>
        <v>12823</v>
      </c>
      <c r="O13" s="15">
        <f t="shared" si="0"/>
        <v>12823</v>
      </c>
      <c r="P13" s="42">
        <f t="shared" si="1"/>
        <v>555.2285714285714</v>
      </c>
      <c r="Q13" s="14" t="str">
        <f t="shared" si="2"/>
        <v>▲ piora</v>
      </c>
      <c r="R13" s="15" t="str">
        <f t="shared" si="3"/>
        <v>Estourou</v>
      </c>
      <c r="S13" s="65">
        <f>IF($A13="","",IFERROR(_xlfn.AGGREGATE(14,6,tbKRIColetas[Data da coleta]/(tbKRIColetas[ID KRI]=$A13),1),""))</f>
        <v>46387</v>
      </c>
      <c r="T13" s="17">
        <f t="shared" si="4"/>
        <v>46417</v>
      </c>
      <c r="U13" s="13" t="s">
        <v>1266</v>
      </c>
      <c r="V13" s="117" t="s">
        <v>330</v>
      </c>
    </row>
    <row r="14" spans="1:22" ht="30.6">
      <c r="A14" s="115" t="s">
        <v>2120</v>
      </c>
      <c r="B14" s="11" t="s">
        <v>96</v>
      </c>
      <c r="C14" s="41" t="str">
        <f>IF($B14="","",IFERROR(INDEX(Riscos!$C$5:$C$154,MATCH($B14,Riscos!$A$5:$A$154,0)),"ID não encontrado"))</f>
        <v>Short shot e variação de peso na IM-002 causados por banda de aquecimento marginal e janela de parâmetros inadequada</v>
      </c>
      <c r="D14" s="13" t="s">
        <v>1267</v>
      </c>
      <c r="E14" s="12" t="s">
        <v>328</v>
      </c>
      <c r="F14" s="12">
        <v>3</v>
      </c>
      <c r="G14" s="12" t="s">
        <v>325</v>
      </c>
      <c r="H14" s="12" t="s">
        <v>326</v>
      </c>
      <c r="I14" s="60">
        <f>IF($A14="","",IF(COUNTIFS(tbKRIColetas[ID KRI],$A14)-6+I$5&lt;1,"",SUMIFS(tbKRIColetas[Valor],tbKRIColetas[ID KRI],$A14,tbKRIColetas[Data da coleta],_xlfn.AGGREGATE(15,6,tbKRIColetas[Data da coleta]/(tbKRIColetas[ID KRI]=$A14),COUNTIFS(tbKRIColetas[ID KRI],$A14)-6+I$5))))</f>
        <v>3.12</v>
      </c>
      <c r="J14" s="60">
        <f>IF($A14="","",IF(COUNTIFS(tbKRIColetas[ID KRI],$A14)-6+J$5&lt;1,"",SUMIFS(tbKRIColetas[Valor],tbKRIColetas[ID KRI],$A14,tbKRIColetas[Data da coleta],_xlfn.AGGREGATE(15,6,tbKRIColetas[Data da coleta]/(tbKRIColetas[ID KRI]=$A14),COUNTIFS(tbKRIColetas[ID KRI],$A14)-6+J$5))))</f>
        <v>3.12</v>
      </c>
      <c r="K14" s="60">
        <f>IF($A14="","",IF(COUNTIFS(tbKRIColetas[ID KRI],$A14)-6+K$5&lt;1,"",SUMIFS(tbKRIColetas[Valor],tbKRIColetas[ID KRI],$A14,tbKRIColetas[Data da coleta],_xlfn.AGGREGATE(15,6,tbKRIColetas[Data da coleta]/(tbKRIColetas[ID KRI]=$A14),COUNTIFS(tbKRIColetas[ID KRI],$A14)-6+K$5))))</f>
        <v>3.21</v>
      </c>
      <c r="L14" s="60">
        <f>IF($A14="","",IF(COUNTIFS(tbKRIColetas[ID KRI],$A14)-6+L$5&lt;1,"",SUMIFS(tbKRIColetas[Valor],tbKRIColetas[ID KRI],$A14,tbKRIColetas[Data da coleta],_xlfn.AGGREGATE(15,6,tbKRIColetas[Data da coleta]/(tbKRIColetas[ID KRI]=$A14),COUNTIFS(tbKRIColetas[ID KRI],$A14)-6+L$5))))</f>
        <v>3.32</v>
      </c>
      <c r="M14" s="60">
        <f>IF($A14="","",IF(COUNTIFS(tbKRIColetas[ID KRI],$A14)-6+M$5&lt;1,"",SUMIFS(tbKRIColetas[Valor],tbKRIColetas[ID KRI],$A14,tbKRIColetas[Data da coleta],_xlfn.AGGREGATE(15,6,tbKRIColetas[Data da coleta]/(tbKRIColetas[ID KRI]=$A14),COUNTIFS(tbKRIColetas[ID KRI],$A14)-6+M$5))))</f>
        <v>3.19</v>
      </c>
      <c r="N14" s="60">
        <f>IF($A14="","",IF(COUNTIFS(tbKRIColetas[ID KRI],$A14)-6+N$5&lt;1,"",SUMIFS(tbKRIColetas[Valor],tbKRIColetas[ID KRI],$A14,tbKRIColetas[Data da coleta],_xlfn.AGGREGATE(15,6,tbKRIColetas[Data da coleta]/(tbKRIColetas[ID KRI]=$A14),COUNTIFS(tbKRIColetas[ID KRI],$A14)-6+N$5))))</f>
        <v>3.6</v>
      </c>
      <c r="O14" s="15">
        <f t="shared" si="0"/>
        <v>3.6</v>
      </c>
      <c r="P14" s="42">
        <f t="shared" si="1"/>
        <v>7.7714285714285417E-2</v>
      </c>
      <c r="Q14" s="14" t="str">
        <f t="shared" si="2"/>
        <v>▲ piora</v>
      </c>
      <c r="R14" s="15" t="str">
        <f t="shared" si="3"/>
        <v>Estourou</v>
      </c>
      <c r="S14" s="65">
        <f>IF($A14="","",IFERROR(_xlfn.AGGREGATE(14,6,tbKRIColetas[Data da coleta]/(tbKRIColetas[ID KRI]=$A14),1),""))</f>
        <v>46387</v>
      </c>
      <c r="T14" s="17">
        <f t="shared" si="4"/>
        <v>46417</v>
      </c>
      <c r="U14" s="13" t="s">
        <v>1268</v>
      </c>
      <c r="V14" s="117" t="s">
        <v>330</v>
      </c>
    </row>
    <row r="15" spans="1:22" ht="45.6">
      <c r="A15" s="115" t="s">
        <v>2121</v>
      </c>
      <c r="B15" s="11" t="s">
        <v>729</v>
      </c>
      <c r="C15" s="41" t="str">
        <f>IF($B15="","",IFERROR(INDEX(Riscos!$C$5:$C$154,MATCH($B15,Riscos!$A$5:$A$154,0)),"ID não encontrado"))</f>
        <v>Flash crescente na IM-004 em campanhas longas entre trocas de molde (acúmulo de ciclos desde o setup)</v>
      </c>
      <c r="D15" s="13" t="s">
        <v>1269</v>
      </c>
      <c r="E15" s="12" t="s">
        <v>1253</v>
      </c>
      <c r="F15" s="12">
        <v>300</v>
      </c>
      <c r="G15" s="12" t="s">
        <v>325</v>
      </c>
      <c r="H15" s="12" t="s">
        <v>326</v>
      </c>
      <c r="I15" s="60">
        <f>IF($A15="","",IF(COUNTIFS(tbKRIColetas[ID KRI],$A15)-6+I$5&lt;1,"",SUMIFS(tbKRIColetas[Valor],tbKRIColetas[ID KRI],$A15,tbKRIColetas[Data da coleta],_xlfn.AGGREGATE(15,6,tbKRIColetas[Data da coleta]/(tbKRIColetas[ID KRI]=$A15),COUNTIFS(tbKRIColetas[ID KRI],$A15)-6+I$5))))</f>
        <v>354</v>
      </c>
      <c r="J15" s="60">
        <f>IF($A15="","",IF(COUNTIFS(tbKRIColetas[ID KRI],$A15)-6+J$5&lt;1,"",SUMIFS(tbKRIColetas[Valor],tbKRIColetas[ID KRI],$A15,tbKRIColetas[Data da coleta],_xlfn.AGGREGATE(15,6,tbKRIColetas[Data da coleta]/(tbKRIColetas[ID KRI]=$A15),COUNTIFS(tbKRIColetas[ID KRI],$A15)-6+J$5))))</f>
        <v>64</v>
      </c>
      <c r="K15" s="60">
        <f>IF($A15="","",IF(COUNTIFS(tbKRIColetas[ID KRI],$A15)-6+K$5&lt;1,"",SUMIFS(tbKRIColetas[Valor],tbKRIColetas[ID KRI],$A15,tbKRIColetas[Data da coleta],_xlfn.AGGREGATE(15,6,tbKRIColetas[Data da coleta]/(tbKRIColetas[ID KRI]=$A15),COUNTIFS(tbKRIColetas[ID KRI],$A15)-6+K$5))))</f>
        <v>606</v>
      </c>
      <c r="L15" s="60">
        <f>IF($A15="","",IF(COUNTIFS(tbKRIColetas[ID KRI],$A15)-6+L$5&lt;1,"",SUMIFS(tbKRIColetas[Valor],tbKRIColetas[ID KRI],$A15,tbKRIColetas[Data da coleta],_xlfn.AGGREGATE(15,6,tbKRIColetas[Data da coleta]/(tbKRIColetas[ID KRI]=$A15),COUNTIFS(tbKRIColetas[ID KRI],$A15)-6+L$5))))</f>
        <v>172</v>
      </c>
      <c r="M15" s="60">
        <f>IF($A15="","",IF(COUNTIFS(tbKRIColetas[ID KRI],$A15)-6+M$5&lt;1,"",SUMIFS(tbKRIColetas[Valor],tbKRIColetas[ID KRI],$A15,tbKRIColetas[Data da coleta],_xlfn.AGGREGATE(15,6,tbKRIColetas[Data da coleta]/(tbKRIColetas[ID KRI]=$A15),COUNTIFS(tbKRIColetas[ID KRI],$A15)-6+M$5))))</f>
        <v>56</v>
      </c>
      <c r="N15" s="60">
        <f>IF($A15="","",IF(COUNTIFS(tbKRIColetas[ID KRI],$A15)-6+N$5&lt;1,"",SUMIFS(tbKRIColetas[Valor],tbKRIColetas[ID KRI],$A15,tbKRIColetas[Data da coleta],_xlfn.AGGREGATE(15,6,tbKRIColetas[Data da coleta]/(tbKRIColetas[ID KRI]=$A15),COUNTIFS(tbKRIColetas[ID KRI],$A15)-6+N$5))))</f>
        <v>44</v>
      </c>
      <c r="O15" s="15">
        <f t="shared" si="0"/>
        <v>44</v>
      </c>
      <c r="P15" s="42">
        <f t="shared" si="1"/>
        <v>-57.371428571428574</v>
      </c>
      <c r="Q15" s="14" t="str">
        <f t="shared" si="2"/>
        <v>▼ melhora</v>
      </c>
      <c r="R15" s="15" t="str">
        <f t="shared" si="3"/>
        <v>OK</v>
      </c>
      <c r="S15" s="65">
        <f>IF($A15="","",IFERROR(_xlfn.AGGREGATE(14,6,tbKRIColetas[Data da coleta]/(tbKRIColetas[ID KRI]=$A15),1),""))</f>
        <v>46387</v>
      </c>
      <c r="T15" s="17">
        <f t="shared" si="4"/>
        <v>46417</v>
      </c>
      <c r="U15" s="13" t="s">
        <v>1270</v>
      </c>
      <c r="V15" s="117" t="s">
        <v>327</v>
      </c>
    </row>
    <row r="16" spans="1:22" ht="34.200000000000003">
      <c r="A16" s="115" t="s">
        <v>2122</v>
      </c>
      <c r="B16" s="11" t="s">
        <v>729</v>
      </c>
      <c r="C16" s="41" t="str">
        <f>IF($B16="","",IFERROR(INDEX(Riscos!$C$5:$C$154,MATCH($B16,Riscos!$A$5:$A$154,0)),"ID não encontrado"))</f>
        <v>Flash crescente na IM-004 em campanhas longas entre trocas de molde (acúmulo de ciclos desde o setup)</v>
      </c>
      <c r="D16" s="13" t="s">
        <v>1271</v>
      </c>
      <c r="E16" s="12" t="s">
        <v>1265</v>
      </c>
      <c r="F16" s="12">
        <v>8000</v>
      </c>
      <c r="G16" s="12" t="s">
        <v>325</v>
      </c>
      <c r="H16" s="12" t="s">
        <v>326</v>
      </c>
      <c r="I16" s="60">
        <f>IF($A16="","",IF(COUNTIFS(tbKRIColetas[ID KRI],$A16)-6+I$5&lt;1,"",SUMIFS(tbKRIColetas[Valor],tbKRIColetas[ID KRI],$A16,tbKRIColetas[Data da coleta],_xlfn.AGGREGATE(15,6,tbKRIColetas[Data da coleta]/(tbKRIColetas[ID KRI]=$A16),COUNTIFS(tbKRIColetas[ID KRI],$A16)-6+I$5))))</f>
        <v>16433</v>
      </c>
      <c r="J16" s="60">
        <f>IF($A16="","",IF(COUNTIFS(tbKRIColetas[ID KRI],$A16)-6+J$5&lt;1,"",SUMIFS(tbKRIColetas[Valor],tbKRIColetas[ID KRI],$A16,tbKRIColetas[Data da coleta],_xlfn.AGGREGATE(15,6,tbKRIColetas[Data da coleta]/(tbKRIColetas[ID KRI]=$A16),COUNTIFS(tbKRIColetas[ID KRI],$A16)-6+J$5))))</f>
        <v>18339</v>
      </c>
      <c r="K16" s="60">
        <f>IF($A16="","",IF(COUNTIFS(tbKRIColetas[ID KRI],$A16)-6+K$5&lt;1,"",SUMIFS(tbKRIColetas[Valor],tbKRIColetas[ID KRI],$A16,tbKRIColetas[Data da coleta],_xlfn.AGGREGATE(15,6,tbKRIColetas[Data da coleta]/(tbKRIColetas[ID KRI]=$A16),COUNTIFS(tbKRIColetas[ID KRI],$A16)-6+K$5))))</f>
        <v>23761</v>
      </c>
      <c r="L16" s="60">
        <f>IF($A16="","",IF(COUNTIFS(tbKRIColetas[ID KRI],$A16)-6+L$5&lt;1,"",SUMIFS(tbKRIColetas[Valor],tbKRIColetas[ID KRI],$A16,tbKRIColetas[Data da coleta],_xlfn.AGGREGATE(15,6,tbKRIColetas[Data da coleta]/(tbKRIColetas[ID KRI]=$A16),COUNTIFS(tbKRIColetas[ID KRI],$A16)-6+L$5))))</f>
        <v>16139</v>
      </c>
      <c r="M16" s="60">
        <f>IF($A16="","",IF(COUNTIFS(tbKRIColetas[ID KRI],$A16)-6+M$5&lt;1,"",SUMIFS(tbKRIColetas[Valor],tbKRIColetas[ID KRI],$A16,tbKRIColetas[Data da coleta],_xlfn.AGGREGATE(15,6,tbKRIColetas[Data da coleta]/(tbKRIColetas[ID KRI]=$A16),COUNTIFS(tbKRIColetas[ID KRI],$A16)-6+M$5))))</f>
        <v>14130</v>
      </c>
      <c r="N16" s="60">
        <f>IF($A16="","",IF(COUNTIFS(tbKRIColetas[ID KRI],$A16)-6+N$5&lt;1,"",SUMIFS(tbKRIColetas[Valor],tbKRIColetas[ID KRI],$A16,tbKRIColetas[Data da coleta],_xlfn.AGGREGATE(15,6,tbKRIColetas[Data da coleta]/(tbKRIColetas[ID KRI]=$A16),COUNTIFS(tbKRIColetas[ID KRI],$A16)-6+N$5))))</f>
        <v>8081</v>
      </c>
      <c r="O16" s="15">
        <f t="shared" si="0"/>
        <v>8081</v>
      </c>
      <c r="P16" s="42">
        <f t="shared" si="1"/>
        <v>-1771.6857142857143</v>
      </c>
      <c r="Q16" s="14" t="str">
        <f t="shared" si="2"/>
        <v>▼ melhora</v>
      </c>
      <c r="R16" s="15" t="str">
        <f t="shared" si="3"/>
        <v>Estourou</v>
      </c>
      <c r="S16" s="65">
        <f>IF($A16="","",IFERROR(_xlfn.AGGREGATE(14,6,tbKRIColetas[Data da coleta]/(tbKRIColetas[ID KRI]=$A16),1),""))</f>
        <v>46387</v>
      </c>
      <c r="T16" s="17">
        <f t="shared" si="4"/>
        <v>46417</v>
      </c>
      <c r="U16" s="13" t="s">
        <v>1266</v>
      </c>
      <c r="V16" s="117" t="s">
        <v>330</v>
      </c>
    </row>
    <row r="17" spans="1:22" ht="34.200000000000003">
      <c r="A17" s="115" t="s">
        <v>2123</v>
      </c>
      <c r="B17" s="11" t="s">
        <v>739</v>
      </c>
      <c r="C17" s="41" t="str">
        <f>IF($B17="","",IFERROR(INDEX(Riscos!$C$5:$C$154,MATCH($B17,Riscos!$A$5:$A$154,0)),"ID não encontrado"))</f>
        <v>Pico de falha de adesão de tinta em FR-007-PP-350 (SS-002) ligado a lote de resina PP marginal</v>
      </c>
      <c r="D17" s="13" t="s">
        <v>1272</v>
      </c>
      <c r="E17" s="12" t="s">
        <v>1265</v>
      </c>
      <c r="F17" s="12">
        <v>500</v>
      </c>
      <c r="G17" s="12" t="s">
        <v>325</v>
      </c>
      <c r="H17" s="12" t="s">
        <v>326</v>
      </c>
      <c r="I17" s="60">
        <f>IF($A17="","",IF(COUNTIFS(tbKRIColetas[ID KRI],$A17)-6+I$5&lt;1,"",SUMIFS(tbKRIColetas[Valor],tbKRIColetas[ID KRI],$A17,tbKRIColetas[Data da coleta],_xlfn.AGGREGATE(15,6,tbKRIColetas[Data da coleta]/(tbKRIColetas[ID KRI]=$A17),COUNTIFS(tbKRIColetas[ID KRI],$A17)-6+I$5))))</f>
        <v>298</v>
      </c>
      <c r="J17" s="60">
        <f>IF($A17="","",IF(COUNTIFS(tbKRIColetas[ID KRI],$A17)-6+J$5&lt;1,"",SUMIFS(tbKRIColetas[Valor],tbKRIColetas[ID KRI],$A17,tbKRIColetas[Data da coleta],_xlfn.AGGREGATE(15,6,tbKRIColetas[Data da coleta]/(tbKRIColetas[ID KRI]=$A17),COUNTIFS(tbKRIColetas[ID KRI],$A17)-6+J$5))))</f>
        <v>172</v>
      </c>
      <c r="K17" s="60">
        <f>IF($A17="","",IF(COUNTIFS(tbKRIColetas[ID KRI],$A17)-6+K$5&lt;1,"",SUMIFS(tbKRIColetas[Valor],tbKRIColetas[ID KRI],$A17,tbKRIColetas[Data da coleta],_xlfn.AGGREGATE(15,6,tbKRIColetas[Data da coleta]/(tbKRIColetas[ID KRI]=$A17),COUNTIFS(tbKRIColetas[ID KRI],$A17)-6+K$5))))</f>
        <v>351</v>
      </c>
      <c r="L17" s="60">
        <f>IF($A17="","",IF(COUNTIFS(tbKRIColetas[ID KRI],$A17)-6+L$5&lt;1,"",SUMIFS(tbKRIColetas[Valor],tbKRIColetas[ID KRI],$A17,tbKRIColetas[Data da coleta],_xlfn.AGGREGATE(15,6,tbKRIColetas[Data da coleta]/(tbKRIColetas[ID KRI]=$A17),COUNTIFS(tbKRIColetas[ID KRI],$A17)-6+L$5))))</f>
        <v>235</v>
      </c>
      <c r="M17" s="60">
        <f>IF($A17="","",IF(COUNTIFS(tbKRIColetas[ID KRI],$A17)-6+M$5&lt;1,"",SUMIFS(tbKRIColetas[Valor],tbKRIColetas[ID KRI],$A17,tbKRIColetas[Data da coleta],_xlfn.AGGREGATE(15,6,tbKRIColetas[Data da coleta]/(tbKRIColetas[ID KRI]=$A17),COUNTIFS(tbKRIColetas[ID KRI],$A17)-6+M$5))))</f>
        <v>196</v>
      </c>
      <c r="N17" s="60">
        <f>IF($A17="","",IF(COUNTIFS(tbKRIColetas[ID KRI],$A17)-6+N$5&lt;1,"",SUMIFS(tbKRIColetas[Valor],tbKRIColetas[ID KRI],$A17,tbKRIColetas[Data da coleta],_xlfn.AGGREGATE(15,6,tbKRIColetas[Data da coleta]/(tbKRIColetas[ID KRI]=$A17),COUNTIFS(tbKRIColetas[ID KRI],$A17)-6+N$5))))</f>
        <v>455</v>
      </c>
      <c r="O17" s="15">
        <f t="shared" si="0"/>
        <v>455</v>
      </c>
      <c r="P17" s="42">
        <f t="shared" si="1"/>
        <v>21.171428571428571</v>
      </c>
      <c r="Q17" s="14" t="str">
        <f t="shared" si="2"/>
        <v>▲ piora</v>
      </c>
      <c r="R17" s="15" t="str">
        <f t="shared" si="3"/>
        <v>Atenção</v>
      </c>
      <c r="S17" s="65">
        <f>IF($A17="","",IFERROR(_xlfn.AGGREGATE(14,6,tbKRIColetas[Data da coleta]/(tbKRIColetas[ID KRI]=$A17),1),""))</f>
        <v>46387</v>
      </c>
      <c r="T17" s="17">
        <f t="shared" si="4"/>
        <v>46417</v>
      </c>
      <c r="U17" s="13" t="s">
        <v>1273</v>
      </c>
      <c r="V17" s="117" t="s">
        <v>330</v>
      </c>
    </row>
    <row r="18" spans="1:22" ht="34.200000000000003">
      <c r="A18" s="115" t="s">
        <v>2124</v>
      </c>
      <c r="B18" s="11" t="s">
        <v>751</v>
      </c>
      <c r="C18" s="41" t="str">
        <f>IF($B18="","",IFERROR(INDEX(Riscos!$C$5:$C$154,MATCH($B18,Riscos!$A$5:$A$154,0)),"ID não encontrado"))</f>
        <v>Degradação de confiabilidade da SS-001 (desgaste de rolete/rasqueta e backlog de manutenção) eleva falhas e tempo de reparo</v>
      </c>
      <c r="D18" s="13" t="s">
        <v>1274</v>
      </c>
      <c r="E18" s="12" t="s">
        <v>1275</v>
      </c>
      <c r="F18" s="12">
        <v>2</v>
      </c>
      <c r="G18" s="12" t="s">
        <v>325</v>
      </c>
      <c r="H18" s="12" t="s">
        <v>326</v>
      </c>
      <c r="I18" s="60">
        <f>IF($A18="","",IF(COUNTIFS(tbKRIColetas[ID KRI],$A18)-6+I$5&lt;1,"",SUMIFS(tbKRIColetas[Valor],tbKRIColetas[ID KRI],$A18,tbKRIColetas[Data da coleta],_xlfn.AGGREGATE(15,6,tbKRIColetas[Data da coleta]/(tbKRIColetas[ID KRI]=$A18),COUNTIFS(tbKRIColetas[ID KRI],$A18)-6+I$5))))</f>
        <v>0.84</v>
      </c>
      <c r="J18" s="60">
        <f>IF($A18="","",IF(COUNTIFS(tbKRIColetas[ID KRI],$A18)-6+J$5&lt;1,"",SUMIFS(tbKRIColetas[Valor],tbKRIColetas[ID KRI],$A18,tbKRIColetas[Data da coleta],_xlfn.AGGREGATE(15,6,tbKRIColetas[Data da coleta]/(tbKRIColetas[ID KRI]=$A18),COUNTIFS(tbKRIColetas[ID KRI],$A18)-6+J$5))))</f>
        <v>1.01</v>
      </c>
      <c r="K18" s="60">
        <f>IF($A18="","",IF(COUNTIFS(tbKRIColetas[ID KRI],$A18)-6+K$5&lt;1,"",SUMIFS(tbKRIColetas[Valor],tbKRIColetas[ID KRI],$A18,tbKRIColetas[Data da coleta],_xlfn.AGGREGATE(15,6,tbKRIColetas[Data da coleta]/(tbKRIColetas[ID KRI]=$A18),COUNTIFS(tbKRIColetas[ID KRI],$A18)-6+K$5))))</f>
        <v>1.42</v>
      </c>
      <c r="L18" s="60">
        <f>IF($A18="","",IF(COUNTIFS(tbKRIColetas[ID KRI],$A18)-6+L$5&lt;1,"",SUMIFS(tbKRIColetas[Valor],tbKRIColetas[ID KRI],$A18,tbKRIColetas[Data da coleta],_xlfn.AGGREGATE(15,6,tbKRIColetas[Data da coleta]/(tbKRIColetas[ID KRI]=$A18),COUNTIFS(tbKRIColetas[ID KRI],$A18)-6+L$5))))</f>
        <v>1.1299999999999999</v>
      </c>
      <c r="M18" s="60">
        <f>IF($A18="","",IF(COUNTIFS(tbKRIColetas[ID KRI],$A18)-6+M$5&lt;1,"",SUMIFS(tbKRIColetas[Valor],tbKRIColetas[ID KRI],$A18,tbKRIColetas[Data da coleta],_xlfn.AGGREGATE(15,6,tbKRIColetas[Data da coleta]/(tbKRIColetas[ID KRI]=$A18),COUNTIFS(tbKRIColetas[ID KRI],$A18)-6+M$5))))</f>
        <v>1.68</v>
      </c>
      <c r="N18" s="60">
        <f>IF($A18="","",IF(COUNTIFS(tbKRIColetas[ID KRI],$A18)-6+N$5&lt;1,"",SUMIFS(tbKRIColetas[Valor],tbKRIColetas[ID KRI],$A18,tbKRIColetas[Data da coleta],_xlfn.AGGREGATE(15,6,tbKRIColetas[Data da coleta]/(tbKRIColetas[ID KRI]=$A18),COUNTIFS(tbKRIColetas[ID KRI],$A18)-6+N$5))))</f>
        <v>1.17</v>
      </c>
      <c r="O18" s="15">
        <f t="shared" si="0"/>
        <v>1.17</v>
      </c>
      <c r="P18" s="42">
        <f t="shared" si="1"/>
        <v>9.6285714285714141E-2</v>
      </c>
      <c r="Q18" s="14" t="str">
        <f t="shared" si="2"/>
        <v>▲ piora</v>
      </c>
      <c r="R18" s="15" t="str">
        <f t="shared" si="3"/>
        <v>OK</v>
      </c>
      <c r="S18" s="65">
        <f>IF($A18="","",IFERROR(_xlfn.AGGREGATE(14,6,tbKRIColetas[Data da coleta]/(tbKRIColetas[ID KRI]=$A18),1),""))</f>
        <v>46387</v>
      </c>
      <c r="T18" s="17">
        <f t="shared" si="4"/>
        <v>46417</v>
      </c>
      <c r="U18" s="13" t="s">
        <v>1276</v>
      </c>
      <c r="V18" s="117" t="s">
        <v>327</v>
      </c>
    </row>
    <row r="19" spans="1:22" ht="45.6">
      <c r="A19" s="115" t="s">
        <v>2125</v>
      </c>
      <c r="B19" s="11" t="s">
        <v>751</v>
      </c>
      <c r="C19" s="41" t="str">
        <f>IF($B19="","",IFERROR(INDEX(Riscos!$C$5:$C$154,MATCH($B19,Riscos!$A$5:$A$154,0)),"ID não encontrado"))</f>
        <v>Degradação de confiabilidade da SS-001 (desgaste de rolete/rasqueta e backlog de manutenção) eleva falhas e tempo de reparo</v>
      </c>
      <c r="D19" s="13" t="s">
        <v>1277</v>
      </c>
      <c r="E19" s="12" t="s">
        <v>1278</v>
      </c>
      <c r="F19" s="12">
        <v>7.4</v>
      </c>
      <c r="G19" s="12" t="s">
        <v>325</v>
      </c>
      <c r="H19" s="12" t="s">
        <v>326</v>
      </c>
      <c r="I19" s="60">
        <f>IF($A19="","",IF(COUNTIFS(tbKRIColetas[ID KRI],$A19)-6+I$5&lt;1,"",SUMIFS(tbKRIColetas[Valor],tbKRIColetas[ID KRI],$A19,tbKRIColetas[Data da coleta],_xlfn.AGGREGATE(15,6,tbKRIColetas[Data da coleta]/(tbKRIColetas[ID KRI]=$A19),COUNTIFS(tbKRIColetas[ID KRI],$A19)-6+I$5))))</f>
        <v>4</v>
      </c>
      <c r="J19" s="60">
        <f>IF($A19="","",IF(COUNTIFS(tbKRIColetas[ID KRI],$A19)-6+J$5&lt;1,"",SUMIFS(tbKRIColetas[Valor],tbKRIColetas[ID KRI],$A19,tbKRIColetas[Data da coleta],_xlfn.AGGREGATE(15,6,tbKRIColetas[Data da coleta]/(tbKRIColetas[ID KRI]=$A19),COUNTIFS(tbKRIColetas[ID KRI],$A19)-6+J$5))))</f>
        <v>2.7</v>
      </c>
      <c r="K19" s="60">
        <f>IF($A19="","",IF(COUNTIFS(tbKRIColetas[ID KRI],$A19)-6+K$5&lt;1,"",SUMIFS(tbKRIColetas[Valor],tbKRIColetas[ID KRI],$A19,tbKRIColetas[Data da coleta],_xlfn.AGGREGATE(15,6,tbKRIColetas[Data da coleta]/(tbKRIColetas[ID KRI]=$A19),COUNTIFS(tbKRIColetas[ID KRI],$A19)-6+K$5))))</f>
        <v>3.21</v>
      </c>
      <c r="L19" s="60">
        <f>IF($A19="","",IF(COUNTIFS(tbKRIColetas[ID KRI],$A19)-6+L$5&lt;1,"",SUMIFS(tbKRIColetas[Valor],tbKRIColetas[ID KRI],$A19,tbKRIColetas[Data da coleta],_xlfn.AGGREGATE(15,6,tbKRIColetas[Data da coleta]/(tbKRIColetas[ID KRI]=$A19),COUNTIFS(tbKRIColetas[ID KRI],$A19)-6+L$5))))</f>
        <v>2.54</v>
      </c>
      <c r="M19" s="60">
        <f>IF($A19="","",IF(COUNTIFS(tbKRIColetas[ID KRI],$A19)-6+M$5&lt;1,"",SUMIFS(tbKRIColetas[Valor],tbKRIColetas[ID KRI],$A19,tbKRIColetas[Data da coleta],_xlfn.AGGREGATE(15,6,tbKRIColetas[Data da coleta]/(tbKRIColetas[ID KRI]=$A19),COUNTIFS(tbKRIColetas[ID KRI],$A19)-6+M$5))))</f>
        <v>2.79</v>
      </c>
      <c r="N19" s="60">
        <f>IF($A19="","",IF(COUNTIFS(tbKRIColetas[ID KRI],$A19)-6+N$5&lt;1,"",SUMIFS(tbKRIColetas[Valor],tbKRIColetas[ID KRI],$A19,tbKRIColetas[Data da coleta],_xlfn.AGGREGATE(15,6,tbKRIColetas[Data da coleta]/(tbKRIColetas[ID KRI]=$A19),COUNTIFS(tbKRIColetas[ID KRI],$A19)-6+N$5))))</f>
        <v>3.72</v>
      </c>
      <c r="O19" s="15">
        <f t="shared" si="0"/>
        <v>3.72</v>
      </c>
      <c r="P19" s="42">
        <f t="shared" si="1"/>
        <v>-5.1428571428570671E-2</v>
      </c>
      <c r="Q19" s="14" t="str">
        <f t="shared" si="2"/>
        <v>▼ melhora</v>
      </c>
      <c r="R19" s="15" t="str">
        <f t="shared" si="3"/>
        <v>OK</v>
      </c>
      <c r="S19" s="65">
        <f>IF($A19="","",IFERROR(_xlfn.AGGREGATE(14,6,tbKRIColetas[Data da coleta]/(tbKRIColetas[ID KRI]=$A19),1),""))</f>
        <v>46387</v>
      </c>
      <c r="T19" s="17">
        <f t="shared" si="4"/>
        <v>46417</v>
      </c>
      <c r="U19" s="13" t="s">
        <v>1279</v>
      </c>
      <c r="V19" s="117" t="s">
        <v>327</v>
      </c>
    </row>
    <row r="20" spans="1:22" ht="34.200000000000003">
      <c r="A20" s="115" t="s">
        <v>2126</v>
      </c>
      <c r="B20" s="11" t="s">
        <v>763</v>
      </c>
      <c r="C20" s="41" t="str">
        <f>IF($B20="","",IFERROR(INDEX(Riscos!$C$5:$C$154,MATCH($B20,Riscos!$A$5:$A$154,0)),"ID não encontrado"))</f>
        <v>Transferência incompleta de foil na HF-001 em alta velocidade, com velocidade real de linha não registrada</v>
      </c>
      <c r="D20" s="13" t="s">
        <v>1280</v>
      </c>
      <c r="E20" s="12" t="s">
        <v>1265</v>
      </c>
      <c r="F20" s="12">
        <v>400</v>
      </c>
      <c r="G20" s="12" t="s">
        <v>325</v>
      </c>
      <c r="H20" s="12" t="s">
        <v>326</v>
      </c>
      <c r="I20" s="60">
        <f>IF($A20="","",IF(COUNTIFS(tbKRIColetas[ID KRI],$A20)-6+I$5&lt;1,"",SUMIFS(tbKRIColetas[Valor],tbKRIColetas[ID KRI],$A20,tbKRIColetas[Data da coleta],_xlfn.AGGREGATE(15,6,tbKRIColetas[Data da coleta]/(tbKRIColetas[ID KRI]=$A20),COUNTIFS(tbKRIColetas[ID KRI],$A20)-6+I$5))))</f>
        <v>156</v>
      </c>
      <c r="J20" s="60">
        <f>IF($A20="","",IF(COUNTIFS(tbKRIColetas[ID KRI],$A20)-6+J$5&lt;1,"",SUMIFS(tbKRIColetas[Valor],tbKRIColetas[ID KRI],$A20,tbKRIColetas[Data da coleta],_xlfn.AGGREGATE(15,6,tbKRIColetas[Data da coleta]/(tbKRIColetas[ID KRI]=$A20),COUNTIFS(tbKRIColetas[ID KRI],$A20)-6+J$5))))</f>
        <v>146</v>
      </c>
      <c r="K20" s="60">
        <f>IF($A20="","",IF(COUNTIFS(tbKRIColetas[ID KRI],$A20)-6+K$5&lt;1,"",SUMIFS(tbKRIColetas[Valor],tbKRIColetas[ID KRI],$A20,tbKRIColetas[Data da coleta],_xlfn.AGGREGATE(15,6,tbKRIColetas[Data da coleta]/(tbKRIColetas[ID KRI]=$A20),COUNTIFS(tbKRIColetas[ID KRI],$A20)-6+K$5))))</f>
        <v>542</v>
      </c>
      <c r="L20" s="60">
        <f>IF($A20="","",IF(COUNTIFS(tbKRIColetas[ID KRI],$A20)-6+L$5&lt;1,"",SUMIFS(tbKRIColetas[Valor],tbKRIColetas[ID KRI],$A20,tbKRIColetas[Data da coleta],_xlfn.AGGREGATE(15,6,tbKRIColetas[Data da coleta]/(tbKRIColetas[ID KRI]=$A20),COUNTIFS(tbKRIColetas[ID KRI],$A20)-6+L$5))))</f>
        <v>429</v>
      </c>
      <c r="M20" s="60">
        <f>IF($A20="","",IF(COUNTIFS(tbKRIColetas[ID KRI],$A20)-6+M$5&lt;1,"",SUMIFS(tbKRIColetas[Valor],tbKRIColetas[ID KRI],$A20,tbKRIColetas[Data da coleta],_xlfn.AGGREGATE(15,6,tbKRIColetas[Data da coleta]/(tbKRIColetas[ID KRI]=$A20),COUNTIFS(tbKRIColetas[ID KRI],$A20)-6+M$5))))</f>
        <v>323</v>
      </c>
      <c r="N20" s="60">
        <f>IF($A20="","",IF(COUNTIFS(tbKRIColetas[ID KRI],$A20)-6+N$5&lt;1,"",SUMIFS(tbKRIColetas[Valor],tbKRIColetas[ID KRI],$A20,tbKRIColetas[Data da coleta],_xlfn.AGGREGATE(15,6,tbKRIColetas[Data da coleta]/(tbKRIColetas[ID KRI]=$A20),COUNTIFS(tbKRIColetas[ID KRI],$A20)-6+N$5))))</f>
        <v>622</v>
      </c>
      <c r="O20" s="15">
        <f t="shared" si="0"/>
        <v>622</v>
      </c>
      <c r="P20" s="42">
        <f t="shared" si="1"/>
        <v>78.51428571428572</v>
      </c>
      <c r="Q20" s="14" t="str">
        <f t="shared" si="2"/>
        <v>▲ piora</v>
      </c>
      <c r="R20" s="15" t="str">
        <f t="shared" si="3"/>
        <v>Estourou</v>
      </c>
      <c r="S20" s="65">
        <f>IF($A20="","",IFERROR(_xlfn.AGGREGATE(14,6,tbKRIColetas[Data da coleta]/(tbKRIColetas[ID KRI]=$A20),1),""))</f>
        <v>46387</v>
      </c>
      <c r="T20" s="17">
        <f t="shared" si="4"/>
        <v>46417</v>
      </c>
      <c r="U20" s="13" t="s">
        <v>1281</v>
      </c>
      <c r="V20" s="117" t="s">
        <v>330</v>
      </c>
    </row>
    <row r="21" spans="1:22" ht="30.6">
      <c r="A21" s="115" t="s">
        <v>2127</v>
      </c>
      <c r="B21" s="11" t="s">
        <v>763</v>
      </c>
      <c r="C21" s="41" t="str">
        <f>IF($B21="","",IFERROR(INDEX(Riscos!$C$5:$C$154,MATCH($B21,Riscos!$A$5:$A$154,0)),"ID não encontrado"))</f>
        <v>Transferência incompleta de foil na HF-001 em alta velocidade, com velocidade real de linha não registrada</v>
      </c>
      <c r="D21" s="13" t="s">
        <v>1282</v>
      </c>
      <c r="E21" s="12" t="s">
        <v>328</v>
      </c>
      <c r="F21" s="12">
        <v>3.5</v>
      </c>
      <c r="G21" s="12" t="s">
        <v>325</v>
      </c>
      <c r="H21" s="12" t="s">
        <v>326</v>
      </c>
      <c r="I21" s="60">
        <f>IF($A21="","",IF(COUNTIFS(tbKRIColetas[ID KRI],$A21)-6+I$5&lt;1,"",SUMIFS(tbKRIColetas[Valor],tbKRIColetas[ID KRI],$A21,tbKRIColetas[Data da coleta],_xlfn.AGGREGATE(15,6,tbKRIColetas[Data da coleta]/(tbKRIColetas[ID KRI]=$A21),COUNTIFS(tbKRIColetas[ID KRI],$A21)-6+I$5))))</f>
        <v>3.13</v>
      </c>
      <c r="J21" s="60">
        <f>IF($A21="","",IF(COUNTIFS(tbKRIColetas[ID KRI],$A21)-6+J$5&lt;1,"",SUMIFS(tbKRIColetas[Valor],tbKRIColetas[ID KRI],$A21,tbKRIColetas[Data da coleta],_xlfn.AGGREGATE(15,6,tbKRIColetas[Data da coleta]/(tbKRIColetas[ID KRI]=$A21),COUNTIFS(tbKRIColetas[ID KRI],$A21)-6+J$5))))</f>
        <v>3.19</v>
      </c>
      <c r="K21" s="60">
        <f>IF($A21="","",IF(COUNTIFS(tbKRIColetas[ID KRI],$A21)-6+K$5&lt;1,"",SUMIFS(tbKRIColetas[Valor],tbKRIColetas[ID KRI],$A21,tbKRIColetas[Data da coleta],_xlfn.AGGREGATE(15,6,tbKRIColetas[Data da coleta]/(tbKRIColetas[ID KRI]=$A21),COUNTIFS(tbKRIColetas[ID KRI],$A21)-6+K$5))))</f>
        <v>4.2300000000000004</v>
      </c>
      <c r="L21" s="60">
        <f>IF($A21="","",IF(COUNTIFS(tbKRIColetas[ID KRI],$A21)-6+L$5&lt;1,"",SUMIFS(tbKRIColetas[Valor],tbKRIColetas[ID KRI],$A21,tbKRIColetas[Data da coleta],_xlfn.AGGREGATE(15,6,tbKRIColetas[Data da coleta]/(tbKRIColetas[ID KRI]=$A21),COUNTIFS(tbKRIColetas[ID KRI],$A21)-6+L$5))))</f>
        <v>4.49</v>
      </c>
      <c r="M21" s="60">
        <f>IF($A21="","",IF(COUNTIFS(tbKRIColetas[ID KRI],$A21)-6+M$5&lt;1,"",SUMIFS(tbKRIColetas[Valor],tbKRIColetas[ID KRI],$A21,tbKRIColetas[Data da coleta],_xlfn.AGGREGATE(15,6,tbKRIColetas[Data da coleta]/(tbKRIColetas[ID KRI]=$A21),COUNTIFS(tbKRIColetas[ID KRI],$A21)-6+M$5))))</f>
        <v>4.4400000000000004</v>
      </c>
      <c r="N21" s="60">
        <f>IF($A21="","",IF(COUNTIFS(tbKRIColetas[ID KRI],$A21)-6+N$5&lt;1,"",SUMIFS(tbKRIColetas[Valor],tbKRIColetas[ID KRI],$A21,tbKRIColetas[Data da coleta],_xlfn.AGGREGATE(15,6,tbKRIColetas[Data da coleta]/(tbKRIColetas[ID KRI]=$A21),COUNTIFS(tbKRIColetas[ID KRI],$A21)-6+N$5))))</f>
        <v>3.18</v>
      </c>
      <c r="O21" s="15">
        <f t="shared" si="0"/>
        <v>3.18</v>
      </c>
      <c r="P21" s="42">
        <f t="shared" si="1"/>
        <v>0.12171428571428654</v>
      </c>
      <c r="Q21" s="14" t="str">
        <f t="shared" si="2"/>
        <v>▲ piora</v>
      </c>
      <c r="R21" s="15" t="str">
        <f t="shared" si="3"/>
        <v>Atenção</v>
      </c>
      <c r="S21" s="65">
        <f>IF($A21="","",IFERROR(_xlfn.AGGREGATE(14,6,tbKRIColetas[Data da coleta]/(tbKRIColetas[ID KRI]=$A21),1),""))</f>
        <v>46387</v>
      </c>
      <c r="T21" s="17">
        <f t="shared" si="4"/>
        <v>46417</v>
      </c>
      <c r="U21" s="13" t="s">
        <v>1283</v>
      </c>
      <c r="V21" s="117" t="s">
        <v>330</v>
      </c>
    </row>
    <row r="22" spans="1:22" ht="34.200000000000003">
      <c r="A22" s="115" t="s">
        <v>2128</v>
      </c>
      <c r="B22" s="11" t="s">
        <v>776</v>
      </c>
      <c r="C22" s="41" t="str">
        <f>IF($B22="","",IFERROR(INDEX(Riscos!$C$5:$C$154,MATCH($B22,Riscos!$A$5:$A$154,0)),"ID não encontrado"))</f>
        <v>Prêmio de defeito no turno 2 (fadiga/handover) eleva a rejeição em todos os processos</v>
      </c>
      <c r="D22" s="13" t="s">
        <v>1284</v>
      </c>
      <c r="E22" s="12" t="s">
        <v>328</v>
      </c>
      <c r="F22" s="12">
        <v>2.5</v>
      </c>
      <c r="G22" s="12" t="s">
        <v>325</v>
      </c>
      <c r="H22" s="12" t="s">
        <v>326</v>
      </c>
      <c r="I22" s="60">
        <f>IF($A22="","",IF(COUNTIFS(tbKRIColetas[ID KRI],$A22)-6+I$5&lt;1,"",SUMIFS(tbKRIColetas[Valor],tbKRIColetas[ID KRI],$A22,tbKRIColetas[Data da coleta],_xlfn.AGGREGATE(15,6,tbKRIColetas[Data da coleta]/(tbKRIColetas[ID KRI]=$A22),COUNTIFS(tbKRIColetas[ID KRI],$A22)-6+I$5))))</f>
        <v>2.73</v>
      </c>
      <c r="J22" s="60">
        <f>IF($A22="","",IF(COUNTIFS(tbKRIColetas[ID KRI],$A22)-6+J$5&lt;1,"",SUMIFS(tbKRIColetas[Valor],tbKRIColetas[ID KRI],$A22,tbKRIColetas[Data da coleta],_xlfn.AGGREGATE(15,6,tbKRIColetas[Data da coleta]/(tbKRIColetas[ID KRI]=$A22),COUNTIFS(tbKRIColetas[ID KRI],$A22)-6+J$5))))</f>
        <v>2.72</v>
      </c>
      <c r="K22" s="60">
        <f>IF($A22="","",IF(COUNTIFS(tbKRIColetas[ID KRI],$A22)-6+K$5&lt;1,"",SUMIFS(tbKRIColetas[Valor],tbKRIColetas[ID KRI],$A22,tbKRIColetas[Data da coleta],_xlfn.AGGREGATE(15,6,tbKRIColetas[Data da coleta]/(tbKRIColetas[ID KRI]=$A22),COUNTIFS(tbKRIColetas[ID KRI],$A22)-6+K$5))))</f>
        <v>3.04</v>
      </c>
      <c r="L22" s="60">
        <f>IF($A22="","",IF(COUNTIFS(tbKRIColetas[ID KRI],$A22)-6+L$5&lt;1,"",SUMIFS(tbKRIColetas[Valor],tbKRIColetas[ID KRI],$A22,tbKRIColetas[Data da coleta],_xlfn.AGGREGATE(15,6,tbKRIColetas[Data da coleta]/(tbKRIColetas[ID KRI]=$A22),COUNTIFS(tbKRIColetas[ID KRI],$A22)-6+L$5))))</f>
        <v>2.94</v>
      </c>
      <c r="M22" s="60">
        <f>IF($A22="","",IF(COUNTIFS(tbKRIColetas[ID KRI],$A22)-6+M$5&lt;1,"",SUMIFS(tbKRIColetas[Valor],tbKRIColetas[ID KRI],$A22,tbKRIColetas[Data da coleta],_xlfn.AGGREGATE(15,6,tbKRIColetas[Data da coleta]/(tbKRIColetas[ID KRI]=$A22),COUNTIFS(tbKRIColetas[ID KRI],$A22)-6+M$5))))</f>
        <v>2.79</v>
      </c>
      <c r="N22" s="60">
        <f>IF($A22="","",IF(COUNTIFS(tbKRIColetas[ID KRI],$A22)-6+N$5&lt;1,"",SUMIFS(tbKRIColetas[Valor],tbKRIColetas[ID KRI],$A22,tbKRIColetas[Data da coleta],_xlfn.AGGREGATE(15,6,tbKRIColetas[Data da coleta]/(tbKRIColetas[ID KRI]=$A22),COUNTIFS(tbKRIColetas[ID KRI],$A22)-6+N$5))))</f>
        <v>2.71</v>
      </c>
      <c r="O22" s="15">
        <f t="shared" si="0"/>
        <v>2.71</v>
      </c>
      <c r="P22" s="42">
        <f t="shared" si="1"/>
        <v>2.8571428571456725E-4</v>
      </c>
      <c r="Q22" s="14" t="str">
        <f t="shared" si="2"/>
        <v>▲ piora</v>
      </c>
      <c r="R22" s="15" t="str">
        <f t="shared" si="3"/>
        <v>Estourou</v>
      </c>
      <c r="S22" s="65">
        <f>IF($A22="","",IFERROR(_xlfn.AGGREGATE(14,6,tbKRIColetas[Data da coleta]/(tbKRIColetas[ID KRI]=$A22),1),""))</f>
        <v>46387</v>
      </c>
      <c r="T22" s="17">
        <f t="shared" si="4"/>
        <v>46417</v>
      </c>
      <c r="U22" s="13" t="s">
        <v>1285</v>
      </c>
      <c r="V22" s="117" t="s">
        <v>330</v>
      </c>
    </row>
    <row r="23" spans="1:22" ht="45.6">
      <c r="A23" s="115" t="s">
        <v>2129</v>
      </c>
      <c r="B23" s="11" t="s">
        <v>818</v>
      </c>
      <c r="C23" s="41" t="str">
        <f>IF($B23="","",IFERROR(INDEX(Riscos!$C$5:$C$154,MATCH($B23,Riscos!$A$5:$A$154,0)),"ID não encontrado"))</f>
        <v>Lotes de matéria-prima fora de especificação do fornecedor SUP-005 (compra spot, PP/PVC) chegam à produção</v>
      </c>
      <c r="D23" s="13" t="s">
        <v>1286</v>
      </c>
      <c r="E23" s="12" t="s">
        <v>328</v>
      </c>
      <c r="F23" s="12">
        <v>15</v>
      </c>
      <c r="G23" s="12" t="s">
        <v>325</v>
      </c>
      <c r="H23" s="12" t="s">
        <v>326</v>
      </c>
      <c r="I23" s="60">
        <f>IF($A23="","",IF(COUNTIFS(tbKRIColetas[ID KRI],$A23)-6+I$5&lt;1,"",SUMIFS(tbKRIColetas[Valor],tbKRIColetas[ID KRI],$A23,tbKRIColetas[Data da coleta],_xlfn.AGGREGATE(15,6,tbKRIColetas[Data da coleta]/(tbKRIColetas[ID KRI]=$A23),COUNTIFS(tbKRIColetas[ID KRI],$A23)-6+I$5))))</f>
        <v>7.7</v>
      </c>
      <c r="J23" s="60">
        <f>IF($A23="","",IF(COUNTIFS(tbKRIColetas[ID KRI],$A23)-6+J$5&lt;1,"",SUMIFS(tbKRIColetas[Valor],tbKRIColetas[ID KRI],$A23,tbKRIColetas[Data da coleta],_xlfn.AGGREGATE(15,6,tbKRIColetas[Data da coleta]/(tbKRIColetas[ID KRI]=$A23),COUNTIFS(tbKRIColetas[ID KRI],$A23)-6+J$5))))</f>
        <v>12.5</v>
      </c>
      <c r="K23" s="60">
        <f>IF($A23="","",IF(COUNTIFS(tbKRIColetas[ID KRI],$A23)-6+K$5&lt;1,"",SUMIFS(tbKRIColetas[Valor],tbKRIColetas[ID KRI],$A23,tbKRIColetas[Data da coleta],_xlfn.AGGREGATE(15,6,tbKRIColetas[Data da coleta]/(tbKRIColetas[ID KRI]=$A23),COUNTIFS(tbKRIColetas[ID KRI],$A23)-6+K$5))))</f>
        <v>14.3</v>
      </c>
      <c r="L23" s="60">
        <f>IF($A23="","",IF(COUNTIFS(tbKRIColetas[ID KRI],$A23)-6+L$5&lt;1,"",SUMIFS(tbKRIColetas[Valor],tbKRIColetas[ID KRI],$A23,tbKRIColetas[Data da coleta],_xlfn.AGGREGATE(15,6,tbKRIColetas[Data da coleta]/(tbKRIColetas[ID KRI]=$A23),COUNTIFS(tbKRIColetas[ID KRI],$A23)-6+L$5))))</f>
        <v>17.600000000000001</v>
      </c>
      <c r="M23" s="60">
        <f>IF($A23="","",IF(COUNTIFS(tbKRIColetas[ID KRI],$A23)-6+M$5&lt;1,"",SUMIFS(tbKRIColetas[Valor],tbKRIColetas[ID KRI],$A23,tbKRIColetas[Data da coleta],_xlfn.AGGREGATE(15,6,tbKRIColetas[Data da coleta]/(tbKRIColetas[ID KRI]=$A23),COUNTIFS(tbKRIColetas[ID KRI],$A23)-6+M$5))))</f>
        <v>50</v>
      </c>
      <c r="N23" s="60">
        <f>IF($A23="","",IF(COUNTIFS(tbKRIColetas[ID KRI],$A23)-6+N$5&lt;1,"",SUMIFS(tbKRIColetas[Valor],tbKRIColetas[ID KRI],$A23,tbKRIColetas[Data da coleta],_xlfn.AGGREGATE(15,6,tbKRIColetas[Data da coleta]/(tbKRIColetas[ID KRI]=$A23),COUNTIFS(tbKRIColetas[ID KRI],$A23)-6+N$5))))</f>
        <v>50</v>
      </c>
      <c r="O23" s="15">
        <f t="shared" si="0"/>
        <v>50</v>
      </c>
      <c r="P23" s="42">
        <f t="shared" si="1"/>
        <v>9.3514285714285723</v>
      </c>
      <c r="Q23" s="14" t="str">
        <f t="shared" si="2"/>
        <v>▲ piora</v>
      </c>
      <c r="R23" s="15" t="str">
        <f t="shared" si="3"/>
        <v>Estourou</v>
      </c>
      <c r="S23" s="65">
        <f>IF($A23="","",IFERROR(_xlfn.AGGREGATE(14,6,tbKRIColetas[Data da coleta]/(tbKRIColetas[ID KRI]=$A23),1),""))</f>
        <v>46387</v>
      </c>
      <c r="T23" s="17">
        <f t="shared" si="4"/>
        <v>46417</v>
      </c>
      <c r="U23" s="13" t="s">
        <v>1287</v>
      </c>
      <c r="V23" s="117" t="s">
        <v>327</v>
      </c>
    </row>
    <row r="24" spans="1:22" ht="30.6">
      <c r="A24" s="115" t="s">
        <v>2130</v>
      </c>
      <c r="B24" s="11" t="s">
        <v>818</v>
      </c>
      <c r="C24" s="41" t="str">
        <f>IF($B24="","",IFERROR(INDEX(Riscos!$C$5:$C$154,MATCH($B24,Riscos!$A$5:$A$154,0)),"ID não encontrado"))</f>
        <v>Lotes de matéria-prima fora de especificação do fornecedor SUP-005 (compra spot, PP/PVC) chegam à produção</v>
      </c>
      <c r="D24" s="13" t="s">
        <v>1288</v>
      </c>
      <c r="E24" s="12" t="s">
        <v>324</v>
      </c>
      <c r="F24" s="12">
        <v>4</v>
      </c>
      <c r="G24" s="12" t="s">
        <v>325</v>
      </c>
      <c r="H24" s="12" t="s">
        <v>326</v>
      </c>
      <c r="I24" s="60">
        <f>IF($A24="","",IF(COUNTIFS(tbKRIColetas[ID KRI],$A24)-6+I$5&lt;1,"",SUMIFS(tbKRIColetas[Valor],tbKRIColetas[ID KRI],$A24,tbKRIColetas[Data da coleta],_xlfn.AGGREGATE(15,6,tbKRIColetas[Data da coleta]/(tbKRIColetas[ID KRI]=$A24),COUNTIFS(tbKRIColetas[ID KRI],$A24)-6+I$5))))</f>
        <v>3</v>
      </c>
      <c r="J24" s="60">
        <f>IF($A24="","",IF(COUNTIFS(tbKRIColetas[ID KRI],$A24)-6+J$5&lt;1,"",SUMIFS(tbKRIColetas[Valor],tbKRIColetas[ID KRI],$A24,tbKRIColetas[Data da coleta],_xlfn.AGGREGATE(15,6,tbKRIColetas[Data da coleta]/(tbKRIColetas[ID KRI]=$A24),COUNTIFS(tbKRIColetas[ID KRI],$A24)-6+J$5))))</f>
        <v>1</v>
      </c>
      <c r="K24" s="60">
        <f>IF($A24="","",IF(COUNTIFS(tbKRIColetas[ID KRI],$A24)-6+K$5&lt;1,"",SUMIFS(tbKRIColetas[Valor],tbKRIColetas[ID KRI],$A24,tbKRIColetas[Data da coleta],_xlfn.AGGREGATE(15,6,tbKRIColetas[Data da coleta]/(tbKRIColetas[ID KRI]=$A24),COUNTIFS(tbKRIColetas[ID KRI],$A24)-6+K$5))))</f>
        <v>2</v>
      </c>
      <c r="L24" s="60">
        <f>IF($A24="","",IF(COUNTIFS(tbKRIColetas[ID KRI],$A24)-6+L$5&lt;1,"",SUMIFS(tbKRIColetas[Valor],tbKRIColetas[ID KRI],$A24,tbKRIColetas[Data da coleta],_xlfn.AGGREGATE(15,6,tbKRIColetas[Data da coleta]/(tbKRIColetas[ID KRI]=$A24),COUNTIFS(tbKRIColetas[ID KRI],$A24)-6+L$5))))</f>
        <v>5</v>
      </c>
      <c r="M24" s="60">
        <f>IF($A24="","",IF(COUNTIFS(tbKRIColetas[ID KRI],$A24)-6+M$5&lt;1,"",SUMIFS(tbKRIColetas[Valor],tbKRIColetas[ID KRI],$A24,tbKRIColetas[Data da coleta],_xlfn.AGGREGATE(15,6,tbKRIColetas[Data da coleta]/(tbKRIColetas[ID KRI]=$A24),COUNTIFS(tbKRIColetas[ID KRI],$A24)-6+M$5))))</f>
        <v>6</v>
      </c>
      <c r="N24" s="60">
        <f>IF($A24="","",IF(COUNTIFS(tbKRIColetas[ID KRI],$A24)-6+N$5&lt;1,"",SUMIFS(tbKRIColetas[Valor],tbKRIColetas[ID KRI],$A24,tbKRIColetas[Data da coleta],_xlfn.AGGREGATE(15,6,tbKRIColetas[Data da coleta]/(tbKRIColetas[ID KRI]=$A24),COUNTIFS(tbKRIColetas[ID KRI],$A24)-6+N$5))))</f>
        <v>4</v>
      </c>
      <c r="O24" s="15">
        <f t="shared" si="0"/>
        <v>4</v>
      </c>
      <c r="P24" s="42">
        <f t="shared" si="1"/>
        <v>0.65714285714285714</v>
      </c>
      <c r="Q24" s="14" t="str">
        <f t="shared" si="2"/>
        <v>▲ piora</v>
      </c>
      <c r="R24" s="15" t="str">
        <f t="shared" si="3"/>
        <v>Atenção</v>
      </c>
      <c r="S24" s="65">
        <f>IF($A24="","",IFERROR(_xlfn.AGGREGATE(14,6,tbKRIColetas[Data da coleta]/(tbKRIColetas[ID KRI]=$A24),1),""))</f>
        <v>46387</v>
      </c>
      <c r="T24" s="17">
        <f t="shared" si="4"/>
        <v>46417</v>
      </c>
      <c r="U24" s="13" t="s">
        <v>1289</v>
      </c>
      <c r="V24" s="117" t="s">
        <v>330</v>
      </c>
    </row>
    <row r="25" spans="1:22" ht="34.200000000000003">
      <c r="A25" s="115" t="s">
        <v>2131</v>
      </c>
      <c r="B25" s="11" t="s">
        <v>809</v>
      </c>
      <c r="C25" s="41" t="str">
        <f>IF($B25="","",IFERROR(INDEX(Riscos!$C$5:$C$154,MATCH($B25,Riscos!$A$5:$A$154,0)),"ID não encontrado"))</f>
        <v>Volatilidade de qualidade e disponibilidade de PCR/rPET e troca de fornecedor de HDPE-PCR</v>
      </c>
      <c r="D25" s="13" t="s">
        <v>1290</v>
      </c>
      <c r="E25" s="12" t="s">
        <v>328</v>
      </c>
      <c r="F25" s="12">
        <v>8</v>
      </c>
      <c r="G25" s="12" t="s">
        <v>325</v>
      </c>
      <c r="H25" s="12" t="s">
        <v>326</v>
      </c>
      <c r="I25" s="60">
        <f>IF($A25="","",IF(COUNTIFS(tbKRIColetas[ID KRI],$A25)-6+I$5&lt;1,"",SUMIFS(tbKRIColetas[Valor],tbKRIColetas[ID KRI],$A25,tbKRIColetas[Data da coleta],_xlfn.AGGREGATE(15,6,tbKRIColetas[Data da coleta]/(tbKRIColetas[ID KRI]=$A25),COUNTIFS(tbKRIColetas[ID KRI],$A25)-6+I$5))))</f>
        <v>7.8</v>
      </c>
      <c r="J25" s="60">
        <f>IF($A25="","",IF(COUNTIFS(tbKRIColetas[ID KRI],$A25)-6+J$5&lt;1,"",SUMIFS(tbKRIColetas[Valor],tbKRIColetas[ID KRI],$A25,tbKRIColetas[Data da coleta],_xlfn.AGGREGATE(15,6,tbKRIColetas[Data da coleta]/(tbKRIColetas[ID KRI]=$A25),COUNTIFS(tbKRIColetas[ID KRI],$A25)-6+J$5))))</f>
        <v>5.6</v>
      </c>
      <c r="K25" s="60">
        <f>IF($A25="","",IF(COUNTIFS(tbKRIColetas[ID KRI],$A25)-6+K$5&lt;1,"",SUMIFS(tbKRIColetas[Valor],tbKRIColetas[ID KRI],$A25,tbKRIColetas[Data da coleta],_xlfn.AGGREGATE(15,6,tbKRIColetas[Data da coleta]/(tbKRIColetas[ID KRI]=$A25),COUNTIFS(tbKRIColetas[ID KRI],$A25)-6+K$5))))</f>
        <v>7.1</v>
      </c>
      <c r="L25" s="60">
        <f>IF($A25="","",IF(COUNTIFS(tbKRIColetas[ID KRI],$A25)-6+L$5&lt;1,"",SUMIFS(tbKRIColetas[Valor],tbKRIColetas[ID KRI],$A25,tbKRIColetas[Data da coleta],_xlfn.AGGREGATE(15,6,tbKRIColetas[Data da coleta]/(tbKRIColetas[ID KRI]=$A25),COUNTIFS(tbKRIColetas[ID KRI],$A25)-6+L$5))))</f>
        <v>11.3</v>
      </c>
      <c r="M25" s="60">
        <f>IF($A25="","",IF(COUNTIFS(tbKRIColetas[ID KRI],$A25)-6+M$5&lt;1,"",SUMIFS(tbKRIColetas[Valor],tbKRIColetas[ID KRI],$A25,tbKRIColetas[Data da coleta],_xlfn.AGGREGATE(15,6,tbKRIColetas[Data da coleta]/(tbKRIColetas[ID KRI]=$A25),COUNTIFS(tbKRIColetas[ID KRI],$A25)-6+M$5))))</f>
        <v>12.5</v>
      </c>
      <c r="N25" s="60">
        <f>IF($A25="","",IF(COUNTIFS(tbKRIColetas[ID KRI],$A25)-6+N$5&lt;1,"",SUMIFS(tbKRIColetas[Valor],tbKRIColetas[ID KRI],$A25,tbKRIColetas[Data da coleta],_xlfn.AGGREGATE(15,6,tbKRIColetas[Data da coleta]/(tbKRIColetas[ID KRI]=$A25),COUNTIFS(tbKRIColetas[ID KRI],$A25)-6+N$5))))</f>
        <v>9.5</v>
      </c>
      <c r="O25" s="15">
        <f t="shared" si="0"/>
        <v>9.5</v>
      </c>
      <c r="P25" s="42">
        <f t="shared" si="1"/>
        <v>0.95428571428571474</v>
      </c>
      <c r="Q25" s="14" t="str">
        <f t="shared" si="2"/>
        <v>▲ piora</v>
      </c>
      <c r="R25" s="15" t="str">
        <f t="shared" si="3"/>
        <v>Estourou</v>
      </c>
      <c r="S25" s="65">
        <f>IF($A25="","",IFERROR(_xlfn.AGGREGATE(14,6,tbKRIColetas[Data da coleta]/(tbKRIColetas[ID KRI]=$A25),1),""))</f>
        <v>46387</v>
      </c>
      <c r="T25" s="17">
        <f t="shared" si="4"/>
        <v>46417</v>
      </c>
      <c r="U25" s="13" t="s">
        <v>1291</v>
      </c>
      <c r="V25" s="117" t="s">
        <v>327</v>
      </c>
    </row>
    <row r="26" spans="1:22" ht="34.200000000000003">
      <c r="A26" s="115" t="s">
        <v>2132</v>
      </c>
      <c r="B26" s="11" t="s">
        <v>845</v>
      </c>
      <c r="C26" s="41" t="str">
        <f>IF($B26="","",IFERROR(INDEX(Riscos!$C$5:$C$154,MATCH($B26,Riscos!$A$5:$A$154,0)),"ID não encontrado"))</f>
        <v>Falta de matéria-prima interrompe ordens de produção (parada por Raw Material Shortage)</v>
      </c>
      <c r="D26" s="13" t="s">
        <v>1292</v>
      </c>
      <c r="E26" s="12" t="s">
        <v>1259</v>
      </c>
      <c r="F26" s="12">
        <v>120</v>
      </c>
      <c r="G26" s="12" t="s">
        <v>325</v>
      </c>
      <c r="H26" s="12" t="s">
        <v>326</v>
      </c>
      <c r="I26" s="60">
        <f>IF($A26="","",IF(COUNTIFS(tbKRIColetas[ID KRI],$A26)-6+I$5&lt;1,"",SUMIFS(tbKRIColetas[Valor],tbKRIColetas[ID KRI],$A26,tbKRIColetas[Data da coleta],_xlfn.AGGREGATE(15,6,tbKRIColetas[Data da coleta]/(tbKRIColetas[ID KRI]=$A26),COUNTIFS(tbKRIColetas[ID KRI],$A26)-6+I$5))))</f>
        <v>174</v>
      </c>
      <c r="J26" s="60">
        <f>IF($A26="","",IF(COUNTIFS(tbKRIColetas[ID KRI],$A26)-6+J$5&lt;1,"",SUMIFS(tbKRIColetas[Valor],tbKRIColetas[ID KRI],$A26,tbKRIColetas[Data da coleta],_xlfn.AGGREGATE(15,6,tbKRIColetas[Data da coleta]/(tbKRIColetas[ID KRI]=$A26),COUNTIFS(tbKRIColetas[ID KRI],$A26)-6+J$5))))</f>
        <v>145</v>
      </c>
      <c r="K26" s="60">
        <f>IF($A26="","",IF(COUNTIFS(tbKRIColetas[ID KRI],$A26)-6+K$5&lt;1,"",SUMIFS(tbKRIColetas[Valor],tbKRIColetas[ID KRI],$A26,tbKRIColetas[Data da coleta],_xlfn.AGGREGATE(15,6,tbKRIColetas[Data da coleta]/(tbKRIColetas[ID KRI]=$A26),COUNTIFS(tbKRIColetas[ID KRI],$A26)-6+K$5))))</f>
        <v>181</v>
      </c>
      <c r="L26" s="60">
        <f>IF($A26="","",IF(COUNTIFS(tbKRIColetas[ID KRI],$A26)-6+L$5&lt;1,"",SUMIFS(tbKRIColetas[Valor],tbKRIColetas[ID KRI],$A26,tbKRIColetas[Data da coleta],_xlfn.AGGREGATE(15,6,tbKRIColetas[Data da coleta]/(tbKRIColetas[ID KRI]=$A26),COUNTIFS(tbKRIColetas[ID KRI],$A26)-6+L$5))))</f>
        <v>157</v>
      </c>
      <c r="M26" s="60">
        <f>IF($A26="","",IF(COUNTIFS(tbKRIColetas[ID KRI],$A26)-6+M$5&lt;1,"",SUMIFS(tbKRIColetas[Valor],tbKRIColetas[ID KRI],$A26,tbKRIColetas[Data da coleta],_xlfn.AGGREGATE(15,6,tbKRIColetas[Data da coleta]/(tbKRIColetas[ID KRI]=$A26),COUNTIFS(tbKRIColetas[ID KRI],$A26)-6+M$5))))</f>
        <v>139</v>
      </c>
      <c r="N26" s="60">
        <f>IF($A26="","",IF(COUNTIFS(tbKRIColetas[ID KRI],$A26)-6+N$5&lt;1,"",SUMIFS(tbKRIColetas[Valor],tbKRIColetas[ID KRI],$A26,tbKRIColetas[Data da coleta],_xlfn.AGGREGATE(15,6,tbKRIColetas[Data da coleta]/(tbKRIColetas[ID KRI]=$A26),COUNTIFS(tbKRIColetas[ID KRI],$A26)-6+N$5))))</f>
        <v>155</v>
      </c>
      <c r="O26" s="15">
        <f t="shared" si="0"/>
        <v>155</v>
      </c>
      <c r="P26" s="42">
        <f t="shared" si="1"/>
        <v>-3.9142857142857141</v>
      </c>
      <c r="Q26" s="14" t="str">
        <f t="shared" si="2"/>
        <v>▼ melhora</v>
      </c>
      <c r="R26" s="15" t="str">
        <f t="shared" si="3"/>
        <v>Estourou</v>
      </c>
      <c r="S26" s="65">
        <f>IF($A26="","",IFERROR(_xlfn.AGGREGATE(14,6,tbKRIColetas[Data da coleta]/(tbKRIColetas[ID KRI]=$A26),1),""))</f>
        <v>46387</v>
      </c>
      <c r="T26" s="17">
        <f t="shared" si="4"/>
        <v>46417</v>
      </c>
      <c r="U26" s="13" t="s">
        <v>1293</v>
      </c>
      <c r="V26" s="117" t="s">
        <v>330</v>
      </c>
    </row>
    <row r="27" spans="1:22" ht="34.200000000000003">
      <c r="A27" s="115" t="s">
        <v>2133</v>
      </c>
      <c r="B27" s="11" t="s">
        <v>858</v>
      </c>
      <c r="C27" s="41" t="str">
        <f>IF($B27="","",IFERROR(INDEX(Riscos!$C$5:$C$154,MATCH($B27,Riscos!$A$5:$A$154,0)),"ID não encontrado"))</f>
        <v>Escape de lote marginal ao cliente: passa na amostragem AQL, mas gera reclamação</v>
      </c>
      <c r="D27" s="13" t="s">
        <v>1294</v>
      </c>
      <c r="E27" s="12" t="s">
        <v>1295</v>
      </c>
      <c r="F27" s="12">
        <v>4</v>
      </c>
      <c r="G27" s="12" t="s">
        <v>325</v>
      </c>
      <c r="H27" s="12" t="s">
        <v>326</v>
      </c>
      <c r="I27" s="60">
        <f>IF($A27="","",IF(COUNTIFS(tbKRIColetas[ID KRI],$A27)-6+I$5&lt;1,"",SUMIFS(tbKRIColetas[Valor],tbKRIColetas[ID KRI],$A27,tbKRIColetas[Data da coleta],_xlfn.AGGREGATE(15,6,tbKRIColetas[Data da coleta]/(tbKRIColetas[ID KRI]=$A27),COUNTIFS(tbKRIColetas[ID KRI],$A27)-6+I$5))))</f>
        <v>4.53</v>
      </c>
      <c r="J27" s="60">
        <f>IF($A27="","",IF(COUNTIFS(tbKRIColetas[ID KRI],$A27)-6+J$5&lt;1,"",SUMIFS(tbKRIColetas[Valor],tbKRIColetas[ID KRI],$A27,tbKRIColetas[Data da coleta],_xlfn.AGGREGATE(15,6,tbKRIColetas[Data da coleta]/(tbKRIColetas[ID KRI]=$A27),COUNTIFS(tbKRIColetas[ID KRI],$A27)-6+J$5))))</f>
        <v>3.77</v>
      </c>
      <c r="K27" s="60">
        <f>IF($A27="","",IF(COUNTIFS(tbKRIColetas[ID KRI],$A27)-6+K$5&lt;1,"",SUMIFS(tbKRIColetas[Valor],tbKRIColetas[ID KRI],$A27,tbKRIColetas[Data da coleta],_xlfn.AGGREGATE(15,6,tbKRIColetas[Data da coleta]/(tbKRIColetas[ID KRI]=$A27),COUNTIFS(tbKRIColetas[ID KRI],$A27)-6+K$5))))</f>
        <v>7.61</v>
      </c>
      <c r="L27" s="60">
        <f>IF($A27="","",IF(COUNTIFS(tbKRIColetas[ID KRI],$A27)-6+L$5&lt;1,"",SUMIFS(tbKRIColetas[Valor],tbKRIColetas[ID KRI],$A27,tbKRIColetas[Data da coleta],_xlfn.AGGREGATE(15,6,tbKRIColetas[Data da coleta]/(tbKRIColetas[ID KRI]=$A27),COUNTIFS(tbKRIColetas[ID KRI],$A27)-6+L$5))))</f>
        <v>4.22</v>
      </c>
      <c r="M27" s="60">
        <f>IF($A27="","",IF(COUNTIFS(tbKRIColetas[ID KRI],$A27)-6+M$5&lt;1,"",SUMIFS(tbKRIColetas[Valor],tbKRIColetas[ID KRI],$A27,tbKRIColetas[Data da coleta],_xlfn.AGGREGATE(15,6,tbKRIColetas[Data da coleta]/(tbKRIColetas[ID KRI]=$A27),COUNTIFS(tbKRIColetas[ID KRI],$A27)-6+M$5))))</f>
        <v>4.58</v>
      </c>
      <c r="N27" s="60">
        <f>IF($A27="","",IF(COUNTIFS(tbKRIColetas[ID KRI],$A27)-6+N$5&lt;1,"",SUMIFS(tbKRIColetas[Valor],tbKRIColetas[ID KRI],$A27,tbKRIColetas[Data da coleta],_xlfn.AGGREGATE(15,6,tbKRIColetas[Data da coleta]/(tbKRIColetas[ID KRI]=$A27),COUNTIFS(tbKRIColetas[ID KRI],$A27)-6+N$5))))</f>
        <v>4.9000000000000004</v>
      </c>
      <c r="O27" s="15">
        <f t="shared" si="0"/>
        <v>4.9000000000000004</v>
      </c>
      <c r="P27" s="42">
        <f t="shared" si="1"/>
        <v>2.5428571428572123E-2</v>
      </c>
      <c r="Q27" s="14" t="str">
        <f t="shared" si="2"/>
        <v>▲ piora</v>
      </c>
      <c r="R27" s="15" t="str">
        <f t="shared" si="3"/>
        <v>Estourou</v>
      </c>
      <c r="S27" s="65">
        <f>IF($A27="","",IFERROR(_xlfn.AGGREGATE(14,6,tbKRIColetas[Data da coleta]/(tbKRIColetas[ID KRI]=$A27),1),""))</f>
        <v>46387</v>
      </c>
      <c r="T27" s="17">
        <f t="shared" si="4"/>
        <v>46417</v>
      </c>
      <c r="U27" s="13" t="s">
        <v>1296</v>
      </c>
      <c r="V27" s="117" t="s">
        <v>330</v>
      </c>
    </row>
    <row r="28" spans="1:22" ht="45.6">
      <c r="A28" s="115" t="s">
        <v>2134</v>
      </c>
      <c r="B28" s="11" t="s">
        <v>775</v>
      </c>
      <c r="C28" s="41" t="str">
        <f>IF($B28="","",IFERROR(INDEX(Riscos!$C$5:$C$154,MATCH($B28,Riscos!$A$5:$A$154,0)),"ID não encontrado"))</f>
        <v>Parâmetros críticos (velocidade, ciclos, pressão, temperatura) não são registrados na hora, impedindo detecção antecipada</v>
      </c>
      <c r="D28" s="13" t="s">
        <v>1297</v>
      </c>
      <c r="E28" s="12" t="s">
        <v>328</v>
      </c>
      <c r="F28" s="12">
        <v>80</v>
      </c>
      <c r="G28" s="12" t="s">
        <v>1262</v>
      </c>
      <c r="H28" s="12" t="s">
        <v>326</v>
      </c>
      <c r="I28" s="60">
        <f>IF($A28="","",IF(COUNTIFS(tbKRIColetas[ID KRI],$A28)-6+I$5&lt;1,"",SUMIFS(tbKRIColetas[Valor],tbKRIColetas[ID KRI],$A28,tbKRIColetas[Data da coleta],_xlfn.AGGREGATE(15,6,tbKRIColetas[Data da coleta]/(tbKRIColetas[ID KRI]=$A28),COUNTIFS(tbKRIColetas[ID KRI],$A28)-6+I$5))))</f>
        <v>74.7</v>
      </c>
      <c r="J28" s="60">
        <f>IF($A28="","",IF(COUNTIFS(tbKRIColetas[ID KRI],$A28)-6+J$5&lt;1,"",SUMIFS(tbKRIColetas[Valor],tbKRIColetas[ID KRI],$A28,tbKRIColetas[Data da coleta],_xlfn.AGGREGATE(15,6,tbKRIColetas[Data da coleta]/(tbKRIColetas[ID KRI]=$A28),COUNTIFS(tbKRIColetas[ID KRI],$A28)-6+J$5))))</f>
        <v>74.5</v>
      </c>
      <c r="K28" s="60">
        <f>IF($A28="","",IF(COUNTIFS(tbKRIColetas[ID KRI],$A28)-6+K$5&lt;1,"",SUMIFS(tbKRIColetas[Valor],tbKRIColetas[ID KRI],$A28,tbKRIColetas[Data da coleta],_xlfn.AGGREGATE(15,6,tbKRIColetas[Data da coleta]/(tbKRIColetas[ID KRI]=$A28),COUNTIFS(tbKRIColetas[ID KRI],$A28)-6+K$5))))</f>
        <v>73.400000000000006</v>
      </c>
      <c r="L28" s="60">
        <f>IF($A28="","",IF(COUNTIFS(tbKRIColetas[ID KRI],$A28)-6+L$5&lt;1,"",SUMIFS(tbKRIColetas[Valor],tbKRIColetas[ID KRI],$A28,tbKRIColetas[Data da coleta],_xlfn.AGGREGATE(15,6,tbKRIColetas[Data da coleta]/(tbKRIColetas[ID KRI]=$A28),COUNTIFS(tbKRIColetas[ID KRI],$A28)-6+L$5))))</f>
        <v>75.3</v>
      </c>
      <c r="M28" s="60">
        <f>IF($A28="","",IF(COUNTIFS(tbKRIColetas[ID KRI],$A28)-6+M$5&lt;1,"",SUMIFS(tbKRIColetas[Valor],tbKRIColetas[ID KRI],$A28,tbKRIColetas[Data da coleta],_xlfn.AGGREGATE(15,6,tbKRIColetas[Data da coleta]/(tbKRIColetas[ID KRI]=$A28),COUNTIFS(tbKRIColetas[ID KRI],$A28)-6+M$5))))</f>
        <v>75.599999999999994</v>
      </c>
      <c r="N28" s="60">
        <f>IF($A28="","",IF(COUNTIFS(tbKRIColetas[ID KRI],$A28)-6+N$5&lt;1,"",SUMIFS(tbKRIColetas[Valor],tbKRIColetas[ID KRI],$A28,tbKRIColetas[Data da coleta],_xlfn.AGGREGATE(15,6,tbKRIColetas[Data da coleta]/(tbKRIColetas[ID KRI]=$A28),COUNTIFS(tbKRIColetas[ID KRI],$A28)-6+N$5))))</f>
        <v>75.599999999999994</v>
      </c>
      <c r="O28" s="15">
        <f t="shared" si="0"/>
        <v>75.599999999999994</v>
      </c>
      <c r="P28" s="42">
        <f t="shared" si="1"/>
        <v>0.27714285714284326</v>
      </c>
      <c r="Q28" s="14" t="str">
        <f t="shared" si="2"/>
        <v>▼ melhora</v>
      </c>
      <c r="R28" s="15" t="str">
        <f t="shared" si="3"/>
        <v>Estourou</v>
      </c>
      <c r="S28" s="65">
        <f>IF($A28="","",IFERROR(_xlfn.AGGREGATE(14,6,tbKRIColetas[Data da coleta]/(tbKRIColetas[ID KRI]=$A28),1),""))</f>
        <v>46387</v>
      </c>
      <c r="T28" s="17">
        <f t="shared" si="4"/>
        <v>46417</v>
      </c>
      <c r="U28" s="13" t="s">
        <v>1298</v>
      </c>
      <c r="V28" s="117" t="s">
        <v>327</v>
      </c>
    </row>
    <row r="29" spans="1:22" ht="30.6">
      <c r="A29" s="115" t="s">
        <v>2135</v>
      </c>
      <c r="B29" s="11" t="s">
        <v>905</v>
      </c>
      <c r="C29" s="41" t="str">
        <f>IF($B29="","",IFERROR(INDEX(Riscos!$C$5:$C$154,MATCH($B29,Riscos!$A$5:$A$154,0)),"ID não encontrado"))</f>
        <v>Backlog de CAPAs vencidas e baixa eficácia (31% não eficazes) permitem recorrência das não conformidades</v>
      </c>
      <c r="D29" s="13" t="s">
        <v>1299</v>
      </c>
      <c r="E29" s="12" t="s">
        <v>1300</v>
      </c>
      <c r="F29" s="12">
        <v>100</v>
      </c>
      <c r="G29" s="12" t="s">
        <v>325</v>
      </c>
      <c r="H29" s="12" t="s">
        <v>326</v>
      </c>
      <c r="I29" s="60">
        <f>IF($A29="","",IF(COUNTIFS(tbKRIColetas[ID KRI],$A29)-6+I$5&lt;1,"",SUMIFS(tbKRIColetas[Valor],tbKRIColetas[ID KRI],$A29,tbKRIColetas[Data da coleta],_xlfn.AGGREGATE(15,6,tbKRIColetas[Data da coleta]/(tbKRIColetas[ID KRI]=$A29),COUNTIFS(tbKRIColetas[ID KRI],$A29)-6+I$5))))</f>
        <v>132</v>
      </c>
      <c r="J29" s="60">
        <f>IF($A29="","",IF(COUNTIFS(tbKRIColetas[ID KRI],$A29)-6+J$5&lt;1,"",SUMIFS(tbKRIColetas[Valor],tbKRIColetas[ID KRI],$A29,tbKRIColetas[Data da coleta],_xlfn.AGGREGATE(15,6,tbKRIColetas[Data da coleta]/(tbKRIColetas[ID KRI]=$A29),COUNTIFS(tbKRIColetas[ID KRI],$A29)-6+J$5))))</f>
        <v>144</v>
      </c>
      <c r="K29" s="60">
        <f>IF($A29="","",IF(COUNTIFS(tbKRIColetas[ID KRI],$A29)-6+K$5&lt;1,"",SUMIFS(tbKRIColetas[Valor],tbKRIColetas[ID KRI],$A29,tbKRIColetas[Data da coleta],_xlfn.AGGREGATE(15,6,tbKRIColetas[Data da coleta]/(tbKRIColetas[ID KRI]=$A29),COUNTIFS(tbKRIColetas[ID KRI],$A29)-6+K$5))))</f>
        <v>151</v>
      </c>
      <c r="L29" s="60">
        <f>IF($A29="","",IF(COUNTIFS(tbKRIColetas[ID KRI],$A29)-6+L$5&lt;1,"",SUMIFS(tbKRIColetas[Valor],tbKRIColetas[ID KRI],$A29,tbKRIColetas[Data da coleta],_xlfn.AGGREGATE(15,6,tbKRIColetas[Data da coleta]/(tbKRIColetas[ID KRI]=$A29),COUNTIFS(tbKRIColetas[ID KRI],$A29)-6+L$5))))</f>
        <v>165</v>
      </c>
      <c r="M29" s="60">
        <f>IF($A29="","",IF(COUNTIFS(tbKRIColetas[ID KRI],$A29)-6+M$5&lt;1,"",SUMIFS(tbKRIColetas[Valor],tbKRIColetas[ID KRI],$A29,tbKRIColetas[Data da coleta],_xlfn.AGGREGATE(15,6,tbKRIColetas[Data da coleta]/(tbKRIColetas[ID KRI]=$A29),COUNTIFS(tbKRIColetas[ID KRI],$A29)-6+M$5))))</f>
        <v>175</v>
      </c>
      <c r="N29" s="60">
        <f>IF($A29="","",IF(COUNTIFS(tbKRIColetas[ID KRI],$A29)-6+N$5&lt;1,"",SUMIFS(tbKRIColetas[Valor],tbKRIColetas[ID KRI],$A29,tbKRIColetas[Data da coleta],_xlfn.AGGREGATE(15,6,tbKRIColetas[Data da coleta]/(tbKRIColetas[ID KRI]=$A29),COUNTIFS(tbKRIColetas[ID KRI],$A29)-6+N$5))))</f>
        <v>191</v>
      </c>
      <c r="O29" s="15">
        <f t="shared" si="0"/>
        <v>191</v>
      </c>
      <c r="P29" s="42">
        <f t="shared" si="1"/>
        <v>11.485714285714286</v>
      </c>
      <c r="Q29" s="14" t="str">
        <f t="shared" si="2"/>
        <v>▲ piora</v>
      </c>
      <c r="R29" s="15" t="str">
        <f t="shared" si="3"/>
        <v>Estourou</v>
      </c>
      <c r="S29" s="65">
        <f>IF($A29="","",IFERROR(_xlfn.AGGREGATE(14,6,tbKRIColetas[Data da coleta]/(tbKRIColetas[ID KRI]=$A29),1),""))</f>
        <v>46387</v>
      </c>
      <c r="T29" s="17">
        <f t="shared" si="4"/>
        <v>46417</v>
      </c>
      <c r="U29" s="13" t="s">
        <v>1301</v>
      </c>
      <c r="V29" s="117" t="s">
        <v>327</v>
      </c>
    </row>
    <row r="30" spans="1:22" ht="40.799999999999997">
      <c r="A30" s="115" t="s">
        <v>2136</v>
      </c>
      <c r="B30" s="11" t="s">
        <v>916</v>
      </c>
      <c r="C30" s="41" t="str">
        <f>IF($B30="","",IFERROR(INDEX(Riscos!$C$5:$C$154,MATCH($B30,Riscos!$A$5:$A$154,0)),"ID não encontrado"))</f>
        <v>Falhas logísticas (atraso, quantidade menor, produto errado) geram reclamações de cliente sem relação com a qualidade do produto</v>
      </c>
      <c r="D30" s="13" t="s">
        <v>1302</v>
      </c>
      <c r="E30" s="12" t="s">
        <v>324</v>
      </c>
      <c r="F30" s="12">
        <v>3</v>
      </c>
      <c r="G30" s="12" t="s">
        <v>325</v>
      </c>
      <c r="H30" s="12" t="s">
        <v>326</v>
      </c>
      <c r="I30" s="60">
        <f>IF($A30="","",IF(COUNTIFS(tbKRIColetas[ID KRI],$A30)-6+I$5&lt;1,"",SUMIFS(tbKRIColetas[Valor],tbKRIColetas[ID KRI],$A30,tbKRIColetas[Data da coleta],_xlfn.AGGREGATE(15,6,tbKRIColetas[Data da coleta]/(tbKRIColetas[ID KRI]=$A30),COUNTIFS(tbKRIColetas[ID KRI],$A30)-6+I$5))))</f>
        <v>3</v>
      </c>
      <c r="J30" s="60">
        <f>IF($A30="","",IF(COUNTIFS(tbKRIColetas[ID KRI],$A30)-6+J$5&lt;1,"",SUMIFS(tbKRIColetas[Valor],tbKRIColetas[ID KRI],$A30,tbKRIColetas[Data da coleta],_xlfn.AGGREGATE(15,6,tbKRIColetas[Data da coleta]/(tbKRIColetas[ID KRI]=$A30),COUNTIFS(tbKRIColetas[ID KRI],$A30)-6+J$5))))</f>
        <v>2</v>
      </c>
      <c r="K30" s="60">
        <f>IF($A30="","",IF(COUNTIFS(tbKRIColetas[ID KRI],$A30)-6+K$5&lt;1,"",SUMIFS(tbKRIColetas[Valor],tbKRIColetas[ID KRI],$A30,tbKRIColetas[Data da coleta],_xlfn.AGGREGATE(15,6,tbKRIColetas[Data da coleta]/(tbKRIColetas[ID KRI]=$A30),COUNTIFS(tbKRIColetas[ID KRI],$A30)-6+K$5))))</f>
        <v>4</v>
      </c>
      <c r="L30" s="60">
        <f>IF($A30="","",IF(COUNTIFS(tbKRIColetas[ID KRI],$A30)-6+L$5&lt;1,"",SUMIFS(tbKRIColetas[Valor],tbKRIColetas[ID KRI],$A30,tbKRIColetas[Data da coleta],_xlfn.AGGREGATE(15,6,tbKRIColetas[Data da coleta]/(tbKRIColetas[ID KRI]=$A30),COUNTIFS(tbKRIColetas[ID KRI],$A30)-6+L$5))))</f>
        <v>3</v>
      </c>
      <c r="M30" s="60">
        <f>IF($A30="","",IF(COUNTIFS(tbKRIColetas[ID KRI],$A30)-6+M$5&lt;1,"",SUMIFS(tbKRIColetas[Valor],tbKRIColetas[ID KRI],$A30,tbKRIColetas[Data da coleta],_xlfn.AGGREGATE(15,6,tbKRIColetas[Data da coleta]/(tbKRIColetas[ID KRI]=$A30),COUNTIFS(tbKRIColetas[ID KRI],$A30)-6+M$5))))</f>
        <v>5</v>
      </c>
      <c r="N30" s="60">
        <f>IF($A30="","",IF(COUNTIFS(tbKRIColetas[ID KRI],$A30)-6+N$5&lt;1,"",SUMIFS(tbKRIColetas[Valor],tbKRIColetas[ID KRI],$A30,tbKRIColetas[Data da coleta],_xlfn.AGGREGATE(15,6,tbKRIColetas[Data da coleta]/(tbKRIColetas[ID KRI]=$A30),COUNTIFS(tbKRIColetas[ID KRI],$A30)-6+N$5))))</f>
        <v>3</v>
      </c>
      <c r="O30" s="15">
        <f t="shared" si="0"/>
        <v>3</v>
      </c>
      <c r="P30" s="42">
        <f t="shared" si="1"/>
        <v>0.22857142857142856</v>
      </c>
      <c r="Q30" s="14" t="str">
        <f t="shared" si="2"/>
        <v>▲ piora</v>
      </c>
      <c r="R30" s="15" t="str">
        <f t="shared" si="3"/>
        <v>Atenção</v>
      </c>
      <c r="S30" s="65">
        <f>IF($A30="","",IFERROR(_xlfn.AGGREGATE(14,6,tbKRIColetas[Data da coleta]/(tbKRIColetas[ID KRI]=$A30),1),""))</f>
        <v>46387</v>
      </c>
      <c r="T30" s="17">
        <f t="shared" si="4"/>
        <v>46417</v>
      </c>
      <c r="U30" s="13" t="s">
        <v>1303</v>
      </c>
      <c r="V30" s="117" t="s">
        <v>330</v>
      </c>
    </row>
    <row r="31" spans="1:22" ht="34.200000000000003">
      <c r="A31" s="115" t="s">
        <v>2137</v>
      </c>
      <c r="B31" s="11" t="s">
        <v>929</v>
      </c>
      <c r="C31" s="41" t="str">
        <f>IF($B31="","",IFERROR(INDEX(Riscos!$C$5:$C$154,MATCH($B31,Riscos!$A$5:$A$154,0)),"ID não encontrado"))</f>
        <v>Falta de ar comprimido interrompe máquinas de injeção, sopro e decoração</v>
      </c>
      <c r="D31" s="13" t="s">
        <v>1304</v>
      </c>
      <c r="E31" s="12" t="s">
        <v>1259</v>
      </c>
      <c r="F31" s="12">
        <v>130</v>
      </c>
      <c r="G31" s="12" t="s">
        <v>325</v>
      </c>
      <c r="H31" s="12" t="s">
        <v>326</v>
      </c>
      <c r="I31" s="60">
        <f>IF($A31="","",IF(COUNTIFS(tbKRIColetas[ID KRI],$A31)-6+I$5&lt;1,"",SUMIFS(tbKRIColetas[Valor],tbKRIColetas[ID KRI],$A31,tbKRIColetas[Data da coleta],_xlfn.AGGREGATE(15,6,tbKRIColetas[Data da coleta]/(tbKRIColetas[ID KRI]=$A31),COUNTIFS(tbKRIColetas[ID KRI],$A31)-6+I$5))))</f>
        <v>143</v>
      </c>
      <c r="J31" s="60">
        <f>IF($A31="","",IF(COUNTIFS(tbKRIColetas[ID KRI],$A31)-6+J$5&lt;1,"",SUMIFS(tbKRIColetas[Valor],tbKRIColetas[ID KRI],$A31,tbKRIColetas[Data da coleta],_xlfn.AGGREGATE(15,6,tbKRIColetas[Data da coleta]/(tbKRIColetas[ID KRI]=$A31),COUNTIFS(tbKRIColetas[ID KRI],$A31)-6+J$5))))</f>
        <v>128</v>
      </c>
      <c r="K31" s="60">
        <f>IF($A31="","",IF(COUNTIFS(tbKRIColetas[ID KRI],$A31)-6+K$5&lt;1,"",SUMIFS(tbKRIColetas[Valor],tbKRIColetas[ID KRI],$A31,tbKRIColetas[Data da coleta],_xlfn.AGGREGATE(15,6,tbKRIColetas[Data da coleta]/(tbKRIColetas[ID KRI]=$A31),COUNTIFS(tbKRIColetas[ID KRI],$A31)-6+K$5))))</f>
        <v>161</v>
      </c>
      <c r="L31" s="60">
        <f>IF($A31="","",IF(COUNTIFS(tbKRIColetas[ID KRI],$A31)-6+L$5&lt;1,"",SUMIFS(tbKRIColetas[Valor],tbKRIColetas[ID KRI],$A31,tbKRIColetas[Data da coleta],_xlfn.AGGREGATE(15,6,tbKRIColetas[Data da coleta]/(tbKRIColetas[ID KRI]=$A31),COUNTIFS(tbKRIColetas[ID KRI],$A31)-6+L$5))))</f>
        <v>133</v>
      </c>
      <c r="M31" s="60">
        <f>IF($A31="","",IF(COUNTIFS(tbKRIColetas[ID KRI],$A31)-6+M$5&lt;1,"",SUMIFS(tbKRIColetas[Valor],tbKRIColetas[ID KRI],$A31,tbKRIColetas[Data da coleta],_xlfn.AGGREGATE(15,6,tbKRIColetas[Data da coleta]/(tbKRIColetas[ID KRI]=$A31),COUNTIFS(tbKRIColetas[ID KRI],$A31)-6+M$5))))</f>
        <v>131</v>
      </c>
      <c r="N31" s="60">
        <f>IF($A31="","",IF(COUNTIFS(tbKRIColetas[ID KRI],$A31)-6+N$5&lt;1,"",SUMIFS(tbKRIColetas[Valor],tbKRIColetas[ID KRI],$A31,tbKRIColetas[Data da coleta],_xlfn.AGGREGATE(15,6,tbKRIColetas[Data da coleta]/(tbKRIColetas[ID KRI]=$A31),COUNTIFS(tbKRIColetas[ID KRI],$A31)-6+N$5))))</f>
        <v>155</v>
      </c>
      <c r="O31" s="15">
        <f t="shared" si="0"/>
        <v>155</v>
      </c>
      <c r="P31" s="42">
        <f t="shared" si="1"/>
        <v>1.1714285714285715</v>
      </c>
      <c r="Q31" s="14" t="str">
        <f t="shared" si="2"/>
        <v>▲ piora</v>
      </c>
      <c r="R31" s="15" t="str">
        <f t="shared" si="3"/>
        <v>Estourou</v>
      </c>
      <c r="S31" s="65">
        <f>IF($A31="","",IFERROR(_xlfn.AGGREGATE(14,6,tbKRIColetas[Data da coleta]/(tbKRIColetas[ID KRI]=$A31),1),""))</f>
        <v>46387</v>
      </c>
      <c r="T31" s="17">
        <f t="shared" si="4"/>
        <v>46417</v>
      </c>
      <c r="U31" s="13" t="s">
        <v>1305</v>
      </c>
      <c r="V31" s="117" t="s">
        <v>330</v>
      </c>
    </row>
    <row r="32" spans="1:22" ht="34.200000000000003">
      <c r="A32" s="115" t="s">
        <v>2138</v>
      </c>
      <c r="B32" s="11" t="s">
        <v>939</v>
      </c>
      <c r="C32" s="41" t="str">
        <f>IF($B32="","",IFERROR(INDEX(Riscos!$C$5:$C$154,MATCH($B32,Riscos!$A$5:$A$154,0)),"ID não encontrado"))</f>
        <v>Indisponibilidade de operadores (maior causa de parada não planejada) reduz a utilização das máquinas</v>
      </c>
      <c r="D32" s="13" t="s">
        <v>1306</v>
      </c>
      <c r="E32" s="12" t="s">
        <v>1259</v>
      </c>
      <c r="F32" s="12">
        <v>180</v>
      </c>
      <c r="G32" s="12" t="s">
        <v>325</v>
      </c>
      <c r="H32" s="12" t="s">
        <v>326</v>
      </c>
      <c r="I32" s="60">
        <f>IF($A32="","",IF(COUNTIFS(tbKRIColetas[ID KRI],$A32)-6+I$5&lt;1,"",SUMIFS(tbKRIColetas[Valor],tbKRIColetas[ID KRI],$A32,tbKRIColetas[Data da coleta],_xlfn.AGGREGATE(15,6,tbKRIColetas[Data da coleta]/(tbKRIColetas[ID KRI]=$A32),COUNTIFS(tbKRIColetas[ID KRI],$A32)-6+I$5))))</f>
        <v>156</v>
      </c>
      <c r="J32" s="60">
        <f>IF($A32="","",IF(COUNTIFS(tbKRIColetas[ID KRI],$A32)-6+J$5&lt;1,"",SUMIFS(tbKRIColetas[Valor],tbKRIColetas[ID KRI],$A32,tbKRIColetas[Data da coleta],_xlfn.AGGREGATE(15,6,tbKRIColetas[Data da coleta]/(tbKRIColetas[ID KRI]=$A32),COUNTIFS(tbKRIColetas[ID KRI],$A32)-6+J$5))))</f>
        <v>201</v>
      </c>
      <c r="K32" s="60">
        <f>IF($A32="","",IF(COUNTIFS(tbKRIColetas[ID KRI],$A32)-6+K$5&lt;1,"",SUMIFS(tbKRIColetas[Valor],tbKRIColetas[ID KRI],$A32,tbKRIColetas[Data da coleta],_xlfn.AGGREGATE(15,6,tbKRIColetas[Data da coleta]/(tbKRIColetas[ID KRI]=$A32),COUNTIFS(tbKRIColetas[ID KRI],$A32)-6+K$5))))</f>
        <v>203</v>
      </c>
      <c r="L32" s="60">
        <f>IF($A32="","",IF(COUNTIFS(tbKRIColetas[ID KRI],$A32)-6+L$5&lt;1,"",SUMIFS(tbKRIColetas[Valor],tbKRIColetas[ID KRI],$A32,tbKRIColetas[Data da coleta],_xlfn.AGGREGATE(15,6,tbKRIColetas[Data da coleta]/(tbKRIColetas[ID KRI]=$A32),COUNTIFS(tbKRIColetas[ID KRI],$A32)-6+L$5))))</f>
        <v>193</v>
      </c>
      <c r="M32" s="60">
        <f>IF($A32="","",IF(COUNTIFS(tbKRIColetas[ID KRI],$A32)-6+M$5&lt;1,"",SUMIFS(tbKRIColetas[Valor],tbKRIColetas[ID KRI],$A32,tbKRIColetas[Data da coleta],_xlfn.AGGREGATE(15,6,tbKRIColetas[Data da coleta]/(tbKRIColetas[ID KRI]=$A32),COUNTIFS(tbKRIColetas[ID KRI],$A32)-6+M$5))))</f>
        <v>202</v>
      </c>
      <c r="N32" s="60">
        <f>IF($A32="","",IF(COUNTIFS(tbKRIColetas[ID KRI],$A32)-6+N$5&lt;1,"",SUMIFS(tbKRIColetas[Valor],tbKRIColetas[ID KRI],$A32,tbKRIColetas[Data da coleta],_xlfn.AGGREGATE(15,6,tbKRIColetas[Data da coleta]/(tbKRIColetas[ID KRI]=$A32),COUNTIFS(tbKRIColetas[ID KRI],$A32)-6+N$5))))</f>
        <v>189</v>
      </c>
      <c r="O32" s="15">
        <f t="shared" si="0"/>
        <v>189</v>
      </c>
      <c r="P32" s="42">
        <f t="shared" si="1"/>
        <v>4.5142857142857142</v>
      </c>
      <c r="Q32" s="14" t="str">
        <f t="shared" si="2"/>
        <v>▲ piora</v>
      </c>
      <c r="R32" s="15" t="str">
        <f t="shared" si="3"/>
        <v>Estourou</v>
      </c>
      <c r="S32" s="65">
        <f>IF($A32="","",IFERROR(_xlfn.AGGREGATE(14,6,tbKRIColetas[Data da coleta]/(tbKRIColetas[ID KRI]=$A32),1),""))</f>
        <v>46387</v>
      </c>
      <c r="T32" s="17">
        <f t="shared" si="4"/>
        <v>46417</v>
      </c>
      <c r="U32" s="13" t="s">
        <v>1307</v>
      </c>
      <c r="V32" s="117" t="s">
        <v>330</v>
      </c>
    </row>
    <row r="33" spans="1:22" ht="30.6">
      <c r="A33" s="115" t="s">
        <v>2139</v>
      </c>
      <c r="B33" s="11" t="s">
        <v>950</v>
      </c>
      <c r="C33" s="41" t="str">
        <f>IF($B33="","",IFERROR(INDEX(Riscos!$C$5:$C$154,MATCH($B33,Riscos!$A$5:$A$154,0)),"ID não encontrado"))</f>
        <v>Erosão de margem por perdas de qualidade (scrap, refação, reclamações) acima da meta</v>
      </c>
      <c r="D33" s="13" t="s">
        <v>1308</v>
      </c>
      <c r="E33" s="12" t="s">
        <v>328</v>
      </c>
      <c r="F33" s="12">
        <v>2.4</v>
      </c>
      <c r="G33" s="12" t="s">
        <v>325</v>
      </c>
      <c r="H33" s="12" t="s">
        <v>326</v>
      </c>
      <c r="I33" s="60">
        <f>IF($A33="","",IF(COUNTIFS(tbKRIColetas[ID KRI],$A33)-6+I$5&lt;1,"",SUMIFS(tbKRIColetas[Valor],tbKRIColetas[ID KRI],$A33,tbKRIColetas[Data da coleta],_xlfn.AGGREGATE(15,6,tbKRIColetas[Data da coleta]/(tbKRIColetas[ID KRI]=$A33),COUNTIFS(tbKRIColetas[ID KRI],$A33)-6+I$5))))</f>
        <v>2.35</v>
      </c>
      <c r="J33" s="60">
        <f>IF($A33="","",IF(COUNTIFS(tbKRIColetas[ID KRI],$A33)-6+J$5&lt;1,"",SUMIFS(tbKRIColetas[Valor],tbKRIColetas[ID KRI],$A33,tbKRIColetas[Data da coleta],_xlfn.AGGREGATE(15,6,tbKRIColetas[Data da coleta]/(tbKRIColetas[ID KRI]=$A33),COUNTIFS(tbKRIColetas[ID KRI],$A33)-6+J$5))))</f>
        <v>2.34</v>
      </c>
      <c r="K33" s="60">
        <f>IF($A33="","",IF(COUNTIFS(tbKRIColetas[ID KRI],$A33)-6+K$5&lt;1,"",SUMIFS(tbKRIColetas[Valor],tbKRIColetas[ID KRI],$A33,tbKRIColetas[Data da coleta],_xlfn.AGGREGATE(15,6,tbKRIColetas[Data da coleta]/(tbKRIColetas[ID KRI]=$A33),COUNTIFS(tbKRIColetas[ID KRI],$A33)-6+K$5))))</f>
        <v>2.5299999999999998</v>
      </c>
      <c r="L33" s="60">
        <f>IF($A33="","",IF(COUNTIFS(tbKRIColetas[ID KRI],$A33)-6+L$5&lt;1,"",SUMIFS(tbKRIColetas[Valor],tbKRIColetas[ID KRI],$A33,tbKRIColetas[Data da coleta],_xlfn.AGGREGATE(15,6,tbKRIColetas[Data da coleta]/(tbKRIColetas[ID KRI]=$A33),COUNTIFS(tbKRIColetas[ID KRI],$A33)-6+L$5))))</f>
        <v>2.4300000000000002</v>
      </c>
      <c r="M33" s="60">
        <f>IF($A33="","",IF(COUNTIFS(tbKRIColetas[ID KRI],$A33)-6+M$5&lt;1,"",SUMIFS(tbKRIColetas[Valor],tbKRIColetas[ID KRI],$A33,tbKRIColetas[Data da coleta],_xlfn.AGGREGATE(15,6,tbKRIColetas[Data da coleta]/(tbKRIColetas[ID KRI]=$A33),COUNTIFS(tbKRIColetas[ID KRI],$A33)-6+M$5))))</f>
        <v>2.42</v>
      </c>
      <c r="N33" s="60">
        <f>IF($A33="","",IF(COUNTIFS(tbKRIColetas[ID KRI],$A33)-6+N$5&lt;1,"",SUMIFS(tbKRIColetas[Valor],tbKRIColetas[ID KRI],$A33,tbKRIColetas[Data da coleta],_xlfn.AGGREGATE(15,6,tbKRIColetas[Data da coleta]/(tbKRIColetas[ID KRI]=$A33),COUNTIFS(tbKRIColetas[ID KRI],$A33)-6+N$5))))</f>
        <v>2.36</v>
      </c>
      <c r="O33" s="15">
        <f t="shared" si="0"/>
        <v>2.36</v>
      </c>
      <c r="P33" s="42">
        <f t="shared" si="1"/>
        <v>5.4285714285713634E-3</v>
      </c>
      <c r="Q33" s="14" t="str">
        <f t="shared" si="2"/>
        <v>▲ piora</v>
      </c>
      <c r="R33" s="15" t="str">
        <f t="shared" si="3"/>
        <v>OK</v>
      </c>
      <c r="S33" s="65">
        <f>IF($A33="","",IFERROR(_xlfn.AGGREGATE(14,6,tbKRIColetas[Data da coleta]/(tbKRIColetas[ID KRI]=$A33),1),""))</f>
        <v>46387</v>
      </c>
      <c r="T33" s="17">
        <f t="shared" si="4"/>
        <v>46417</v>
      </c>
      <c r="U33" s="13" t="s">
        <v>1309</v>
      </c>
      <c r="V33" s="117" t="s">
        <v>330</v>
      </c>
    </row>
    <row r="34" spans="1:22" ht="30.6">
      <c r="A34" s="115" t="s">
        <v>2140</v>
      </c>
      <c r="B34" s="11" t="s">
        <v>995</v>
      </c>
      <c r="C34" s="41" t="str">
        <f>IF($B34="","",IFERROR(INDEX(Riscos!$C$5:$C$154,MATCH($B34,Riscos!$A$5:$A$154,0)),"ID não encontrado"))</f>
        <v>Esmagamento/prensamento de membro superior na troca de molde e no setup de máquinas de injeção e sopro</v>
      </c>
      <c r="D34" s="13" t="s">
        <v>1310</v>
      </c>
      <c r="E34" s="12" t="s">
        <v>324</v>
      </c>
      <c r="F34" s="12">
        <v>1</v>
      </c>
      <c r="G34" s="12" t="s">
        <v>325</v>
      </c>
      <c r="H34" s="12" t="s">
        <v>326</v>
      </c>
      <c r="I34" s="60" t="str">
        <f>IF($A34="","",IF(COUNTIFS(tbKRIColetas[ID KRI],$A34)-6+I$5&lt;1,"",SUMIFS(tbKRIColetas[Valor],tbKRIColetas[ID KRI],$A34,tbKRIColetas[Data da coleta],_xlfn.AGGREGATE(15,6,tbKRIColetas[Data da coleta]/(tbKRIColetas[ID KRI]=$A34),COUNTIFS(tbKRIColetas[ID KRI],$A34)-6+I$5))))</f>
        <v/>
      </c>
      <c r="J34" s="60" t="str">
        <f>IF($A34="","",IF(COUNTIFS(tbKRIColetas[ID KRI],$A34)-6+J$5&lt;1,"",SUMIFS(tbKRIColetas[Valor],tbKRIColetas[ID KRI],$A34,tbKRIColetas[Data da coleta],_xlfn.AGGREGATE(15,6,tbKRIColetas[Data da coleta]/(tbKRIColetas[ID KRI]=$A34),COUNTIFS(tbKRIColetas[ID KRI],$A34)-6+J$5))))</f>
        <v/>
      </c>
      <c r="K34" s="60" t="str">
        <f>IF($A34="","",IF(COUNTIFS(tbKRIColetas[ID KRI],$A34)-6+K$5&lt;1,"",SUMIFS(tbKRIColetas[Valor],tbKRIColetas[ID KRI],$A34,tbKRIColetas[Data da coleta],_xlfn.AGGREGATE(15,6,tbKRIColetas[Data da coleta]/(tbKRIColetas[ID KRI]=$A34),COUNTIFS(tbKRIColetas[ID KRI],$A34)-6+K$5))))</f>
        <v/>
      </c>
      <c r="L34" s="60" t="str">
        <f>IF($A34="","",IF(COUNTIFS(tbKRIColetas[ID KRI],$A34)-6+L$5&lt;1,"",SUMIFS(tbKRIColetas[Valor],tbKRIColetas[ID KRI],$A34,tbKRIColetas[Data da coleta],_xlfn.AGGREGATE(15,6,tbKRIColetas[Data da coleta]/(tbKRIColetas[ID KRI]=$A34),COUNTIFS(tbKRIColetas[ID KRI],$A34)-6+L$5))))</f>
        <v/>
      </c>
      <c r="M34" s="60" t="str">
        <f>IF($A34="","",IF(COUNTIFS(tbKRIColetas[ID KRI],$A34)-6+M$5&lt;1,"",SUMIFS(tbKRIColetas[Valor],tbKRIColetas[ID KRI],$A34,tbKRIColetas[Data da coleta],_xlfn.AGGREGATE(15,6,tbKRIColetas[Data da coleta]/(tbKRIColetas[ID KRI]=$A34),COUNTIFS(tbKRIColetas[ID KRI],$A34)-6+M$5))))</f>
        <v/>
      </c>
      <c r="N34" s="60" t="str">
        <f>IF($A34="","",IF(COUNTIFS(tbKRIColetas[ID KRI],$A34)-6+N$5&lt;1,"",SUMIFS(tbKRIColetas[Valor],tbKRIColetas[ID KRI],$A34,tbKRIColetas[Data da coleta],_xlfn.AGGREGATE(15,6,tbKRIColetas[Data da coleta]/(tbKRIColetas[ID KRI]=$A34),COUNTIFS(tbKRIColetas[ID KRI],$A34)-6+N$5))))</f>
        <v/>
      </c>
      <c r="O34" s="15" t="str">
        <f t="shared" si="0"/>
        <v/>
      </c>
      <c r="P34" s="42" t="str">
        <f t="shared" si="1"/>
        <v/>
      </c>
      <c r="Q34" s="14" t="str">
        <f t="shared" si="2"/>
        <v>—</v>
      </c>
      <c r="R34" s="15" t="str">
        <f t="shared" si="3"/>
        <v>Sem dados</v>
      </c>
      <c r="S34" s="65" t="str">
        <f>IF($A34="","",IFERROR(_xlfn.AGGREGATE(14,6,tbKRIColetas[Data da coleta]/(tbKRIColetas[ID KRI]=$A34),1),""))</f>
        <v/>
      </c>
      <c r="T34" s="17" t="str">
        <f t="shared" si="4"/>
        <v/>
      </c>
      <c r="U34" s="13" t="s">
        <v>1311</v>
      </c>
      <c r="V34" s="117" t="s">
        <v>327</v>
      </c>
    </row>
    <row r="35" spans="1:22" ht="68.400000000000006">
      <c r="A35" s="115" t="s">
        <v>2141</v>
      </c>
      <c r="B35" s="11" t="s">
        <v>1015</v>
      </c>
      <c r="C35" s="41" t="str">
        <f>IF($B35="","",IFERROR(INDEX(Riscos!$C$5:$C$154,MATCH($B35,Riscos!$A$5:$A$154,0)),"ID não encontrado"))</f>
        <v>Derrame de tinta, solvente ou químico no armazém contamina solo ou água</v>
      </c>
      <c r="D35" s="13" t="s">
        <v>1312</v>
      </c>
      <c r="E35" s="12" t="s">
        <v>324</v>
      </c>
      <c r="F35" s="12">
        <v>0</v>
      </c>
      <c r="G35" s="12" t="s">
        <v>325</v>
      </c>
      <c r="H35" s="12" t="s">
        <v>326</v>
      </c>
      <c r="I35" s="60" t="str">
        <f>IF($A35="","",IF(COUNTIFS(tbKRIColetas[ID KRI],$A35)-6+I$5&lt;1,"",SUMIFS(tbKRIColetas[Valor],tbKRIColetas[ID KRI],$A35,tbKRIColetas[Data da coleta],_xlfn.AGGREGATE(15,6,tbKRIColetas[Data da coleta]/(tbKRIColetas[ID KRI]=$A35),COUNTIFS(tbKRIColetas[ID KRI],$A35)-6+I$5))))</f>
        <v/>
      </c>
      <c r="J35" s="60" t="str">
        <f>IF($A35="","",IF(COUNTIFS(tbKRIColetas[ID KRI],$A35)-6+J$5&lt;1,"",SUMIFS(tbKRIColetas[Valor],tbKRIColetas[ID KRI],$A35,tbKRIColetas[Data da coleta],_xlfn.AGGREGATE(15,6,tbKRIColetas[Data da coleta]/(tbKRIColetas[ID KRI]=$A35),COUNTIFS(tbKRIColetas[ID KRI],$A35)-6+J$5))))</f>
        <v/>
      </c>
      <c r="K35" s="60" t="str">
        <f>IF($A35="","",IF(COUNTIFS(tbKRIColetas[ID KRI],$A35)-6+K$5&lt;1,"",SUMIFS(tbKRIColetas[Valor],tbKRIColetas[ID KRI],$A35,tbKRIColetas[Data da coleta],_xlfn.AGGREGATE(15,6,tbKRIColetas[Data da coleta]/(tbKRIColetas[ID KRI]=$A35),COUNTIFS(tbKRIColetas[ID KRI],$A35)-6+K$5))))</f>
        <v/>
      </c>
      <c r="L35" s="60" t="str">
        <f>IF($A35="","",IF(COUNTIFS(tbKRIColetas[ID KRI],$A35)-6+L$5&lt;1,"",SUMIFS(tbKRIColetas[Valor],tbKRIColetas[ID KRI],$A35,tbKRIColetas[Data da coleta],_xlfn.AGGREGATE(15,6,tbKRIColetas[Data da coleta]/(tbKRIColetas[ID KRI]=$A35),COUNTIFS(tbKRIColetas[ID KRI],$A35)-6+L$5))))</f>
        <v/>
      </c>
      <c r="M35" s="60" t="str">
        <f>IF($A35="","",IF(COUNTIFS(tbKRIColetas[ID KRI],$A35)-6+M$5&lt;1,"",SUMIFS(tbKRIColetas[Valor],tbKRIColetas[ID KRI],$A35,tbKRIColetas[Data da coleta],_xlfn.AGGREGATE(15,6,tbKRIColetas[Data da coleta]/(tbKRIColetas[ID KRI]=$A35),COUNTIFS(tbKRIColetas[ID KRI],$A35)-6+M$5))))</f>
        <v/>
      </c>
      <c r="N35" s="60" t="str">
        <f>IF($A35="","",IF(COUNTIFS(tbKRIColetas[ID KRI],$A35)-6+N$5&lt;1,"",SUMIFS(tbKRIColetas[Valor],tbKRIColetas[ID KRI],$A35,tbKRIColetas[Data da coleta],_xlfn.AGGREGATE(15,6,tbKRIColetas[Data da coleta]/(tbKRIColetas[ID KRI]=$A35),COUNTIFS(tbKRIColetas[ID KRI],$A35)-6+N$5))))</f>
        <v/>
      </c>
      <c r="O35" s="15" t="str">
        <f t="shared" si="0"/>
        <v/>
      </c>
      <c r="P35" s="42" t="str">
        <f t="shared" si="1"/>
        <v/>
      </c>
      <c r="Q35" s="14" t="str">
        <f t="shared" si="2"/>
        <v>—</v>
      </c>
      <c r="R35" s="15" t="str">
        <f t="shared" si="3"/>
        <v>Sem dados</v>
      </c>
      <c r="S35" s="65" t="str">
        <f>IF($A35="","",IFERROR(_xlfn.AGGREGATE(14,6,tbKRIColetas[Data da coleta]/(tbKRIColetas[ID KRI]=$A35),1),""))</f>
        <v/>
      </c>
      <c r="T35" s="17" t="str">
        <f t="shared" si="4"/>
        <v/>
      </c>
      <c r="U35" s="13" t="s">
        <v>2832</v>
      </c>
      <c r="V35" s="117" t="s">
        <v>327</v>
      </c>
    </row>
    <row r="36" spans="1:22" ht="57">
      <c r="A36" s="115" t="s">
        <v>2142</v>
      </c>
      <c r="B36" s="11" t="s">
        <v>1026</v>
      </c>
      <c r="C36" s="41" t="str">
        <f>IF($B36="","",IFERROR(INDEX(Riscos!$C$5:$C$154,MATCH($B36,Riscos!$A$5:$A$154,0)),"ID não encontrado"))</f>
        <v>Não conformidade com o RGGR: classificação, registro e encaminhamento de resíduos (scrap, resíduos perigosos, e-GAR/MIRR)</v>
      </c>
      <c r="D36" s="13" t="s">
        <v>1313</v>
      </c>
      <c r="E36" s="12" t="s">
        <v>328</v>
      </c>
      <c r="F36" s="12">
        <v>100</v>
      </c>
      <c r="G36" s="12" t="s">
        <v>1262</v>
      </c>
      <c r="H36" s="12" t="s">
        <v>326</v>
      </c>
      <c r="I36" s="60" t="str">
        <f>IF($A36="","",IF(COUNTIFS(tbKRIColetas[ID KRI],$A36)-6+I$5&lt;1,"",SUMIFS(tbKRIColetas[Valor],tbKRIColetas[ID KRI],$A36,tbKRIColetas[Data da coleta],_xlfn.AGGREGATE(15,6,tbKRIColetas[Data da coleta]/(tbKRIColetas[ID KRI]=$A36),COUNTIFS(tbKRIColetas[ID KRI],$A36)-6+I$5))))</f>
        <v/>
      </c>
      <c r="J36" s="60" t="str">
        <f>IF($A36="","",IF(COUNTIFS(tbKRIColetas[ID KRI],$A36)-6+J$5&lt;1,"",SUMIFS(tbKRIColetas[Valor],tbKRIColetas[ID KRI],$A36,tbKRIColetas[Data da coleta],_xlfn.AGGREGATE(15,6,tbKRIColetas[Data da coleta]/(tbKRIColetas[ID KRI]=$A36),COUNTIFS(tbKRIColetas[ID KRI],$A36)-6+J$5))))</f>
        <v/>
      </c>
      <c r="K36" s="60" t="str">
        <f>IF($A36="","",IF(COUNTIFS(tbKRIColetas[ID KRI],$A36)-6+K$5&lt;1,"",SUMIFS(tbKRIColetas[Valor],tbKRIColetas[ID KRI],$A36,tbKRIColetas[Data da coleta],_xlfn.AGGREGATE(15,6,tbKRIColetas[Data da coleta]/(tbKRIColetas[ID KRI]=$A36),COUNTIFS(tbKRIColetas[ID KRI],$A36)-6+K$5))))</f>
        <v/>
      </c>
      <c r="L36" s="60" t="str">
        <f>IF($A36="","",IF(COUNTIFS(tbKRIColetas[ID KRI],$A36)-6+L$5&lt;1,"",SUMIFS(tbKRIColetas[Valor],tbKRIColetas[ID KRI],$A36,tbKRIColetas[Data da coleta],_xlfn.AGGREGATE(15,6,tbKRIColetas[Data da coleta]/(tbKRIColetas[ID KRI]=$A36),COUNTIFS(tbKRIColetas[ID KRI],$A36)-6+L$5))))</f>
        <v/>
      </c>
      <c r="M36" s="60" t="str">
        <f>IF($A36="","",IF(COUNTIFS(tbKRIColetas[ID KRI],$A36)-6+M$5&lt;1,"",SUMIFS(tbKRIColetas[Valor],tbKRIColetas[ID KRI],$A36,tbKRIColetas[Data da coleta],_xlfn.AGGREGATE(15,6,tbKRIColetas[Data da coleta]/(tbKRIColetas[ID KRI]=$A36),COUNTIFS(tbKRIColetas[ID KRI],$A36)-6+M$5))))</f>
        <v/>
      </c>
      <c r="N36" s="60" t="str">
        <f>IF($A36="","",IF(COUNTIFS(tbKRIColetas[ID KRI],$A36)-6+N$5&lt;1,"",SUMIFS(tbKRIColetas[Valor],tbKRIColetas[ID KRI],$A36,tbKRIColetas[Data da coleta],_xlfn.AGGREGATE(15,6,tbKRIColetas[Data da coleta]/(tbKRIColetas[ID KRI]=$A36),COUNTIFS(tbKRIColetas[ID KRI],$A36)-6+N$5))))</f>
        <v/>
      </c>
      <c r="O36" s="15" t="str">
        <f t="shared" si="0"/>
        <v/>
      </c>
      <c r="P36" s="42" t="str">
        <f t="shared" si="1"/>
        <v/>
      </c>
      <c r="Q36" s="14" t="str">
        <f t="shared" si="2"/>
        <v>—</v>
      </c>
      <c r="R36" s="15" t="str">
        <f t="shared" si="3"/>
        <v>Sem dados</v>
      </c>
      <c r="S36" s="65" t="str">
        <f>IF($A36="","",IFERROR(_xlfn.AGGREGATE(14,6,tbKRIColetas[Data da coleta]/(tbKRIColetas[ID KRI]=$A36),1),""))</f>
        <v/>
      </c>
      <c r="T36" s="17" t="str">
        <f t="shared" si="4"/>
        <v/>
      </c>
      <c r="U36" s="13" t="s">
        <v>2833</v>
      </c>
      <c r="V36" s="117" t="s">
        <v>327</v>
      </c>
    </row>
    <row r="37" spans="1:22">
      <c r="A37" s="115"/>
      <c r="B37" s="11"/>
      <c r="C37" s="41" t="str">
        <f>IF($B37="","",IFERROR(INDEX(Riscos!$C$5:$C$154,MATCH($B37,Riscos!$A$5:$A$154,0)),"ID não encontrado"))</f>
        <v/>
      </c>
      <c r="D37" s="13"/>
      <c r="E37" s="12"/>
      <c r="F37" s="12"/>
      <c r="G37" s="12"/>
      <c r="H37" s="12"/>
      <c r="I37" s="60" t="str">
        <f>IF($A37="","",IF(COUNTIFS(tbKRIColetas[ID KRI],$A37)-6+I$5&lt;1,"",SUMIFS(tbKRIColetas[Valor],tbKRIColetas[ID KRI],$A37,tbKRIColetas[Data da coleta],_xlfn.AGGREGATE(15,6,tbKRIColetas[Data da coleta]/(tbKRIColetas[ID KRI]=$A37),COUNTIFS(tbKRIColetas[ID KRI],$A37)-6+I$5))))</f>
        <v/>
      </c>
      <c r="J37" s="60" t="str">
        <f>IF($A37="","",IF(COUNTIFS(tbKRIColetas[ID KRI],$A37)-6+J$5&lt;1,"",SUMIFS(tbKRIColetas[Valor],tbKRIColetas[ID KRI],$A37,tbKRIColetas[Data da coleta],_xlfn.AGGREGATE(15,6,tbKRIColetas[Data da coleta]/(tbKRIColetas[ID KRI]=$A37),COUNTIFS(tbKRIColetas[ID KRI],$A37)-6+J$5))))</f>
        <v/>
      </c>
      <c r="K37" s="60" t="str">
        <f>IF($A37="","",IF(COUNTIFS(tbKRIColetas[ID KRI],$A37)-6+K$5&lt;1,"",SUMIFS(tbKRIColetas[Valor],tbKRIColetas[ID KRI],$A37,tbKRIColetas[Data da coleta],_xlfn.AGGREGATE(15,6,tbKRIColetas[Data da coleta]/(tbKRIColetas[ID KRI]=$A37),COUNTIFS(tbKRIColetas[ID KRI],$A37)-6+K$5))))</f>
        <v/>
      </c>
      <c r="L37" s="60" t="str">
        <f>IF($A37="","",IF(COUNTIFS(tbKRIColetas[ID KRI],$A37)-6+L$5&lt;1,"",SUMIFS(tbKRIColetas[Valor],tbKRIColetas[ID KRI],$A37,tbKRIColetas[Data da coleta],_xlfn.AGGREGATE(15,6,tbKRIColetas[Data da coleta]/(tbKRIColetas[ID KRI]=$A37),COUNTIFS(tbKRIColetas[ID KRI],$A37)-6+L$5))))</f>
        <v/>
      </c>
      <c r="M37" s="60" t="str">
        <f>IF($A37="","",IF(COUNTIFS(tbKRIColetas[ID KRI],$A37)-6+M$5&lt;1,"",SUMIFS(tbKRIColetas[Valor],tbKRIColetas[ID KRI],$A37,tbKRIColetas[Data da coleta],_xlfn.AGGREGATE(15,6,tbKRIColetas[Data da coleta]/(tbKRIColetas[ID KRI]=$A37),COUNTIFS(tbKRIColetas[ID KRI],$A37)-6+M$5))))</f>
        <v/>
      </c>
      <c r="N37" s="60" t="str">
        <f>IF($A37="","",IF(COUNTIFS(tbKRIColetas[ID KRI],$A37)-6+N$5&lt;1,"",SUMIFS(tbKRIColetas[Valor],tbKRIColetas[ID KRI],$A37,tbKRIColetas[Data da coleta],_xlfn.AGGREGATE(15,6,tbKRIColetas[Data da coleta]/(tbKRIColetas[ID KRI]=$A37),COUNTIFS(tbKRIColetas[ID KRI],$A37)-6+N$5))))</f>
        <v/>
      </c>
      <c r="O37" s="15" t="str">
        <f t="shared" si="0"/>
        <v/>
      </c>
      <c r="P37" s="42" t="str">
        <f t="shared" si="1"/>
        <v/>
      </c>
      <c r="Q37" s="14" t="str">
        <f t="shared" si="2"/>
        <v/>
      </c>
      <c r="R37" s="15" t="str">
        <f t="shared" si="3"/>
        <v/>
      </c>
      <c r="S37" s="65" t="str">
        <f>IF($A37="","",IFERROR(_xlfn.AGGREGATE(14,6,tbKRIColetas[Data da coleta]/(tbKRIColetas[ID KRI]=$A37),1),""))</f>
        <v/>
      </c>
      <c r="T37" s="17" t="str">
        <f t="shared" si="4"/>
        <v/>
      </c>
      <c r="U37" s="13"/>
      <c r="V37" s="117"/>
    </row>
    <row r="38" spans="1:22">
      <c r="A38" s="115"/>
      <c r="B38" s="11"/>
      <c r="C38" s="41" t="str">
        <f>IF($B38="","",IFERROR(INDEX(Riscos!$C$5:$C$154,MATCH($B38,Riscos!$A$5:$A$154,0)),"ID não encontrado"))</f>
        <v/>
      </c>
      <c r="D38" s="13"/>
      <c r="E38" s="12"/>
      <c r="F38" s="12"/>
      <c r="G38" s="12"/>
      <c r="H38" s="12"/>
      <c r="I38" s="60" t="str">
        <f>IF($A38="","",IF(COUNTIFS(tbKRIColetas[ID KRI],$A38)-6+I$5&lt;1,"",SUMIFS(tbKRIColetas[Valor],tbKRIColetas[ID KRI],$A38,tbKRIColetas[Data da coleta],_xlfn.AGGREGATE(15,6,tbKRIColetas[Data da coleta]/(tbKRIColetas[ID KRI]=$A38),COUNTIFS(tbKRIColetas[ID KRI],$A38)-6+I$5))))</f>
        <v/>
      </c>
      <c r="J38" s="60" t="str">
        <f>IF($A38="","",IF(COUNTIFS(tbKRIColetas[ID KRI],$A38)-6+J$5&lt;1,"",SUMIFS(tbKRIColetas[Valor],tbKRIColetas[ID KRI],$A38,tbKRIColetas[Data da coleta],_xlfn.AGGREGATE(15,6,tbKRIColetas[Data da coleta]/(tbKRIColetas[ID KRI]=$A38),COUNTIFS(tbKRIColetas[ID KRI],$A38)-6+J$5))))</f>
        <v/>
      </c>
      <c r="K38" s="60" t="str">
        <f>IF($A38="","",IF(COUNTIFS(tbKRIColetas[ID KRI],$A38)-6+K$5&lt;1,"",SUMIFS(tbKRIColetas[Valor],tbKRIColetas[ID KRI],$A38,tbKRIColetas[Data da coleta],_xlfn.AGGREGATE(15,6,tbKRIColetas[Data da coleta]/(tbKRIColetas[ID KRI]=$A38),COUNTIFS(tbKRIColetas[ID KRI],$A38)-6+K$5))))</f>
        <v/>
      </c>
      <c r="L38" s="60" t="str">
        <f>IF($A38="","",IF(COUNTIFS(tbKRIColetas[ID KRI],$A38)-6+L$5&lt;1,"",SUMIFS(tbKRIColetas[Valor],tbKRIColetas[ID KRI],$A38,tbKRIColetas[Data da coleta],_xlfn.AGGREGATE(15,6,tbKRIColetas[Data da coleta]/(tbKRIColetas[ID KRI]=$A38),COUNTIFS(tbKRIColetas[ID KRI],$A38)-6+L$5))))</f>
        <v/>
      </c>
      <c r="M38" s="60" t="str">
        <f>IF($A38="","",IF(COUNTIFS(tbKRIColetas[ID KRI],$A38)-6+M$5&lt;1,"",SUMIFS(tbKRIColetas[Valor],tbKRIColetas[ID KRI],$A38,tbKRIColetas[Data da coleta],_xlfn.AGGREGATE(15,6,tbKRIColetas[Data da coleta]/(tbKRIColetas[ID KRI]=$A38),COUNTIFS(tbKRIColetas[ID KRI],$A38)-6+M$5))))</f>
        <v/>
      </c>
      <c r="N38" s="60" t="str">
        <f>IF($A38="","",IF(COUNTIFS(tbKRIColetas[ID KRI],$A38)-6+N$5&lt;1,"",SUMIFS(tbKRIColetas[Valor],tbKRIColetas[ID KRI],$A38,tbKRIColetas[Data da coleta],_xlfn.AGGREGATE(15,6,tbKRIColetas[Data da coleta]/(tbKRIColetas[ID KRI]=$A38),COUNTIFS(tbKRIColetas[ID KRI],$A38)-6+N$5))))</f>
        <v/>
      </c>
      <c r="O38" s="15" t="str">
        <f t="shared" si="0"/>
        <v/>
      </c>
      <c r="P38" s="42" t="str">
        <f t="shared" si="1"/>
        <v/>
      </c>
      <c r="Q38" s="14" t="str">
        <f t="shared" si="2"/>
        <v/>
      </c>
      <c r="R38" s="15" t="str">
        <f t="shared" si="3"/>
        <v/>
      </c>
      <c r="S38" s="65" t="str">
        <f>IF($A38="","",IFERROR(_xlfn.AGGREGATE(14,6,tbKRIColetas[Data da coleta]/(tbKRIColetas[ID KRI]=$A38),1),""))</f>
        <v/>
      </c>
      <c r="T38" s="17" t="str">
        <f t="shared" si="4"/>
        <v/>
      </c>
      <c r="U38" s="13"/>
      <c r="V38" s="117"/>
    </row>
    <row r="39" spans="1:22">
      <c r="A39" s="115"/>
      <c r="B39" s="11"/>
      <c r="C39" s="41" t="str">
        <f>IF($B39="","",IFERROR(INDEX(Riscos!$C$5:$C$154,MATCH($B39,Riscos!$A$5:$A$154,0)),"ID não encontrado"))</f>
        <v/>
      </c>
      <c r="D39" s="13"/>
      <c r="E39" s="12"/>
      <c r="F39" s="12"/>
      <c r="G39" s="12"/>
      <c r="H39" s="12"/>
      <c r="I39" s="60" t="str">
        <f>IF($A39="","",IF(COUNTIFS(tbKRIColetas[ID KRI],$A39)-6+I$5&lt;1,"",SUMIFS(tbKRIColetas[Valor],tbKRIColetas[ID KRI],$A39,tbKRIColetas[Data da coleta],_xlfn.AGGREGATE(15,6,tbKRIColetas[Data da coleta]/(tbKRIColetas[ID KRI]=$A39),COUNTIFS(tbKRIColetas[ID KRI],$A39)-6+I$5))))</f>
        <v/>
      </c>
      <c r="J39" s="60" t="str">
        <f>IF($A39="","",IF(COUNTIFS(tbKRIColetas[ID KRI],$A39)-6+J$5&lt;1,"",SUMIFS(tbKRIColetas[Valor],tbKRIColetas[ID KRI],$A39,tbKRIColetas[Data da coleta],_xlfn.AGGREGATE(15,6,tbKRIColetas[Data da coleta]/(tbKRIColetas[ID KRI]=$A39),COUNTIFS(tbKRIColetas[ID KRI],$A39)-6+J$5))))</f>
        <v/>
      </c>
      <c r="K39" s="60" t="str">
        <f>IF($A39="","",IF(COUNTIFS(tbKRIColetas[ID KRI],$A39)-6+K$5&lt;1,"",SUMIFS(tbKRIColetas[Valor],tbKRIColetas[ID KRI],$A39,tbKRIColetas[Data da coleta],_xlfn.AGGREGATE(15,6,tbKRIColetas[Data da coleta]/(tbKRIColetas[ID KRI]=$A39),COUNTIFS(tbKRIColetas[ID KRI],$A39)-6+K$5))))</f>
        <v/>
      </c>
      <c r="L39" s="60" t="str">
        <f>IF($A39="","",IF(COUNTIFS(tbKRIColetas[ID KRI],$A39)-6+L$5&lt;1,"",SUMIFS(tbKRIColetas[Valor],tbKRIColetas[ID KRI],$A39,tbKRIColetas[Data da coleta],_xlfn.AGGREGATE(15,6,tbKRIColetas[Data da coleta]/(tbKRIColetas[ID KRI]=$A39),COUNTIFS(tbKRIColetas[ID KRI],$A39)-6+L$5))))</f>
        <v/>
      </c>
      <c r="M39" s="60" t="str">
        <f>IF($A39="","",IF(COUNTIFS(tbKRIColetas[ID KRI],$A39)-6+M$5&lt;1,"",SUMIFS(tbKRIColetas[Valor],tbKRIColetas[ID KRI],$A39,tbKRIColetas[Data da coleta],_xlfn.AGGREGATE(15,6,tbKRIColetas[Data da coleta]/(tbKRIColetas[ID KRI]=$A39),COUNTIFS(tbKRIColetas[ID KRI],$A39)-6+M$5))))</f>
        <v/>
      </c>
      <c r="N39" s="60" t="str">
        <f>IF($A39="","",IF(COUNTIFS(tbKRIColetas[ID KRI],$A39)-6+N$5&lt;1,"",SUMIFS(tbKRIColetas[Valor],tbKRIColetas[ID KRI],$A39,tbKRIColetas[Data da coleta],_xlfn.AGGREGATE(15,6,tbKRIColetas[Data da coleta]/(tbKRIColetas[ID KRI]=$A39),COUNTIFS(tbKRIColetas[ID KRI],$A39)-6+N$5))))</f>
        <v/>
      </c>
      <c r="O39" s="15" t="str">
        <f t="shared" ref="O39:O66" si="5">IF(COUNT($I39:$N39)=0,"",INDEX($I39:$N39,SUMPRODUCT(MAX(($I39:$N39&lt;&gt;"")*(COLUMN($I39:$N39)-COLUMN($I39)+1)))))</f>
        <v/>
      </c>
      <c r="P39" s="42" t="str">
        <f t="shared" ref="P39:P66" si="6">IF(COUNT($I39:$N39)&lt;3,"",(COUNT($I39:$N39)*SUMPRODUCT($I$5:$N$5,$I39:$N39)-SUMPRODUCT(--ISNUMBER($I39:$N39),$I$5:$N$5)*SUM($I39:$N39))/(COUNT($I39:$N39)*SUMPRODUCT(--ISNUMBER($I39:$N39),$I$5:$N$5,$I$5:$N$5)-SUMPRODUCT(--ISNUMBER($I39:$N39),$I$5:$N$5)^2))</f>
        <v/>
      </c>
      <c r="Q39" s="14" t="str">
        <f t="shared" ref="Q39:Q66" si="7">IF(OR($B39="",$P39=""),IF($B39="","","—"),IF(ABS($P39)&lt;0.000000001,"► estável",IF(($G39&lt;&gt;"Menor é pior")=($P39&gt;0),"▲ piora","▼ melhora")))</f>
        <v/>
      </c>
      <c r="R39" s="15" t="str">
        <f t="shared" ref="R39:R66" si="8">IF(AND($B39="",$D39=""),"",IF(OR($B39="",$O39="",$F39=""),"Sem dados",IF($G39&lt;&gt;"Menor é pior",IF($O39&gt;$F39,"Estourou",IF(AND(N($P39)&gt;0,$O39+N($P39)*KriHoriz&gt;=$F39),"Atenção","OK")),IF($O39&lt;$F39,"Estourou",IF(AND(N($P39)&lt;0,$O39+N($P39)*KriHoriz&lt;=$F39),"Atenção","OK")))))</f>
        <v/>
      </c>
      <c r="S39" s="65" t="str">
        <f>IF($A39="","",IFERROR(_xlfn.AGGREGATE(14,6,tbKRIColetas[Data da coleta]/(tbKRIColetas[ID KRI]=$A39),1),""))</f>
        <v/>
      </c>
      <c r="T39" s="17" t="str">
        <f t="shared" ref="T39:T66" si="9">IF(OR($S39="",$H39=""),"",IFERROR(IF(N(INDEX(FreqDias,MATCH($H39,ListaFreq,0)))=0,"",$S39+INDEX(FreqDias,MATCH($H39,ListaFreq,0))),""))</f>
        <v/>
      </c>
      <c r="U39" s="13"/>
      <c r="V39" s="117"/>
    </row>
    <row r="40" spans="1:22">
      <c r="A40" s="115"/>
      <c r="B40" s="11"/>
      <c r="C40" s="41" t="str">
        <f>IF($B40="","",IFERROR(INDEX(Riscos!$C$5:$C$154,MATCH($B40,Riscos!$A$5:$A$154,0)),"ID não encontrado"))</f>
        <v/>
      </c>
      <c r="D40" s="13"/>
      <c r="E40" s="12"/>
      <c r="F40" s="12"/>
      <c r="G40" s="12"/>
      <c r="H40" s="12"/>
      <c r="I40" s="60" t="str">
        <f>IF($A40="","",IF(COUNTIFS(tbKRIColetas[ID KRI],$A40)-6+I$5&lt;1,"",SUMIFS(tbKRIColetas[Valor],tbKRIColetas[ID KRI],$A40,tbKRIColetas[Data da coleta],_xlfn.AGGREGATE(15,6,tbKRIColetas[Data da coleta]/(tbKRIColetas[ID KRI]=$A40),COUNTIFS(tbKRIColetas[ID KRI],$A40)-6+I$5))))</f>
        <v/>
      </c>
      <c r="J40" s="60" t="str">
        <f>IF($A40="","",IF(COUNTIFS(tbKRIColetas[ID KRI],$A40)-6+J$5&lt;1,"",SUMIFS(tbKRIColetas[Valor],tbKRIColetas[ID KRI],$A40,tbKRIColetas[Data da coleta],_xlfn.AGGREGATE(15,6,tbKRIColetas[Data da coleta]/(tbKRIColetas[ID KRI]=$A40),COUNTIFS(tbKRIColetas[ID KRI],$A40)-6+J$5))))</f>
        <v/>
      </c>
      <c r="K40" s="60" t="str">
        <f>IF($A40="","",IF(COUNTIFS(tbKRIColetas[ID KRI],$A40)-6+K$5&lt;1,"",SUMIFS(tbKRIColetas[Valor],tbKRIColetas[ID KRI],$A40,tbKRIColetas[Data da coleta],_xlfn.AGGREGATE(15,6,tbKRIColetas[Data da coleta]/(tbKRIColetas[ID KRI]=$A40),COUNTIFS(tbKRIColetas[ID KRI],$A40)-6+K$5))))</f>
        <v/>
      </c>
      <c r="L40" s="60" t="str">
        <f>IF($A40="","",IF(COUNTIFS(tbKRIColetas[ID KRI],$A40)-6+L$5&lt;1,"",SUMIFS(tbKRIColetas[Valor],tbKRIColetas[ID KRI],$A40,tbKRIColetas[Data da coleta],_xlfn.AGGREGATE(15,6,tbKRIColetas[Data da coleta]/(tbKRIColetas[ID KRI]=$A40),COUNTIFS(tbKRIColetas[ID KRI],$A40)-6+L$5))))</f>
        <v/>
      </c>
      <c r="M40" s="60" t="str">
        <f>IF($A40="","",IF(COUNTIFS(tbKRIColetas[ID KRI],$A40)-6+M$5&lt;1,"",SUMIFS(tbKRIColetas[Valor],tbKRIColetas[ID KRI],$A40,tbKRIColetas[Data da coleta],_xlfn.AGGREGATE(15,6,tbKRIColetas[Data da coleta]/(tbKRIColetas[ID KRI]=$A40),COUNTIFS(tbKRIColetas[ID KRI],$A40)-6+M$5))))</f>
        <v/>
      </c>
      <c r="N40" s="60" t="str">
        <f>IF($A40="","",IF(COUNTIFS(tbKRIColetas[ID KRI],$A40)-6+N$5&lt;1,"",SUMIFS(tbKRIColetas[Valor],tbKRIColetas[ID KRI],$A40,tbKRIColetas[Data da coleta],_xlfn.AGGREGATE(15,6,tbKRIColetas[Data da coleta]/(tbKRIColetas[ID KRI]=$A40),COUNTIFS(tbKRIColetas[ID KRI],$A40)-6+N$5))))</f>
        <v/>
      </c>
      <c r="O40" s="15" t="str">
        <f t="shared" si="5"/>
        <v/>
      </c>
      <c r="P40" s="42" t="str">
        <f t="shared" si="6"/>
        <v/>
      </c>
      <c r="Q40" s="14" t="str">
        <f t="shared" si="7"/>
        <v/>
      </c>
      <c r="R40" s="15" t="str">
        <f t="shared" si="8"/>
        <v/>
      </c>
      <c r="S40" s="65" t="str">
        <f>IF($A40="","",IFERROR(_xlfn.AGGREGATE(14,6,tbKRIColetas[Data da coleta]/(tbKRIColetas[ID KRI]=$A40),1),""))</f>
        <v/>
      </c>
      <c r="T40" s="17" t="str">
        <f t="shared" si="9"/>
        <v/>
      </c>
      <c r="U40" s="13"/>
      <c r="V40" s="117"/>
    </row>
    <row r="41" spans="1:22">
      <c r="A41" s="115"/>
      <c r="B41" s="11"/>
      <c r="C41" s="41" t="str">
        <f>IF($B41="","",IFERROR(INDEX(Riscos!$C$5:$C$154,MATCH($B41,Riscos!$A$5:$A$154,0)),"ID não encontrado"))</f>
        <v/>
      </c>
      <c r="D41" s="13"/>
      <c r="E41" s="12"/>
      <c r="F41" s="12"/>
      <c r="G41" s="12"/>
      <c r="H41" s="12"/>
      <c r="I41" s="60" t="str">
        <f>IF($A41="","",IF(COUNTIFS(tbKRIColetas[ID KRI],$A41)-6+I$5&lt;1,"",SUMIFS(tbKRIColetas[Valor],tbKRIColetas[ID KRI],$A41,tbKRIColetas[Data da coleta],_xlfn.AGGREGATE(15,6,tbKRIColetas[Data da coleta]/(tbKRIColetas[ID KRI]=$A41),COUNTIFS(tbKRIColetas[ID KRI],$A41)-6+I$5))))</f>
        <v/>
      </c>
      <c r="J41" s="60" t="str">
        <f>IF($A41="","",IF(COUNTIFS(tbKRIColetas[ID KRI],$A41)-6+J$5&lt;1,"",SUMIFS(tbKRIColetas[Valor],tbKRIColetas[ID KRI],$A41,tbKRIColetas[Data da coleta],_xlfn.AGGREGATE(15,6,tbKRIColetas[Data da coleta]/(tbKRIColetas[ID KRI]=$A41),COUNTIFS(tbKRIColetas[ID KRI],$A41)-6+J$5))))</f>
        <v/>
      </c>
      <c r="K41" s="60" t="str">
        <f>IF($A41="","",IF(COUNTIFS(tbKRIColetas[ID KRI],$A41)-6+K$5&lt;1,"",SUMIFS(tbKRIColetas[Valor],tbKRIColetas[ID KRI],$A41,tbKRIColetas[Data da coleta],_xlfn.AGGREGATE(15,6,tbKRIColetas[Data da coleta]/(tbKRIColetas[ID KRI]=$A41),COUNTIFS(tbKRIColetas[ID KRI],$A41)-6+K$5))))</f>
        <v/>
      </c>
      <c r="L41" s="60" t="str">
        <f>IF($A41="","",IF(COUNTIFS(tbKRIColetas[ID KRI],$A41)-6+L$5&lt;1,"",SUMIFS(tbKRIColetas[Valor],tbKRIColetas[ID KRI],$A41,tbKRIColetas[Data da coleta],_xlfn.AGGREGATE(15,6,tbKRIColetas[Data da coleta]/(tbKRIColetas[ID KRI]=$A41),COUNTIFS(tbKRIColetas[ID KRI],$A41)-6+L$5))))</f>
        <v/>
      </c>
      <c r="M41" s="60" t="str">
        <f>IF($A41="","",IF(COUNTIFS(tbKRIColetas[ID KRI],$A41)-6+M$5&lt;1,"",SUMIFS(tbKRIColetas[Valor],tbKRIColetas[ID KRI],$A41,tbKRIColetas[Data da coleta],_xlfn.AGGREGATE(15,6,tbKRIColetas[Data da coleta]/(tbKRIColetas[ID KRI]=$A41),COUNTIFS(tbKRIColetas[ID KRI],$A41)-6+M$5))))</f>
        <v/>
      </c>
      <c r="N41" s="60" t="str">
        <f>IF($A41="","",IF(COUNTIFS(tbKRIColetas[ID KRI],$A41)-6+N$5&lt;1,"",SUMIFS(tbKRIColetas[Valor],tbKRIColetas[ID KRI],$A41,tbKRIColetas[Data da coleta],_xlfn.AGGREGATE(15,6,tbKRIColetas[Data da coleta]/(tbKRIColetas[ID KRI]=$A41),COUNTIFS(tbKRIColetas[ID KRI],$A41)-6+N$5))))</f>
        <v/>
      </c>
      <c r="O41" s="15" t="str">
        <f t="shared" si="5"/>
        <v/>
      </c>
      <c r="P41" s="42" t="str">
        <f t="shared" si="6"/>
        <v/>
      </c>
      <c r="Q41" s="14" t="str">
        <f t="shared" si="7"/>
        <v/>
      </c>
      <c r="R41" s="15" t="str">
        <f t="shared" si="8"/>
        <v/>
      </c>
      <c r="S41" s="65" t="str">
        <f>IF($A41="","",IFERROR(_xlfn.AGGREGATE(14,6,tbKRIColetas[Data da coleta]/(tbKRIColetas[ID KRI]=$A41),1),""))</f>
        <v/>
      </c>
      <c r="T41" s="17" t="str">
        <f t="shared" si="9"/>
        <v/>
      </c>
      <c r="U41" s="13"/>
      <c r="V41" s="117"/>
    </row>
    <row r="42" spans="1:22">
      <c r="A42" s="115"/>
      <c r="B42" s="11"/>
      <c r="C42" s="41" t="str">
        <f>IF($B42="","",IFERROR(INDEX(Riscos!$C$5:$C$154,MATCH($B42,Riscos!$A$5:$A$154,0)),"ID não encontrado"))</f>
        <v/>
      </c>
      <c r="D42" s="13"/>
      <c r="E42" s="12"/>
      <c r="F42" s="12"/>
      <c r="G42" s="12"/>
      <c r="H42" s="12"/>
      <c r="I42" s="60" t="str">
        <f>IF($A42="","",IF(COUNTIFS(tbKRIColetas[ID KRI],$A42)-6+I$5&lt;1,"",SUMIFS(tbKRIColetas[Valor],tbKRIColetas[ID KRI],$A42,tbKRIColetas[Data da coleta],_xlfn.AGGREGATE(15,6,tbKRIColetas[Data da coleta]/(tbKRIColetas[ID KRI]=$A42),COUNTIFS(tbKRIColetas[ID KRI],$A42)-6+I$5))))</f>
        <v/>
      </c>
      <c r="J42" s="60" t="str">
        <f>IF($A42="","",IF(COUNTIFS(tbKRIColetas[ID KRI],$A42)-6+J$5&lt;1,"",SUMIFS(tbKRIColetas[Valor],tbKRIColetas[ID KRI],$A42,tbKRIColetas[Data da coleta],_xlfn.AGGREGATE(15,6,tbKRIColetas[Data da coleta]/(tbKRIColetas[ID KRI]=$A42),COUNTIFS(tbKRIColetas[ID KRI],$A42)-6+J$5))))</f>
        <v/>
      </c>
      <c r="K42" s="60" t="str">
        <f>IF($A42="","",IF(COUNTIFS(tbKRIColetas[ID KRI],$A42)-6+K$5&lt;1,"",SUMIFS(tbKRIColetas[Valor],tbKRIColetas[ID KRI],$A42,tbKRIColetas[Data da coleta],_xlfn.AGGREGATE(15,6,tbKRIColetas[Data da coleta]/(tbKRIColetas[ID KRI]=$A42),COUNTIFS(tbKRIColetas[ID KRI],$A42)-6+K$5))))</f>
        <v/>
      </c>
      <c r="L42" s="60" t="str">
        <f>IF($A42="","",IF(COUNTIFS(tbKRIColetas[ID KRI],$A42)-6+L$5&lt;1,"",SUMIFS(tbKRIColetas[Valor],tbKRIColetas[ID KRI],$A42,tbKRIColetas[Data da coleta],_xlfn.AGGREGATE(15,6,tbKRIColetas[Data da coleta]/(tbKRIColetas[ID KRI]=$A42),COUNTIFS(tbKRIColetas[ID KRI],$A42)-6+L$5))))</f>
        <v/>
      </c>
      <c r="M42" s="60" t="str">
        <f>IF($A42="","",IF(COUNTIFS(tbKRIColetas[ID KRI],$A42)-6+M$5&lt;1,"",SUMIFS(tbKRIColetas[Valor],tbKRIColetas[ID KRI],$A42,tbKRIColetas[Data da coleta],_xlfn.AGGREGATE(15,6,tbKRIColetas[Data da coleta]/(tbKRIColetas[ID KRI]=$A42),COUNTIFS(tbKRIColetas[ID KRI],$A42)-6+M$5))))</f>
        <v/>
      </c>
      <c r="N42" s="60" t="str">
        <f>IF($A42="","",IF(COUNTIFS(tbKRIColetas[ID KRI],$A42)-6+N$5&lt;1,"",SUMIFS(tbKRIColetas[Valor],tbKRIColetas[ID KRI],$A42,tbKRIColetas[Data da coleta],_xlfn.AGGREGATE(15,6,tbKRIColetas[Data da coleta]/(tbKRIColetas[ID KRI]=$A42),COUNTIFS(tbKRIColetas[ID KRI],$A42)-6+N$5))))</f>
        <v/>
      </c>
      <c r="O42" s="15" t="str">
        <f t="shared" si="5"/>
        <v/>
      </c>
      <c r="P42" s="42" t="str">
        <f t="shared" si="6"/>
        <v/>
      </c>
      <c r="Q42" s="14" t="str">
        <f t="shared" si="7"/>
        <v/>
      </c>
      <c r="R42" s="15" t="str">
        <f t="shared" si="8"/>
        <v/>
      </c>
      <c r="S42" s="65" t="str">
        <f>IF($A42="","",IFERROR(_xlfn.AGGREGATE(14,6,tbKRIColetas[Data da coleta]/(tbKRIColetas[ID KRI]=$A42),1),""))</f>
        <v/>
      </c>
      <c r="T42" s="17" t="str">
        <f t="shared" si="9"/>
        <v/>
      </c>
      <c r="U42" s="13"/>
      <c r="V42" s="117"/>
    </row>
    <row r="43" spans="1:22">
      <c r="A43" s="115"/>
      <c r="B43" s="11"/>
      <c r="C43" s="41" t="str">
        <f>IF($B43="","",IFERROR(INDEX(Riscos!$C$5:$C$154,MATCH($B43,Riscos!$A$5:$A$154,0)),"ID não encontrado"))</f>
        <v/>
      </c>
      <c r="D43" s="13"/>
      <c r="E43" s="12"/>
      <c r="F43" s="12"/>
      <c r="G43" s="12"/>
      <c r="H43" s="12"/>
      <c r="I43" s="60" t="str">
        <f>IF($A43="","",IF(COUNTIFS(tbKRIColetas[ID KRI],$A43)-6+I$5&lt;1,"",SUMIFS(tbKRIColetas[Valor],tbKRIColetas[ID KRI],$A43,tbKRIColetas[Data da coleta],_xlfn.AGGREGATE(15,6,tbKRIColetas[Data da coleta]/(tbKRIColetas[ID KRI]=$A43),COUNTIFS(tbKRIColetas[ID KRI],$A43)-6+I$5))))</f>
        <v/>
      </c>
      <c r="J43" s="60" t="str">
        <f>IF($A43="","",IF(COUNTIFS(tbKRIColetas[ID KRI],$A43)-6+J$5&lt;1,"",SUMIFS(tbKRIColetas[Valor],tbKRIColetas[ID KRI],$A43,tbKRIColetas[Data da coleta],_xlfn.AGGREGATE(15,6,tbKRIColetas[Data da coleta]/(tbKRIColetas[ID KRI]=$A43),COUNTIFS(tbKRIColetas[ID KRI],$A43)-6+J$5))))</f>
        <v/>
      </c>
      <c r="K43" s="60" t="str">
        <f>IF($A43="","",IF(COUNTIFS(tbKRIColetas[ID KRI],$A43)-6+K$5&lt;1,"",SUMIFS(tbKRIColetas[Valor],tbKRIColetas[ID KRI],$A43,tbKRIColetas[Data da coleta],_xlfn.AGGREGATE(15,6,tbKRIColetas[Data da coleta]/(tbKRIColetas[ID KRI]=$A43),COUNTIFS(tbKRIColetas[ID KRI],$A43)-6+K$5))))</f>
        <v/>
      </c>
      <c r="L43" s="60" t="str">
        <f>IF($A43="","",IF(COUNTIFS(tbKRIColetas[ID KRI],$A43)-6+L$5&lt;1,"",SUMIFS(tbKRIColetas[Valor],tbKRIColetas[ID KRI],$A43,tbKRIColetas[Data da coleta],_xlfn.AGGREGATE(15,6,tbKRIColetas[Data da coleta]/(tbKRIColetas[ID KRI]=$A43),COUNTIFS(tbKRIColetas[ID KRI],$A43)-6+L$5))))</f>
        <v/>
      </c>
      <c r="M43" s="60" t="str">
        <f>IF($A43="","",IF(COUNTIFS(tbKRIColetas[ID KRI],$A43)-6+M$5&lt;1,"",SUMIFS(tbKRIColetas[Valor],tbKRIColetas[ID KRI],$A43,tbKRIColetas[Data da coleta],_xlfn.AGGREGATE(15,6,tbKRIColetas[Data da coleta]/(tbKRIColetas[ID KRI]=$A43),COUNTIFS(tbKRIColetas[ID KRI],$A43)-6+M$5))))</f>
        <v/>
      </c>
      <c r="N43" s="60" t="str">
        <f>IF($A43="","",IF(COUNTIFS(tbKRIColetas[ID KRI],$A43)-6+N$5&lt;1,"",SUMIFS(tbKRIColetas[Valor],tbKRIColetas[ID KRI],$A43,tbKRIColetas[Data da coleta],_xlfn.AGGREGATE(15,6,tbKRIColetas[Data da coleta]/(tbKRIColetas[ID KRI]=$A43),COUNTIFS(tbKRIColetas[ID KRI],$A43)-6+N$5))))</f>
        <v/>
      </c>
      <c r="O43" s="15" t="str">
        <f t="shared" si="5"/>
        <v/>
      </c>
      <c r="P43" s="42" t="str">
        <f t="shared" si="6"/>
        <v/>
      </c>
      <c r="Q43" s="14" t="str">
        <f t="shared" si="7"/>
        <v/>
      </c>
      <c r="R43" s="15" t="str">
        <f t="shared" si="8"/>
        <v/>
      </c>
      <c r="S43" s="65" t="str">
        <f>IF($A43="","",IFERROR(_xlfn.AGGREGATE(14,6,tbKRIColetas[Data da coleta]/(tbKRIColetas[ID KRI]=$A43),1),""))</f>
        <v/>
      </c>
      <c r="T43" s="17" t="str">
        <f t="shared" si="9"/>
        <v/>
      </c>
      <c r="U43" s="13"/>
      <c r="V43" s="117"/>
    </row>
    <row r="44" spans="1:22">
      <c r="A44" s="115"/>
      <c r="B44" s="11"/>
      <c r="C44" s="41" t="str">
        <f>IF($B44="","",IFERROR(INDEX(Riscos!$C$5:$C$154,MATCH($B44,Riscos!$A$5:$A$154,0)),"ID não encontrado"))</f>
        <v/>
      </c>
      <c r="D44" s="13"/>
      <c r="E44" s="12"/>
      <c r="F44" s="12"/>
      <c r="G44" s="12"/>
      <c r="H44" s="12"/>
      <c r="I44" s="60" t="str">
        <f>IF($A44="","",IF(COUNTIFS(tbKRIColetas[ID KRI],$A44)-6+I$5&lt;1,"",SUMIFS(tbKRIColetas[Valor],tbKRIColetas[ID KRI],$A44,tbKRIColetas[Data da coleta],_xlfn.AGGREGATE(15,6,tbKRIColetas[Data da coleta]/(tbKRIColetas[ID KRI]=$A44),COUNTIFS(tbKRIColetas[ID KRI],$A44)-6+I$5))))</f>
        <v/>
      </c>
      <c r="J44" s="60" t="str">
        <f>IF($A44="","",IF(COUNTIFS(tbKRIColetas[ID KRI],$A44)-6+J$5&lt;1,"",SUMIFS(tbKRIColetas[Valor],tbKRIColetas[ID KRI],$A44,tbKRIColetas[Data da coleta],_xlfn.AGGREGATE(15,6,tbKRIColetas[Data da coleta]/(tbKRIColetas[ID KRI]=$A44),COUNTIFS(tbKRIColetas[ID KRI],$A44)-6+J$5))))</f>
        <v/>
      </c>
      <c r="K44" s="60" t="str">
        <f>IF($A44="","",IF(COUNTIFS(tbKRIColetas[ID KRI],$A44)-6+K$5&lt;1,"",SUMIFS(tbKRIColetas[Valor],tbKRIColetas[ID KRI],$A44,tbKRIColetas[Data da coleta],_xlfn.AGGREGATE(15,6,tbKRIColetas[Data da coleta]/(tbKRIColetas[ID KRI]=$A44),COUNTIFS(tbKRIColetas[ID KRI],$A44)-6+K$5))))</f>
        <v/>
      </c>
      <c r="L44" s="60" t="str">
        <f>IF($A44="","",IF(COUNTIFS(tbKRIColetas[ID KRI],$A44)-6+L$5&lt;1,"",SUMIFS(tbKRIColetas[Valor],tbKRIColetas[ID KRI],$A44,tbKRIColetas[Data da coleta],_xlfn.AGGREGATE(15,6,tbKRIColetas[Data da coleta]/(tbKRIColetas[ID KRI]=$A44),COUNTIFS(tbKRIColetas[ID KRI],$A44)-6+L$5))))</f>
        <v/>
      </c>
      <c r="M44" s="60" t="str">
        <f>IF($A44="","",IF(COUNTIFS(tbKRIColetas[ID KRI],$A44)-6+M$5&lt;1,"",SUMIFS(tbKRIColetas[Valor],tbKRIColetas[ID KRI],$A44,tbKRIColetas[Data da coleta],_xlfn.AGGREGATE(15,6,tbKRIColetas[Data da coleta]/(tbKRIColetas[ID KRI]=$A44),COUNTIFS(tbKRIColetas[ID KRI],$A44)-6+M$5))))</f>
        <v/>
      </c>
      <c r="N44" s="60" t="str">
        <f>IF($A44="","",IF(COUNTIFS(tbKRIColetas[ID KRI],$A44)-6+N$5&lt;1,"",SUMIFS(tbKRIColetas[Valor],tbKRIColetas[ID KRI],$A44,tbKRIColetas[Data da coleta],_xlfn.AGGREGATE(15,6,tbKRIColetas[Data da coleta]/(tbKRIColetas[ID KRI]=$A44),COUNTIFS(tbKRIColetas[ID KRI],$A44)-6+N$5))))</f>
        <v/>
      </c>
      <c r="O44" s="15" t="str">
        <f t="shared" si="5"/>
        <v/>
      </c>
      <c r="P44" s="42" t="str">
        <f t="shared" si="6"/>
        <v/>
      </c>
      <c r="Q44" s="14" t="str">
        <f t="shared" si="7"/>
        <v/>
      </c>
      <c r="R44" s="15" t="str">
        <f t="shared" si="8"/>
        <v/>
      </c>
      <c r="S44" s="65" t="str">
        <f>IF($A44="","",IFERROR(_xlfn.AGGREGATE(14,6,tbKRIColetas[Data da coleta]/(tbKRIColetas[ID KRI]=$A44),1),""))</f>
        <v/>
      </c>
      <c r="T44" s="17" t="str">
        <f t="shared" si="9"/>
        <v/>
      </c>
      <c r="U44" s="13"/>
      <c r="V44" s="117"/>
    </row>
    <row r="45" spans="1:22">
      <c r="A45" s="115"/>
      <c r="B45" s="11"/>
      <c r="C45" s="41" t="str">
        <f>IF($B45="","",IFERROR(INDEX(Riscos!$C$5:$C$154,MATCH($B45,Riscos!$A$5:$A$154,0)),"ID não encontrado"))</f>
        <v/>
      </c>
      <c r="D45" s="13"/>
      <c r="E45" s="12"/>
      <c r="F45" s="12"/>
      <c r="G45" s="12"/>
      <c r="H45" s="12"/>
      <c r="I45" s="60" t="str">
        <f>IF($A45="","",IF(COUNTIFS(tbKRIColetas[ID KRI],$A45)-6+I$5&lt;1,"",SUMIFS(tbKRIColetas[Valor],tbKRIColetas[ID KRI],$A45,tbKRIColetas[Data da coleta],_xlfn.AGGREGATE(15,6,tbKRIColetas[Data da coleta]/(tbKRIColetas[ID KRI]=$A45),COUNTIFS(tbKRIColetas[ID KRI],$A45)-6+I$5))))</f>
        <v/>
      </c>
      <c r="J45" s="60" t="str">
        <f>IF($A45="","",IF(COUNTIFS(tbKRIColetas[ID KRI],$A45)-6+J$5&lt;1,"",SUMIFS(tbKRIColetas[Valor],tbKRIColetas[ID KRI],$A45,tbKRIColetas[Data da coleta],_xlfn.AGGREGATE(15,6,tbKRIColetas[Data da coleta]/(tbKRIColetas[ID KRI]=$A45),COUNTIFS(tbKRIColetas[ID KRI],$A45)-6+J$5))))</f>
        <v/>
      </c>
      <c r="K45" s="60" t="str">
        <f>IF($A45="","",IF(COUNTIFS(tbKRIColetas[ID KRI],$A45)-6+K$5&lt;1,"",SUMIFS(tbKRIColetas[Valor],tbKRIColetas[ID KRI],$A45,tbKRIColetas[Data da coleta],_xlfn.AGGREGATE(15,6,tbKRIColetas[Data da coleta]/(tbKRIColetas[ID KRI]=$A45),COUNTIFS(tbKRIColetas[ID KRI],$A45)-6+K$5))))</f>
        <v/>
      </c>
      <c r="L45" s="60" t="str">
        <f>IF($A45="","",IF(COUNTIFS(tbKRIColetas[ID KRI],$A45)-6+L$5&lt;1,"",SUMIFS(tbKRIColetas[Valor],tbKRIColetas[ID KRI],$A45,tbKRIColetas[Data da coleta],_xlfn.AGGREGATE(15,6,tbKRIColetas[Data da coleta]/(tbKRIColetas[ID KRI]=$A45),COUNTIFS(tbKRIColetas[ID KRI],$A45)-6+L$5))))</f>
        <v/>
      </c>
      <c r="M45" s="60" t="str">
        <f>IF($A45="","",IF(COUNTIFS(tbKRIColetas[ID KRI],$A45)-6+M$5&lt;1,"",SUMIFS(tbKRIColetas[Valor],tbKRIColetas[ID KRI],$A45,tbKRIColetas[Data da coleta],_xlfn.AGGREGATE(15,6,tbKRIColetas[Data da coleta]/(tbKRIColetas[ID KRI]=$A45),COUNTIFS(tbKRIColetas[ID KRI],$A45)-6+M$5))))</f>
        <v/>
      </c>
      <c r="N45" s="60" t="str">
        <f>IF($A45="","",IF(COUNTIFS(tbKRIColetas[ID KRI],$A45)-6+N$5&lt;1,"",SUMIFS(tbKRIColetas[Valor],tbKRIColetas[ID KRI],$A45,tbKRIColetas[Data da coleta],_xlfn.AGGREGATE(15,6,tbKRIColetas[Data da coleta]/(tbKRIColetas[ID KRI]=$A45),COUNTIFS(tbKRIColetas[ID KRI],$A45)-6+N$5))))</f>
        <v/>
      </c>
      <c r="O45" s="15" t="str">
        <f t="shared" si="5"/>
        <v/>
      </c>
      <c r="P45" s="42" t="str">
        <f t="shared" si="6"/>
        <v/>
      </c>
      <c r="Q45" s="14" t="str">
        <f t="shared" si="7"/>
        <v/>
      </c>
      <c r="R45" s="15" t="str">
        <f t="shared" si="8"/>
        <v/>
      </c>
      <c r="S45" s="65" t="str">
        <f>IF($A45="","",IFERROR(_xlfn.AGGREGATE(14,6,tbKRIColetas[Data da coleta]/(tbKRIColetas[ID KRI]=$A45),1),""))</f>
        <v/>
      </c>
      <c r="T45" s="17" t="str">
        <f t="shared" si="9"/>
        <v/>
      </c>
      <c r="U45" s="13"/>
      <c r="V45" s="117"/>
    </row>
    <row r="46" spans="1:22">
      <c r="A46" s="115"/>
      <c r="B46" s="11"/>
      <c r="C46" s="41" t="str">
        <f>IF($B46="","",IFERROR(INDEX(Riscos!$C$5:$C$154,MATCH($B46,Riscos!$A$5:$A$154,0)),"ID não encontrado"))</f>
        <v/>
      </c>
      <c r="D46" s="13"/>
      <c r="E46" s="12"/>
      <c r="F46" s="12"/>
      <c r="G46" s="12"/>
      <c r="H46" s="12"/>
      <c r="I46" s="60" t="str">
        <f>IF($A46="","",IF(COUNTIFS(tbKRIColetas[ID KRI],$A46)-6+I$5&lt;1,"",SUMIFS(tbKRIColetas[Valor],tbKRIColetas[ID KRI],$A46,tbKRIColetas[Data da coleta],_xlfn.AGGREGATE(15,6,tbKRIColetas[Data da coleta]/(tbKRIColetas[ID KRI]=$A46),COUNTIFS(tbKRIColetas[ID KRI],$A46)-6+I$5))))</f>
        <v/>
      </c>
      <c r="J46" s="60" t="str">
        <f>IF($A46="","",IF(COUNTIFS(tbKRIColetas[ID KRI],$A46)-6+J$5&lt;1,"",SUMIFS(tbKRIColetas[Valor],tbKRIColetas[ID KRI],$A46,tbKRIColetas[Data da coleta],_xlfn.AGGREGATE(15,6,tbKRIColetas[Data da coleta]/(tbKRIColetas[ID KRI]=$A46),COUNTIFS(tbKRIColetas[ID KRI],$A46)-6+J$5))))</f>
        <v/>
      </c>
      <c r="K46" s="60" t="str">
        <f>IF($A46="","",IF(COUNTIFS(tbKRIColetas[ID KRI],$A46)-6+K$5&lt;1,"",SUMIFS(tbKRIColetas[Valor],tbKRIColetas[ID KRI],$A46,tbKRIColetas[Data da coleta],_xlfn.AGGREGATE(15,6,tbKRIColetas[Data da coleta]/(tbKRIColetas[ID KRI]=$A46),COUNTIFS(tbKRIColetas[ID KRI],$A46)-6+K$5))))</f>
        <v/>
      </c>
      <c r="L46" s="60" t="str">
        <f>IF($A46="","",IF(COUNTIFS(tbKRIColetas[ID KRI],$A46)-6+L$5&lt;1,"",SUMIFS(tbKRIColetas[Valor],tbKRIColetas[ID KRI],$A46,tbKRIColetas[Data da coleta],_xlfn.AGGREGATE(15,6,tbKRIColetas[Data da coleta]/(tbKRIColetas[ID KRI]=$A46),COUNTIFS(tbKRIColetas[ID KRI],$A46)-6+L$5))))</f>
        <v/>
      </c>
      <c r="M46" s="60" t="str">
        <f>IF($A46="","",IF(COUNTIFS(tbKRIColetas[ID KRI],$A46)-6+M$5&lt;1,"",SUMIFS(tbKRIColetas[Valor],tbKRIColetas[ID KRI],$A46,tbKRIColetas[Data da coleta],_xlfn.AGGREGATE(15,6,tbKRIColetas[Data da coleta]/(tbKRIColetas[ID KRI]=$A46),COUNTIFS(tbKRIColetas[ID KRI],$A46)-6+M$5))))</f>
        <v/>
      </c>
      <c r="N46" s="60" t="str">
        <f>IF($A46="","",IF(COUNTIFS(tbKRIColetas[ID KRI],$A46)-6+N$5&lt;1,"",SUMIFS(tbKRIColetas[Valor],tbKRIColetas[ID KRI],$A46,tbKRIColetas[Data da coleta],_xlfn.AGGREGATE(15,6,tbKRIColetas[Data da coleta]/(tbKRIColetas[ID KRI]=$A46),COUNTIFS(tbKRIColetas[ID KRI],$A46)-6+N$5))))</f>
        <v/>
      </c>
      <c r="O46" s="15" t="str">
        <f t="shared" si="5"/>
        <v/>
      </c>
      <c r="P46" s="42" t="str">
        <f t="shared" si="6"/>
        <v/>
      </c>
      <c r="Q46" s="14" t="str">
        <f t="shared" si="7"/>
        <v/>
      </c>
      <c r="R46" s="15" t="str">
        <f t="shared" si="8"/>
        <v/>
      </c>
      <c r="S46" s="65" t="str">
        <f>IF($A46="","",IFERROR(_xlfn.AGGREGATE(14,6,tbKRIColetas[Data da coleta]/(tbKRIColetas[ID KRI]=$A46),1),""))</f>
        <v/>
      </c>
      <c r="T46" s="17" t="str">
        <f t="shared" si="9"/>
        <v/>
      </c>
      <c r="U46" s="13"/>
      <c r="V46" s="117"/>
    </row>
    <row r="47" spans="1:22">
      <c r="A47" s="115"/>
      <c r="B47" s="11"/>
      <c r="C47" s="41" t="str">
        <f>IF($B47="","",IFERROR(INDEX(Riscos!$C$5:$C$154,MATCH($B47,Riscos!$A$5:$A$154,0)),"ID não encontrado"))</f>
        <v/>
      </c>
      <c r="D47" s="13"/>
      <c r="E47" s="12"/>
      <c r="F47" s="12"/>
      <c r="G47" s="12"/>
      <c r="H47" s="12"/>
      <c r="I47" s="60" t="str">
        <f>IF($A47="","",IF(COUNTIFS(tbKRIColetas[ID KRI],$A47)-6+I$5&lt;1,"",SUMIFS(tbKRIColetas[Valor],tbKRIColetas[ID KRI],$A47,tbKRIColetas[Data da coleta],_xlfn.AGGREGATE(15,6,tbKRIColetas[Data da coleta]/(tbKRIColetas[ID KRI]=$A47),COUNTIFS(tbKRIColetas[ID KRI],$A47)-6+I$5))))</f>
        <v/>
      </c>
      <c r="J47" s="60" t="str">
        <f>IF($A47="","",IF(COUNTIFS(tbKRIColetas[ID KRI],$A47)-6+J$5&lt;1,"",SUMIFS(tbKRIColetas[Valor],tbKRIColetas[ID KRI],$A47,tbKRIColetas[Data da coleta],_xlfn.AGGREGATE(15,6,tbKRIColetas[Data da coleta]/(tbKRIColetas[ID KRI]=$A47),COUNTIFS(tbKRIColetas[ID KRI],$A47)-6+J$5))))</f>
        <v/>
      </c>
      <c r="K47" s="60" t="str">
        <f>IF($A47="","",IF(COUNTIFS(tbKRIColetas[ID KRI],$A47)-6+K$5&lt;1,"",SUMIFS(tbKRIColetas[Valor],tbKRIColetas[ID KRI],$A47,tbKRIColetas[Data da coleta],_xlfn.AGGREGATE(15,6,tbKRIColetas[Data da coleta]/(tbKRIColetas[ID KRI]=$A47),COUNTIFS(tbKRIColetas[ID KRI],$A47)-6+K$5))))</f>
        <v/>
      </c>
      <c r="L47" s="60" t="str">
        <f>IF($A47="","",IF(COUNTIFS(tbKRIColetas[ID KRI],$A47)-6+L$5&lt;1,"",SUMIFS(tbKRIColetas[Valor],tbKRIColetas[ID KRI],$A47,tbKRIColetas[Data da coleta],_xlfn.AGGREGATE(15,6,tbKRIColetas[Data da coleta]/(tbKRIColetas[ID KRI]=$A47),COUNTIFS(tbKRIColetas[ID KRI],$A47)-6+L$5))))</f>
        <v/>
      </c>
      <c r="M47" s="60" t="str">
        <f>IF($A47="","",IF(COUNTIFS(tbKRIColetas[ID KRI],$A47)-6+M$5&lt;1,"",SUMIFS(tbKRIColetas[Valor],tbKRIColetas[ID KRI],$A47,tbKRIColetas[Data da coleta],_xlfn.AGGREGATE(15,6,tbKRIColetas[Data da coleta]/(tbKRIColetas[ID KRI]=$A47),COUNTIFS(tbKRIColetas[ID KRI],$A47)-6+M$5))))</f>
        <v/>
      </c>
      <c r="N47" s="60" t="str">
        <f>IF($A47="","",IF(COUNTIFS(tbKRIColetas[ID KRI],$A47)-6+N$5&lt;1,"",SUMIFS(tbKRIColetas[Valor],tbKRIColetas[ID KRI],$A47,tbKRIColetas[Data da coleta],_xlfn.AGGREGATE(15,6,tbKRIColetas[Data da coleta]/(tbKRIColetas[ID KRI]=$A47),COUNTIFS(tbKRIColetas[ID KRI],$A47)-6+N$5))))</f>
        <v/>
      </c>
      <c r="O47" s="15" t="str">
        <f t="shared" si="5"/>
        <v/>
      </c>
      <c r="P47" s="42" t="str">
        <f t="shared" si="6"/>
        <v/>
      </c>
      <c r="Q47" s="14" t="str">
        <f t="shared" si="7"/>
        <v/>
      </c>
      <c r="R47" s="15" t="str">
        <f t="shared" si="8"/>
        <v/>
      </c>
      <c r="S47" s="65" t="str">
        <f>IF($A47="","",IFERROR(_xlfn.AGGREGATE(14,6,tbKRIColetas[Data da coleta]/(tbKRIColetas[ID KRI]=$A47),1),""))</f>
        <v/>
      </c>
      <c r="T47" s="17" t="str">
        <f t="shared" si="9"/>
        <v/>
      </c>
      <c r="U47" s="13"/>
      <c r="V47" s="117"/>
    </row>
    <row r="48" spans="1:22">
      <c r="A48" s="115"/>
      <c r="B48" s="11"/>
      <c r="C48" s="41" t="str">
        <f>IF($B48="","",IFERROR(INDEX(Riscos!$C$5:$C$154,MATCH($B48,Riscos!$A$5:$A$154,0)),"ID não encontrado"))</f>
        <v/>
      </c>
      <c r="D48" s="13"/>
      <c r="E48" s="12"/>
      <c r="F48" s="12"/>
      <c r="G48" s="12"/>
      <c r="H48" s="12"/>
      <c r="I48" s="60" t="str">
        <f>IF($A48="","",IF(COUNTIFS(tbKRIColetas[ID KRI],$A48)-6+I$5&lt;1,"",SUMIFS(tbKRIColetas[Valor],tbKRIColetas[ID KRI],$A48,tbKRIColetas[Data da coleta],_xlfn.AGGREGATE(15,6,tbKRIColetas[Data da coleta]/(tbKRIColetas[ID KRI]=$A48),COUNTIFS(tbKRIColetas[ID KRI],$A48)-6+I$5))))</f>
        <v/>
      </c>
      <c r="J48" s="60" t="str">
        <f>IF($A48="","",IF(COUNTIFS(tbKRIColetas[ID KRI],$A48)-6+J$5&lt;1,"",SUMIFS(tbKRIColetas[Valor],tbKRIColetas[ID KRI],$A48,tbKRIColetas[Data da coleta],_xlfn.AGGREGATE(15,6,tbKRIColetas[Data da coleta]/(tbKRIColetas[ID KRI]=$A48),COUNTIFS(tbKRIColetas[ID KRI],$A48)-6+J$5))))</f>
        <v/>
      </c>
      <c r="K48" s="60" t="str">
        <f>IF($A48="","",IF(COUNTIFS(tbKRIColetas[ID KRI],$A48)-6+K$5&lt;1,"",SUMIFS(tbKRIColetas[Valor],tbKRIColetas[ID KRI],$A48,tbKRIColetas[Data da coleta],_xlfn.AGGREGATE(15,6,tbKRIColetas[Data da coleta]/(tbKRIColetas[ID KRI]=$A48),COUNTIFS(tbKRIColetas[ID KRI],$A48)-6+K$5))))</f>
        <v/>
      </c>
      <c r="L48" s="60" t="str">
        <f>IF($A48="","",IF(COUNTIFS(tbKRIColetas[ID KRI],$A48)-6+L$5&lt;1,"",SUMIFS(tbKRIColetas[Valor],tbKRIColetas[ID KRI],$A48,tbKRIColetas[Data da coleta],_xlfn.AGGREGATE(15,6,tbKRIColetas[Data da coleta]/(tbKRIColetas[ID KRI]=$A48),COUNTIFS(tbKRIColetas[ID KRI],$A48)-6+L$5))))</f>
        <v/>
      </c>
      <c r="M48" s="60" t="str">
        <f>IF($A48="","",IF(COUNTIFS(tbKRIColetas[ID KRI],$A48)-6+M$5&lt;1,"",SUMIFS(tbKRIColetas[Valor],tbKRIColetas[ID KRI],$A48,tbKRIColetas[Data da coleta],_xlfn.AGGREGATE(15,6,tbKRIColetas[Data da coleta]/(tbKRIColetas[ID KRI]=$A48),COUNTIFS(tbKRIColetas[ID KRI],$A48)-6+M$5))))</f>
        <v/>
      </c>
      <c r="N48" s="60" t="str">
        <f>IF($A48="","",IF(COUNTIFS(tbKRIColetas[ID KRI],$A48)-6+N$5&lt;1,"",SUMIFS(tbKRIColetas[Valor],tbKRIColetas[ID KRI],$A48,tbKRIColetas[Data da coleta],_xlfn.AGGREGATE(15,6,tbKRIColetas[Data da coleta]/(tbKRIColetas[ID KRI]=$A48),COUNTIFS(tbKRIColetas[ID KRI],$A48)-6+N$5))))</f>
        <v/>
      </c>
      <c r="O48" s="15" t="str">
        <f t="shared" si="5"/>
        <v/>
      </c>
      <c r="P48" s="42" t="str">
        <f t="shared" si="6"/>
        <v/>
      </c>
      <c r="Q48" s="14" t="str">
        <f t="shared" si="7"/>
        <v/>
      </c>
      <c r="R48" s="15" t="str">
        <f t="shared" si="8"/>
        <v/>
      </c>
      <c r="S48" s="65" t="str">
        <f>IF($A48="","",IFERROR(_xlfn.AGGREGATE(14,6,tbKRIColetas[Data da coleta]/(tbKRIColetas[ID KRI]=$A48),1),""))</f>
        <v/>
      </c>
      <c r="T48" s="17" t="str">
        <f t="shared" si="9"/>
        <v/>
      </c>
      <c r="U48" s="13"/>
      <c r="V48" s="117"/>
    </row>
    <row r="49" spans="1:22">
      <c r="A49" s="115"/>
      <c r="B49" s="11"/>
      <c r="C49" s="41" t="str">
        <f>IF($B49="","",IFERROR(INDEX(Riscos!$C$5:$C$154,MATCH($B49,Riscos!$A$5:$A$154,0)),"ID não encontrado"))</f>
        <v/>
      </c>
      <c r="D49" s="13"/>
      <c r="E49" s="12"/>
      <c r="F49" s="12"/>
      <c r="G49" s="12"/>
      <c r="H49" s="12"/>
      <c r="I49" s="60" t="str">
        <f>IF($A49="","",IF(COUNTIFS(tbKRIColetas[ID KRI],$A49)-6+I$5&lt;1,"",SUMIFS(tbKRIColetas[Valor],tbKRIColetas[ID KRI],$A49,tbKRIColetas[Data da coleta],_xlfn.AGGREGATE(15,6,tbKRIColetas[Data da coleta]/(tbKRIColetas[ID KRI]=$A49),COUNTIFS(tbKRIColetas[ID KRI],$A49)-6+I$5))))</f>
        <v/>
      </c>
      <c r="J49" s="60" t="str">
        <f>IF($A49="","",IF(COUNTIFS(tbKRIColetas[ID KRI],$A49)-6+J$5&lt;1,"",SUMIFS(tbKRIColetas[Valor],tbKRIColetas[ID KRI],$A49,tbKRIColetas[Data da coleta],_xlfn.AGGREGATE(15,6,tbKRIColetas[Data da coleta]/(tbKRIColetas[ID KRI]=$A49),COUNTIFS(tbKRIColetas[ID KRI],$A49)-6+J$5))))</f>
        <v/>
      </c>
      <c r="K49" s="60" t="str">
        <f>IF($A49="","",IF(COUNTIFS(tbKRIColetas[ID KRI],$A49)-6+K$5&lt;1,"",SUMIFS(tbKRIColetas[Valor],tbKRIColetas[ID KRI],$A49,tbKRIColetas[Data da coleta],_xlfn.AGGREGATE(15,6,tbKRIColetas[Data da coleta]/(tbKRIColetas[ID KRI]=$A49),COUNTIFS(tbKRIColetas[ID KRI],$A49)-6+K$5))))</f>
        <v/>
      </c>
      <c r="L49" s="60" t="str">
        <f>IF($A49="","",IF(COUNTIFS(tbKRIColetas[ID KRI],$A49)-6+L$5&lt;1,"",SUMIFS(tbKRIColetas[Valor],tbKRIColetas[ID KRI],$A49,tbKRIColetas[Data da coleta],_xlfn.AGGREGATE(15,6,tbKRIColetas[Data da coleta]/(tbKRIColetas[ID KRI]=$A49),COUNTIFS(tbKRIColetas[ID KRI],$A49)-6+L$5))))</f>
        <v/>
      </c>
      <c r="M49" s="60" t="str">
        <f>IF($A49="","",IF(COUNTIFS(tbKRIColetas[ID KRI],$A49)-6+M$5&lt;1,"",SUMIFS(tbKRIColetas[Valor],tbKRIColetas[ID KRI],$A49,tbKRIColetas[Data da coleta],_xlfn.AGGREGATE(15,6,tbKRIColetas[Data da coleta]/(tbKRIColetas[ID KRI]=$A49),COUNTIFS(tbKRIColetas[ID KRI],$A49)-6+M$5))))</f>
        <v/>
      </c>
      <c r="N49" s="60" t="str">
        <f>IF($A49="","",IF(COUNTIFS(tbKRIColetas[ID KRI],$A49)-6+N$5&lt;1,"",SUMIFS(tbKRIColetas[Valor],tbKRIColetas[ID KRI],$A49,tbKRIColetas[Data da coleta],_xlfn.AGGREGATE(15,6,tbKRIColetas[Data da coleta]/(tbKRIColetas[ID KRI]=$A49),COUNTIFS(tbKRIColetas[ID KRI],$A49)-6+N$5))))</f>
        <v/>
      </c>
      <c r="O49" s="15" t="str">
        <f t="shared" si="5"/>
        <v/>
      </c>
      <c r="P49" s="42" t="str">
        <f t="shared" si="6"/>
        <v/>
      </c>
      <c r="Q49" s="14" t="str">
        <f t="shared" si="7"/>
        <v/>
      </c>
      <c r="R49" s="15" t="str">
        <f t="shared" si="8"/>
        <v/>
      </c>
      <c r="S49" s="65" t="str">
        <f>IF($A49="","",IFERROR(_xlfn.AGGREGATE(14,6,tbKRIColetas[Data da coleta]/(tbKRIColetas[ID KRI]=$A49),1),""))</f>
        <v/>
      </c>
      <c r="T49" s="17" t="str">
        <f t="shared" si="9"/>
        <v/>
      </c>
      <c r="U49" s="13"/>
      <c r="V49" s="117"/>
    </row>
    <row r="50" spans="1:22">
      <c r="A50" s="115"/>
      <c r="B50" s="11"/>
      <c r="C50" s="41" t="str">
        <f>IF($B50="","",IFERROR(INDEX(Riscos!$C$5:$C$154,MATCH($B50,Riscos!$A$5:$A$154,0)),"ID não encontrado"))</f>
        <v/>
      </c>
      <c r="D50" s="13"/>
      <c r="E50" s="12"/>
      <c r="F50" s="12"/>
      <c r="G50" s="12"/>
      <c r="H50" s="12"/>
      <c r="I50" s="60" t="str">
        <f>IF($A50="","",IF(COUNTIFS(tbKRIColetas[ID KRI],$A50)-6+I$5&lt;1,"",SUMIFS(tbKRIColetas[Valor],tbKRIColetas[ID KRI],$A50,tbKRIColetas[Data da coleta],_xlfn.AGGREGATE(15,6,tbKRIColetas[Data da coleta]/(tbKRIColetas[ID KRI]=$A50),COUNTIFS(tbKRIColetas[ID KRI],$A50)-6+I$5))))</f>
        <v/>
      </c>
      <c r="J50" s="60" t="str">
        <f>IF($A50="","",IF(COUNTIFS(tbKRIColetas[ID KRI],$A50)-6+J$5&lt;1,"",SUMIFS(tbKRIColetas[Valor],tbKRIColetas[ID KRI],$A50,tbKRIColetas[Data da coleta],_xlfn.AGGREGATE(15,6,tbKRIColetas[Data da coleta]/(tbKRIColetas[ID KRI]=$A50),COUNTIFS(tbKRIColetas[ID KRI],$A50)-6+J$5))))</f>
        <v/>
      </c>
      <c r="K50" s="60" t="str">
        <f>IF($A50="","",IF(COUNTIFS(tbKRIColetas[ID KRI],$A50)-6+K$5&lt;1,"",SUMIFS(tbKRIColetas[Valor],tbKRIColetas[ID KRI],$A50,tbKRIColetas[Data da coleta],_xlfn.AGGREGATE(15,6,tbKRIColetas[Data da coleta]/(tbKRIColetas[ID KRI]=$A50),COUNTIFS(tbKRIColetas[ID KRI],$A50)-6+K$5))))</f>
        <v/>
      </c>
      <c r="L50" s="60" t="str">
        <f>IF($A50="","",IF(COUNTIFS(tbKRIColetas[ID KRI],$A50)-6+L$5&lt;1,"",SUMIFS(tbKRIColetas[Valor],tbKRIColetas[ID KRI],$A50,tbKRIColetas[Data da coleta],_xlfn.AGGREGATE(15,6,tbKRIColetas[Data da coleta]/(tbKRIColetas[ID KRI]=$A50),COUNTIFS(tbKRIColetas[ID KRI],$A50)-6+L$5))))</f>
        <v/>
      </c>
      <c r="M50" s="60" t="str">
        <f>IF($A50="","",IF(COUNTIFS(tbKRIColetas[ID KRI],$A50)-6+M$5&lt;1,"",SUMIFS(tbKRIColetas[Valor],tbKRIColetas[ID KRI],$A50,tbKRIColetas[Data da coleta],_xlfn.AGGREGATE(15,6,tbKRIColetas[Data da coleta]/(tbKRIColetas[ID KRI]=$A50),COUNTIFS(tbKRIColetas[ID KRI],$A50)-6+M$5))))</f>
        <v/>
      </c>
      <c r="N50" s="60" t="str">
        <f>IF($A50="","",IF(COUNTIFS(tbKRIColetas[ID KRI],$A50)-6+N$5&lt;1,"",SUMIFS(tbKRIColetas[Valor],tbKRIColetas[ID KRI],$A50,tbKRIColetas[Data da coleta],_xlfn.AGGREGATE(15,6,tbKRIColetas[Data da coleta]/(tbKRIColetas[ID KRI]=$A50),COUNTIFS(tbKRIColetas[ID KRI],$A50)-6+N$5))))</f>
        <v/>
      </c>
      <c r="O50" s="15" t="str">
        <f t="shared" si="5"/>
        <v/>
      </c>
      <c r="P50" s="42" t="str">
        <f t="shared" si="6"/>
        <v/>
      </c>
      <c r="Q50" s="14" t="str">
        <f t="shared" si="7"/>
        <v/>
      </c>
      <c r="R50" s="15" t="str">
        <f t="shared" si="8"/>
        <v/>
      </c>
      <c r="S50" s="65" t="str">
        <f>IF($A50="","",IFERROR(_xlfn.AGGREGATE(14,6,tbKRIColetas[Data da coleta]/(tbKRIColetas[ID KRI]=$A50),1),""))</f>
        <v/>
      </c>
      <c r="T50" s="17" t="str">
        <f t="shared" si="9"/>
        <v/>
      </c>
      <c r="U50" s="13"/>
      <c r="V50" s="117"/>
    </row>
    <row r="51" spans="1:22">
      <c r="A51" s="115"/>
      <c r="B51" s="11"/>
      <c r="C51" s="41" t="str">
        <f>IF($B51="","",IFERROR(INDEX(Riscos!$C$5:$C$154,MATCH($B51,Riscos!$A$5:$A$154,0)),"ID não encontrado"))</f>
        <v/>
      </c>
      <c r="D51" s="13"/>
      <c r="E51" s="12"/>
      <c r="F51" s="12"/>
      <c r="G51" s="12"/>
      <c r="H51" s="12"/>
      <c r="I51" s="60" t="str">
        <f>IF($A51="","",IF(COUNTIFS(tbKRIColetas[ID KRI],$A51)-6+I$5&lt;1,"",SUMIFS(tbKRIColetas[Valor],tbKRIColetas[ID KRI],$A51,tbKRIColetas[Data da coleta],_xlfn.AGGREGATE(15,6,tbKRIColetas[Data da coleta]/(tbKRIColetas[ID KRI]=$A51),COUNTIFS(tbKRIColetas[ID KRI],$A51)-6+I$5))))</f>
        <v/>
      </c>
      <c r="J51" s="60" t="str">
        <f>IF($A51="","",IF(COUNTIFS(tbKRIColetas[ID KRI],$A51)-6+J$5&lt;1,"",SUMIFS(tbKRIColetas[Valor],tbKRIColetas[ID KRI],$A51,tbKRIColetas[Data da coleta],_xlfn.AGGREGATE(15,6,tbKRIColetas[Data da coleta]/(tbKRIColetas[ID KRI]=$A51),COUNTIFS(tbKRIColetas[ID KRI],$A51)-6+J$5))))</f>
        <v/>
      </c>
      <c r="K51" s="60" t="str">
        <f>IF($A51="","",IF(COUNTIFS(tbKRIColetas[ID KRI],$A51)-6+K$5&lt;1,"",SUMIFS(tbKRIColetas[Valor],tbKRIColetas[ID KRI],$A51,tbKRIColetas[Data da coleta],_xlfn.AGGREGATE(15,6,tbKRIColetas[Data da coleta]/(tbKRIColetas[ID KRI]=$A51),COUNTIFS(tbKRIColetas[ID KRI],$A51)-6+K$5))))</f>
        <v/>
      </c>
      <c r="L51" s="60" t="str">
        <f>IF($A51="","",IF(COUNTIFS(tbKRIColetas[ID KRI],$A51)-6+L$5&lt;1,"",SUMIFS(tbKRIColetas[Valor],tbKRIColetas[ID KRI],$A51,tbKRIColetas[Data da coleta],_xlfn.AGGREGATE(15,6,tbKRIColetas[Data da coleta]/(tbKRIColetas[ID KRI]=$A51),COUNTIFS(tbKRIColetas[ID KRI],$A51)-6+L$5))))</f>
        <v/>
      </c>
      <c r="M51" s="60" t="str">
        <f>IF($A51="","",IF(COUNTIFS(tbKRIColetas[ID KRI],$A51)-6+M$5&lt;1,"",SUMIFS(tbKRIColetas[Valor],tbKRIColetas[ID KRI],$A51,tbKRIColetas[Data da coleta],_xlfn.AGGREGATE(15,6,tbKRIColetas[Data da coleta]/(tbKRIColetas[ID KRI]=$A51),COUNTIFS(tbKRIColetas[ID KRI],$A51)-6+M$5))))</f>
        <v/>
      </c>
      <c r="N51" s="60" t="str">
        <f>IF($A51="","",IF(COUNTIFS(tbKRIColetas[ID KRI],$A51)-6+N$5&lt;1,"",SUMIFS(tbKRIColetas[Valor],tbKRIColetas[ID KRI],$A51,tbKRIColetas[Data da coleta],_xlfn.AGGREGATE(15,6,tbKRIColetas[Data da coleta]/(tbKRIColetas[ID KRI]=$A51),COUNTIFS(tbKRIColetas[ID KRI],$A51)-6+N$5))))</f>
        <v/>
      </c>
      <c r="O51" s="15" t="str">
        <f t="shared" si="5"/>
        <v/>
      </c>
      <c r="P51" s="42" t="str">
        <f t="shared" si="6"/>
        <v/>
      </c>
      <c r="Q51" s="14" t="str">
        <f t="shared" si="7"/>
        <v/>
      </c>
      <c r="R51" s="15" t="str">
        <f t="shared" si="8"/>
        <v/>
      </c>
      <c r="S51" s="65" t="str">
        <f>IF($A51="","",IFERROR(_xlfn.AGGREGATE(14,6,tbKRIColetas[Data da coleta]/(tbKRIColetas[ID KRI]=$A51),1),""))</f>
        <v/>
      </c>
      <c r="T51" s="17" t="str">
        <f t="shared" si="9"/>
        <v/>
      </c>
      <c r="U51" s="13"/>
      <c r="V51" s="117"/>
    </row>
    <row r="52" spans="1:22">
      <c r="A52" s="115"/>
      <c r="B52" s="11"/>
      <c r="C52" s="41" t="str">
        <f>IF($B52="","",IFERROR(INDEX(Riscos!$C$5:$C$154,MATCH($B52,Riscos!$A$5:$A$154,0)),"ID não encontrado"))</f>
        <v/>
      </c>
      <c r="D52" s="13"/>
      <c r="E52" s="12"/>
      <c r="F52" s="12"/>
      <c r="G52" s="12"/>
      <c r="H52" s="12"/>
      <c r="I52" s="60" t="str">
        <f>IF($A52="","",IF(COUNTIFS(tbKRIColetas[ID KRI],$A52)-6+I$5&lt;1,"",SUMIFS(tbKRIColetas[Valor],tbKRIColetas[ID KRI],$A52,tbKRIColetas[Data da coleta],_xlfn.AGGREGATE(15,6,tbKRIColetas[Data da coleta]/(tbKRIColetas[ID KRI]=$A52),COUNTIFS(tbKRIColetas[ID KRI],$A52)-6+I$5))))</f>
        <v/>
      </c>
      <c r="J52" s="60" t="str">
        <f>IF($A52="","",IF(COUNTIFS(tbKRIColetas[ID KRI],$A52)-6+J$5&lt;1,"",SUMIFS(tbKRIColetas[Valor],tbKRIColetas[ID KRI],$A52,tbKRIColetas[Data da coleta],_xlfn.AGGREGATE(15,6,tbKRIColetas[Data da coleta]/(tbKRIColetas[ID KRI]=$A52),COUNTIFS(tbKRIColetas[ID KRI],$A52)-6+J$5))))</f>
        <v/>
      </c>
      <c r="K52" s="60" t="str">
        <f>IF($A52="","",IF(COUNTIFS(tbKRIColetas[ID KRI],$A52)-6+K$5&lt;1,"",SUMIFS(tbKRIColetas[Valor],tbKRIColetas[ID KRI],$A52,tbKRIColetas[Data da coleta],_xlfn.AGGREGATE(15,6,tbKRIColetas[Data da coleta]/(tbKRIColetas[ID KRI]=$A52),COUNTIFS(tbKRIColetas[ID KRI],$A52)-6+K$5))))</f>
        <v/>
      </c>
      <c r="L52" s="60" t="str">
        <f>IF($A52="","",IF(COUNTIFS(tbKRIColetas[ID KRI],$A52)-6+L$5&lt;1,"",SUMIFS(tbKRIColetas[Valor],tbKRIColetas[ID KRI],$A52,tbKRIColetas[Data da coleta],_xlfn.AGGREGATE(15,6,tbKRIColetas[Data da coleta]/(tbKRIColetas[ID KRI]=$A52),COUNTIFS(tbKRIColetas[ID KRI],$A52)-6+L$5))))</f>
        <v/>
      </c>
      <c r="M52" s="60" t="str">
        <f>IF($A52="","",IF(COUNTIFS(tbKRIColetas[ID KRI],$A52)-6+M$5&lt;1,"",SUMIFS(tbKRIColetas[Valor],tbKRIColetas[ID KRI],$A52,tbKRIColetas[Data da coleta],_xlfn.AGGREGATE(15,6,tbKRIColetas[Data da coleta]/(tbKRIColetas[ID KRI]=$A52),COUNTIFS(tbKRIColetas[ID KRI],$A52)-6+M$5))))</f>
        <v/>
      </c>
      <c r="N52" s="60" t="str">
        <f>IF($A52="","",IF(COUNTIFS(tbKRIColetas[ID KRI],$A52)-6+N$5&lt;1,"",SUMIFS(tbKRIColetas[Valor],tbKRIColetas[ID KRI],$A52,tbKRIColetas[Data da coleta],_xlfn.AGGREGATE(15,6,tbKRIColetas[Data da coleta]/(tbKRIColetas[ID KRI]=$A52),COUNTIFS(tbKRIColetas[ID KRI],$A52)-6+N$5))))</f>
        <v/>
      </c>
      <c r="O52" s="15" t="str">
        <f t="shared" si="5"/>
        <v/>
      </c>
      <c r="P52" s="42" t="str">
        <f t="shared" si="6"/>
        <v/>
      </c>
      <c r="Q52" s="14" t="str">
        <f t="shared" si="7"/>
        <v/>
      </c>
      <c r="R52" s="15" t="str">
        <f t="shared" si="8"/>
        <v/>
      </c>
      <c r="S52" s="65" t="str">
        <f>IF($A52="","",IFERROR(_xlfn.AGGREGATE(14,6,tbKRIColetas[Data da coleta]/(tbKRIColetas[ID KRI]=$A52),1),""))</f>
        <v/>
      </c>
      <c r="T52" s="17" t="str">
        <f t="shared" si="9"/>
        <v/>
      </c>
      <c r="U52" s="13"/>
      <c r="V52" s="117"/>
    </row>
    <row r="53" spans="1:22">
      <c r="A53" s="115"/>
      <c r="B53" s="11"/>
      <c r="C53" s="41" t="str">
        <f>IF($B53="","",IFERROR(INDEX(Riscos!$C$5:$C$154,MATCH($B53,Riscos!$A$5:$A$154,0)),"ID não encontrado"))</f>
        <v/>
      </c>
      <c r="D53" s="13"/>
      <c r="E53" s="12"/>
      <c r="F53" s="12"/>
      <c r="G53" s="12"/>
      <c r="H53" s="12"/>
      <c r="I53" s="60" t="str">
        <f>IF($A53="","",IF(COUNTIFS(tbKRIColetas[ID KRI],$A53)-6+I$5&lt;1,"",SUMIFS(tbKRIColetas[Valor],tbKRIColetas[ID KRI],$A53,tbKRIColetas[Data da coleta],_xlfn.AGGREGATE(15,6,tbKRIColetas[Data da coleta]/(tbKRIColetas[ID KRI]=$A53),COUNTIFS(tbKRIColetas[ID KRI],$A53)-6+I$5))))</f>
        <v/>
      </c>
      <c r="J53" s="60" t="str">
        <f>IF($A53="","",IF(COUNTIFS(tbKRIColetas[ID KRI],$A53)-6+J$5&lt;1,"",SUMIFS(tbKRIColetas[Valor],tbKRIColetas[ID KRI],$A53,tbKRIColetas[Data da coleta],_xlfn.AGGREGATE(15,6,tbKRIColetas[Data da coleta]/(tbKRIColetas[ID KRI]=$A53),COUNTIFS(tbKRIColetas[ID KRI],$A53)-6+J$5))))</f>
        <v/>
      </c>
      <c r="K53" s="60" t="str">
        <f>IF($A53="","",IF(COUNTIFS(tbKRIColetas[ID KRI],$A53)-6+K$5&lt;1,"",SUMIFS(tbKRIColetas[Valor],tbKRIColetas[ID KRI],$A53,tbKRIColetas[Data da coleta],_xlfn.AGGREGATE(15,6,tbKRIColetas[Data da coleta]/(tbKRIColetas[ID KRI]=$A53),COUNTIFS(tbKRIColetas[ID KRI],$A53)-6+K$5))))</f>
        <v/>
      </c>
      <c r="L53" s="60" t="str">
        <f>IF($A53="","",IF(COUNTIFS(tbKRIColetas[ID KRI],$A53)-6+L$5&lt;1,"",SUMIFS(tbKRIColetas[Valor],tbKRIColetas[ID KRI],$A53,tbKRIColetas[Data da coleta],_xlfn.AGGREGATE(15,6,tbKRIColetas[Data da coleta]/(tbKRIColetas[ID KRI]=$A53),COUNTIFS(tbKRIColetas[ID KRI],$A53)-6+L$5))))</f>
        <v/>
      </c>
      <c r="M53" s="60" t="str">
        <f>IF($A53="","",IF(COUNTIFS(tbKRIColetas[ID KRI],$A53)-6+M$5&lt;1,"",SUMIFS(tbKRIColetas[Valor],tbKRIColetas[ID KRI],$A53,tbKRIColetas[Data da coleta],_xlfn.AGGREGATE(15,6,tbKRIColetas[Data da coleta]/(tbKRIColetas[ID KRI]=$A53),COUNTIFS(tbKRIColetas[ID KRI],$A53)-6+M$5))))</f>
        <v/>
      </c>
      <c r="N53" s="60" t="str">
        <f>IF($A53="","",IF(COUNTIFS(tbKRIColetas[ID KRI],$A53)-6+N$5&lt;1,"",SUMIFS(tbKRIColetas[Valor],tbKRIColetas[ID KRI],$A53,tbKRIColetas[Data da coleta],_xlfn.AGGREGATE(15,6,tbKRIColetas[Data da coleta]/(tbKRIColetas[ID KRI]=$A53),COUNTIFS(tbKRIColetas[ID KRI],$A53)-6+N$5))))</f>
        <v/>
      </c>
      <c r="O53" s="15" t="str">
        <f t="shared" si="5"/>
        <v/>
      </c>
      <c r="P53" s="42" t="str">
        <f t="shared" si="6"/>
        <v/>
      </c>
      <c r="Q53" s="14" t="str">
        <f t="shared" si="7"/>
        <v/>
      </c>
      <c r="R53" s="15" t="str">
        <f t="shared" si="8"/>
        <v/>
      </c>
      <c r="S53" s="65" t="str">
        <f>IF($A53="","",IFERROR(_xlfn.AGGREGATE(14,6,tbKRIColetas[Data da coleta]/(tbKRIColetas[ID KRI]=$A53),1),""))</f>
        <v/>
      </c>
      <c r="T53" s="17" t="str">
        <f t="shared" si="9"/>
        <v/>
      </c>
      <c r="U53" s="13"/>
      <c r="V53" s="117"/>
    </row>
    <row r="54" spans="1:22">
      <c r="A54" s="115"/>
      <c r="B54" s="11"/>
      <c r="C54" s="41" t="str">
        <f>IF($B54="","",IFERROR(INDEX(Riscos!$C$5:$C$154,MATCH($B54,Riscos!$A$5:$A$154,0)),"ID não encontrado"))</f>
        <v/>
      </c>
      <c r="D54" s="13"/>
      <c r="E54" s="12"/>
      <c r="F54" s="12"/>
      <c r="G54" s="12"/>
      <c r="H54" s="12"/>
      <c r="I54" s="60" t="str">
        <f>IF($A54="","",IF(COUNTIFS(tbKRIColetas[ID KRI],$A54)-6+I$5&lt;1,"",SUMIFS(tbKRIColetas[Valor],tbKRIColetas[ID KRI],$A54,tbKRIColetas[Data da coleta],_xlfn.AGGREGATE(15,6,tbKRIColetas[Data da coleta]/(tbKRIColetas[ID KRI]=$A54),COUNTIFS(tbKRIColetas[ID KRI],$A54)-6+I$5))))</f>
        <v/>
      </c>
      <c r="J54" s="60" t="str">
        <f>IF($A54="","",IF(COUNTIFS(tbKRIColetas[ID KRI],$A54)-6+J$5&lt;1,"",SUMIFS(tbKRIColetas[Valor],tbKRIColetas[ID KRI],$A54,tbKRIColetas[Data da coleta],_xlfn.AGGREGATE(15,6,tbKRIColetas[Data da coleta]/(tbKRIColetas[ID KRI]=$A54),COUNTIFS(tbKRIColetas[ID KRI],$A54)-6+J$5))))</f>
        <v/>
      </c>
      <c r="K54" s="60" t="str">
        <f>IF($A54="","",IF(COUNTIFS(tbKRIColetas[ID KRI],$A54)-6+K$5&lt;1,"",SUMIFS(tbKRIColetas[Valor],tbKRIColetas[ID KRI],$A54,tbKRIColetas[Data da coleta],_xlfn.AGGREGATE(15,6,tbKRIColetas[Data da coleta]/(tbKRIColetas[ID KRI]=$A54),COUNTIFS(tbKRIColetas[ID KRI],$A54)-6+K$5))))</f>
        <v/>
      </c>
      <c r="L54" s="60" t="str">
        <f>IF($A54="","",IF(COUNTIFS(tbKRIColetas[ID KRI],$A54)-6+L$5&lt;1,"",SUMIFS(tbKRIColetas[Valor],tbKRIColetas[ID KRI],$A54,tbKRIColetas[Data da coleta],_xlfn.AGGREGATE(15,6,tbKRIColetas[Data da coleta]/(tbKRIColetas[ID KRI]=$A54),COUNTIFS(tbKRIColetas[ID KRI],$A54)-6+L$5))))</f>
        <v/>
      </c>
      <c r="M54" s="60" t="str">
        <f>IF($A54="","",IF(COUNTIFS(tbKRIColetas[ID KRI],$A54)-6+M$5&lt;1,"",SUMIFS(tbKRIColetas[Valor],tbKRIColetas[ID KRI],$A54,tbKRIColetas[Data da coleta],_xlfn.AGGREGATE(15,6,tbKRIColetas[Data da coleta]/(tbKRIColetas[ID KRI]=$A54),COUNTIFS(tbKRIColetas[ID KRI],$A54)-6+M$5))))</f>
        <v/>
      </c>
      <c r="N54" s="60" t="str">
        <f>IF($A54="","",IF(COUNTIFS(tbKRIColetas[ID KRI],$A54)-6+N$5&lt;1,"",SUMIFS(tbKRIColetas[Valor],tbKRIColetas[ID KRI],$A54,tbKRIColetas[Data da coleta],_xlfn.AGGREGATE(15,6,tbKRIColetas[Data da coleta]/(tbKRIColetas[ID KRI]=$A54),COUNTIFS(tbKRIColetas[ID KRI],$A54)-6+N$5))))</f>
        <v/>
      </c>
      <c r="O54" s="15" t="str">
        <f t="shared" si="5"/>
        <v/>
      </c>
      <c r="P54" s="42" t="str">
        <f t="shared" si="6"/>
        <v/>
      </c>
      <c r="Q54" s="14" t="str">
        <f t="shared" si="7"/>
        <v/>
      </c>
      <c r="R54" s="15" t="str">
        <f t="shared" si="8"/>
        <v/>
      </c>
      <c r="S54" s="65" t="str">
        <f>IF($A54="","",IFERROR(_xlfn.AGGREGATE(14,6,tbKRIColetas[Data da coleta]/(tbKRIColetas[ID KRI]=$A54),1),""))</f>
        <v/>
      </c>
      <c r="T54" s="17" t="str">
        <f t="shared" si="9"/>
        <v/>
      </c>
      <c r="U54" s="13"/>
      <c r="V54" s="117"/>
    </row>
    <row r="55" spans="1:22">
      <c r="A55" s="115"/>
      <c r="B55" s="11"/>
      <c r="C55" s="41" t="str">
        <f>IF($B55="","",IFERROR(INDEX(Riscos!$C$5:$C$154,MATCH($B55,Riscos!$A$5:$A$154,0)),"ID não encontrado"))</f>
        <v/>
      </c>
      <c r="D55" s="13"/>
      <c r="E55" s="12"/>
      <c r="F55" s="12"/>
      <c r="G55" s="12"/>
      <c r="H55" s="12"/>
      <c r="I55" s="60" t="str">
        <f>IF($A55="","",IF(COUNTIFS(tbKRIColetas[ID KRI],$A55)-6+I$5&lt;1,"",SUMIFS(tbKRIColetas[Valor],tbKRIColetas[ID KRI],$A55,tbKRIColetas[Data da coleta],_xlfn.AGGREGATE(15,6,tbKRIColetas[Data da coleta]/(tbKRIColetas[ID KRI]=$A55),COUNTIFS(tbKRIColetas[ID KRI],$A55)-6+I$5))))</f>
        <v/>
      </c>
      <c r="J55" s="60" t="str">
        <f>IF($A55="","",IF(COUNTIFS(tbKRIColetas[ID KRI],$A55)-6+J$5&lt;1,"",SUMIFS(tbKRIColetas[Valor],tbKRIColetas[ID KRI],$A55,tbKRIColetas[Data da coleta],_xlfn.AGGREGATE(15,6,tbKRIColetas[Data da coleta]/(tbKRIColetas[ID KRI]=$A55),COUNTIFS(tbKRIColetas[ID KRI],$A55)-6+J$5))))</f>
        <v/>
      </c>
      <c r="K55" s="60" t="str">
        <f>IF($A55="","",IF(COUNTIFS(tbKRIColetas[ID KRI],$A55)-6+K$5&lt;1,"",SUMIFS(tbKRIColetas[Valor],tbKRIColetas[ID KRI],$A55,tbKRIColetas[Data da coleta],_xlfn.AGGREGATE(15,6,tbKRIColetas[Data da coleta]/(tbKRIColetas[ID KRI]=$A55),COUNTIFS(tbKRIColetas[ID KRI],$A55)-6+K$5))))</f>
        <v/>
      </c>
      <c r="L55" s="60" t="str">
        <f>IF($A55="","",IF(COUNTIFS(tbKRIColetas[ID KRI],$A55)-6+L$5&lt;1,"",SUMIFS(tbKRIColetas[Valor],tbKRIColetas[ID KRI],$A55,tbKRIColetas[Data da coleta],_xlfn.AGGREGATE(15,6,tbKRIColetas[Data da coleta]/(tbKRIColetas[ID KRI]=$A55),COUNTIFS(tbKRIColetas[ID KRI],$A55)-6+L$5))))</f>
        <v/>
      </c>
      <c r="M55" s="60" t="str">
        <f>IF($A55="","",IF(COUNTIFS(tbKRIColetas[ID KRI],$A55)-6+M$5&lt;1,"",SUMIFS(tbKRIColetas[Valor],tbKRIColetas[ID KRI],$A55,tbKRIColetas[Data da coleta],_xlfn.AGGREGATE(15,6,tbKRIColetas[Data da coleta]/(tbKRIColetas[ID KRI]=$A55),COUNTIFS(tbKRIColetas[ID KRI],$A55)-6+M$5))))</f>
        <v/>
      </c>
      <c r="N55" s="60" t="str">
        <f>IF($A55="","",IF(COUNTIFS(tbKRIColetas[ID KRI],$A55)-6+N$5&lt;1,"",SUMIFS(tbKRIColetas[Valor],tbKRIColetas[ID KRI],$A55,tbKRIColetas[Data da coleta],_xlfn.AGGREGATE(15,6,tbKRIColetas[Data da coleta]/(tbKRIColetas[ID KRI]=$A55),COUNTIFS(tbKRIColetas[ID KRI],$A55)-6+N$5))))</f>
        <v/>
      </c>
      <c r="O55" s="15" t="str">
        <f t="shared" si="5"/>
        <v/>
      </c>
      <c r="P55" s="42" t="str">
        <f t="shared" si="6"/>
        <v/>
      </c>
      <c r="Q55" s="14" t="str">
        <f t="shared" si="7"/>
        <v/>
      </c>
      <c r="R55" s="15" t="str">
        <f t="shared" si="8"/>
        <v/>
      </c>
      <c r="S55" s="65" t="str">
        <f>IF($A55="","",IFERROR(_xlfn.AGGREGATE(14,6,tbKRIColetas[Data da coleta]/(tbKRIColetas[ID KRI]=$A55),1),""))</f>
        <v/>
      </c>
      <c r="T55" s="17" t="str">
        <f t="shared" si="9"/>
        <v/>
      </c>
      <c r="U55" s="13"/>
      <c r="V55" s="117"/>
    </row>
    <row r="56" spans="1:22">
      <c r="A56" s="115"/>
      <c r="B56" s="11"/>
      <c r="C56" s="41" t="str">
        <f>IF($B56="","",IFERROR(INDEX(Riscos!$C$5:$C$154,MATCH($B56,Riscos!$A$5:$A$154,0)),"ID não encontrado"))</f>
        <v/>
      </c>
      <c r="D56" s="13"/>
      <c r="E56" s="12"/>
      <c r="F56" s="12"/>
      <c r="G56" s="12"/>
      <c r="H56" s="12"/>
      <c r="I56" s="60" t="str">
        <f>IF($A56="","",IF(COUNTIFS(tbKRIColetas[ID KRI],$A56)-6+I$5&lt;1,"",SUMIFS(tbKRIColetas[Valor],tbKRIColetas[ID KRI],$A56,tbKRIColetas[Data da coleta],_xlfn.AGGREGATE(15,6,tbKRIColetas[Data da coleta]/(tbKRIColetas[ID KRI]=$A56),COUNTIFS(tbKRIColetas[ID KRI],$A56)-6+I$5))))</f>
        <v/>
      </c>
      <c r="J56" s="60" t="str">
        <f>IF($A56="","",IF(COUNTIFS(tbKRIColetas[ID KRI],$A56)-6+J$5&lt;1,"",SUMIFS(tbKRIColetas[Valor],tbKRIColetas[ID KRI],$A56,tbKRIColetas[Data da coleta],_xlfn.AGGREGATE(15,6,tbKRIColetas[Data da coleta]/(tbKRIColetas[ID KRI]=$A56),COUNTIFS(tbKRIColetas[ID KRI],$A56)-6+J$5))))</f>
        <v/>
      </c>
      <c r="K56" s="60" t="str">
        <f>IF($A56="","",IF(COUNTIFS(tbKRIColetas[ID KRI],$A56)-6+K$5&lt;1,"",SUMIFS(tbKRIColetas[Valor],tbKRIColetas[ID KRI],$A56,tbKRIColetas[Data da coleta],_xlfn.AGGREGATE(15,6,tbKRIColetas[Data da coleta]/(tbKRIColetas[ID KRI]=$A56),COUNTIFS(tbKRIColetas[ID KRI],$A56)-6+K$5))))</f>
        <v/>
      </c>
      <c r="L56" s="60" t="str">
        <f>IF($A56="","",IF(COUNTIFS(tbKRIColetas[ID KRI],$A56)-6+L$5&lt;1,"",SUMIFS(tbKRIColetas[Valor],tbKRIColetas[ID KRI],$A56,tbKRIColetas[Data da coleta],_xlfn.AGGREGATE(15,6,tbKRIColetas[Data da coleta]/(tbKRIColetas[ID KRI]=$A56),COUNTIFS(tbKRIColetas[ID KRI],$A56)-6+L$5))))</f>
        <v/>
      </c>
      <c r="M56" s="60" t="str">
        <f>IF($A56="","",IF(COUNTIFS(tbKRIColetas[ID KRI],$A56)-6+M$5&lt;1,"",SUMIFS(tbKRIColetas[Valor],tbKRIColetas[ID KRI],$A56,tbKRIColetas[Data da coleta],_xlfn.AGGREGATE(15,6,tbKRIColetas[Data da coleta]/(tbKRIColetas[ID KRI]=$A56),COUNTIFS(tbKRIColetas[ID KRI],$A56)-6+M$5))))</f>
        <v/>
      </c>
      <c r="N56" s="60" t="str">
        <f>IF($A56="","",IF(COUNTIFS(tbKRIColetas[ID KRI],$A56)-6+N$5&lt;1,"",SUMIFS(tbKRIColetas[Valor],tbKRIColetas[ID KRI],$A56,tbKRIColetas[Data da coleta],_xlfn.AGGREGATE(15,6,tbKRIColetas[Data da coleta]/(tbKRIColetas[ID KRI]=$A56),COUNTIFS(tbKRIColetas[ID KRI],$A56)-6+N$5))))</f>
        <v/>
      </c>
      <c r="O56" s="15" t="str">
        <f t="shared" si="5"/>
        <v/>
      </c>
      <c r="P56" s="42" t="str">
        <f t="shared" si="6"/>
        <v/>
      </c>
      <c r="Q56" s="14" t="str">
        <f t="shared" si="7"/>
        <v/>
      </c>
      <c r="R56" s="15" t="str">
        <f t="shared" si="8"/>
        <v/>
      </c>
      <c r="S56" s="65" t="str">
        <f>IF($A56="","",IFERROR(_xlfn.AGGREGATE(14,6,tbKRIColetas[Data da coleta]/(tbKRIColetas[ID KRI]=$A56),1),""))</f>
        <v/>
      </c>
      <c r="T56" s="17" t="str">
        <f t="shared" si="9"/>
        <v/>
      </c>
      <c r="U56" s="13"/>
      <c r="V56" s="117"/>
    </row>
    <row r="57" spans="1:22">
      <c r="A57" s="115"/>
      <c r="B57" s="11"/>
      <c r="C57" s="41" t="str">
        <f>IF($B57="","",IFERROR(INDEX(Riscos!$C$5:$C$154,MATCH($B57,Riscos!$A$5:$A$154,0)),"ID não encontrado"))</f>
        <v/>
      </c>
      <c r="D57" s="13"/>
      <c r="E57" s="12"/>
      <c r="F57" s="12"/>
      <c r="G57" s="12"/>
      <c r="H57" s="12"/>
      <c r="I57" s="60" t="str">
        <f>IF($A57="","",IF(COUNTIFS(tbKRIColetas[ID KRI],$A57)-6+I$5&lt;1,"",SUMIFS(tbKRIColetas[Valor],tbKRIColetas[ID KRI],$A57,tbKRIColetas[Data da coleta],_xlfn.AGGREGATE(15,6,tbKRIColetas[Data da coleta]/(tbKRIColetas[ID KRI]=$A57),COUNTIFS(tbKRIColetas[ID KRI],$A57)-6+I$5))))</f>
        <v/>
      </c>
      <c r="J57" s="60" t="str">
        <f>IF($A57="","",IF(COUNTIFS(tbKRIColetas[ID KRI],$A57)-6+J$5&lt;1,"",SUMIFS(tbKRIColetas[Valor],tbKRIColetas[ID KRI],$A57,tbKRIColetas[Data da coleta],_xlfn.AGGREGATE(15,6,tbKRIColetas[Data da coleta]/(tbKRIColetas[ID KRI]=$A57),COUNTIFS(tbKRIColetas[ID KRI],$A57)-6+J$5))))</f>
        <v/>
      </c>
      <c r="K57" s="60" t="str">
        <f>IF($A57="","",IF(COUNTIFS(tbKRIColetas[ID KRI],$A57)-6+K$5&lt;1,"",SUMIFS(tbKRIColetas[Valor],tbKRIColetas[ID KRI],$A57,tbKRIColetas[Data da coleta],_xlfn.AGGREGATE(15,6,tbKRIColetas[Data da coleta]/(tbKRIColetas[ID KRI]=$A57),COUNTIFS(tbKRIColetas[ID KRI],$A57)-6+K$5))))</f>
        <v/>
      </c>
      <c r="L57" s="60" t="str">
        <f>IF($A57="","",IF(COUNTIFS(tbKRIColetas[ID KRI],$A57)-6+L$5&lt;1,"",SUMIFS(tbKRIColetas[Valor],tbKRIColetas[ID KRI],$A57,tbKRIColetas[Data da coleta],_xlfn.AGGREGATE(15,6,tbKRIColetas[Data da coleta]/(tbKRIColetas[ID KRI]=$A57),COUNTIFS(tbKRIColetas[ID KRI],$A57)-6+L$5))))</f>
        <v/>
      </c>
      <c r="M57" s="60" t="str">
        <f>IF($A57="","",IF(COUNTIFS(tbKRIColetas[ID KRI],$A57)-6+M$5&lt;1,"",SUMIFS(tbKRIColetas[Valor],tbKRIColetas[ID KRI],$A57,tbKRIColetas[Data da coleta],_xlfn.AGGREGATE(15,6,tbKRIColetas[Data da coleta]/(tbKRIColetas[ID KRI]=$A57),COUNTIFS(tbKRIColetas[ID KRI],$A57)-6+M$5))))</f>
        <v/>
      </c>
      <c r="N57" s="60" t="str">
        <f>IF($A57="","",IF(COUNTIFS(tbKRIColetas[ID KRI],$A57)-6+N$5&lt;1,"",SUMIFS(tbKRIColetas[Valor],tbKRIColetas[ID KRI],$A57,tbKRIColetas[Data da coleta],_xlfn.AGGREGATE(15,6,tbKRIColetas[Data da coleta]/(tbKRIColetas[ID KRI]=$A57),COUNTIFS(tbKRIColetas[ID KRI],$A57)-6+N$5))))</f>
        <v/>
      </c>
      <c r="O57" s="15" t="str">
        <f t="shared" si="5"/>
        <v/>
      </c>
      <c r="P57" s="42" t="str">
        <f t="shared" si="6"/>
        <v/>
      </c>
      <c r="Q57" s="14" t="str">
        <f t="shared" si="7"/>
        <v/>
      </c>
      <c r="R57" s="15" t="str">
        <f t="shared" si="8"/>
        <v/>
      </c>
      <c r="S57" s="65" t="str">
        <f>IF($A57="","",IFERROR(_xlfn.AGGREGATE(14,6,tbKRIColetas[Data da coleta]/(tbKRIColetas[ID KRI]=$A57),1),""))</f>
        <v/>
      </c>
      <c r="T57" s="17" t="str">
        <f t="shared" si="9"/>
        <v/>
      </c>
      <c r="U57" s="13"/>
      <c r="V57" s="117"/>
    </row>
    <row r="58" spans="1:22">
      <c r="A58" s="115"/>
      <c r="B58" s="11"/>
      <c r="C58" s="41" t="str">
        <f>IF($B58="","",IFERROR(INDEX(Riscos!$C$5:$C$154,MATCH($B58,Riscos!$A$5:$A$154,0)),"ID não encontrado"))</f>
        <v/>
      </c>
      <c r="D58" s="13"/>
      <c r="E58" s="12"/>
      <c r="F58" s="12"/>
      <c r="G58" s="12"/>
      <c r="H58" s="12"/>
      <c r="I58" s="60" t="str">
        <f>IF($A58="","",IF(COUNTIFS(tbKRIColetas[ID KRI],$A58)-6+I$5&lt;1,"",SUMIFS(tbKRIColetas[Valor],tbKRIColetas[ID KRI],$A58,tbKRIColetas[Data da coleta],_xlfn.AGGREGATE(15,6,tbKRIColetas[Data da coleta]/(tbKRIColetas[ID KRI]=$A58),COUNTIFS(tbKRIColetas[ID KRI],$A58)-6+I$5))))</f>
        <v/>
      </c>
      <c r="J58" s="60" t="str">
        <f>IF($A58="","",IF(COUNTIFS(tbKRIColetas[ID KRI],$A58)-6+J$5&lt;1,"",SUMIFS(tbKRIColetas[Valor],tbKRIColetas[ID KRI],$A58,tbKRIColetas[Data da coleta],_xlfn.AGGREGATE(15,6,tbKRIColetas[Data da coleta]/(tbKRIColetas[ID KRI]=$A58),COUNTIFS(tbKRIColetas[ID KRI],$A58)-6+J$5))))</f>
        <v/>
      </c>
      <c r="K58" s="60" t="str">
        <f>IF($A58="","",IF(COUNTIFS(tbKRIColetas[ID KRI],$A58)-6+K$5&lt;1,"",SUMIFS(tbKRIColetas[Valor],tbKRIColetas[ID KRI],$A58,tbKRIColetas[Data da coleta],_xlfn.AGGREGATE(15,6,tbKRIColetas[Data da coleta]/(tbKRIColetas[ID KRI]=$A58),COUNTIFS(tbKRIColetas[ID KRI],$A58)-6+K$5))))</f>
        <v/>
      </c>
      <c r="L58" s="60" t="str">
        <f>IF($A58="","",IF(COUNTIFS(tbKRIColetas[ID KRI],$A58)-6+L$5&lt;1,"",SUMIFS(tbKRIColetas[Valor],tbKRIColetas[ID KRI],$A58,tbKRIColetas[Data da coleta],_xlfn.AGGREGATE(15,6,tbKRIColetas[Data da coleta]/(tbKRIColetas[ID KRI]=$A58),COUNTIFS(tbKRIColetas[ID KRI],$A58)-6+L$5))))</f>
        <v/>
      </c>
      <c r="M58" s="60" t="str">
        <f>IF($A58="","",IF(COUNTIFS(tbKRIColetas[ID KRI],$A58)-6+M$5&lt;1,"",SUMIFS(tbKRIColetas[Valor],tbKRIColetas[ID KRI],$A58,tbKRIColetas[Data da coleta],_xlfn.AGGREGATE(15,6,tbKRIColetas[Data da coleta]/(tbKRIColetas[ID KRI]=$A58),COUNTIFS(tbKRIColetas[ID KRI],$A58)-6+M$5))))</f>
        <v/>
      </c>
      <c r="N58" s="60" t="str">
        <f>IF($A58="","",IF(COUNTIFS(tbKRIColetas[ID KRI],$A58)-6+N$5&lt;1,"",SUMIFS(tbKRIColetas[Valor],tbKRIColetas[ID KRI],$A58,tbKRIColetas[Data da coleta],_xlfn.AGGREGATE(15,6,tbKRIColetas[Data da coleta]/(tbKRIColetas[ID KRI]=$A58),COUNTIFS(tbKRIColetas[ID KRI],$A58)-6+N$5))))</f>
        <v/>
      </c>
      <c r="O58" s="15" t="str">
        <f t="shared" si="5"/>
        <v/>
      </c>
      <c r="P58" s="42" t="str">
        <f t="shared" si="6"/>
        <v/>
      </c>
      <c r="Q58" s="14" t="str">
        <f t="shared" si="7"/>
        <v/>
      </c>
      <c r="R58" s="15" t="str">
        <f t="shared" si="8"/>
        <v/>
      </c>
      <c r="S58" s="65" t="str">
        <f>IF($A58="","",IFERROR(_xlfn.AGGREGATE(14,6,tbKRIColetas[Data da coleta]/(tbKRIColetas[ID KRI]=$A58),1),""))</f>
        <v/>
      </c>
      <c r="T58" s="17" t="str">
        <f t="shared" si="9"/>
        <v/>
      </c>
      <c r="U58" s="13"/>
      <c r="V58" s="117"/>
    </row>
    <row r="59" spans="1:22">
      <c r="A59" s="115"/>
      <c r="B59" s="11"/>
      <c r="C59" s="41" t="str">
        <f>IF($B59="","",IFERROR(INDEX(Riscos!$C$5:$C$154,MATCH($B59,Riscos!$A$5:$A$154,0)),"ID não encontrado"))</f>
        <v/>
      </c>
      <c r="D59" s="13"/>
      <c r="E59" s="12"/>
      <c r="F59" s="12"/>
      <c r="G59" s="12"/>
      <c r="H59" s="12"/>
      <c r="I59" s="60" t="str">
        <f>IF($A59="","",IF(COUNTIFS(tbKRIColetas[ID KRI],$A59)-6+I$5&lt;1,"",SUMIFS(tbKRIColetas[Valor],tbKRIColetas[ID KRI],$A59,tbKRIColetas[Data da coleta],_xlfn.AGGREGATE(15,6,tbKRIColetas[Data da coleta]/(tbKRIColetas[ID KRI]=$A59),COUNTIFS(tbKRIColetas[ID KRI],$A59)-6+I$5))))</f>
        <v/>
      </c>
      <c r="J59" s="60" t="str">
        <f>IF($A59="","",IF(COUNTIFS(tbKRIColetas[ID KRI],$A59)-6+J$5&lt;1,"",SUMIFS(tbKRIColetas[Valor],tbKRIColetas[ID KRI],$A59,tbKRIColetas[Data da coleta],_xlfn.AGGREGATE(15,6,tbKRIColetas[Data da coleta]/(tbKRIColetas[ID KRI]=$A59),COUNTIFS(tbKRIColetas[ID KRI],$A59)-6+J$5))))</f>
        <v/>
      </c>
      <c r="K59" s="60" t="str">
        <f>IF($A59="","",IF(COUNTIFS(tbKRIColetas[ID KRI],$A59)-6+K$5&lt;1,"",SUMIFS(tbKRIColetas[Valor],tbKRIColetas[ID KRI],$A59,tbKRIColetas[Data da coleta],_xlfn.AGGREGATE(15,6,tbKRIColetas[Data da coleta]/(tbKRIColetas[ID KRI]=$A59),COUNTIFS(tbKRIColetas[ID KRI],$A59)-6+K$5))))</f>
        <v/>
      </c>
      <c r="L59" s="60" t="str">
        <f>IF($A59="","",IF(COUNTIFS(tbKRIColetas[ID KRI],$A59)-6+L$5&lt;1,"",SUMIFS(tbKRIColetas[Valor],tbKRIColetas[ID KRI],$A59,tbKRIColetas[Data da coleta],_xlfn.AGGREGATE(15,6,tbKRIColetas[Data da coleta]/(tbKRIColetas[ID KRI]=$A59),COUNTIFS(tbKRIColetas[ID KRI],$A59)-6+L$5))))</f>
        <v/>
      </c>
      <c r="M59" s="60" t="str">
        <f>IF($A59="","",IF(COUNTIFS(tbKRIColetas[ID KRI],$A59)-6+M$5&lt;1,"",SUMIFS(tbKRIColetas[Valor],tbKRIColetas[ID KRI],$A59,tbKRIColetas[Data da coleta],_xlfn.AGGREGATE(15,6,tbKRIColetas[Data da coleta]/(tbKRIColetas[ID KRI]=$A59),COUNTIFS(tbKRIColetas[ID KRI],$A59)-6+M$5))))</f>
        <v/>
      </c>
      <c r="N59" s="60" t="str">
        <f>IF($A59="","",IF(COUNTIFS(tbKRIColetas[ID KRI],$A59)-6+N$5&lt;1,"",SUMIFS(tbKRIColetas[Valor],tbKRIColetas[ID KRI],$A59,tbKRIColetas[Data da coleta],_xlfn.AGGREGATE(15,6,tbKRIColetas[Data da coleta]/(tbKRIColetas[ID KRI]=$A59),COUNTIFS(tbKRIColetas[ID KRI],$A59)-6+N$5))))</f>
        <v/>
      </c>
      <c r="O59" s="15" t="str">
        <f t="shared" si="5"/>
        <v/>
      </c>
      <c r="P59" s="42" t="str">
        <f t="shared" si="6"/>
        <v/>
      </c>
      <c r="Q59" s="14" t="str">
        <f t="shared" si="7"/>
        <v/>
      </c>
      <c r="R59" s="15" t="str">
        <f t="shared" si="8"/>
        <v/>
      </c>
      <c r="S59" s="65" t="str">
        <f>IF($A59="","",IFERROR(_xlfn.AGGREGATE(14,6,tbKRIColetas[Data da coleta]/(tbKRIColetas[ID KRI]=$A59),1),""))</f>
        <v/>
      </c>
      <c r="T59" s="17" t="str">
        <f t="shared" si="9"/>
        <v/>
      </c>
      <c r="U59" s="13"/>
      <c r="V59" s="117"/>
    </row>
    <row r="60" spans="1:22">
      <c r="A60" s="115"/>
      <c r="B60" s="11"/>
      <c r="C60" s="41" t="str">
        <f>IF($B60="","",IFERROR(INDEX(Riscos!$C$5:$C$154,MATCH($B60,Riscos!$A$5:$A$154,0)),"ID não encontrado"))</f>
        <v/>
      </c>
      <c r="D60" s="13"/>
      <c r="E60" s="12"/>
      <c r="F60" s="12"/>
      <c r="G60" s="12"/>
      <c r="H60" s="12"/>
      <c r="I60" s="60" t="str">
        <f>IF($A60="","",IF(COUNTIFS(tbKRIColetas[ID KRI],$A60)-6+I$5&lt;1,"",SUMIFS(tbKRIColetas[Valor],tbKRIColetas[ID KRI],$A60,tbKRIColetas[Data da coleta],_xlfn.AGGREGATE(15,6,tbKRIColetas[Data da coleta]/(tbKRIColetas[ID KRI]=$A60),COUNTIFS(tbKRIColetas[ID KRI],$A60)-6+I$5))))</f>
        <v/>
      </c>
      <c r="J60" s="60" t="str">
        <f>IF($A60="","",IF(COUNTIFS(tbKRIColetas[ID KRI],$A60)-6+J$5&lt;1,"",SUMIFS(tbKRIColetas[Valor],tbKRIColetas[ID KRI],$A60,tbKRIColetas[Data da coleta],_xlfn.AGGREGATE(15,6,tbKRIColetas[Data da coleta]/(tbKRIColetas[ID KRI]=$A60),COUNTIFS(tbKRIColetas[ID KRI],$A60)-6+J$5))))</f>
        <v/>
      </c>
      <c r="K60" s="60" t="str">
        <f>IF($A60="","",IF(COUNTIFS(tbKRIColetas[ID KRI],$A60)-6+K$5&lt;1,"",SUMIFS(tbKRIColetas[Valor],tbKRIColetas[ID KRI],$A60,tbKRIColetas[Data da coleta],_xlfn.AGGREGATE(15,6,tbKRIColetas[Data da coleta]/(tbKRIColetas[ID KRI]=$A60),COUNTIFS(tbKRIColetas[ID KRI],$A60)-6+K$5))))</f>
        <v/>
      </c>
      <c r="L60" s="60" t="str">
        <f>IF($A60="","",IF(COUNTIFS(tbKRIColetas[ID KRI],$A60)-6+L$5&lt;1,"",SUMIFS(tbKRIColetas[Valor],tbKRIColetas[ID KRI],$A60,tbKRIColetas[Data da coleta],_xlfn.AGGREGATE(15,6,tbKRIColetas[Data da coleta]/(tbKRIColetas[ID KRI]=$A60),COUNTIFS(tbKRIColetas[ID KRI],$A60)-6+L$5))))</f>
        <v/>
      </c>
      <c r="M60" s="60" t="str">
        <f>IF($A60="","",IF(COUNTIFS(tbKRIColetas[ID KRI],$A60)-6+M$5&lt;1,"",SUMIFS(tbKRIColetas[Valor],tbKRIColetas[ID KRI],$A60,tbKRIColetas[Data da coleta],_xlfn.AGGREGATE(15,6,tbKRIColetas[Data da coleta]/(tbKRIColetas[ID KRI]=$A60),COUNTIFS(tbKRIColetas[ID KRI],$A60)-6+M$5))))</f>
        <v/>
      </c>
      <c r="N60" s="60" t="str">
        <f>IF($A60="","",IF(COUNTIFS(tbKRIColetas[ID KRI],$A60)-6+N$5&lt;1,"",SUMIFS(tbKRIColetas[Valor],tbKRIColetas[ID KRI],$A60,tbKRIColetas[Data da coleta],_xlfn.AGGREGATE(15,6,tbKRIColetas[Data da coleta]/(tbKRIColetas[ID KRI]=$A60),COUNTIFS(tbKRIColetas[ID KRI],$A60)-6+N$5))))</f>
        <v/>
      </c>
      <c r="O60" s="15" t="str">
        <f t="shared" si="5"/>
        <v/>
      </c>
      <c r="P60" s="42" t="str">
        <f t="shared" si="6"/>
        <v/>
      </c>
      <c r="Q60" s="14" t="str">
        <f t="shared" si="7"/>
        <v/>
      </c>
      <c r="R60" s="15" t="str">
        <f t="shared" si="8"/>
        <v/>
      </c>
      <c r="S60" s="65" t="str">
        <f>IF($A60="","",IFERROR(_xlfn.AGGREGATE(14,6,tbKRIColetas[Data da coleta]/(tbKRIColetas[ID KRI]=$A60),1),""))</f>
        <v/>
      </c>
      <c r="T60" s="17" t="str">
        <f t="shared" si="9"/>
        <v/>
      </c>
      <c r="U60" s="13"/>
      <c r="V60" s="117"/>
    </row>
    <row r="61" spans="1:22">
      <c r="A61" s="115"/>
      <c r="B61" s="11"/>
      <c r="C61" s="41" t="str">
        <f>IF($B61="","",IFERROR(INDEX(Riscos!$C$5:$C$154,MATCH($B61,Riscos!$A$5:$A$154,0)),"ID não encontrado"))</f>
        <v/>
      </c>
      <c r="D61" s="13"/>
      <c r="E61" s="12"/>
      <c r="F61" s="12"/>
      <c r="G61" s="12"/>
      <c r="H61" s="12"/>
      <c r="I61" s="60" t="str">
        <f>IF($A61="","",IF(COUNTIFS(tbKRIColetas[ID KRI],$A61)-6+I$5&lt;1,"",SUMIFS(tbKRIColetas[Valor],tbKRIColetas[ID KRI],$A61,tbKRIColetas[Data da coleta],_xlfn.AGGREGATE(15,6,tbKRIColetas[Data da coleta]/(tbKRIColetas[ID KRI]=$A61),COUNTIFS(tbKRIColetas[ID KRI],$A61)-6+I$5))))</f>
        <v/>
      </c>
      <c r="J61" s="60" t="str">
        <f>IF($A61="","",IF(COUNTIFS(tbKRIColetas[ID KRI],$A61)-6+J$5&lt;1,"",SUMIFS(tbKRIColetas[Valor],tbKRIColetas[ID KRI],$A61,tbKRIColetas[Data da coleta],_xlfn.AGGREGATE(15,6,tbKRIColetas[Data da coleta]/(tbKRIColetas[ID KRI]=$A61),COUNTIFS(tbKRIColetas[ID KRI],$A61)-6+J$5))))</f>
        <v/>
      </c>
      <c r="K61" s="60" t="str">
        <f>IF($A61="","",IF(COUNTIFS(tbKRIColetas[ID KRI],$A61)-6+K$5&lt;1,"",SUMIFS(tbKRIColetas[Valor],tbKRIColetas[ID KRI],$A61,tbKRIColetas[Data da coleta],_xlfn.AGGREGATE(15,6,tbKRIColetas[Data da coleta]/(tbKRIColetas[ID KRI]=$A61),COUNTIFS(tbKRIColetas[ID KRI],$A61)-6+K$5))))</f>
        <v/>
      </c>
      <c r="L61" s="60" t="str">
        <f>IF($A61="","",IF(COUNTIFS(tbKRIColetas[ID KRI],$A61)-6+L$5&lt;1,"",SUMIFS(tbKRIColetas[Valor],tbKRIColetas[ID KRI],$A61,tbKRIColetas[Data da coleta],_xlfn.AGGREGATE(15,6,tbKRIColetas[Data da coleta]/(tbKRIColetas[ID KRI]=$A61),COUNTIFS(tbKRIColetas[ID KRI],$A61)-6+L$5))))</f>
        <v/>
      </c>
      <c r="M61" s="60" t="str">
        <f>IF($A61="","",IF(COUNTIFS(tbKRIColetas[ID KRI],$A61)-6+M$5&lt;1,"",SUMIFS(tbKRIColetas[Valor],tbKRIColetas[ID KRI],$A61,tbKRIColetas[Data da coleta],_xlfn.AGGREGATE(15,6,tbKRIColetas[Data da coleta]/(tbKRIColetas[ID KRI]=$A61),COUNTIFS(tbKRIColetas[ID KRI],$A61)-6+M$5))))</f>
        <v/>
      </c>
      <c r="N61" s="60" t="str">
        <f>IF($A61="","",IF(COUNTIFS(tbKRIColetas[ID KRI],$A61)-6+N$5&lt;1,"",SUMIFS(tbKRIColetas[Valor],tbKRIColetas[ID KRI],$A61,tbKRIColetas[Data da coleta],_xlfn.AGGREGATE(15,6,tbKRIColetas[Data da coleta]/(tbKRIColetas[ID KRI]=$A61),COUNTIFS(tbKRIColetas[ID KRI],$A61)-6+N$5))))</f>
        <v/>
      </c>
      <c r="O61" s="15" t="str">
        <f t="shared" si="5"/>
        <v/>
      </c>
      <c r="P61" s="42" t="str">
        <f t="shared" si="6"/>
        <v/>
      </c>
      <c r="Q61" s="14" t="str">
        <f t="shared" si="7"/>
        <v/>
      </c>
      <c r="R61" s="15" t="str">
        <f t="shared" si="8"/>
        <v/>
      </c>
      <c r="S61" s="65" t="str">
        <f>IF($A61="","",IFERROR(_xlfn.AGGREGATE(14,6,tbKRIColetas[Data da coleta]/(tbKRIColetas[ID KRI]=$A61),1),""))</f>
        <v/>
      </c>
      <c r="T61" s="17" t="str">
        <f t="shared" si="9"/>
        <v/>
      </c>
      <c r="U61" s="13"/>
      <c r="V61" s="117"/>
    </row>
    <row r="62" spans="1:22">
      <c r="A62" s="115"/>
      <c r="B62" s="11"/>
      <c r="C62" s="41" t="str">
        <f>IF($B62="","",IFERROR(INDEX(Riscos!$C$5:$C$154,MATCH($B62,Riscos!$A$5:$A$154,0)),"ID não encontrado"))</f>
        <v/>
      </c>
      <c r="D62" s="13"/>
      <c r="E62" s="12"/>
      <c r="F62" s="12"/>
      <c r="G62" s="12"/>
      <c r="H62" s="12"/>
      <c r="I62" s="60" t="str">
        <f>IF($A62="","",IF(COUNTIFS(tbKRIColetas[ID KRI],$A62)-6+I$5&lt;1,"",SUMIFS(tbKRIColetas[Valor],tbKRIColetas[ID KRI],$A62,tbKRIColetas[Data da coleta],_xlfn.AGGREGATE(15,6,tbKRIColetas[Data da coleta]/(tbKRIColetas[ID KRI]=$A62),COUNTIFS(tbKRIColetas[ID KRI],$A62)-6+I$5))))</f>
        <v/>
      </c>
      <c r="J62" s="60" t="str">
        <f>IF($A62="","",IF(COUNTIFS(tbKRIColetas[ID KRI],$A62)-6+J$5&lt;1,"",SUMIFS(tbKRIColetas[Valor],tbKRIColetas[ID KRI],$A62,tbKRIColetas[Data da coleta],_xlfn.AGGREGATE(15,6,tbKRIColetas[Data da coleta]/(tbKRIColetas[ID KRI]=$A62),COUNTIFS(tbKRIColetas[ID KRI],$A62)-6+J$5))))</f>
        <v/>
      </c>
      <c r="K62" s="60" t="str">
        <f>IF($A62="","",IF(COUNTIFS(tbKRIColetas[ID KRI],$A62)-6+K$5&lt;1,"",SUMIFS(tbKRIColetas[Valor],tbKRIColetas[ID KRI],$A62,tbKRIColetas[Data da coleta],_xlfn.AGGREGATE(15,6,tbKRIColetas[Data da coleta]/(tbKRIColetas[ID KRI]=$A62),COUNTIFS(tbKRIColetas[ID KRI],$A62)-6+K$5))))</f>
        <v/>
      </c>
      <c r="L62" s="60" t="str">
        <f>IF($A62="","",IF(COUNTIFS(tbKRIColetas[ID KRI],$A62)-6+L$5&lt;1,"",SUMIFS(tbKRIColetas[Valor],tbKRIColetas[ID KRI],$A62,tbKRIColetas[Data da coleta],_xlfn.AGGREGATE(15,6,tbKRIColetas[Data da coleta]/(tbKRIColetas[ID KRI]=$A62),COUNTIFS(tbKRIColetas[ID KRI],$A62)-6+L$5))))</f>
        <v/>
      </c>
      <c r="M62" s="60" t="str">
        <f>IF($A62="","",IF(COUNTIFS(tbKRIColetas[ID KRI],$A62)-6+M$5&lt;1,"",SUMIFS(tbKRIColetas[Valor],tbKRIColetas[ID KRI],$A62,tbKRIColetas[Data da coleta],_xlfn.AGGREGATE(15,6,tbKRIColetas[Data da coleta]/(tbKRIColetas[ID KRI]=$A62),COUNTIFS(tbKRIColetas[ID KRI],$A62)-6+M$5))))</f>
        <v/>
      </c>
      <c r="N62" s="60" t="str">
        <f>IF($A62="","",IF(COUNTIFS(tbKRIColetas[ID KRI],$A62)-6+N$5&lt;1,"",SUMIFS(tbKRIColetas[Valor],tbKRIColetas[ID KRI],$A62,tbKRIColetas[Data da coleta],_xlfn.AGGREGATE(15,6,tbKRIColetas[Data da coleta]/(tbKRIColetas[ID KRI]=$A62),COUNTIFS(tbKRIColetas[ID KRI],$A62)-6+N$5))))</f>
        <v/>
      </c>
      <c r="O62" s="15" t="str">
        <f t="shared" si="5"/>
        <v/>
      </c>
      <c r="P62" s="42" t="str">
        <f t="shared" si="6"/>
        <v/>
      </c>
      <c r="Q62" s="14" t="str">
        <f t="shared" si="7"/>
        <v/>
      </c>
      <c r="R62" s="15" t="str">
        <f t="shared" si="8"/>
        <v/>
      </c>
      <c r="S62" s="65" t="str">
        <f>IF($A62="","",IFERROR(_xlfn.AGGREGATE(14,6,tbKRIColetas[Data da coleta]/(tbKRIColetas[ID KRI]=$A62),1),""))</f>
        <v/>
      </c>
      <c r="T62" s="17" t="str">
        <f t="shared" si="9"/>
        <v/>
      </c>
      <c r="U62" s="13"/>
      <c r="V62" s="117"/>
    </row>
    <row r="63" spans="1:22">
      <c r="A63" s="115"/>
      <c r="B63" s="11"/>
      <c r="C63" s="41" t="str">
        <f>IF($B63="","",IFERROR(INDEX(Riscos!$C$5:$C$154,MATCH($B63,Riscos!$A$5:$A$154,0)),"ID não encontrado"))</f>
        <v/>
      </c>
      <c r="D63" s="13"/>
      <c r="E63" s="12"/>
      <c r="F63" s="12"/>
      <c r="G63" s="12"/>
      <c r="H63" s="12"/>
      <c r="I63" s="60" t="str">
        <f>IF($A63="","",IF(COUNTIFS(tbKRIColetas[ID KRI],$A63)-6+I$5&lt;1,"",SUMIFS(tbKRIColetas[Valor],tbKRIColetas[ID KRI],$A63,tbKRIColetas[Data da coleta],_xlfn.AGGREGATE(15,6,tbKRIColetas[Data da coleta]/(tbKRIColetas[ID KRI]=$A63),COUNTIFS(tbKRIColetas[ID KRI],$A63)-6+I$5))))</f>
        <v/>
      </c>
      <c r="J63" s="60" t="str">
        <f>IF($A63="","",IF(COUNTIFS(tbKRIColetas[ID KRI],$A63)-6+J$5&lt;1,"",SUMIFS(tbKRIColetas[Valor],tbKRIColetas[ID KRI],$A63,tbKRIColetas[Data da coleta],_xlfn.AGGREGATE(15,6,tbKRIColetas[Data da coleta]/(tbKRIColetas[ID KRI]=$A63),COUNTIFS(tbKRIColetas[ID KRI],$A63)-6+J$5))))</f>
        <v/>
      </c>
      <c r="K63" s="60" t="str">
        <f>IF($A63="","",IF(COUNTIFS(tbKRIColetas[ID KRI],$A63)-6+K$5&lt;1,"",SUMIFS(tbKRIColetas[Valor],tbKRIColetas[ID KRI],$A63,tbKRIColetas[Data da coleta],_xlfn.AGGREGATE(15,6,tbKRIColetas[Data da coleta]/(tbKRIColetas[ID KRI]=$A63),COUNTIFS(tbKRIColetas[ID KRI],$A63)-6+K$5))))</f>
        <v/>
      </c>
      <c r="L63" s="60" t="str">
        <f>IF($A63="","",IF(COUNTIFS(tbKRIColetas[ID KRI],$A63)-6+L$5&lt;1,"",SUMIFS(tbKRIColetas[Valor],tbKRIColetas[ID KRI],$A63,tbKRIColetas[Data da coleta],_xlfn.AGGREGATE(15,6,tbKRIColetas[Data da coleta]/(tbKRIColetas[ID KRI]=$A63),COUNTIFS(tbKRIColetas[ID KRI],$A63)-6+L$5))))</f>
        <v/>
      </c>
      <c r="M63" s="60" t="str">
        <f>IF($A63="","",IF(COUNTIFS(tbKRIColetas[ID KRI],$A63)-6+M$5&lt;1,"",SUMIFS(tbKRIColetas[Valor],tbKRIColetas[ID KRI],$A63,tbKRIColetas[Data da coleta],_xlfn.AGGREGATE(15,6,tbKRIColetas[Data da coleta]/(tbKRIColetas[ID KRI]=$A63),COUNTIFS(tbKRIColetas[ID KRI],$A63)-6+M$5))))</f>
        <v/>
      </c>
      <c r="N63" s="60" t="str">
        <f>IF($A63="","",IF(COUNTIFS(tbKRIColetas[ID KRI],$A63)-6+N$5&lt;1,"",SUMIFS(tbKRIColetas[Valor],tbKRIColetas[ID KRI],$A63,tbKRIColetas[Data da coleta],_xlfn.AGGREGATE(15,6,tbKRIColetas[Data da coleta]/(tbKRIColetas[ID KRI]=$A63),COUNTIFS(tbKRIColetas[ID KRI],$A63)-6+N$5))))</f>
        <v/>
      </c>
      <c r="O63" s="15" t="str">
        <f t="shared" si="5"/>
        <v/>
      </c>
      <c r="P63" s="42" t="str">
        <f t="shared" si="6"/>
        <v/>
      </c>
      <c r="Q63" s="14" t="str">
        <f t="shared" si="7"/>
        <v/>
      </c>
      <c r="R63" s="15" t="str">
        <f t="shared" si="8"/>
        <v/>
      </c>
      <c r="S63" s="65" t="str">
        <f>IF($A63="","",IFERROR(_xlfn.AGGREGATE(14,6,tbKRIColetas[Data da coleta]/(tbKRIColetas[ID KRI]=$A63),1),""))</f>
        <v/>
      </c>
      <c r="T63" s="17" t="str">
        <f t="shared" si="9"/>
        <v/>
      </c>
      <c r="U63" s="13"/>
      <c r="V63" s="117"/>
    </row>
    <row r="64" spans="1:22">
      <c r="A64" s="115"/>
      <c r="B64" s="11"/>
      <c r="C64" s="41" t="str">
        <f>IF($B64="","",IFERROR(INDEX(Riscos!$C$5:$C$154,MATCH($B64,Riscos!$A$5:$A$154,0)),"ID não encontrado"))</f>
        <v/>
      </c>
      <c r="D64" s="13"/>
      <c r="E64" s="12"/>
      <c r="F64" s="12"/>
      <c r="G64" s="12"/>
      <c r="H64" s="12"/>
      <c r="I64" s="60" t="str">
        <f>IF($A64="","",IF(COUNTIFS(tbKRIColetas[ID KRI],$A64)-6+I$5&lt;1,"",SUMIFS(tbKRIColetas[Valor],tbKRIColetas[ID KRI],$A64,tbKRIColetas[Data da coleta],_xlfn.AGGREGATE(15,6,tbKRIColetas[Data da coleta]/(tbKRIColetas[ID KRI]=$A64),COUNTIFS(tbKRIColetas[ID KRI],$A64)-6+I$5))))</f>
        <v/>
      </c>
      <c r="J64" s="60" t="str">
        <f>IF($A64="","",IF(COUNTIFS(tbKRIColetas[ID KRI],$A64)-6+J$5&lt;1,"",SUMIFS(tbKRIColetas[Valor],tbKRIColetas[ID KRI],$A64,tbKRIColetas[Data da coleta],_xlfn.AGGREGATE(15,6,tbKRIColetas[Data da coleta]/(tbKRIColetas[ID KRI]=$A64),COUNTIFS(tbKRIColetas[ID KRI],$A64)-6+J$5))))</f>
        <v/>
      </c>
      <c r="K64" s="60" t="str">
        <f>IF($A64="","",IF(COUNTIFS(tbKRIColetas[ID KRI],$A64)-6+K$5&lt;1,"",SUMIFS(tbKRIColetas[Valor],tbKRIColetas[ID KRI],$A64,tbKRIColetas[Data da coleta],_xlfn.AGGREGATE(15,6,tbKRIColetas[Data da coleta]/(tbKRIColetas[ID KRI]=$A64),COUNTIFS(tbKRIColetas[ID KRI],$A64)-6+K$5))))</f>
        <v/>
      </c>
      <c r="L64" s="60" t="str">
        <f>IF($A64="","",IF(COUNTIFS(tbKRIColetas[ID KRI],$A64)-6+L$5&lt;1,"",SUMIFS(tbKRIColetas[Valor],tbKRIColetas[ID KRI],$A64,tbKRIColetas[Data da coleta],_xlfn.AGGREGATE(15,6,tbKRIColetas[Data da coleta]/(tbKRIColetas[ID KRI]=$A64),COUNTIFS(tbKRIColetas[ID KRI],$A64)-6+L$5))))</f>
        <v/>
      </c>
      <c r="M64" s="60" t="str">
        <f>IF($A64="","",IF(COUNTIFS(tbKRIColetas[ID KRI],$A64)-6+M$5&lt;1,"",SUMIFS(tbKRIColetas[Valor],tbKRIColetas[ID KRI],$A64,tbKRIColetas[Data da coleta],_xlfn.AGGREGATE(15,6,tbKRIColetas[Data da coleta]/(tbKRIColetas[ID KRI]=$A64),COUNTIFS(tbKRIColetas[ID KRI],$A64)-6+M$5))))</f>
        <v/>
      </c>
      <c r="N64" s="60" t="str">
        <f>IF($A64="","",IF(COUNTIFS(tbKRIColetas[ID KRI],$A64)-6+N$5&lt;1,"",SUMIFS(tbKRIColetas[Valor],tbKRIColetas[ID KRI],$A64,tbKRIColetas[Data da coleta],_xlfn.AGGREGATE(15,6,tbKRIColetas[Data da coleta]/(tbKRIColetas[ID KRI]=$A64),COUNTIFS(tbKRIColetas[ID KRI],$A64)-6+N$5))))</f>
        <v/>
      </c>
      <c r="O64" s="15" t="str">
        <f t="shared" si="5"/>
        <v/>
      </c>
      <c r="P64" s="42" t="str">
        <f t="shared" si="6"/>
        <v/>
      </c>
      <c r="Q64" s="14" t="str">
        <f t="shared" si="7"/>
        <v/>
      </c>
      <c r="R64" s="15" t="str">
        <f t="shared" si="8"/>
        <v/>
      </c>
      <c r="S64" s="65" t="str">
        <f>IF($A64="","",IFERROR(_xlfn.AGGREGATE(14,6,tbKRIColetas[Data da coleta]/(tbKRIColetas[ID KRI]=$A64),1),""))</f>
        <v/>
      </c>
      <c r="T64" s="17" t="str">
        <f t="shared" si="9"/>
        <v/>
      </c>
      <c r="U64" s="13"/>
      <c r="V64" s="117"/>
    </row>
    <row r="65" spans="1:22">
      <c r="A65" s="115"/>
      <c r="B65" s="11"/>
      <c r="C65" s="41" t="str">
        <f>IF($B65="","",IFERROR(INDEX(Riscos!$C$5:$C$154,MATCH($B65,Riscos!$A$5:$A$154,0)),"ID não encontrado"))</f>
        <v/>
      </c>
      <c r="D65" s="13"/>
      <c r="E65" s="12"/>
      <c r="F65" s="12"/>
      <c r="G65" s="12"/>
      <c r="H65" s="12"/>
      <c r="I65" s="60" t="str">
        <f>IF($A65="","",IF(COUNTIFS(tbKRIColetas[ID KRI],$A65)-6+I$5&lt;1,"",SUMIFS(tbKRIColetas[Valor],tbKRIColetas[ID KRI],$A65,tbKRIColetas[Data da coleta],_xlfn.AGGREGATE(15,6,tbKRIColetas[Data da coleta]/(tbKRIColetas[ID KRI]=$A65),COUNTIFS(tbKRIColetas[ID KRI],$A65)-6+I$5))))</f>
        <v/>
      </c>
      <c r="J65" s="60" t="str">
        <f>IF($A65="","",IF(COUNTIFS(tbKRIColetas[ID KRI],$A65)-6+J$5&lt;1,"",SUMIFS(tbKRIColetas[Valor],tbKRIColetas[ID KRI],$A65,tbKRIColetas[Data da coleta],_xlfn.AGGREGATE(15,6,tbKRIColetas[Data da coleta]/(tbKRIColetas[ID KRI]=$A65),COUNTIFS(tbKRIColetas[ID KRI],$A65)-6+J$5))))</f>
        <v/>
      </c>
      <c r="K65" s="60" t="str">
        <f>IF($A65="","",IF(COUNTIFS(tbKRIColetas[ID KRI],$A65)-6+K$5&lt;1,"",SUMIFS(tbKRIColetas[Valor],tbKRIColetas[ID KRI],$A65,tbKRIColetas[Data da coleta],_xlfn.AGGREGATE(15,6,tbKRIColetas[Data da coleta]/(tbKRIColetas[ID KRI]=$A65),COUNTIFS(tbKRIColetas[ID KRI],$A65)-6+K$5))))</f>
        <v/>
      </c>
      <c r="L65" s="60" t="str">
        <f>IF($A65="","",IF(COUNTIFS(tbKRIColetas[ID KRI],$A65)-6+L$5&lt;1,"",SUMIFS(tbKRIColetas[Valor],tbKRIColetas[ID KRI],$A65,tbKRIColetas[Data da coleta],_xlfn.AGGREGATE(15,6,tbKRIColetas[Data da coleta]/(tbKRIColetas[ID KRI]=$A65),COUNTIFS(tbKRIColetas[ID KRI],$A65)-6+L$5))))</f>
        <v/>
      </c>
      <c r="M65" s="60" t="str">
        <f>IF($A65="","",IF(COUNTIFS(tbKRIColetas[ID KRI],$A65)-6+M$5&lt;1,"",SUMIFS(tbKRIColetas[Valor],tbKRIColetas[ID KRI],$A65,tbKRIColetas[Data da coleta],_xlfn.AGGREGATE(15,6,tbKRIColetas[Data da coleta]/(tbKRIColetas[ID KRI]=$A65),COUNTIFS(tbKRIColetas[ID KRI],$A65)-6+M$5))))</f>
        <v/>
      </c>
      <c r="N65" s="60" t="str">
        <f>IF($A65="","",IF(COUNTIFS(tbKRIColetas[ID KRI],$A65)-6+N$5&lt;1,"",SUMIFS(tbKRIColetas[Valor],tbKRIColetas[ID KRI],$A65,tbKRIColetas[Data da coleta],_xlfn.AGGREGATE(15,6,tbKRIColetas[Data da coleta]/(tbKRIColetas[ID KRI]=$A65),COUNTIFS(tbKRIColetas[ID KRI],$A65)-6+N$5))))</f>
        <v/>
      </c>
      <c r="O65" s="15" t="str">
        <f t="shared" si="5"/>
        <v/>
      </c>
      <c r="P65" s="42" t="str">
        <f t="shared" si="6"/>
        <v/>
      </c>
      <c r="Q65" s="14" t="str">
        <f t="shared" si="7"/>
        <v/>
      </c>
      <c r="R65" s="15" t="str">
        <f t="shared" si="8"/>
        <v/>
      </c>
      <c r="S65" s="65" t="str">
        <f>IF($A65="","",IFERROR(_xlfn.AGGREGATE(14,6,tbKRIColetas[Data da coleta]/(tbKRIColetas[ID KRI]=$A65),1),""))</f>
        <v/>
      </c>
      <c r="T65" s="17" t="str">
        <f t="shared" si="9"/>
        <v/>
      </c>
      <c r="U65" s="13"/>
      <c r="V65" s="117"/>
    </row>
    <row r="66" spans="1:22">
      <c r="A66" s="118"/>
      <c r="B66" s="141"/>
      <c r="C66" s="142" t="str">
        <f>IF($B66="","",IFERROR(INDEX(Riscos!$C$5:$C$154,MATCH($B66,Riscos!$A$5:$A$154,0)),"ID não encontrado"))</f>
        <v/>
      </c>
      <c r="D66" s="120"/>
      <c r="E66" s="119"/>
      <c r="F66" s="119"/>
      <c r="G66" s="119"/>
      <c r="H66" s="119"/>
      <c r="I66" s="160" t="str">
        <f>IF($A66="","",IF(COUNTIFS(tbKRIColetas[ID KRI],$A66)-6+I$5&lt;1,"",SUMIFS(tbKRIColetas[Valor],tbKRIColetas[ID KRI],$A66,tbKRIColetas[Data da coleta],_xlfn.AGGREGATE(15,6,tbKRIColetas[Data da coleta]/(tbKRIColetas[ID KRI]=$A66),COUNTIFS(tbKRIColetas[ID KRI],$A66)-6+I$5))))</f>
        <v/>
      </c>
      <c r="J66" s="160" t="str">
        <f>IF($A66="","",IF(COUNTIFS(tbKRIColetas[ID KRI],$A66)-6+J$5&lt;1,"",SUMIFS(tbKRIColetas[Valor],tbKRIColetas[ID KRI],$A66,tbKRIColetas[Data da coleta],_xlfn.AGGREGATE(15,6,tbKRIColetas[Data da coleta]/(tbKRIColetas[ID KRI]=$A66),COUNTIFS(tbKRIColetas[ID KRI],$A66)-6+J$5))))</f>
        <v/>
      </c>
      <c r="K66" s="160" t="str">
        <f>IF($A66="","",IF(COUNTIFS(tbKRIColetas[ID KRI],$A66)-6+K$5&lt;1,"",SUMIFS(tbKRIColetas[Valor],tbKRIColetas[ID KRI],$A66,tbKRIColetas[Data da coleta],_xlfn.AGGREGATE(15,6,tbKRIColetas[Data da coleta]/(tbKRIColetas[ID KRI]=$A66),COUNTIFS(tbKRIColetas[ID KRI],$A66)-6+K$5))))</f>
        <v/>
      </c>
      <c r="L66" s="160" t="str">
        <f>IF($A66="","",IF(COUNTIFS(tbKRIColetas[ID KRI],$A66)-6+L$5&lt;1,"",SUMIFS(tbKRIColetas[Valor],tbKRIColetas[ID KRI],$A66,tbKRIColetas[Data da coleta],_xlfn.AGGREGATE(15,6,tbKRIColetas[Data da coleta]/(tbKRIColetas[ID KRI]=$A66),COUNTIFS(tbKRIColetas[ID KRI],$A66)-6+L$5))))</f>
        <v/>
      </c>
      <c r="M66" s="160" t="str">
        <f>IF($A66="","",IF(COUNTIFS(tbKRIColetas[ID KRI],$A66)-6+M$5&lt;1,"",SUMIFS(tbKRIColetas[Valor],tbKRIColetas[ID KRI],$A66,tbKRIColetas[Data da coleta],_xlfn.AGGREGATE(15,6,tbKRIColetas[Data da coleta]/(tbKRIColetas[ID KRI]=$A66),COUNTIFS(tbKRIColetas[ID KRI],$A66)-6+M$5))))</f>
        <v/>
      </c>
      <c r="N66" s="160" t="str">
        <f>IF($A66="","",IF(COUNTIFS(tbKRIColetas[ID KRI],$A66)-6+N$5&lt;1,"",SUMIFS(tbKRIColetas[Valor],tbKRIColetas[ID KRI],$A66,tbKRIColetas[Data da coleta],_xlfn.AGGREGATE(15,6,tbKRIColetas[Data da coleta]/(tbKRIColetas[ID KRI]=$A66),COUNTIFS(tbKRIColetas[ID KRI],$A66)-6+N$5))))</f>
        <v/>
      </c>
      <c r="O66" s="122" t="str">
        <f t="shared" si="5"/>
        <v/>
      </c>
      <c r="P66" s="143" t="str">
        <f t="shared" si="6"/>
        <v/>
      </c>
      <c r="Q66" s="121" t="str">
        <f t="shared" si="7"/>
        <v/>
      </c>
      <c r="R66" s="122" t="str">
        <f t="shared" si="8"/>
        <v/>
      </c>
      <c r="S66" s="144" t="str">
        <f>IF($A66="","",IFERROR(_xlfn.AGGREGATE(14,6,tbKRIColetas[Data da coleta]/(tbKRIColetas[ID KRI]=$A66),1),""))</f>
        <v/>
      </c>
      <c r="T66" s="124" t="str">
        <f t="shared" si="9"/>
        <v/>
      </c>
      <c r="U66" s="120"/>
      <c r="V66" s="128"/>
    </row>
  </sheetData>
  <mergeCells count="3">
    <mergeCell ref="C3:D3"/>
    <mergeCell ref="A1:V1"/>
    <mergeCell ref="A2:V2"/>
  </mergeCells>
  <conditionalFormatting sqref="Q7:Q66">
    <cfRule type="cellIs" dxfId="61" priority="6" operator="equal">
      <formula>"▲ piora"</formula>
    </cfRule>
    <cfRule type="cellIs" dxfId="60" priority="7" operator="equal">
      <formula>"▼ melhora"</formula>
    </cfRule>
  </conditionalFormatting>
  <conditionalFormatting sqref="R7:R66">
    <cfRule type="cellIs" dxfId="59" priority="2" operator="equal">
      <formula>"Estourou"</formula>
    </cfRule>
    <cfRule type="cellIs" dxfId="58" priority="3" operator="equal">
      <formula>"Atenção"</formula>
    </cfRule>
    <cfRule type="cellIs" dxfId="57" priority="4" operator="equal">
      <formula>"OK"</formula>
    </cfRule>
    <cfRule type="cellIs" dxfId="56" priority="5" operator="equal">
      <formula>"Sem dados"</formula>
    </cfRule>
  </conditionalFormatting>
  <conditionalFormatting sqref="T7:T66">
    <cfRule type="expression" dxfId="55" priority="8">
      <formula>AND(ISNUMBER($T7),$T7&lt;TODAY())</formula>
    </cfRule>
  </conditionalFormatting>
  <dataValidations count="4">
    <dataValidation type="list" allowBlank="1" showErrorMessage="1" sqref="G7:G66" xr:uid="{00000000-0002-0000-0400-000000000000}">
      <formula1>"Maior é pior,Menor é pior"</formula1>
      <formula2>0</formula2>
    </dataValidation>
    <dataValidation type="list" allowBlank="1" showErrorMessage="1" sqref="H7:H66" xr:uid="{00000000-0002-0000-0400-000001000000}">
      <formula1>ListaFreq</formula1>
      <formula2>0</formula2>
    </dataValidation>
    <dataValidation type="list" allowBlank="1" showErrorMessage="1" sqref="V7:V66" xr:uid="{00000000-0002-0000-0400-000002000000}">
      <formula1>"Antecedente (sinal antecipado),Reativo (resultado)"</formula1>
      <formula2>0</formula2>
    </dataValidation>
    <dataValidation type="date" operator="greaterThan" allowBlank="1" showErrorMessage="1" sqref="S7:S66" xr:uid="{00000000-0002-0000-0400-000003000000}">
      <formula1>36526</formula1>
      <formula2>0</formula2>
    </dataValidation>
  </dataValidations>
  <pageMargins left="0.75" right="0.75" top="1" bottom="1" header="0.511811023622047" footer="0.511811023622047"/>
  <pageSetup paperSize="9" scale="37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21F0-9BBE-4302-B33B-6259C3B332D0}">
  <sheetPr>
    <tabColor rgb="FFE06666"/>
    <pageSetUpPr fitToPage="1"/>
  </sheetPr>
  <dimension ref="A1:D166"/>
  <sheetViews>
    <sheetView workbookViewId="0">
      <selection activeCell="E8" sqref="E8:H8"/>
    </sheetView>
  </sheetViews>
  <sheetFormatPr defaultRowHeight="11.4"/>
  <cols>
    <col min="1" max="1" width="10.77734375" style="49" customWidth="1"/>
    <col min="2" max="2" width="14.77734375" style="49" customWidth="1"/>
    <col min="3" max="3" width="12.77734375" style="49" customWidth="1"/>
    <col min="4" max="4" width="40.77734375" style="49" customWidth="1"/>
    <col min="5" max="5" width="3.77734375" style="49" customWidth="1"/>
    <col min="6" max="16384" width="8.88671875" style="49"/>
  </cols>
  <sheetData>
    <row r="1" spans="1:4" ht="24" customHeight="1">
      <c r="A1" s="242" t="s">
        <v>2143</v>
      </c>
      <c r="B1" s="242"/>
      <c r="C1" s="242"/>
      <c r="D1" s="242"/>
    </row>
    <row r="2" spans="1:4" ht="30" customHeight="1">
      <c r="A2" s="243" t="s">
        <v>2144</v>
      </c>
      <c r="B2" s="243"/>
      <c r="C2" s="243"/>
      <c r="D2" s="243"/>
    </row>
    <row r="4" spans="1:4" ht="12">
      <c r="A4" s="110" t="s">
        <v>2112</v>
      </c>
      <c r="B4" s="110" t="s">
        <v>2145</v>
      </c>
      <c r="C4" s="110" t="s">
        <v>461</v>
      </c>
      <c r="D4" s="110" t="s">
        <v>1711</v>
      </c>
    </row>
    <row r="5" spans="1:4">
      <c r="A5" s="113" t="s">
        <v>2113</v>
      </c>
      <c r="B5" s="112">
        <v>46234</v>
      </c>
      <c r="C5" s="111">
        <v>2.81</v>
      </c>
      <c r="D5" s="111"/>
    </row>
    <row r="6" spans="1:4">
      <c r="A6" s="113" t="s">
        <v>2113</v>
      </c>
      <c r="B6" s="112">
        <v>46265</v>
      </c>
      <c r="C6" s="111">
        <v>3.15</v>
      </c>
      <c r="D6" s="111"/>
    </row>
    <row r="7" spans="1:4">
      <c r="A7" s="113" t="s">
        <v>2113</v>
      </c>
      <c r="B7" s="112">
        <v>46295</v>
      </c>
      <c r="C7" s="111">
        <v>2.83</v>
      </c>
      <c r="D7" s="111"/>
    </row>
    <row r="8" spans="1:4">
      <c r="A8" s="113" t="s">
        <v>2113</v>
      </c>
      <c r="B8" s="112">
        <v>46326</v>
      </c>
      <c r="C8" s="111">
        <v>3.08</v>
      </c>
      <c r="D8" s="111"/>
    </row>
    <row r="9" spans="1:4">
      <c r="A9" s="113" t="s">
        <v>2113</v>
      </c>
      <c r="B9" s="112">
        <v>46356</v>
      </c>
      <c r="C9" s="111">
        <v>2.95</v>
      </c>
      <c r="D9" s="111"/>
    </row>
    <row r="10" spans="1:4">
      <c r="A10" s="113" t="s">
        <v>2113</v>
      </c>
      <c r="B10" s="112">
        <v>46387</v>
      </c>
      <c r="C10" s="111">
        <v>3.2</v>
      </c>
      <c r="D10" s="111"/>
    </row>
    <row r="11" spans="1:4">
      <c r="A11" s="113" t="s">
        <v>2114</v>
      </c>
      <c r="B11" s="112">
        <v>46234</v>
      </c>
      <c r="C11" s="111">
        <v>0.85</v>
      </c>
      <c r="D11" s="111"/>
    </row>
    <row r="12" spans="1:4">
      <c r="A12" s="113" t="s">
        <v>2114</v>
      </c>
      <c r="B12" s="112">
        <v>46265</v>
      </c>
      <c r="C12" s="111">
        <v>1.75</v>
      </c>
      <c r="D12" s="111"/>
    </row>
    <row r="13" spans="1:4">
      <c r="A13" s="113" t="s">
        <v>2114</v>
      </c>
      <c r="B13" s="112">
        <v>46295</v>
      </c>
      <c r="C13" s="111">
        <v>0</v>
      </c>
      <c r="D13" s="111"/>
    </row>
    <row r="14" spans="1:4">
      <c r="A14" s="113" t="s">
        <v>2114</v>
      </c>
      <c r="B14" s="112">
        <v>46326</v>
      </c>
      <c r="C14" s="111">
        <v>0</v>
      </c>
      <c r="D14" s="111"/>
    </row>
    <row r="15" spans="1:4">
      <c r="A15" s="113" t="s">
        <v>2114</v>
      </c>
      <c r="B15" s="112">
        <v>46356</v>
      </c>
      <c r="C15" s="111">
        <v>0.9</v>
      </c>
      <c r="D15" s="111"/>
    </row>
    <row r="16" spans="1:4">
      <c r="A16" s="113" t="s">
        <v>2114</v>
      </c>
      <c r="B16" s="112">
        <v>46387</v>
      </c>
      <c r="C16" s="111">
        <v>1.75</v>
      </c>
      <c r="D16" s="111"/>
    </row>
    <row r="17" spans="1:4">
      <c r="A17" s="113" t="s">
        <v>2115</v>
      </c>
      <c r="B17" s="112">
        <v>46234</v>
      </c>
      <c r="C17" s="111">
        <v>292</v>
      </c>
      <c r="D17" s="111"/>
    </row>
    <row r="18" spans="1:4">
      <c r="A18" s="113" t="s">
        <v>2115</v>
      </c>
      <c r="B18" s="112">
        <v>46265</v>
      </c>
      <c r="C18" s="111">
        <v>484</v>
      </c>
      <c r="D18" s="111"/>
    </row>
    <row r="19" spans="1:4">
      <c r="A19" s="113" t="s">
        <v>2115</v>
      </c>
      <c r="B19" s="112">
        <v>46295</v>
      </c>
      <c r="C19" s="111">
        <v>703</v>
      </c>
      <c r="D19" s="111"/>
    </row>
    <row r="20" spans="1:4">
      <c r="A20" s="113" t="s">
        <v>2115</v>
      </c>
      <c r="B20" s="112">
        <v>46326</v>
      </c>
      <c r="C20" s="111">
        <v>851</v>
      </c>
      <c r="D20" s="111"/>
    </row>
    <row r="21" spans="1:4">
      <c r="A21" s="113" t="s">
        <v>2115</v>
      </c>
      <c r="B21" s="112">
        <v>46356</v>
      </c>
      <c r="C21" s="111">
        <v>996</v>
      </c>
      <c r="D21" s="111"/>
    </row>
    <row r="22" spans="1:4">
      <c r="A22" s="113" t="s">
        <v>2115</v>
      </c>
      <c r="B22" s="112">
        <v>46387</v>
      </c>
      <c r="C22" s="111">
        <v>1133</v>
      </c>
      <c r="D22" s="111"/>
    </row>
    <row r="23" spans="1:4">
      <c r="A23" s="113" t="s">
        <v>2116</v>
      </c>
      <c r="B23" s="112">
        <v>46234</v>
      </c>
      <c r="C23" s="111">
        <v>0.94</v>
      </c>
      <c r="D23" s="111"/>
    </row>
    <row r="24" spans="1:4">
      <c r="A24" s="113" t="s">
        <v>2116</v>
      </c>
      <c r="B24" s="112">
        <v>46265</v>
      </c>
      <c r="C24" s="111">
        <v>0.87</v>
      </c>
      <c r="D24" s="111"/>
    </row>
    <row r="25" spans="1:4">
      <c r="A25" s="113" t="s">
        <v>2116</v>
      </c>
      <c r="B25" s="112">
        <v>46295</v>
      </c>
      <c r="C25" s="111">
        <v>0.65</v>
      </c>
      <c r="D25" s="111"/>
    </row>
    <row r="26" spans="1:4">
      <c r="A26" s="113" t="s">
        <v>2116</v>
      </c>
      <c r="B26" s="112">
        <v>46326</v>
      </c>
      <c r="C26" s="111">
        <v>0.94</v>
      </c>
      <c r="D26" s="111"/>
    </row>
    <row r="27" spans="1:4">
      <c r="A27" s="113" t="s">
        <v>2116</v>
      </c>
      <c r="B27" s="112">
        <v>46356</v>
      </c>
      <c r="C27" s="111">
        <v>1.24</v>
      </c>
      <c r="D27" s="111"/>
    </row>
    <row r="28" spans="1:4">
      <c r="A28" s="113" t="s">
        <v>2116</v>
      </c>
      <c r="B28" s="112">
        <v>46387</v>
      </c>
      <c r="C28" s="111">
        <v>0.74</v>
      </c>
      <c r="D28" s="111"/>
    </row>
    <row r="29" spans="1:4">
      <c r="A29" s="113" t="s">
        <v>2117</v>
      </c>
      <c r="B29" s="112">
        <v>46234</v>
      </c>
      <c r="C29" s="111">
        <v>116</v>
      </c>
      <c r="D29" s="111"/>
    </row>
    <row r="30" spans="1:4">
      <c r="A30" s="113" t="s">
        <v>2117</v>
      </c>
      <c r="B30" s="112">
        <v>46265</v>
      </c>
      <c r="C30" s="111">
        <v>120</v>
      </c>
      <c r="D30" s="111"/>
    </row>
    <row r="31" spans="1:4">
      <c r="A31" s="113" t="s">
        <v>2117</v>
      </c>
      <c r="B31" s="112">
        <v>46295</v>
      </c>
      <c r="C31" s="111">
        <v>116</v>
      </c>
      <c r="D31" s="111"/>
    </row>
    <row r="32" spans="1:4">
      <c r="A32" s="113" t="s">
        <v>2117</v>
      </c>
      <c r="B32" s="112">
        <v>46326</v>
      </c>
      <c r="C32" s="111">
        <v>117</v>
      </c>
      <c r="D32" s="111"/>
    </row>
    <row r="33" spans="1:4">
      <c r="A33" s="113" t="s">
        <v>2117</v>
      </c>
      <c r="B33" s="112">
        <v>46356</v>
      </c>
      <c r="C33" s="111">
        <v>105</v>
      </c>
      <c r="D33" s="111"/>
    </row>
    <row r="34" spans="1:4">
      <c r="A34" s="113" t="s">
        <v>2117</v>
      </c>
      <c r="B34" s="112">
        <v>46387</v>
      </c>
      <c r="C34" s="111">
        <v>112</v>
      </c>
      <c r="D34" s="111"/>
    </row>
    <row r="35" spans="1:4">
      <c r="A35" s="113" t="s">
        <v>2118</v>
      </c>
      <c r="B35" s="112">
        <v>46234</v>
      </c>
      <c r="C35" s="111">
        <v>80</v>
      </c>
      <c r="D35" s="111"/>
    </row>
    <row r="36" spans="1:4">
      <c r="A36" s="113" t="s">
        <v>2118</v>
      </c>
      <c r="B36" s="112">
        <v>46265</v>
      </c>
      <c r="C36" s="111">
        <v>79.2</v>
      </c>
      <c r="D36" s="111"/>
    </row>
    <row r="37" spans="1:4">
      <c r="A37" s="113" t="s">
        <v>2118</v>
      </c>
      <c r="B37" s="112">
        <v>46295</v>
      </c>
      <c r="C37" s="111">
        <v>79.400000000000006</v>
      </c>
      <c r="D37" s="111"/>
    </row>
    <row r="38" spans="1:4">
      <c r="A38" s="113" t="s">
        <v>2118</v>
      </c>
      <c r="B38" s="112">
        <v>46326</v>
      </c>
      <c r="C38" s="111">
        <v>79.900000000000006</v>
      </c>
      <c r="D38" s="111"/>
    </row>
    <row r="39" spans="1:4">
      <c r="A39" s="113" t="s">
        <v>2118</v>
      </c>
      <c r="B39" s="112">
        <v>46356</v>
      </c>
      <c r="C39" s="111">
        <v>81.599999999999994</v>
      </c>
      <c r="D39" s="111"/>
    </row>
    <row r="40" spans="1:4">
      <c r="A40" s="113" t="s">
        <v>2118</v>
      </c>
      <c r="B40" s="112">
        <v>46387</v>
      </c>
      <c r="C40" s="111">
        <v>80.900000000000006</v>
      </c>
      <c r="D40" s="111"/>
    </row>
    <row r="41" spans="1:4">
      <c r="A41" s="113" t="s">
        <v>2119</v>
      </c>
      <c r="B41" s="112">
        <v>46234</v>
      </c>
      <c r="C41" s="111">
        <v>12096</v>
      </c>
      <c r="D41" s="111"/>
    </row>
    <row r="42" spans="1:4">
      <c r="A42" s="113" t="s">
        <v>2119</v>
      </c>
      <c r="B42" s="112">
        <v>46265</v>
      </c>
      <c r="C42" s="111">
        <v>11603</v>
      </c>
      <c r="D42" s="111"/>
    </row>
    <row r="43" spans="1:4">
      <c r="A43" s="113" t="s">
        <v>2119</v>
      </c>
      <c r="B43" s="112">
        <v>46295</v>
      </c>
      <c r="C43" s="111">
        <v>13287</v>
      </c>
      <c r="D43" s="111"/>
    </row>
    <row r="44" spans="1:4">
      <c r="A44" s="113" t="s">
        <v>2119</v>
      </c>
      <c r="B44" s="112">
        <v>46326</v>
      </c>
      <c r="C44" s="111">
        <v>10491</v>
      </c>
      <c r="D44" s="111"/>
    </row>
    <row r="45" spans="1:4">
      <c r="A45" s="113" t="s">
        <v>2119</v>
      </c>
      <c r="B45" s="112">
        <v>46356</v>
      </c>
      <c r="C45" s="111">
        <v>17801</v>
      </c>
      <c r="D45" s="111"/>
    </row>
    <row r="46" spans="1:4">
      <c r="A46" s="113" t="s">
        <v>2119</v>
      </c>
      <c r="B46" s="112">
        <v>46387</v>
      </c>
      <c r="C46" s="111">
        <v>12823</v>
      </c>
      <c r="D46" s="111"/>
    </row>
    <row r="47" spans="1:4">
      <c r="A47" s="113" t="s">
        <v>2120</v>
      </c>
      <c r="B47" s="112">
        <v>46234</v>
      </c>
      <c r="C47" s="111">
        <v>3.12</v>
      </c>
      <c r="D47" s="111"/>
    </row>
    <row r="48" spans="1:4">
      <c r="A48" s="113" t="s">
        <v>2120</v>
      </c>
      <c r="B48" s="112">
        <v>46265</v>
      </c>
      <c r="C48" s="111">
        <v>3.12</v>
      </c>
      <c r="D48" s="111"/>
    </row>
    <row r="49" spans="1:4">
      <c r="A49" s="113" t="s">
        <v>2120</v>
      </c>
      <c r="B49" s="112">
        <v>46295</v>
      </c>
      <c r="C49" s="111">
        <v>3.21</v>
      </c>
      <c r="D49" s="111"/>
    </row>
    <row r="50" spans="1:4">
      <c r="A50" s="113" t="s">
        <v>2120</v>
      </c>
      <c r="B50" s="112">
        <v>46326</v>
      </c>
      <c r="C50" s="111">
        <v>3.32</v>
      </c>
      <c r="D50" s="111"/>
    </row>
    <row r="51" spans="1:4">
      <c r="A51" s="113" t="s">
        <v>2120</v>
      </c>
      <c r="B51" s="112">
        <v>46356</v>
      </c>
      <c r="C51" s="111">
        <v>3.19</v>
      </c>
      <c r="D51" s="111"/>
    </row>
    <row r="52" spans="1:4">
      <c r="A52" s="113" t="s">
        <v>2120</v>
      </c>
      <c r="B52" s="112">
        <v>46387</v>
      </c>
      <c r="C52" s="111">
        <v>3.6</v>
      </c>
      <c r="D52" s="111"/>
    </row>
    <row r="53" spans="1:4">
      <c r="A53" s="113" t="s">
        <v>2121</v>
      </c>
      <c r="B53" s="112">
        <v>46234</v>
      </c>
      <c r="C53" s="111">
        <v>354</v>
      </c>
      <c r="D53" s="111"/>
    </row>
    <row r="54" spans="1:4">
      <c r="A54" s="113" t="s">
        <v>2121</v>
      </c>
      <c r="B54" s="112">
        <v>46265</v>
      </c>
      <c r="C54" s="111">
        <v>64</v>
      </c>
      <c r="D54" s="111"/>
    </row>
    <row r="55" spans="1:4">
      <c r="A55" s="113" t="s">
        <v>2121</v>
      </c>
      <c r="B55" s="112">
        <v>46295</v>
      </c>
      <c r="C55" s="111">
        <v>606</v>
      </c>
      <c r="D55" s="111"/>
    </row>
    <row r="56" spans="1:4">
      <c r="A56" s="113" t="s">
        <v>2121</v>
      </c>
      <c r="B56" s="112">
        <v>46326</v>
      </c>
      <c r="C56" s="111">
        <v>172</v>
      </c>
      <c r="D56" s="111"/>
    </row>
    <row r="57" spans="1:4">
      <c r="A57" s="113" t="s">
        <v>2121</v>
      </c>
      <c r="B57" s="112">
        <v>46356</v>
      </c>
      <c r="C57" s="111">
        <v>56</v>
      </c>
      <c r="D57" s="111"/>
    </row>
    <row r="58" spans="1:4">
      <c r="A58" s="113" t="s">
        <v>2121</v>
      </c>
      <c r="B58" s="112">
        <v>46387</v>
      </c>
      <c r="C58" s="111">
        <v>44</v>
      </c>
      <c r="D58" s="111"/>
    </row>
    <row r="59" spans="1:4">
      <c r="A59" s="113" t="s">
        <v>2122</v>
      </c>
      <c r="B59" s="112">
        <v>46234</v>
      </c>
      <c r="C59" s="111">
        <v>16433</v>
      </c>
      <c r="D59" s="111"/>
    </row>
    <row r="60" spans="1:4">
      <c r="A60" s="113" t="s">
        <v>2122</v>
      </c>
      <c r="B60" s="112">
        <v>46265</v>
      </c>
      <c r="C60" s="111">
        <v>18339</v>
      </c>
      <c r="D60" s="111"/>
    </row>
    <row r="61" spans="1:4">
      <c r="A61" s="113" t="s">
        <v>2122</v>
      </c>
      <c r="B61" s="112">
        <v>46295</v>
      </c>
      <c r="C61" s="111">
        <v>23761</v>
      </c>
      <c r="D61" s="111"/>
    </row>
    <row r="62" spans="1:4">
      <c r="A62" s="113" t="s">
        <v>2122</v>
      </c>
      <c r="B62" s="112">
        <v>46326</v>
      </c>
      <c r="C62" s="111">
        <v>16139</v>
      </c>
      <c r="D62" s="111"/>
    </row>
    <row r="63" spans="1:4">
      <c r="A63" s="113" t="s">
        <v>2122</v>
      </c>
      <c r="B63" s="112">
        <v>46356</v>
      </c>
      <c r="C63" s="111">
        <v>14130</v>
      </c>
      <c r="D63" s="111"/>
    </row>
    <row r="64" spans="1:4">
      <c r="A64" s="113" t="s">
        <v>2122</v>
      </c>
      <c r="B64" s="112">
        <v>46387</v>
      </c>
      <c r="C64" s="111">
        <v>8081</v>
      </c>
      <c r="D64" s="111"/>
    </row>
    <row r="65" spans="1:4">
      <c r="A65" s="113" t="s">
        <v>2123</v>
      </c>
      <c r="B65" s="112">
        <v>46234</v>
      </c>
      <c r="C65" s="111">
        <v>298</v>
      </c>
      <c r="D65" s="111"/>
    </row>
    <row r="66" spans="1:4">
      <c r="A66" s="113" t="s">
        <v>2123</v>
      </c>
      <c r="B66" s="112">
        <v>46265</v>
      </c>
      <c r="C66" s="111">
        <v>172</v>
      </c>
      <c r="D66" s="111"/>
    </row>
    <row r="67" spans="1:4">
      <c r="A67" s="113" t="s">
        <v>2123</v>
      </c>
      <c r="B67" s="112">
        <v>46295</v>
      </c>
      <c r="C67" s="111">
        <v>351</v>
      </c>
      <c r="D67" s="111"/>
    </row>
    <row r="68" spans="1:4">
      <c r="A68" s="113" t="s">
        <v>2123</v>
      </c>
      <c r="B68" s="112">
        <v>46326</v>
      </c>
      <c r="C68" s="111">
        <v>235</v>
      </c>
      <c r="D68" s="111"/>
    </row>
    <row r="69" spans="1:4">
      <c r="A69" s="113" t="s">
        <v>2123</v>
      </c>
      <c r="B69" s="112">
        <v>46356</v>
      </c>
      <c r="C69" s="111">
        <v>196</v>
      </c>
      <c r="D69" s="111"/>
    </row>
    <row r="70" spans="1:4">
      <c r="A70" s="113" t="s">
        <v>2123</v>
      </c>
      <c r="B70" s="112">
        <v>46387</v>
      </c>
      <c r="C70" s="111">
        <v>455</v>
      </c>
      <c r="D70" s="111"/>
    </row>
    <row r="71" spans="1:4">
      <c r="A71" s="113" t="s">
        <v>2124</v>
      </c>
      <c r="B71" s="112">
        <v>46234</v>
      </c>
      <c r="C71" s="111">
        <v>0.84</v>
      </c>
      <c r="D71" s="111"/>
    </row>
    <row r="72" spans="1:4">
      <c r="A72" s="113" t="s">
        <v>2124</v>
      </c>
      <c r="B72" s="112">
        <v>46265</v>
      </c>
      <c r="C72" s="111">
        <v>1.01</v>
      </c>
      <c r="D72" s="111"/>
    </row>
    <row r="73" spans="1:4">
      <c r="A73" s="113" t="s">
        <v>2124</v>
      </c>
      <c r="B73" s="112">
        <v>46295</v>
      </c>
      <c r="C73" s="111">
        <v>1.42</v>
      </c>
      <c r="D73" s="111"/>
    </row>
    <row r="74" spans="1:4">
      <c r="A74" s="113" t="s">
        <v>2124</v>
      </c>
      <c r="B74" s="112">
        <v>46326</v>
      </c>
      <c r="C74" s="111">
        <v>1.1299999999999999</v>
      </c>
      <c r="D74" s="111"/>
    </row>
    <row r="75" spans="1:4">
      <c r="A75" s="113" t="s">
        <v>2124</v>
      </c>
      <c r="B75" s="112">
        <v>46356</v>
      </c>
      <c r="C75" s="111">
        <v>1.68</v>
      </c>
      <c r="D75" s="111"/>
    </row>
    <row r="76" spans="1:4">
      <c r="A76" s="113" t="s">
        <v>2124</v>
      </c>
      <c r="B76" s="112">
        <v>46387</v>
      </c>
      <c r="C76" s="111">
        <v>1.17</v>
      </c>
      <c r="D76" s="111"/>
    </row>
    <row r="77" spans="1:4">
      <c r="A77" s="113" t="s">
        <v>2125</v>
      </c>
      <c r="B77" s="112">
        <v>46234</v>
      </c>
      <c r="C77" s="111">
        <v>4</v>
      </c>
      <c r="D77" s="111"/>
    </row>
    <row r="78" spans="1:4">
      <c r="A78" s="113" t="s">
        <v>2125</v>
      </c>
      <c r="B78" s="112">
        <v>46265</v>
      </c>
      <c r="C78" s="111">
        <v>2.7</v>
      </c>
      <c r="D78" s="111"/>
    </row>
    <row r="79" spans="1:4">
      <c r="A79" s="113" t="s">
        <v>2125</v>
      </c>
      <c r="B79" s="112">
        <v>46295</v>
      </c>
      <c r="C79" s="111">
        <v>3.21</v>
      </c>
      <c r="D79" s="111"/>
    </row>
    <row r="80" spans="1:4">
      <c r="A80" s="113" t="s">
        <v>2125</v>
      </c>
      <c r="B80" s="112">
        <v>46326</v>
      </c>
      <c r="C80" s="111">
        <v>2.54</v>
      </c>
      <c r="D80" s="111"/>
    </row>
    <row r="81" spans="1:4">
      <c r="A81" s="113" t="s">
        <v>2125</v>
      </c>
      <c r="B81" s="112">
        <v>46356</v>
      </c>
      <c r="C81" s="111">
        <v>2.79</v>
      </c>
      <c r="D81" s="111"/>
    </row>
    <row r="82" spans="1:4">
      <c r="A82" s="113" t="s">
        <v>2125</v>
      </c>
      <c r="B82" s="112">
        <v>46387</v>
      </c>
      <c r="C82" s="111">
        <v>3.72</v>
      </c>
      <c r="D82" s="111"/>
    </row>
    <row r="83" spans="1:4">
      <c r="A83" s="113" t="s">
        <v>2126</v>
      </c>
      <c r="B83" s="112">
        <v>46234</v>
      </c>
      <c r="C83" s="111">
        <v>156</v>
      </c>
      <c r="D83" s="111"/>
    </row>
    <row r="84" spans="1:4">
      <c r="A84" s="113" t="s">
        <v>2126</v>
      </c>
      <c r="B84" s="112">
        <v>46265</v>
      </c>
      <c r="C84" s="111">
        <v>146</v>
      </c>
      <c r="D84" s="111"/>
    </row>
    <row r="85" spans="1:4">
      <c r="A85" s="113" t="s">
        <v>2126</v>
      </c>
      <c r="B85" s="112">
        <v>46295</v>
      </c>
      <c r="C85" s="111">
        <v>542</v>
      </c>
      <c r="D85" s="111"/>
    </row>
    <row r="86" spans="1:4">
      <c r="A86" s="113" t="s">
        <v>2126</v>
      </c>
      <c r="B86" s="112">
        <v>46326</v>
      </c>
      <c r="C86" s="111">
        <v>429</v>
      </c>
      <c r="D86" s="111"/>
    </row>
    <row r="87" spans="1:4">
      <c r="A87" s="113" t="s">
        <v>2126</v>
      </c>
      <c r="B87" s="112">
        <v>46356</v>
      </c>
      <c r="C87" s="111">
        <v>323</v>
      </c>
      <c r="D87" s="111"/>
    </row>
    <row r="88" spans="1:4">
      <c r="A88" s="113" t="s">
        <v>2126</v>
      </c>
      <c r="B88" s="112">
        <v>46387</v>
      </c>
      <c r="C88" s="111">
        <v>622</v>
      </c>
      <c r="D88" s="111"/>
    </row>
    <row r="89" spans="1:4">
      <c r="A89" s="113" t="s">
        <v>2127</v>
      </c>
      <c r="B89" s="112">
        <v>46234</v>
      </c>
      <c r="C89" s="111">
        <v>3.13</v>
      </c>
      <c r="D89" s="111"/>
    </row>
    <row r="90" spans="1:4">
      <c r="A90" s="113" t="s">
        <v>2127</v>
      </c>
      <c r="B90" s="112">
        <v>46265</v>
      </c>
      <c r="C90" s="111">
        <v>3.19</v>
      </c>
      <c r="D90" s="111"/>
    </row>
    <row r="91" spans="1:4">
      <c r="A91" s="113" t="s">
        <v>2127</v>
      </c>
      <c r="B91" s="112">
        <v>46295</v>
      </c>
      <c r="C91" s="111">
        <v>4.2300000000000004</v>
      </c>
      <c r="D91" s="111"/>
    </row>
    <row r="92" spans="1:4">
      <c r="A92" s="113" t="s">
        <v>2127</v>
      </c>
      <c r="B92" s="112">
        <v>46326</v>
      </c>
      <c r="C92" s="111">
        <v>4.49</v>
      </c>
      <c r="D92" s="111"/>
    </row>
    <row r="93" spans="1:4">
      <c r="A93" s="113" t="s">
        <v>2127</v>
      </c>
      <c r="B93" s="112">
        <v>46356</v>
      </c>
      <c r="C93" s="111">
        <v>4.4400000000000004</v>
      </c>
      <c r="D93" s="111"/>
    </row>
    <row r="94" spans="1:4">
      <c r="A94" s="113" t="s">
        <v>2127</v>
      </c>
      <c r="B94" s="112">
        <v>46387</v>
      </c>
      <c r="C94" s="111">
        <v>3.18</v>
      </c>
      <c r="D94" s="111"/>
    </row>
    <row r="95" spans="1:4">
      <c r="A95" s="113" t="s">
        <v>2128</v>
      </c>
      <c r="B95" s="112">
        <v>46234</v>
      </c>
      <c r="C95" s="111">
        <v>2.73</v>
      </c>
      <c r="D95" s="111"/>
    </row>
    <row r="96" spans="1:4">
      <c r="A96" s="113" t="s">
        <v>2128</v>
      </c>
      <c r="B96" s="112">
        <v>46265</v>
      </c>
      <c r="C96" s="111">
        <v>2.72</v>
      </c>
      <c r="D96" s="111"/>
    </row>
    <row r="97" spans="1:4">
      <c r="A97" s="113" t="s">
        <v>2128</v>
      </c>
      <c r="B97" s="112">
        <v>46295</v>
      </c>
      <c r="C97" s="111">
        <v>3.04</v>
      </c>
      <c r="D97" s="111"/>
    </row>
    <row r="98" spans="1:4">
      <c r="A98" s="113" t="s">
        <v>2128</v>
      </c>
      <c r="B98" s="112">
        <v>46326</v>
      </c>
      <c r="C98" s="111">
        <v>2.94</v>
      </c>
      <c r="D98" s="111"/>
    </row>
    <row r="99" spans="1:4">
      <c r="A99" s="113" t="s">
        <v>2128</v>
      </c>
      <c r="B99" s="112">
        <v>46356</v>
      </c>
      <c r="C99" s="111">
        <v>2.79</v>
      </c>
      <c r="D99" s="111"/>
    </row>
    <row r="100" spans="1:4">
      <c r="A100" s="113" t="s">
        <v>2128</v>
      </c>
      <c r="B100" s="112">
        <v>46387</v>
      </c>
      <c r="C100" s="111">
        <v>2.71</v>
      </c>
      <c r="D100" s="111"/>
    </row>
    <row r="101" spans="1:4">
      <c r="A101" s="113" t="s">
        <v>2129</v>
      </c>
      <c r="B101" s="112">
        <v>46234</v>
      </c>
      <c r="C101" s="111">
        <v>7.7</v>
      </c>
      <c r="D101" s="111"/>
    </row>
    <row r="102" spans="1:4">
      <c r="A102" s="113" t="s">
        <v>2129</v>
      </c>
      <c r="B102" s="112">
        <v>46265</v>
      </c>
      <c r="C102" s="111">
        <v>12.5</v>
      </c>
      <c r="D102" s="111"/>
    </row>
    <row r="103" spans="1:4">
      <c r="A103" s="113" t="s">
        <v>2129</v>
      </c>
      <c r="B103" s="112">
        <v>46295</v>
      </c>
      <c r="C103" s="111">
        <v>14.3</v>
      </c>
      <c r="D103" s="111"/>
    </row>
    <row r="104" spans="1:4">
      <c r="A104" s="113" t="s">
        <v>2129</v>
      </c>
      <c r="B104" s="112">
        <v>46326</v>
      </c>
      <c r="C104" s="111">
        <v>17.600000000000001</v>
      </c>
      <c r="D104" s="111"/>
    </row>
    <row r="105" spans="1:4">
      <c r="A105" s="113" t="s">
        <v>2129</v>
      </c>
      <c r="B105" s="112">
        <v>46356</v>
      </c>
      <c r="C105" s="111">
        <v>50</v>
      </c>
      <c r="D105" s="111"/>
    </row>
    <row r="106" spans="1:4">
      <c r="A106" s="113" t="s">
        <v>2129</v>
      </c>
      <c r="B106" s="112">
        <v>46387</v>
      </c>
      <c r="C106" s="111">
        <v>50</v>
      </c>
      <c r="D106" s="111"/>
    </row>
    <row r="107" spans="1:4">
      <c r="A107" s="113" t="s">
        <v>2130</v>
      </c>
      <c r="B107" s="112">
        <v>46234</v>
      </c>
      <c r="C107" s="111">
        <v>3</v>
      </c>
      <c r="D107" s="111"/>
    </row>
    <row r="108" spans="1:4">
      <c r="A108" s="113" t="s">
        <v>2130</v>
      </c>
      <c r="B108" s="112">
        <v>46265</v>
      </c>
      <c r="C108" s="111">
        <v>1</v>
      </c>
      <c r="D108" s="111"/>
    </row>
    <row r="109" spans="1:4">
      <c r="A109" s="113" t="s">
        <v>2130</v>
      </c>
      <c r="B109" s="112">
        <v>46295</v>
      </c>
      <c r="C109" s="111">
        <v>2</v>
      </c>
      <c r="D109" s="111"/>
    </row>
    <row r="110" spans="1:4">
      <c r="A110" s="113" t="s">
        <v>2130</v>
      </c>
      <c r="B110" s="112">
        <v>46326</v>
      </c>
      <c r="C110" s="111">
        <v>5</v>
      </c>
      <c r="D110" s="111"/>
    </row>
    <row r="111" spans="1:4">
      <c r="A111" s="113" t="s">
        <v>2130</v>
      </c>
      <c r="B111" s="112">
        <v>46356</v>
      </c>
      <c r="C111" s="111">
        <v>6</v>
      </c>
      <c r="D111" s="111"/>
    </row>
    <row r="112" spans="1:4">
      <c r="A112" s="113" t="s">
        <v>2130</v>
      </c>
      <c r="B112" s="112">
        <v>46387</v>
      </c>
      <c r="C112" s="111">
        <v>4</v>
      </c>
      <c r="D112" s="111"/>
    </row>
    <row r="113" spans="1:4">
      <c r="A113" s="113" t="s">
        <v>2131</v>
      </c>
      <c r="B113" s="112">
        <v>46234</v>
      </c>
      <c r="C113" s="111">
        <v>7.8</v>
      </c>
      <c r="D113" s="111"/>
    </row>
    <row r="114" spans="1:4">
      <c r="A114" s="113" t="s">
        <v>2131</v>
      </c>
      <c r="B114" s="112">
        <v>46265</v>
      </c>
      <c r="C114" s="111">
        <v>5.6</v>
      </c>
      <c r="D114" s="111"/>
    </row>
    <row r="115" spans="1:4">
      <c r="A115" s="113" t="s">
        <v>2131</v>
      </c>
      <c r="B115" s="112">
        <v>46295</v>
      </c>
      <c r="C115" s="111">
        <v>7.1</v>
      </c>
      <c r="D115" s="111"/>
    </row>
    <row r="116" spans="1:4">
      <c r="A116" s="113" t="s">
        <v>2131</v>
      </c>
      <c r="B116" s="112">
        <v>46326</v>
      </c>
      <c r="C116" s="111">
        <v>11.3</v>
      </c>
      <c r="D116" s="111"/>
    </row>
    <row r="117" spans="1:4">
      <c r="A117" s="113" t="s">
        <v>2131</v>
      </c>
      <c r="B117" s="112">
        <v>46356</v>
      </c>
      <c r="C117" s="111">
        <v>12.5</v>
      </c>
      <c r="D117" s="111"/>
    </row>
    <row r="118" spans="1:4">
      <c r="A118" s="113" t="s">
        <v>2131</v>
      </c>
      <c r="B118" s="112">
        <v>46387</v>
      </c>
      <c r="C118" s="111">
        <v>9.5</v>
      </c>
      <c r="D118" s="111"/>
    </row>
    <row r="119" spans="1:4">
      <c r="A119" s="113" t="s">
        <v>2132</v>
      </c>
      <c r="B119" s="112">
        <v>46234</v>
      </c>
      <c r="C119" s="111">
        <v>174</v>
      </c>
      <c r="D119" s="111"/>
    </row>
    <row r="120" spans="1:4">
      <c r="A120" s="113" t="s">
        <v>2132</v>
      </c>
      <c r="B120" s="112">
        <v>46265</v>
      </c>
      <c r="C120" s="111">
        <v>145</v>
      </c>
      <c r="D120" s="111"/>
    </row>
    <row r="121" spans="1:4">
      <c r="A121" s="113" t="s">
        <v>2132</v>
      </c>
      <c r="B121" s="112">
        <v>46295</v>
      </c>
      <c r="C121" s="111">
        <v>181</v>
      </c>
      <c r="D121" s="111"/>
    </row>
    <row r="122" spans="1:4">
      <c r="A122" s="113" t="s">
        <v>2132</v>
      </c>
      <c r="B122" s="112">
        <v>46326</v>
      </c>
      <c r="C122" s="111">
        <v>157</v>
      </c>
      <c r="D122" s="111"/>
    </row>
    <row r="123" spans="1:4">
      <c r="A123" s="113" t="s">
        <v>2132</v>
      </c>
      <c r="B123" s="112">
        <v>46356</v>
      </c>
      <c r="C123" s="111">
        <v>139</v>
      </c>
      <c r="D123" s="111"/>
    </row>
    <row r="124" spans="1:4">
      <c r="A124" s="113" t="s">
        <v>2132</v>
      </c>
      <c r="B124" s="112">
        <v>46387</v>
      </c>
      <c r="C124" s="111">
        <v>155</v>
      </c>
      <c r="D124" s="111"/>
    </row>
    <row r="125" spans="1:4">
      <c r="A125" s="113" t="s">
        <v>2133</v>
      </c>
      <c r="B125" s="112">
        <v>46234</v>
      </c>
      <c r="C125" s="111">
        <v>4.53</v>
      </c>
      <c r="D125" s="111"/>
    </row>
    <row r="126" spans="1:4">
      <c r="A126" s="113" t="s">
        <v>2133</v>
      </c>
      <c r="B126" s="112">
        <v>46265</v>
      </c>
      <c r="C126" s="111">
        <v>3.77</v>
      </c>
      <c r="D126" s="111"/>
    </row>
    <row r="127" spans="1:4">
      <c r="A127" s="113" t="s">
        <v>2133</v>
      </c>
      <c r="B127" s="112">
        <v>46295</v>
      </c>
      <c r="C127" s="111">
        <v>7.61</v>
      </c>
      <c r="D127" s="111"/>
    </row>
    <row r="128" spans="1:4">
      <c r="A128" s="113" t="s">
        <v>2133</v>
      </c>
      <c r="B128" s="112">
        <v>46326</v>
      </c>
      <c r="C128" s="111">
        <v>4.22</v>
      </c>
      <c r="D128" s="111"/>
    </row>
    <row r="129" spans="1:4">
      <c r="A129" s="113" t="s">
        <v>2133</v>
      </c>
      <c r="B129" s="112">
        <v>46356</v>
      </c>
      <c r="C129" s="111">
        <v>4.58</v>
      </c>
      <c r="D129" s="111"/>
    </row>
    <row r="130" spans="1:4">
      <c r="A130" s="113" t="s">
        <v>2133</v>
      </c>
      <c r="B130" s="112">
        <v>46387</v>
      </c>
      <c r="C130" s="111">
        <v>4.9000000000000004</v>
      </c>
      <c r="D130" s="111"/>
    </row>
    <row r="131" spans="1:4">
      <c r="A131" s="113" t="s">
        <v>2134</v>
      </c>
      <c r="B131" s="112">
        <v>46234</v>
      </c>
      <c r="C131" s="111">
        <v>74.7</v>
      </c>
      <c r="D131" s="111"/>
    </row>
    <row r="132" spans="1:4">
      <c r="A132" s="113" t="s">
        <v>2134</v>
      </c>
      <c r="B132" s="112">
        <v>46265</v>
      </c>
      <c r="C132" s="111">
        <v>74.5</v>
      </c>
      <c r="D132" s="111"/>
    </row>
    <row r="133" spans="1:4">
      <c r="A133" s="113" t="s">
        <v>2134</v>
      </c>
      <c r="B133" s="112">
        <v>46295</v>
      </c>
      <c r="C133" s="111">
        <v>73.400000000000006</v>
      </c>
      <c r="D133" s="111"/>
    </row>
    <row r="134" spans="1:4">
      <c r="A134" s="113" t="s">
        <v>2134</v>
      </c>
      <c r="B134" s="112">
        <v>46326</v>
      </c>
      <c r="C134" s="111">
        <v>75.3</v>
      </c>
      <c r="D134" s="111"/>
    </row>
    <row r="135" spans="1:4">
      <c r="A135" s="113" t="s">
        <v>2134</v>
      </c>
      <c r="B135" s="112">
        <v>46356</v>
      </c>
      <c r="C135" s="111">
        <v>75.599999999999994</v>
      </c>
      <c r="D135" s="111"/>
    </row>
    <row r="136" spans="1:4">
      <c r="A136" s="113" t="s">
        <v>2134</v>
      </c>
      <c r="B136" s="112">
        <v>46387</v>
      </c>
      <c r="C136" s="111">
        <v>75.599999999999994</v>
      </c>
      <c r="D136" s="111"/>
    </row>
    <row r="137" spans="1:4">
      <c r="A137" s="113" t="s">
        <v>2135</v>
      </c>
      <c r="B137" s="112">
        <v>46234</v>
      </c>
      <c r="C137" s="111">
        <v>132</v>
      </c>
      <c r="D137" s="111"/>
    </row>
    <row r="138" spans="1:4">
      <c r="A138" s="113" t="s">
        <v>2135</v>
      </c>
      <c r="B138" s="112">
        <v>46265</v>
      </c>
      <c r="C138" s="111">
        <v>144</v>
      </c>
      <c r="D138" s="111"/>
    </row>
    <row r="139" spans="1:4">
      <c r="A139" s="113" t="s">
        <v>2135</v>
      </c>
      <c r="B139" s="112">
        <v>46295</v>
      </c>
      <c r="C139" s="111">
        <v>151</v>
      </c>
      <c r="D139" s="111"/>
    </row>
    <row r="140" spans="1:4">
      <c r="A140" s="113" t="s">
        <v>2135</v>
      </c>
      <c r="B140" s="112">
        <v>46326</v>
      </c>
      <c r="C140" s="111">
        <v>165</v>
      </c>
      <c r="D140" s="111"/>
    </row>
    <row r="141" spans="1:4">
      <c r="A141" s="113" t="s">
        <v>2135</v>
      </c>
      <c r="B141" s="112">
        <v>46356</v>
      </c>
      <c r="C141" s="111">
        <v>175</v>
      </c>
      <c r="D141" s="111"/>
    </row>
    <row r="142" spans="1:4">
      <c r="A142" s="113" t="s">
        <v>2135</v>
      </c>
      <c r="B142" s="112">
        <v>46387</v>
      </c>
      <c r="C142" s="111">
        <v>191</v>
      </c>
      <c r="D142" s="111"/>
    </row>
    <row r="143" spans="1:4">
      <c r="A143" s="113" t="s">
        <v>2136</v>
      </c>
      <c r="B143" s="112">
        <v>46234</v>
      </c>
      <c r="C143" s="111">
        <v>3</v>
      </c>
      <c r="D143" s="111"/>
    </row>
    <row r="144" spans="1:4">
      <c r="A144" s="113" t="s">
        <v>2136</v>
      </c>
      <c r="B144" s="112">
        <v>46265</v>
      </c>
      <c r="C144" s="111">
        <v>2</v>
      </c>
      <c r="D144" s="111"/>
    </row>
    <row r="145" spans="1:4">
      <c r="A145" s="113" t="s">
        <v>2136</v>
      </c>
      <c r="B145" s="112">
        <v>46295</v>
      </c>
      <c r="C145" s="111">
        <v>4</v>
      </c>
      <c r="D145" s="111"/>
    </row>
    <row r="146" spans="1:4">
      <c r="A146" s="113" t="s">
        <v>2136</v>
      </c>
      <c r="B146" s="112">
        <v>46326</v>
      </c>
      <c r="C146" s="111">
        <v>3</v>
      </c>
      <c r="D146" s="111"/>
    </row>
    <row r="147" spans="1:4">
      <c r="A147" s="113" t="s">
        <v>2136</v>
      </c>
      <c r="B147" s="112">
        <v>46356</v>
      </c>
      <c r="C147" s="111">
        <v>5</v>
      </c>
      <c r="D147" s="111"/>
    </row>
    <row r="148" spans="1:4">
      <c r="A148" s="113" t="s">
        <v>2136</v>
      </c>
      <c r="B148" s="112">
        <v>46387</v>
      </c>
      <c r="C148" s="111">
        <v>3</v>
      </c>
      <c r="D148" s="111"/>
    </row>
    <row r="149" spans="1:4">
      <c r="A149" s="113" t="s">
        <v>2137</v>
      </c>
      <c r="B149" s="112">
        <v>46234</v>
      </c>
      <c r="C149" s="111">
        <v>143</v>
      </c>
      <c r="D149" s="111"/>
    </row>
    <row r="150" spans="1:4">
      <c r="A150" s="113" t="s">
        <v>2137</v>
      </c>
      <c r="B150" s="112">
        <v>46265</v>
      </c>
      <c r="C150" s="111">
        <v>128</v>
      </c>
      <c r="D150" s="111"/>
    </row>
    <row r="151" spans="1:4">
      <c r="A151" s="113" t="s">
        <v>2137</v>
      </c>
      <c r="B151" s="112">
        <v>46295</v>
      </c>
      <c r="C151" s="111">
        <v>161</v>
      </c>
      <c r="D151" s="111"/>
    </row>
    <row r="152" spans="1:4">
      <c r="A152" s="113" t="s">
        <v>2137</v>
      </c>
      <c r="B152" s="112">
        <v>46326</v>
      </c>
      <c r="C152" s="111">
        <v>133</v>
      </c>
      <c r="D152" s="111"/>
    </row>
    <row r="153" spans="1:4">
      <c r="A153" s="113" t="s">
        <v>2137</v>
      </c>
      <c r="B153" s="112">
        <v>46356</v>
      </c>
      <c r="C153" s="111">
        <v>131</v>
      </c>
      <c r="D153" s="111"/>
    </row>
    <row r="154" spans="1:4">
      <c r="A154" s="113" t="s">
        <v>2137</v>
      </c>
      <c r="B154" s="112">
        <v>46387</v>
      </c>
      <c r="C154" s="111">
        <v>155</v>
      </c>
      <c r="D154" s="111"/>
    </row>
    <row r="155" spans="1:4">
      <c r="A155" s="113" t="s">
        <v>2138</v>
      </c>
      <c r="B155" s="112">
        <v>46234</v>
      </c>
      <c r="C155" s="111">
        <v>156</v>
      </c>
      <c r="D155" s="111"/>
    </row>
    <row r="156" spans="1:4">
      <c r="A156" s="113" t="s">
        <v>2138</v>
      </c>
      <c r="B156" s="112">
        <v>46265</v>
      </c>
      <c r="C156" s="111">
        <v>201</v>
      </c>
      <c r="D156" s="111"/>
    </row>
    <row r="157" spans="1:4">
      <c r="A157" s="113" t="s">
        <v>2138</v>
      </c>
      <c r="B157" s="112">
        <v>46295</v>
      </c>
      <c r="C157" s="111">
        <v>203</v>
      </c>
      <c r="D157" s="111"/>
    </row>
    <row r="158" spans="1:4">
      <c r="A158" s="113" t="s">
        <v>2138</v>
      </c>
      <c r="B158" s="112">
        <v>46326</v>
      </c>
      <c r="C158" s="111">
        <v>193</v>
      </c>
      <c r="D158" s="111"/>
    </row>
    <row r="159" spans="1:4">
      <c r="A159" s="113" t="s">
        <v>2138</v>
      </c>
      <c r="B159" s="112">
        <v>46356</v>
      </c>
      <c r="C159" s="111">
        <v>202</v>
      </c>
      <c r="D159" s="111"/>
    </row>
    <row r="160" spans="1:4">
      <c r="A160" s="113" t="s">
        <v>2138</v>
      </c>
      <c r="B160" s="112">
        <v>46387</v>
      </c>
      <c r="C160" s="111">
        <v>189</v>
      </c>
      <c r="D160" s="111"/>
    </row>
    <row r="161" spans="1:4">
      <c r="A161" s="113" t="s">
        <v>2139</v>
      </c>
      <c r="B161" s="112">
        <v>46234</v>
      </c>
      <c r="C161" s="111">
        <v>2.35</v>
      </c>
      <c r="D161" s="111"/>
    </row>
    <row r="162" spans="1:4">
      <c r="A162" s="113" t="s">
        <v>2139</v>
      </c>
      <c r="B162" s="112">
        <v>46265</v>
      </c>
      <c r="C162" s="111">
        <v>2.34</v>
      </c>
      <c r="D162" s="111"/>
    </row>
    <row r="163" spans="1:4">
      <c r="A163" s="113" t="s">
        <v>2139</v>
      </c>
      <c r="B163" s="112">
        <v>46295</v>
      </c>
      <c r="C163" s="111">
        <v>2.5299999999999998</v>
      </c>
      <c r="D163" s="111"/>
    </row>
    <row r="164" spans="1:4">
      <c r="A164" s="113" t="s">
        <v>2139</v>
      </c>
      <c r="B164" s="112">
        <v>46326</v>
      </c>
      <c r="C164" s="111">
        <v>2.4300000000000002</v>
      </c>
      <c r="D164" s="111"/>
    </row>
    <row r="165" spans="1:4">
      <c r="A165" s="113" t="s">
        <v>2139</v>
      </c>
      <c r="B165" s="112">
        <v>46356</v>
      </c>
      <c r="C165" s="111">
        <v>2.42</v>
      </c>
      <c r="D165" s="111"/>
    </row>
    <row r="166" spans="1:4">
      <c r="A166" s="113" t="s">
        <v>2139</v>
      </c>
      <c r="B166" s="112">
        <v>46387</v>
      </c>
      <c r="C166" s="111">
        <v>2.36</v>
      </c>
      <c r="D166" s="111"/>
    </row>
  </sheetData>
  <mergeCells count="2">
    <mergeCell ref="A1:D1"/>
    <mergeCell ref="A2:D2"/>
  </mergeCells>
  <dataValidations count="1">
    <dataValidation type="list" allowBlank="1" showInputMessage="1" showErrorMessage="1" sqref="A5:A166" xr:uid="{F6FA32F4-2262-4895-AF47-DBC82D8305FD}">
      <formula1>KriChaves</formula1>
    </dataValidation>
  </dataValidation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2C83"/>
    <pageSetUpPr fitToPage="1"/>
  </sheetPr>
  <dimension ref="A1:N86"/>
  <sheetViews>
    <sheetView showGridLines="0" zoomScaleNormal="100" workbookViewId="0">
      <pane xSplit="3" ySplit="6" topLeftCell="D44" activePane="bottomRight" state="frozen"/>
      <selection activeCell="E8" sqref="E8:H8"/>
      <selection pane="topRight" activeCell="E8" sqref="E8:H8"/>
      <selection pane="bottomLeft" activeCell="E8" sqref="E8:H8"/>
      <selection pane="bottomRight" activeCell="E8" sqref="E8:H8"/>
    </sheetView>
  </sheetViews>
  <sheetFormatPr defaultColWidth="8.6640625" defaultRowHeight="14.4"/>
  <cols>
    <col min="1" max="1" width="17.33203125" customWidth="1"/>
    <col min="2" max="2" width="30" customWidth="1"/>
    <col min="3" max="3" width="13" customWidth="1"/>
    <col min="4" max="4" width="38.77734375" customWidth="1"/>
    <col min="5" max="5" width="34" customWidth="1"/>
    <col min="6" max="6" width="21" customWidth="1"/>
    <col min="7" max="7" width="12" customWidth="1"/>
    <col min="8" max="8" width="48.5546875" customWidth="1"/>
    <col min="9" max="9" width="30" customWidth="1"/>
    <col min="10" max="10" width="18" customWidth="1"/>
    <col min="11" max="11" width="26" customWidth="1"/>
    <col min="12" max="12" width="45.88671875" customWidth="1"/>
    <col min="13" max="13" width="16.88671875" customWidth="1"/>
    <col min="14" max="14" width="17" customWidth="1"/>
  </cols>
  <sheetData>
    <row r="1" spans="1:14" ht="25.5" customHeight="1">
      <c r="A1" s="244" t="s">
        <v>331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</row>
    <row r="2" spans="1:14" ht="30" customHeight="1">
      <c r="A2" s="237" t="s">
        <v>2107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4" spans="1:14" ht="15" customHeight="1">
      <c r="A4" s="245" t="s">
        <v>332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</row>
    <row r="6" spans="1:14" ht="54" customHeight="1">
      <c r="A6" s="146" t="s">
        <v>333</v>
      </c>
      <c r="B6" s="147" t="s">
        <v>334</v>
      </c>
      <c r="C6" s="147" t="s">
        <v>335</v>
      </c>
      <c r="D6" s="147" t="s">
        <v>336</v>
      </c>
      <c r="E6" s="147" t="s">
        <v>337</v>
      </c>
      <c r="F6" s="147" t="s">
        <v>338</v>
      </c>
      <c r="G6" s="147" t="s">
        <v>339</v>
      </c>
      <c r="H6" s="147" t="s">
        <v>340</v>
      </c>
      <c r="I6" s="147" t="s">
        <v>341</v>
      </c>
      <c r="J6" s="147" t="s">
        <v>342</v>
      </c>
      <c r="K6" s="147" t="s">
        <v>343</v>
      </c>
      <c r="L6" s="147" t="s">
        <v>344</v>
      </c>
      <c r="M6" s="147" t="s">
        <v>345</v>
      </c>
      <c r="N6" s="148" t="s">
        <v>346</v>
      </c>
    </row>
    <row r="7" spans="1:14" ht="30.6">
      <c r="A7" s="115" t="s">
        <v>61</v>
      </c>
      <c r="B7" s="41" t="str">
        <f>IF($A7="","",IFERROR(INDEX(Riscos!$C$5:$C$154,MATCH($A7,Riscos!$A$5:$A$154,0)),IFERROR(INDEX(Oportunidades!$C$5:$C$154,MATCH($A7,Oportunidades!$A$5:$A$154,0)),"ID não encontrado")))</f>
        <v>Instabilidade da espessura de parede na ISBM-003 gera frascos fora de especificação e lotes rejeitados/refeitos</v>
      </c>
      <c r="C7" s="12" t="s">
        <v>347</v>
      </c>
      <c r="D7" s="13" t="s">
        <v>1314</v>
      </c>
      <c r="E7" s="13" t="s">
        <v>1315</v>
      </c>
      <c r="F7" s="13" t="s">
        <v>351</v>
      </c>
      <c r="G7" s="12" t="s">
        <v>71</v>
      </c>
      <c r="H7" s="13" t="s">
        <v>1316</v>
      </c>
      <c r="I7" s="13" t="s">
        <v>1317</v>
      </c>
      <c r="J7" s="13" t="s">
        <v>103</v>
      </c>
      <c r="K7" s="13" t="s">
        <v>1318</v>
      </c>
      <c r="L7" s="13" t="s">
        <v>1319</v>
      </c>
      <c r="M7" s="16">
        <v>46366</v>
      </c>
      <c r="N7" s="145" t="str">
        <f t="shared" ref="N7:N38" ca="1" si="0">IF($E7="","",IF($M7="","Sem verificação",IF(TODAY()-$M7&gt;365,"Verificação vencida","OK")))</f>
        <v>OK</v>
      </c>
    </row>
    <row r="8" spans="1:14" ht="30.6">
      <c r="A8" s="115" t="s">
        <v>61</v>
      </c>
      <c r="B8" s="41" t="str">
        <f>IF($A8="","",IFERROR(INDEX(Riscos!$C$5:$C$154,MATCH($A8,Riscos!$A$5:$A$154,0)),IFERROR(INDEX(Oportunidades!$C$5:$C$154,MATCH($A8,Oportunidades!$A$5:$A$154,0)),"ID não encontrado")))</f>
        <v>Instabilidade da espessura de parede na ISBM-003 gera frascos fora de especificação e lotes rejeitados/refeitos</v>
      </c>
      <c r="C8" s="12" t="s">
        <v>347</v>
      </c>
      <c r="D8" s="13" t="s">
        <v>1320</v>
      </c>
      <c r="E8" s="13" t="s">
        <v>1321</v>
      </c>
      <c r="F8" s="13" t="s">
        <v>73</v>
      </c>
      <c r="G8" s="12" t="s">
        <v>348</v>
      </c>
      <c r="H8" s="13" t="s">
        <v>1322</v>
      </c>
      <c r="I8" s="13" t="s">
        <v>1323</v>
      </c>
      <c r="J8" s="13" t="s">
        <v>84</v>
      </c>
      <c r="K8" s="13" t="s">
        <v>1324</v>
      </c>
      <c r="L8" s="13" t="s">
        <v>76</v>
      </c>
      <c r="M8" s="16"/>
      <c r="N8" s="145" t="str">
        <f t="shared" ca="1" si="0"/>
        <v>Sem verificação</v>
      </c>
    </row>
    <row r="9" spans="1:14" ht="30.6">
      <c r="A9" s="115" t="s">
        <v>61</v>
      </c>
      <c r="B9" s="41" t="str">
        <f>IF($A9="","",IFERROR(INDEX(Riscos!$C$5:$C$154,MATCH($A9,Riscos!$A$5:$A$154,0)),IFERROR(INDEX(Oportunidades!$C$5:$C$154,MATCH($A9,Oportunidades!$A$5:$A$154,0)),"ID não encontrado")))</f>
        <v>Instabilidade da espessura de parede na ISBM-003 gera frascos fora de especificação e lotes rejeitados/refeitos</v>
      </c>
      <c r="C9" s="12" t="s">
        <v>349</v>
      </c>
      <c r="D9" s="13" t="s">
        <v>1325</v>
      </c>
      <c r="E9" s="13" t="s">
        <v>1326</v>
      </c>
      <c r="F9" s="13" t="s">
        <v>350</v>
      </c>
      <c r="G9" s="12" t="s">
        <v>71</v>
      </c>
      <c r="H9" s="13" t="s">
        <v>1327</v>
      </c>
      <c r="I9" s="13" t="s">
        <v>1328</v>
      </c>
      <c r="J9" s="13" t="s">
        <v>103</v>
      </c>
      <c r="K9" s="13" t="s">
        <v>1329</v>
      </c>
      <c r="L9" s="13" t="s">
        <v>1330</v>
      </c>
      <c r="M9" s="16">
        <v>46366</v>
      </c>
      <c r="N9" s="145" t="str">
        <f t="shared" ca="1" si="0"/>
        <v>OK</v>
      </c>
    </row>
    <row r="10" spans="1:14" ht="30.6">
      <c r="A10" s="115" t="s">
        <v>88</v>
      </c>
      <c r="B10" s="41" t="str">
        <f>IF($A10="","",IFERROR(INDEX(Riscos!$C$5:$C$154,MATCH($A10,Riscos!$A$5:$A$154,0)),IFERROR(INDEX(Oportunidades!$C$5:$C$154,MATCH($A10,Oportunidades!$A$5:$A$154,0)),"ID não encontrado")))</f>
        <v>Paradas não planejadas recorrentes na ISBM-005 por envelhecimento hidráulico reduzem a disponibilidade</v>
      </c>
      <c r="C10" s="12" t="s">
        <v>347</v>
      </c>
      <c r="D10" s="13" t="s">
        <v>1331</v>
      </c>
      <c r="E10" s="13" t="s">
        <v>1332</v>
      </c>
      <c r="F10" s="13" t="s">
        <v>73</v>
      </c>
      <c r="G10" s="12" t="s">
        <v>102</v>
      </c>
      <c r="H10" s="13" t="s">
        <v>1333</v>
      </c>
      <c r="I10" s="13" t="s">
        <v>1334</v>
      </c>
      <c r="J10" s="13" t="s">
        <v>84</v>
      </c>
      <c r="K10" s="13" t="s">
        <v>1335</v>
      </c>
      <c r="L10" s="13" t="s">
        <v>713</v>
      </c>
      <c r="M10" s="16">
        <v>46366</v>
      </c>
      <c r="N10" s="145" t="str">
        <f t="shared" ca="1" si="0"/>
        <v>OK</v>
      </c>
    </row>
    <row r="11" spans="1:14" ht="30.6">
      <c r="A11" s="115" t="s">
        <v>88</v>
      </c>
      <c r="B11" s="41" t="str">
        <f>IF($A11="","",IFERROR(INDEX(Riscos!$C$5:$C$154,MATCH($A11,Riscos!$A$5:$A$154,0)),IFERROR(INDEX(Oportunidades!$C$5:$C$154,MATCH($A11,Oportunidades!$A$5:$A$154,0)),"ID não encontrado")))</f>
        <v>Paradas não planejadas recorrentes na ISBM-005 por envelhecimento hidráulico reduzem a disponibilidade</v>
      </c>
      <c r="C11" s="12" t="s">
        <v>349</v>
      </c>
      <c r="D11" s="13" t="s">
        <v>1336</v>
      </c>
      <c r="E11" s="13" t="s">
        <v>1337</v>
      </c>
      <c r="F11" s="13" t="s">
        <v>350</v>
      </c>
      <c r="G11" s="12" t="s">
        <v>71</v>
      </c>
      <c r="H11" s="13" t="s">
        <v>1338</v>
      </c>
      <c r="I11" s="13" t="s">
        <v>1339</v>
      </c>
      <c r="J11" s="13" t="s">
        <v>74</v>
      </c>
      <c r="K11" s="13" t="s">
        <v>1340</v>
      </c>
      <c r="L11" s="13" t="s">
        <v>1341</v>
      </c>
      <c r="M11" s="16">
        <v>46366</v>
      </c>
      <c r="N11" s="145" t="str">
        <f t="shared" ca="1" si="0"/>
        <v>OK</v>
      </c>
    </row>
    <row r="12" spans="1:14" ht="30.6">
      <c r="A12" s="115" t="s">
        <v>96</v>
      </c>
      <c r="B12" s="41" t="str">
        <f>IF($A12="","",IFERROR(INDEX(Riscos!$C$5:$C$154,MATCH($A12,Riscos!$A$5:$A$154,0)),IFERROR(INDEX(Oportunidades!$C$5:$C$154,MATCH($A12,Oportunidades!$A$5:$A$154,0)),"ID não encontrado")))</f>
        <v>Short shot e variação de peso na IM-002 causados por banda de aquecimento marginal e janela de parâmetros inadequada</v>
      </c>
      <c r="C12" s="12" t="s">
        <v>347</v>
      </c>
      <c r="D12" s="13" t="s">
        <v>1342</v>
      </c>
      <c r="E12" s="13" t="s">
        <v>1343</v>
      </c>
      <c r="F12" s="13" t="s">
        <v>73</v>
      </c>
      <c r="G12" s="12" t="s">
        <v>71</v>
      </c>
      <c r="H12" s="13" t="s">
        <v>1344</v>
      </c>
      <c r="I12" s="13" t="s">
        <v>1345</v>
      </c>
      <c r="J12" s="13" t="s">
        <v>103</v>
      </c>
      <c r="K12" s="13" t="s">
        <v>1346</v>
      </c>
      <c r="L12" s="13" t="s">
        <v>95</v>
      </c>
      <c r="M12" s="16">
        <v>46366</v>
      </c>
      <c r="N12" s="145" t="str">
        <f t="shared" ca="1" si="0"/>
        <v>OK</v>
      </c>
    </row>
    <row r="13" spans="1:14" ht="30.6">
      <c r="A13" s="115" t="s">
        <v>96</v>
      </c>
      <c r="B13" s="41" t="str">
        <f>IF($A13="","",IFERROR(INDEX(Riscos!$C$5:$C$154,MATCH($A13,Riscos!$A$5:$A$154,0)),IFERROR(INDEX(Oportunidades!$C$5:$C$154,MATCH($A13,Oportunidades!$A$5:$A$154,0)),"ID não encontrado")))</f>
        <v>Short shot e variação de peso na IM-002 causados por banda de aquecimento marginal e janela de parâmetros inadequada</v>
      </c>
      <c r="C13" s="12" t="s">
        <v>349</v>
      </c>
      <c r="D13" s="13" t="s">
        <v>1347</v>
      </c>
      <c r="E13" s="13" t="s">
        <v>1348</v>
      </c>
      <c r="F13" s="13" t="s">
        <v>351</v>
      </c>
      <c r="G13" s="12" t="s">
        <v>71</v>
      </c>
      <c r="H13" s="13" t="s">
        <v>1349</v>
      </c>
      <c r="I13" s="13" t="s">
        <v>1350</v>
      </c>
      <c r="J13" s="13" t="s">
        <v>103</v>
      </c>
      <c r="K13" s="13" t="s">
        <v>1351</v>
      </c>
      <c r="L13" s="13" t="s">
        <v>1352</v>
      </c>
      <c r="M13" s="16">
        <v>46366</v>
      </c>
      <c r="N13" s="145" t="str">
        <f t="shared" ca="1" si="0"/>
        <v>OK</v>
      </c>
    </row>
    <row r="14" spans="1:14" ht="30.6">
      <c r="A14" s="115" t="s">
        <v>729</v>
      </c>
      <c r="B14" s="41" t="str">
        <f>IF($A14="","",IFERROR(INDEX(Riscos!$C$5:$C$154,MATCH($A14,Riscos!$A$5:$A$154,0)),IFERROR(INDEX(Oportunidades!$C$5:$C$154,MATCH($A14,Oportunidades!$A$5:$A$154,0)),"ID não encontrado")))</f>
        <v>Flash crescente na IM-004 em campanhas longas entre trocas de molde (acúmulo de ciclos desde o setup)</v>
      </c>
      <c r="C14" s="12" t="s">
        <v>347</v>
      </c>
      <c r="D14" s="13" t="s">
        <v>1353</v>
      </c>
      <c r="E14" s="13" t="s">
        <v>1354</v>
      </c>
      <c r="F14" s="13" t="s">
        <v>73</v>
      </c>
      <c r="G14" s="12" t="s">
        <v>348</v>
      </c>
      <c r="H14" s="13" t="s">
        <v>1355</v>
      </c>
      <c r="I14" s="13" t="s">
        <v>1356</v>
      </c>
      <c r="J14" s="13" t="s">
        <v>84</v>
      </c>
      <c r="K14" s="13" t="s">
        <v>1357</v>
      </c>
      <c r="L14" s="13" t="s">
        <v>141</v>
      </c>
      <c r="M14" s="16"/>
      <c r="N14" s="145" t="str">
        <f t="shared" ca="1" si="0"/>
        <v>Sem verificação</v>
      </c>
    </row>
    <row r="15" spans="1:14" ht="30.6">
      <c r="A15" s="115" t="s">
        <v>729</v>
      </c>
      <c r="B15" s="41" t="str">
        <f>IF($A15="","",IFERROR(INDEX(Riscos!$C$5:$C$154,MATCH($A15,Riscos!$A$5:$A$154,0)),IFERROR(INDEX(Oportunidades!$C$5:$C$154,MATCH($A15,Oportunidades!$A$5:$A$154,0)),"ID não encontrado")))</f>
        <v>Flash crescente na IM-004 em campanhas longas entre trocas de molde (acúmulo de ciclos desde o setup)</v>
      </c>
      <c r="C15" s="12" t="s">
        <v>349</v>
      </c>
      <c r="D15" s="13" t="s">
        <v>1358</v>
      </c>
      <c r="E15" s="13" t="s">
        <v>1359</v>
      </c>
      <c r="F15" s="13" t="s">
        <v>351</v>
      </c>
      <c r="G15" s="12" t="s">
        <v>71</v>
      </c>
      <c r="H15" s="13" t="s">
        <v>1360</v>
      </c>
      <c r="I15" s="13" t="s">
        <v>1361</v>
      </c>
      <c r="J15" s="13" t="s">
        <v>103</v>
      </c>
      <c r="K15" s="13" t="s">
        <v>1362</v>
      </c>
      <c r="L15" s="13" t="s">
        <v>1352</v>
      </c>
      <c r="M15" s="16">
        <v>46366</v>
      </c>
      <c r="N15" s="145" t="str">
        <f t="shared" ca="1" si="0"/>
        <v>OK</v>
      </c>
    </row>
    <row r="16" spans="1:14" ht="30.6">
      <c r="A16" s="115" t="s">
        <v>739</v>
      </c>
      <c r="B16" s="41" t="str">
        <f>IF($A16="","",IFERROR(INDEX(Riscos!$C$5:$C$154,MATCH($A16,Riscos!$A$5:$A$154,0)),IFERROR(INDEX(Oportunidades!$C$5:$C$154,MATCH($A16,Oportunidades!$A$5:$A$154,0)),"ID não encontrado")))</f>
        <v>Pico de falha de adesão de tinta em FR-007-PP-350 (SS-002) ligado a lote de resina PP marginal</v>
      </c>
      <c r="C16" s="12" t="s">
        <v>347</v>
      </c>
      <c r="D16" s="13" t="s">
        <v>1363</v>
      </c>
      <c r="E16" s="13" t="s">
        <v>1364</v>
      </c>
      <c r="F16" s="13" t="s">
        <v>83</v>
      </c>
      <c r="G16" s="12" t="s">
        <v>71</v>
      </c>
      <c r="H16" s="13" t="s">
        <v>1365</v>
      </c>
      <c r="I16" s="13" t="s">
        <v>1366</v>
      </c>
      <c r="J16" s="13" t="s">
        <v>103</v>
      </c>
      <c r="K16" s="13" t="s">
        <v>1367</v>
      </c>
      <c r="L16" s="13" t="s">
        <v>747</v>
      </c>
      <c r="M16" s="16">
        <v>46366</v>
      </c>
      <c r="N16" s="145" t="str">
        <f t="shared" ca="1" si="0"/>
        <v>OK</v>
      </c>
    </row>
    <row r="17" spans="1:14" ht="30.6">
      <c r="A17" s="115" t="s">
        <v>739</v>
      </c>
      <c r="B17" s="41" t="str">
        <f>IF($A17="","",IFERROR(INDEX(Riscos!$C$5:$C$154,MATCH($A17,Riscos!$A$5:$A$154,0)),IFERROR(INDEX(Oportunidades!$C$5:$C$154,MATCH($A17,Oportunidades!$A$5:$A$154,0)),"ID não encontrado")))</f>
        <v>Pico de falha de adesão de tinta em FR-007-PP-350 (SS-002) ligado a lote de resina PP marginal</v>
      </c>
      <c r="C17" s="12" t="s">
        <v>349</v>
      </c>
      <c r="D17" s="13" t="s">
        <v>1368</v>
      </c>
      <c r="E17" s="13" t="s">
        <v>1369</v>
      </c>
      <c r="F17" s="13" t="s">
        <v>350</v>
      </c>
      <c r="G17" s="12" t="s">
        <v>71</v>
      </c>
      <c r="H17" s="13" t="s">
        <v>1370</v>
      </c>
      <c r="I17" s="13" t="s">
        <v>1371</v>
      </c>
      <c r="J17" s="13" t="s">
        <v>103</v>
      </c>
      <c r="K17" s="13" t="s">
        <v>1372</v>
      </c>
      <c r="L17" s="13" t="s">
        <v>1373</v>
      </c>
      <c r="M17" s="16">
        <v>46366</v>
      </c>
      <c r="N17" s="145" t="str">
        <f t="shared" ca="1" si="0"/>
        <v>OK</v>
      </c>
    </row>
    <row r="18" spans="1:14" ht="30.6">
      <c r="A18" s="115" t="s">
        <v>763</v>
      </c>
      <c r="B18" s="41" t="str">
        <f>IF($A18="","",IFERROR(INDEX(Riscos!$C$5:$C$154,MATCH($A18,Riscos!$A$5:$A$154,0)),IFERROR(INDEX(Oportunidades!$C$5:$C$154,MATCH($A18,Oportunidades!$A$5:$A$154,0)),"ID não encontrado")))</f>
        <v>Transferência incompleta de foil na HF-001 em alta velocidade, com velocidade real de linha não registrada</v>
      </c>
      <c r="C18" s="12" t="s">
        <v>347</v>
      </c>
      <c r="D18" s="13" t="s">
        <v>1374</v>
      </c>
      <c r="E18" s="13" t="s">
        <v>1375</v>
      </c>
      <c r="F18" s="13" t="s">
        <v>351</v>
      </c>
      <c r="G18" s="12" t="s">
        <v>348</v>
      </c>
      <c r="H18" s="13" t="s">
        <v>1376</v>
      </c>
      <c r="I18" s="13" t="s">
        <v>1377</v>
      </c>
      <c r="J18" s="13" t="s">
        <v>74</v>
      </c>
      <c r="K18" s="13" t="s">
        <v>1378</v>
      </c>
      <c r="L18" s="13" t="s">
        <v>771</v>
      </c>
      <c r="M18" s="16"/>
      <c r="N18" s="145" t="str">
        <f t="shared" ca="1" si="0"/>
        <v>Sem verificação</v>
      </c>
    </row>
    <row r="19" spans="1:14" ht="30.6">
      <c r="A19" s="115" t="s">
        <v>763</v>
      </c>
      <c r="B19" s="41" t="str">
        <f>IF($A19="","",IFERROR(INDEX(Riscos!$C$5:$C$154,MATCH($A19,Riscos!$A$5:$A$154,0)),IFERROR(INDEX(Oportunidades!$C$5:$C$154,MATCH($A19,Oportunidades!$A$5:$A$154,0)),"ID não encontrado")))</f>
        <v>Transferência incompleta de foil na HF-001 em alta velocidade, com velocidade real de linha não registrada</v>
      </c>
      <c r="C19" s="12" t="s">
        <v>349</v>
      </c>
      <c r="D19" s="13" t="s">
        <v>1379</v>
      </c>
      <c r="E19" s="13" t="s">
        <v>1380</v>
      </c>
      <c r="F19" s="13" t="s">
        <v>351</v>
      </c>
      <c r="G19" s="12" t="s">
        <v>71</v>
      </c>
      <c r="H19" s="13" t="s">
        <v>1381</v>
      </c>
      <c r="I19" s="13" t="s">
        <v>1382</v>
      </c>
      <c r="J19" s="13" t="s">
        <v>103</v>
      </c>
      <c r="K19" s="13" t="s">
        <v>1383</v>
      </c>
      <c r="L19" s="13" t="s">
        <v>1384</v>
      </c>
      <c r="M19" s="16">
        <v>46366</v>
      </c>
      <c r="N19" s="145" t="str">
        <f t="shared" ca="1" si="0"/>
        <v>OK</v>
      </c>
    </row>
    <row r="20" spans="1:14" ht="30.6">
      <c r="A20" s="115" t="s">
        <v>776</v>
      </c>
      <c r="B20" s="41" t="str">
        <f>IF($A20="","",IFERROR(INDEX(Riscos!$C$5:$C$154,MATCH($A20,Riscos!$A$5:$A$154,0)),IFERROR(INDEX(Oportunidades!$C$5:$C$154,MATCH($A20,Oportunidades!$A$5:$A$154,0)),"ID não encontrado")))</f>
        <v>Prêmio de defeito no turno 2 (fadiga/handover) eleva a rejeição em todos os processos</v>
      </c>
      <c r="C20" s="12" t="s">
        <v>347</v>
      </c>
      <c r="D20" s="13" t="s">
        <v>1385</v>
      </c>
      <c r="E20" s="13" t="s">
        <v>1386</v>
      </c>
      <c r="F20" s="13" t="s">
        <v>83</v>
      </c>
      <c r="G20" s="12" t="s">
        <v>102</v>
      </c>
      <c r="H20" s="13" t="s">
        <v>1387</v>
      </c>
      <c r="I20" s="13" t="s">
        <v>1388</v>
      </c>
      <c r="J20" s="13" t="s">
        <v>74</v>
      </c>
      <c r="K20" s="13" t="s">
        <v>1389</v>
      </c>
      <c r="L20" s="13" t="s">
        <v>785</v>
      </c>
      <c r="M20" s="16"/>
      <c r="N20" s="145" t="str">
        <f t="shared" ca="1" si="0"/>
        <v>Sem verificação</v>
      </c>
    </row>
    <row r="21" spans="1:14" ht="30.6">
      <c r="A21" s="115" t="s">
        <v>776</v>
      </c>
      <c r="B21" s="41" t="str">
        <f>IF($A21="","",IFERROR(INDEX(Riscos!$C$5:$C$154,MATCH($A21,Riscos!$A$5:$A$154,0)),IFERROR(INDEX(Oportunidades!$C$5:$C$154,MATCH($A21,Oportunidades!$A$5:$A$154,0)),"ID não encontrado")))</f>
        <v>Prêmio de defeito no turno 2 (fadiga/handover) eleva a rejeição em todos os processos</v>
      </c>
      <c r="C21" s="12" t="s">
        <v>349</v>
      </c>
      <c r="D21" s="13" t="s">
        <v>1390</v>
      </c>
      <c r="E21" s="13" t="s">
        <v>1391</v>
      </c>
      <c r="F21" s="13" t="s">
        <v>351</v>
      </c>
      <c r="G21" s="12" t="s">
        <v>71</v>
      </c>
      <c r="H21" s="13" t="s">
        <v>1392</v>
      </c>
      <c r="I21" s="13" t="s">
        <v>1393</v>
      </c>
      <c r="J21" s="13" t="s">
        <v>74</v>
      </c>
      <c r="K21" s="13" t="s">
        <v>1394</v>
      </c>
      <c r="L21" s="13" t="s">
        <v>1395</v>
      </c>
      <c r="M21" s="16">
        <v>46366</v>
      </c>
      <c r="N21" s="145" t="str">
        <f t="shared" ca="1" si="0"/>
        <v>OK</v>
      </c>
    </row>
    <row r="22" spans="1:14" ht="30.6">
      <c r="A22" s="115" t="s">
        <v>818</v>
      </c>
      <c r="B22" s="41" t="str">
        <f>IF($A22="","",IFERROR(INDEX(Riscos!$C$5:$C$154,MATCH($A22,Riscos!$A$5:$A$154,0)),IFERROR(INDEX(Oportunidades!$C$5:$C$154,MATCH($A22,Oportunidades!$A$5:$A$154,0)),"ID não encontrado")))</f>
        <v>Lotes de matéria-prima fora de especificação do fornecedor SUP-005 (compra spot, PP/PVC) chegam à produção</v>
      </c>
      <c r="C22" s="12" t="s">
        <v>347</v>
      </c>
      <c r="D22" s="13" t="s">
        <v>1396</v>
      </c>
      <c r="E22" s="13" t="s">
        <v>1397</v>
      </c>
      <c r="F22" s="13" t="s">
        <v>351</v>
      </c>
      <c r="G22" s="12" t="s">
        <v>71</v>
      </c>
      <c r="H22" s="13" t="s">
        <v>1398</v>
      </c>
      <c r="I22" s="13" t="s">
        <v>1399</v>
      </c>
      <c r="J22" s="13" t="s">
        <v>103</v>
      </c>
      <c r="K22" s="13" t="s">
        <v>1400</v>
      </c>
      <c r="L22" s="13" t="s">
        <v>1401</v>
      </c>
      <c r="M22" s="16">
        <v>46366</v>
      </c>
      <c r="N22" s="145" t="str">
        <f t="shared" ca="1" si="0"/>
        <v>OK</v>
      </c>
    </row>
    <row r="23" spans="1:14" ht="30.6">
      <c r="A23" s="115" t="s">
        <v>818</v>
      </c>
      <c r="B23" s="41" t="str">
        <f>IF($A23="","",IFERROR(INDEX(Riscos!$C$5:$C$154,MATCH($A23,Riscos!$A$5:$A$154,0)),IFERROR(INDEX(Oportunidades!$C$5:$C$154,MATCH($A23,Oportunidades!$A$5:$A$154,0)),"ID não encontrado")))</f>
        <v>Lotes de matéria-prima fora de especificação do fornecedor SUP-005 (compra spot, PP/PVC) chegam à produção</v>
      </c>
      <c r="C23" s="12" t="s">
        <v>347</v>
      </c>
      <c r="D23" s="13" t="s">
        <v>1402</v>
      </c>
      <c r="E23" s="13" t="s">
        <v>1403</v>
      </c>
      <c r="F23" s="13" t="s">
        <v>824</v>
      </c>
      <c r="G23" s="12" t="s">
        <v>348</v>
      </c>
      <c r="H23" s="13" t="s">
        <v>1404</v>
      </c>
      <c r="I23" s="13" t="s">
        <v>1405</v>
      </c>
      <c r="J23" s="13" t="s">
        <v>826</v>
      </c>
      <c r="K23" s="13" t="s">
        <v>1406</v>
      </c>
      <c r="L23" s="13" t="s">
        <v>1216</v>
      </c>
      <c r="M23" s="16"/>
      <c r="N23" s="145" t="str">
        <f t="shared" ca="1" si="0"/>
        <v>Sem verificação</v>
      </c>
    </row>
    <row r="24" spans="1:14" ht="30.6">
      <c r="A24" s="115" t="s">
        <v>818</v>
      </c>
      <c r="B24" s="41" t="str">
        <f>IF($A24="","",IFERROR(INDEX(Riscos!$C$5:$C$154,MATCH($A24,Riscos!$A$5:$A$154,0)),IFERROR(INDEX(Oportunidades!$C$5:$C$154,MATCH($A24,Oportunidades!$A$5:$A$154,0)),"ID não encontrado")))</f>
        <v>Lotes de matéria-prima fora de especificação do fornecedor SUP-005 (compra spot, PP/PVC) chegam à produção</v>
      </c>
      <c r="C24" s="12" t="s">
        <v>349</v>
      </c>
      <c r="D24" s="13" t="s">
        <v>1407</v>
      </c>
      <c r="E24" s="13" t="s">
        <v>1408</v>
      </c>
      <c r="F24" s="13" t="s">
        <v>350</v>
      </c>
      <c r="G24" s="12" t="s">
        <v>102</v>
      </c>
      <c r="H24" s="13" t="s">
        <v>1409</v>
      </c>
      <c r="I24" s="13" t="s">
        <v>1410</v>
      </c>
      <c r="J24" s="13" t="s">
        <v>826</v>
      </c>
      <c r="K24" s="13" t="s">
        <v>1411</v>
      </c>
      <c r="L24" s="13" t="s">
        <v>829</v>
      </c>
      <c r="M24" s="16">
        <v>46366</v>
      </c>
      <c r="N24" s="145" t="str">
        <f t="shared" ca="1" si="0"/>
        <v>OK</v>
      </c>
    </row>
    <row r="25" spans="1:14" ht="22.8">
      <c r="A25" s="115" t="s">
        <v>858</v>
      </c>
      <c r="B25" s="41" t="str">
        <f>IF($A25="","",IFERROR(INDEX(Riscos!$C$5:$C$154,MATCH($A25,Riscos!$A$5:$A$154,0)),IFERROR(INDEX(Oportunidades!$C$5:$C$154,MATCH($A25,Oportunidades!$A$5:$A$154,0)),"ID não encontrado")))</f>
        <v>Escape de lote marginal ao cliente: passa na amostragem AQL, mas gera reclamação</v>
      </c>
      <c r="C25" s="12" t="s">
        <v>347</v>
      </c>
      <c r="D25" s="13" t="s">
        <v>1412</v>
      </c>
      <c r="E25" s="13" t="s">
        <v>1413</v>
      </c>
      <c r="F25" s="13" t="s">
        <v>351</v>
      </c>
      <c r="G25" s="12" t="s">
        <v>102</v>
      </c>
      <c r="H25" s="13" t="s">
        <v>1414</v>
      </c>
      <c r="I25" s="13" t="s">
        <v>1415</v>
      </c>
      <c r="J25" s="13" t="s">
        <v>103</v>
      </c>
      <c r="K25" s="13" t="s">
        <v>1416</v>
      </c>
      <c r="L25" s="13" t="s">
        <v>865</v>
      </c>
      <c r="M25" s="16"/>
      <c r="N25" s="145" t="str">
        <f t="shared" ca="1" si="0"/>
        <v>Sem verificação</v>
      </c>
    </row>
    <row r="26" spans="1:14" ht="22.8">
      <c r="A26" s="115" t="s">
        <v>858</v>
      </c>
      <c r="B26" s="41" t="str">
        <f>IF($A26="","",IFERROR(INDEX(Riscos!$C$5:$C$154,MATCH($A26,Riscos!$A$5:$A$154,0)),IFERROR(INDEX(Oportunidades!$C$5:$C$154,MATCH($A26,Oportunidades!$A$5:$A$154,0)),"ID não encontrado")))</f>
        <v>Escape de lote marginal ao cliente: passa na amostragem AQL, mas gera reclamação</v>
      </c>
      <c r="C26" s="12" t="s">
        <v>349</v>
      </c>
      <c r="D26" s="13" t="s">
        <v>1417</v>
      </c>
      <c r="E26" s="13" t="s">
        <v>1418</v>
      </c>
      <c r="F26" s="13" t="s">
        <v>350</v>
      </c>
      <c r="G26" s="12" t="s">
        <v>71</v>
      </c>
      <c r="H26" s="13" t="s">
        <v>1419</v>
      </c>
      <c r="I26" s="13" t="s">
        <v>1420</v>
      </c>
      <c r="J26" s="13" t="s">
        <v>103</v>
      </c>
      <c r="K26" s="13" t="s">
        <v>1177</v>
      </c>
      <c r="L26" s="13" t="s">
        <v>1421</v>
      </c>
      <c r="M26" s="16">
        <v>46366</v>
      </c>
      <c r="N26" s="145" t="str">
        <f t="shared" ca="1" si="0"/>
        <v>OK</v>
      </c>
    </row>
    <row r="27" spans="1:14" ht="30.6">
      <c r="A27" s="115" t="s">
        <v>869</v>
      </c>
      <c r="B27" s="41" t="str">
        <f>IF($A27="","",IFERROR(INDEX(Riscos!$C$5:$C$154,MATCH($A27,Riscos!$A$5:$A$154,0)),IFERROR(INDEX(Oportunidades!$C$5:$C$154,MATCH($A27,Oportunidades!$A$5:$A$154,0)),"ID não encontrado")))</f>
        <v>Capacidade de processo marginal: 0% dos 190 grupos máquina×molde×característica atingem Cpk ≥ 1,33</v>
      </c>
      <c r="C27" s="12" t="s">
        <v>347</v>
      </c>
      <c r="D27" s="13" t="s">
        <v>1422</v>
      </c>
      <c r="E27" s="13" t="s">
        <v>1423</v>
      </c>
      <c r="F27" s="13" t="s">
        <v>73</v>
      </c>
      <c r="G27" s="12" t="s">
        <v>102</v>
      </c>
      <c r="H27" s="13" t="s">
        <v>1424</v>
      </c>
      <c r="I27" s="13" t="s">
        <v>1425</v>
      </c>
      <c r="J27" s="13" t="s">
        <v>103</v>
      </c>
      <c r="K27" s="13" t="s">
        <v>1426</v>
      </c>
      <c r="L27" s="13" t="s">
        <v>877</v>
      </c>
      <c r="M27" s="16">
        <v>46366</v>
      </c>
      <c r="N27" s="145" t="str">
        <f t="shared" ca="1" si="0"/>
        <v>OK</v>
      </c>
    </row>
    <row r="28" spans="1:14" ht="30.6">
      <c r="A28" s="115" t="s">
        <v>869</v>
      </c>
      <c r="B28" s="41" t="str">
        <f>IF($A28="","",IFERROR(INDEX(Riscos!$C$5:$C$154,MATCH($A28,Riscos!$A$5:$A$154,0)),IFERROR(INDEX(Oportunidades!$C$5:$C$154,MATCH($A28,Oportunidades!$A$5:$A$154,0)),"ID não encontrado")))</f>
        <v>Capacidade de processo marginal: 0% dos 190 grupos máquina×molde×característica atingem Cpk ≥ 1,33</v>
      </c>
      <c r="C28" s="12" t="s">
        <v>349</v>
      </c>
      <c r="D28" s="13" t="s">
        <v>1427</v>
      </c>
      <c r="E28" s="13" t="s">
        <v>1428</v>
      </c>
      <c r="F28" s="13" t="s">
        <v>350</v>
      </c>
      <c r="G28" s="12" t="s">
        <v>71</v>
      </c>
      <c r="H28" s="13" t="s">
        <v>1429</v>
      </c>
      <c r="I28" s="13" t="s">
        <v>1430</v>
      </c>
      <c r="J28" s="13" t="s">
        <v>103</v>
      </c>
      <c r="K28" s="13" t="s">
        <v>1431</v>
      </c>
      <c r="L28" s="13" t="s">
        <v>352</v>
      </c>
      <c r="M28" s="16">
        <v>46366</v>
      </c>
      <c r="N28" s="145" t="str">
        <f t="shared" ca="1" si="0"/>
        <v>OK</v>
      </c>
    </row>
    <row r="29" spans="1:14" ht="30.6">
      <c r="A29" s="115" t="s">
        <v>880</v>
      </c>
      <c r="B29" s="41" t="str">
        <f>IF($A29="","",IFERROR(INDEX(Riscos!$C$5:$C$154,MATCH($A29,Riscos!$A$5:$A$154,0)),IFERROR(INDEX(Oportunidades!$C$5:$C$154,MATCH($A29,Oportunidades!$A$5:$A$154,0)),"ID não encontrado")))</f>
        <v>Rastreabilidade incompleta lote → ordem → produto final impede contenção rápida e RTY real</v>
      </c>
      <c r="C29" s="12" t="s">
        <v>347</v>
      </c>
      <c r="D29" s="13" t="s">
        <v>1432</v>
      </c>
      <c r="E29" s="13" t="s">
        <v>1433</v>
      </c>
      <c r="F29" s="13" t="s">
        <v>73</v>
      </c>
      <c r="G29" s="12" t="s">
        <v>71</v>
      </c>
      <c r="H29" s="13" t="s">
        <v>1434</v>
      </c>
      <c r="I29" s="13" t="s">
        <v>1435</v>
      </c>
      <c r="J29" s="13" t="s">
        <v>898</v>
      </c>
      <c r="K29" s="13" t="s">
        <v>1436</v>
      </c>
      <c r="L29" s="13" t="s">
        <v>1437</v>
      </c>
      <c r="M29" s="16">
        <v>46366</v>
      </c>
      <c r="N29" s="145" t="str">
        <f t="shared" ca="1" si="0"/>
        <v>OK</v>
      </c>
    </row>
    <row r="30" spans="1:14" ht="30.6">
      <c r="A30" s="115" t="s">
        <v>880</v>
      </c>
      <c r="B30" s="41" t="str">
        <f>IF($A30="","",IFERROR(INDEX(Riscos!$C$5:$C$154,MATCH($A30,Riscos!$A$5:$A$154,0)),IFERROR(INDEX(Oportunidades!$C$5:$C$154,MATCH($A30,Oportunidades!$A$5:$A$154,0)),"ID não encontrado")))</f>
        <v>Rastreabilidade incompleta lote → ordem → produto final impede contenção rápida e RTY real</v>
      </c>
      <c r="C30" s="12" t="s">
        <v>349</v>
      </c>
      <c r="D30" s="13" t="s">
        <v>1438</v>
      </c>
      <c r="E30" s="13" t="s">
        <v>1439</v>
      </c>
      <c r="F30" s="13" t="s">
        <v>350</v>
      </c>
      <c r="G30" s="12" t="s">
        <v>102</v>
      </c>
      <c r="H30" s="13" t="s">
        <v>1440</v>
      </c>
      <c r="I30" s="13" t="s">
        <v>1441</v>
      </c>
      <c r="J30" s="13" t="s">
        <v>103</v>
      </c>
      <c r="K30" s="13" t="s">
        <v>1442</v>
      </c>
      <c r="L30" s="13" t="s">
        <v>888</v>
      </c>
      <c r="M30" s="16"/>
      <c r="N30" s="145" t="str">
        <f t="shared" ca="1" si="0"/>
        <v>Sem verificação</v>
      </c>
    </row>
    <row r="31" spans="1:14" ht="30.6">
      <c r="A31" s="115" t="s">
        <v>775</v>
      </c>
      <c r="B31" s="41" t="str">
        <f>IF($A31="","",IFERROR(INDEX(Riscos!$C$5:$C$154,MATCH($A31,Riscos!$A$5:$A$154,0)),IFERROR(INDEX(Oportunidades!$C$5:$C$154,MATCH($A31,Oportunidades!$A$5:$A$154,0)),"ID não encontrado")))</f>
        <v>Parâmetros críticos (velocidade, ciclos, pressão, temperatura) não são registrados na hora, impedindo detecção antecipada</v>
      </c>
      <c r="C31" s="12" t="s">
        <v>347</v>
      </c>
      <c r="D31" s="13" t="s">
        <v>1443</v>
      </c>
      <c r="E31" s="13" t="s">
        <v>1444</v>
      </c>
      <c r="F31" s="13" t="s">
        <v>73</v>
      </c>
      <c r="G31" s="12" t="s">
        <v>348</v>
      </c>
      <c r="H31" s="13" t="s">
        <v>1445</v>
      </c>
      <c r="I31" s="13" t="s">
        <v>1446</v>
      </c>
      <c r="J31" s="13" t="s">
        <v>898</v>
      </c>
      <c r="K31" s="13" t="s">
        <v>1447</v>
      </c>
      <c r="L31" s="13" t="s">
        <v>900</v>
      </c>
      <c r="M31" s="16"/>
      <c r="N31" s="145" t="str">
        <f t="shared" ca="1" si="0"/>
        <v>Sem verificação</v>
      </c>
    </row>
    <row r="32" spans="1:14" ht="30.6">
      <c r="A32" s="115" t="s">
        <v>775</v>
      </c>
      <c r="B32" s="41" t="str">
        <f>IF($A32="","",IFERROR(INDEX(Riscos!$C$5:$C$154,MATCH($A32,Riscos!$A$5:$A$154,0)),IFERROR(INDEX(Oportunidades!$C$5:$C$154,MATCH($A32,Oportunidades!$A$5:$A$154,0)),"ID não encontrado")))</f>
        <v>Parâmetros críticos (velocidade, ciclos, pressão, temperatura) não são registrados na hora, impedindo detecção antecipada</v>
      </c>
      <c r="C32" s="12" t="s">
        <v>349</v>
      </c>
      <c r="D32" s="13" t="s">
        <v>1448</v>
      </c>
      <c r="E32" s="13" t="s">
        <v>1449</v>
      </c>
      <c r="F32" s="13" t="s">
        <v>351</v>
      </c>
      <c r="G32" s="12" t="s">
        <v>102</v>
      </c>
      <c r="H32" s="13" t="s">
        <v>1450</v>
      </c>
      <c r="I32" s="13" t="s">
        <v>1451</v>
      </c>
      <c r="J32" s="13" t="s">
        <v>898</v>
      </c>
      <c r="K32" s="13" t="s">
        <v>1452</v>
      </c>
      <c r="L32" s="13" t="s">
        <v>900</v>
      </c>
      <c r="M32" s="16">
        <v>46366</v>
      </c>
      <c r="N32" s="145" t="str">
        <f t="shared" ca="1" si="0"/>
        <v>OK</v>
      </c>
    </row>
    <row r="33" spans="1:14" ht="30.6">
      <c r="A33" s="115" t="s">
        <v>905</v>
      </c>
      <c r="B33" s="41" t="str">
        <f>IF($A33="","",IFERROR(INDEX(Riscos!$C$5:$C$154,MATCH($A33,Riscos!$A$5:$A$154,0)),IFERROR(INDEX(Oportunidades!$C$5:$C$154,MATCH($A33,Oportunidades!$A$5:$A$154,0)),"ID não encontrado")))</f>
        <v>Backlog de CAPAs vencidas e baixa eficácia (31% não eficazes) permitem recorrência das não conformidades</v>
      </c>
      <c r="C33" s="12" t="s">
        <v>347</v>
      </c>
      <c r="D33" s="13" t="s">
        <v>1453</v>
      </c>
      <c r="E33" s="13" t="s">
        <v>1454</v>
      </c>
      <c r="F33" s="13" t="s">
        <v>83</v>
      </c>
      <c r="G33" s="12" t="s">
        <v>102</v>
      </c>
      <c r="H33" s="13" t="s">
        <v>1455</v>
      </c>
      <c r="I33" s="13" t="s">
        <v>1456</v>
      </c>
      <c r="J33" s="13" t="s">
        <v>103</v>
      </c>
      <c r="K33" s="13" t="s">
        <v>1457</v>
      </c>
      <c r="L33" s="13" t="s">
        <v>913</v>
      </c>
      <c r="M33" s="16">
        <v>46366</v>
      </c>
      <c r="N33" s="145" t="str">
        <f t="shared" ca="1" si="0"/>
        <v>OK</v>
      </c>
    </row>
    <row r="34" spans="1:14" ht="30.6">
      <c r="A34" s="115" t="s">
        <v>905</v>
      </c>
      <c r="B34" s="41" t="str">
        <f>IF($A34="","",IFERROR(INDEX(Riscos!$C$5:$C$154,MATCH($A34,Riscos!$A$5:$A$154,0)),IFERROR(INDEX(Oportunidades!$C$5:$C$154,MATCH($A34,Oportunidades!$A$5:$A$154,0)),"ID não encontrado")))</f>
        <v>Backlog de CAPAs vencidas e baixa eficácia (31% não eficazes) permitem recorrência das não conformidades</v>
      </c>
      <c r="C34" s="12" t="s">
        <v>349</v>
      </c>
      <c r="D34" s="13" t="s">
        <v>1458</v>
      </c>
      <c r="E34" s="13" t="s">
        <v>1459</v>
      </c>
      <c r="F34" s="13" t="s">
        <v>83</v>
      </c>
      <c r="G34" s="12" t="s">
        <v>348</v>
      </c>
      <c r="H34" s="13" t="s">
        <v>1460</v>
      </c>
      <c r="I34" s="13" t="s">
        <v>1461</v>
      </c>
      <c r="J34" s="13" t="s">
        <v>103</v>
      </c>
      <c r="K34" s="13" t="s">
        <v>1462</v>
      </c>
      <c r="L34" s="13" t="s">
        <v>913</v>
      </c>
      <c r="M34" s="16"/>
      <c r="N34" s="145" t="str">
        <f t="shared" ca="1" si="0"/>
        <v>Sem verificação</v>
      </c>
    </row>
    <row r="35" spans="1:14" ht="22.8">
      <c r="A35" s="115" t="s">
        <v>929</v>
      </c>
      <c r="B35" s="41" t="str">
        <f>IF($A35="","",IFERROR(INDEX(Riscos!$C$5:$C$154,MATCH($A35,Riscos!$A$5:$A$154,0)),IFERROR(INDEX(Oportunidades!$C$5:$C$154,MATCH($A35,Oportunidades!$A$5:$A$154,0)),"ID não encontrado")))</f>
        <v>Falta de ar comprimido interrompe máquinas de injeção, sopro e decoração</v>
      </c>
      <c r="C35" s="12" t="s">
        <v>347</v>
      </c>
      <c r="D35" s="13" t="s">
        <v>1463</v>
      </c>
      <c r="E35" s="13" t="s">
        <v>2816</v>
      </c>
      <c r="F35" s="13" t="s">
        <v>351</v>
      </c>
      <c r="G35" s="12" t="s">
        <v>102</v>
      </c>
      <c r="H35" s="13" t="s">
        <v>1464</v>
      </c>
      <c r="I35" s="13" t="s">
        <v>1465</v>
      </c>
      <c r="J35" s="13" t="s">
        <v>84</v>
      </c>
      <c r="K35" s="13" t="s">
        <v>1466</v>
      </c>
      <c r="L35" s="13" t="s">
        <v>2803</v>
      </c>
      <c r="M35" s="16">
        <v>46366</v>
      </c>
      <c r="N35" s="145" t="str">
        <f t="shared" ca="1" si="0"/>
        <v>OK</v>
      </c>
    </row>
    <row r="36" spans="1:14" ht="22.8">
      <c r="A36" s="115" t="s">
        <v>929</v>
      </c>
      <c r="B36" s="41" t="str">
        <f>IF($A36="","",IFERROR(INDEX(Riscos!$C$5:$C$154,MATCH($A36,Riscos!$A$5:$A$154,0)),IFERROR(INDEX(Oportunidades!$C$5:$C$154,MATCH($A36,Oportunidades!$A$5:$A$154,0)),"ID não encontrado")))</f>
        <v>Falta de ar comprimido interrompe máquinas de injeção, sopro e decoração</v>
      </c>
      <c r="C36" s="12" t="s">
        <v>349</v>
      </c>
      <c r="D36" s="13" t="s">
        <v>1467</v>
      </c>
      <c r="E36" s="13" t="s">
        <v>1468</v>
      </c>
      <c r="F36" s="13" t="s">
        <v>350</v>
      </c>
      <c r="G36" s="12" t="s">
        <v>71</v>
      </c>
      <c r="H36" s="13" t="s">
        <v>1469</v>
      </c>
      <c r="I36" s="13" t="s">
        <v>1470</v>
      </c>
      <c r="J36" s="13" t="s">
        <v>84</v>
      </c>
      <c r="K36" s="13" t="s">
        <v>1466</v>
      </c>
      <c r="L36" s="13" t="s">
        <v>1471</v>
      </c>
      <c r="M36" s="16">
        <v>46366</v>
      </c>
      <c r="N36" s="145" t="str">
        <f t="shared" ca="1" si="0"/>
        <v>OK</v>
      </c>
    </row>
    <row r="37" spans="1:14" ht="30.6">
      <c r="A37" s="115" t="s">
        <v>939</v>
      </c>
      <c r="B37" s="41" t="str">
        <f>IF($A37="","",IFERROR(INDEX(Riscos!$C$5:$C$154,MATCH($A37,Riscos!$A$5:$A$154,0)),IFERROR(INDEX(Oportunidades!$C$5:$C$154,MATCH($A37,Oportunidades!$A$5:$A$154,0)),"ID não encontrado")))</f>
        <v>Indisponibilidade de operadores (maior causa de parada não planejada) reduz a utilização das máquinas</v>
      </c>
      <c r="C37" s="12" t="s">
        <v>347</v>
      </c>
      <c r="D37" s="13" t="s">
        <v>1472</v>
      </c>
      <c r="E37" s="13" t="s">
        <v>1473</v>
      </c>
      <c r="F37" s="13" t="s">
        <v>83</v>
      </c>
      <c r="G37" s="12" t="s">
        <v>102</v>
      </c>
      <c r="H37" s="13" t="s">
        <v>1474</v>
      </c>
      <c r="I37" s="13" t="s">
        <v>1475</v>
      </c>
      <c r="J37" s="13" t="s">
        <v>945</v>
      </c>
      <c r="K37" s="13" t="s">
        <v>1306</v>
      </c>
      <c r="L37" s="13" t="s">
        <v>1476</v>
      </c>
      <c r="M37" s="16">
        <v>46366</v>
      </c>
      <c r="N37" s="145" t="str">
        <f t="shared" ca="1" si="0"/>
        <v>OK</v>
      </c>
    </row>
    <row r="38" spans="1:14" ht="30.6">
      <c r="A38" s="115" t="s">
        <v>939</v>
      </c>
      <c r="B38" s="41" t="str">
        <f>IF($A38="","",IFERROR(INDEX(Riscos!$C$5:$C$154,MATCH($A38,Riscos!$A$5:$A$154,0)),IFERROR(INDEX(Oportunidades!$C$5:$C$154,MATCH($A38,Oportunidades!$A$5:$A$154,0)),"ID não encontrado")))</f>
        <v>Indisponibilidade de operadores (maior causa de parada não planejada) reduz a utilização das máquinas</v>
      </c>
      <c r="C38" s="12" t="s">
        <v>349</v>
      </c>
      <c r="D38" s="13" t="s">
        <v>1477</v>
      </c>
      <c r="E38" s="13" t="s">
        <v>1478</v>
      </c>
      <c r="F38" s="13" t="s">
        <v>350</v>
      </c>
      <c r="G38" s="12" t="s">
        <v>71</v>
      </c>
      <c r="H38" s="13" t="s">
        <v>1479</v>
      </c>
      <c r="I38" s="13" t="s">
        <v>1480</v>
      </c>
      <c r="J38" s="13" t="s">
        <v>74</v>
      </c>
      <c r="K38" s="13" t="s">
        <v>1481</v>
      </c>
      <c r="L38" s="13" t="s">
        <v>1482</v>
      </c>
      <c r="M38" s="16">
        <v>46366</v>
      </c>
      <c r="N38" s="145" t="str">
        <f t="shared" ca="1" si="0"/>
        <v>OK</v>
      </c>
    </row>
    <row r="39" spans="1:14" ht="30.6">
      <c r="A39" s="115" t="s">
        <v>964</v>
      </c>
      <c r="B39" s="41" t="str">
        <f>IF($A39="","",IFERROR(INDEX(Riscos!$C$5:$C$154,MATCH($A39,Riscos!$A$5:$A$154,0)),IFERROR(INDEX(Oportunidades!$C$5:$C$154,MATCH($A39,Oportunidades!$A$5:$A$154,0)),"ID não encontrado")))</f>
        <v>Volatilidade do preço de energia e de polímeros (virgens e reciclados) comprime a margem</v>
      </c>
      <c r="C39" s="12" t="s">
        <v>347</v>
      </c>
      <c r="D39" s="13" t="s">
        <v>1483</v>
      </c>
      <c r="E39" s="13" t="s">
        <v>1484</v>
      </c>
      <c r="F39" s="13" t="s">
        <v>824</v>
      </c>
      <c r="G39" s="12" t="s">
        <v>102</v>
      </c>
      <c r="H39" s="13" t="s">
        <v>1485</v>
      </c>
      <c r="I39" s="13" t="s">
        <v>1486</v>
      </c>
      <c r="J39" s="13" t="s">
        <v>957</v>
      </c>
      <c r="K39" s="13" t="s">
        <v>1487</v>
      </c>
      <c r="L39" s="13" t="s">
        <v>1488</v>
      </c>
      <c r="M39" s="16">
        <v>46366</v>
      </c>
      <c r="N39" s="145" t="str">
        <f t="shared" ref="N39:N70" ca="1" si="1">IF($E39="","",IF($M39="","Sem verificação",IF(TODAY()-$M39&gt;365,"Verificação vencida","OK")))</f>
        <v>OK</v>
      </c>
    </row>
    <row r="40" spans="1:14" ht="30.6">
      <c r="A40" s="115" t="s">
        <v>964</v>
      </c>
      <c r="B40" s="41" t="str">
        <f>IF($A40="","",IFERROR(INDEX(Riscos!$C$5:$C$154,MATCH($A40,Riscos!$A$5:$A$154,0)),IFERROR(INDEX(Oportunidades!$C$5:$C$154,MATCH($A40,Oportunidades!$A$5:$A$154,0)),"ID não encontrado")))</f>
        <v>Volatilidade do preço de energia e de polímeros (virgens e reciclados) comprime a margem</v>
      </c>
      <c r="C40" s="12" t="s">
        <v>349</v>
      </c>
      <c r="D40" s="13" t="s">
        <v>1489</v>
      </c>
      <c r="E40" s="13" t="s">
        <v>1490</v>
      </c>
      <c r="F40" s="13" t="s">
        <v>350</v>
      </c>
      <c r="G40" s="12" t="s">
        <v>71</v>
      </c>
      <c r="H40" s="13" t="s">
        <v>1491</v>
      </c>
      <c r="I40" s="13" t="s">
        <v>1492</v>
      </c>
      <c r="J40" s="13" t="s">
        <v>1493</v>
      </c>
      <c r="K40" s="13" t="s">
        <v>1494</v>
      </c>
      <c r="L40" s="13" t="s">
        <v>1495</v>
      </c>
      <c r="M40" s="16">
        <v>46366</v>
      </c>
      <c r="N40" s="145" t="str">
        <f t="shared" ca="1" si="1"/>
        <v>OK</v>
      </c>
    </row>
    <row r="41" spans="1:14" ht="30.6">
      <c r="A41" s="115" t="s">
        <v>1034</v>
      </c>
      <c r="B41" s="41" t="str">
        <f>IF($A41="","",IFERROR(INDEX(Riscos!$C$5:$C$154,MATCH($A41,Riscos!$A$5:$A$154,0)),IFERROR(INDEX(Oportunidades!$C$5:$C$154,MATCH($A41,Oportunidades!$A$5:$A$154,0)),"ID não encontrado")))</f>
        <v>Ausência de título/licença de recursos hídricos e de avaliação das condições de descarga e efluentes</v>
      </c>
      <c r="C41" s="12" t="s">
        <v>347</v>
      </c>
      <c r="D41" s="13" t="s">
        <v>1496</v>
      </c>
      <c r="E41" s="13" t="s">
        <v>2817</v>
      </c>
      <c r="F41" s="13" t="s">
        <v>83</v>
      </c>
      <c r="G41" s="12" t="s">
        <v>102</v>
      </c>
      <c r="H41" s="13" t="s">
        <v>1497</v>
      </c>
      <c r="I41" s="13" t="s">
        <v>1498</v>
      </c>
      <c r="J41" s="13" t="s">
        <v>1001</v>
      </c>
      <c r="K41" s="13" t="s">
        <v>1499</v>
      </c>
      <c r="L41" s="13" t="s">
        <v>2811</v>
      </c>
      <c r="M41" s="16"/>
      <c r="N41" s="145" t="str">
        <f t="shared" ca="1" si="1"/>
        <v>Sem verificação</v>
      </c>
    </row>
    <row r="42" spans="1:14" ht="30.6">
      <c r="A42" s="115" t="s">
        <v>1034</v>
      </c>
      <c r="B42" s="41" t="str">
        <f>IF($A42="","",IFERROR(INDEX(Riscos!$C$5:$C$154,MATCH($A42,Riscos!$A$5:$A$154,0)),IFERROR(INDEX(Oportunidades!$C$5:$C$154,MATCH($A42,Oportunidades!$A$5:$A$154,0)),"ID não encontrado")))</f>
        <v>Ausência de título/licença de recursos hídricos e de avaliação das condições de descarga e efluentes</v>
      </c>
      <c r="C42" s="12" t="s">
        <v>349</v>
      </c>
      <c r="D42" s="13" t="s">
        <v>1500</v>
      </c>
      <c r="E42" s="13" t="s">
        <v>1501</v>
      </c>
      <c r="F42" s="13" t="s">
        <v>350</v>
      </c>
      <c r="G42" s="12" t="s">
        <v>71</v>
      </c>
      <c r="H42" s="13" t="s">
        <v>1502</v>
      </c>
      <c r="I42" s="13" t="s">
        <v>1503</v>
      </c>
      <c r="J42" s="13" t="s">
        <v>1001</v>
      </c>
      <c r="K42" s="13" t="s">
        <v>1504</v>
      </c>
      <c r="L42" s="13" t="s">
        <v>1505</v>
      </c>
      <c r="M42" s="16">
        <v>46366</v>
      </c>
      <c r="N42" s="145" t="str">
        <f t="shared" ca="1" si="1"/>
        <v>OK</v>
      </c>
    </row>
    <row r="43" spans="1:14" ht="40.799999999999997">
      <c r="A43" s="115" t="s">
        <v>1042</v>
      </c>
      <c r="B43" s="41" t="str">
        <f>IF($A43="","",IFERROR(INDEX(Riscos!$C$5:$C$154,MATCH($A43,Riscos!$A$5:$A$154,0)),IFERROR(INDEX(Oportunidades!$C$5:$C$154,MATCH($A43,Oportunidades!$A$5:$A$154,0)),"ID não encontrado")))</f>
        <v>Requisitos do PPWR (Reg. UE 2025/40) e dos clientes europeus de reciclabilidade e conteúdo reciclado não atendidos pelo portfólio</v>
      </c>
      <c r="C43" s="12" t="s">
        <v>347</v>
      </c>
      <c r="D43" s="13" t="s">
        <v>1506</v>
      </c>
      <c r="E43" s="13" t="s">
        <v>2818</v>
      </c>
      <c r="F43" s="13" t="s">
        <v>824</v>
      </c>
      <c r="G43" s="12" t="s">
        <v>348</v>
      </c>
      <c r="H43" s="13" t="s">
        <v>1507</v>
      </c>
      <c r="I43" s="13" t="s">
        <v>2820</v>
      </c>
      <c r="J43" s="13" t="s">
        <v>1047</v>
      </c>
      <c r="K43" s="13" t="s">
        <v>1508</v>
      </c>
      <c r="L43" s="13" t="s">
        <v>2819</v>
      </c>
      <c r="M43" s="16"/>
      <c r="N43" s="145" t="str">
        <f t="shared" ca="1" si="1"/>
        <v>Sem verificação</v>
      </c>
    </row>
    <row r="44" spans="1:14" ht="40.799999999999997">
      <c r="A44" s="115" t="s">
        <v>1042</v>
      </c>
      <c r="B44" s="41" t="str">
        <f>IF($A44="","",IFERROR(INDEX(Riscos!$C$5:$C$154,MATCH($A44,Riscos!$A$5:$A$154,0)),IFERROR(INDEX(Oportunidades!$C$5:$C$154,MATCH($A44,Oportunidades!$A$5:$A$154,0)),"ID não encontrado")))</f>
        <v>Requisitos do PPWR (Reg. UE 2025/40) e dos clientes europeus de reciclabilidade e conteúdo reciclado não atendidos pelo portfólio</v>
      </c>
      <c r="C44" s="12" t="s">
        <v>349</v>
      </c>
      <c r="D44" s="13" t="s">
        <v>1509</v>
      </c>
      <c r="E44" s="13" t="s">
        <v>1510</v>
      </c>
      <c r="F44" s="13" t="s">
        <v>350</v>
      </c>
      <c r="G44" s="12" t="s">
        <v>102</v>
      </c>
      <c r="H44" s="13" t="s">
        <v>1511</v>
      </c>
      <c r="I44" s="13" t="s">
        <v>1512</v>
      </c>
      <c r="J44" s="13" t="s">
        <v>1493</v>
      </c>
      <c r="K44" s="13" t="s">
        <v>1513</v>
      </c>
      <c r="L44" s="13" t="s">
        <v>1514</v>
      </c>
      <c r="M44" s="16">
        <v>46366</v>
      </c>
      <c r="N44" s="145" t="str">
        <f t="shared" ca="1" si="1"/>
        <v>OK</v>
      </c>
    </row>
    <row r="45" spans="1:14" ht="18" customHeight="1">
      <c r="A45" s="115" t="s">
        <v>2606</v>
      </c>
      <c r="B45" s="41" t="str">
        <f>IF($A45="","",IFERROR(INDEX(Riscos!$C$5:$C$154,MATCH($A45,Riscos!$A$5:$A$154,0)),IFERROR(INDEX(Oportunidades!$C$5:$C$154,MATCH($A45,Oportunidades!$A$5:$A$154,0)),"ID não encontrado")))</f>
        <v>Incapacidade de demonstrar o desempenho ambiental e a eficácia das ações de eficiência por falta de submedição de energia e água por processo.</v>
      </c>
      <c r="C45" s="12" t="s">
        <v>347</v>
      </c>
      <c r="D45" s="13" t="s">
        <v>2727</v>
      </c>
      <c r="E45" s="13" t="s">
        <v>2728</v>
      </c>
      <c r="F45" s="13" t="s">
        <v>83</v>
      </c>
      <c r="G45" s="12" t="s">
        <v>102</v>
      </c>
      <c r="H45" s="13" t="s">
        <v>2729</v>
      </c>
      <c r="I45" s="13" t="s">
        <v>2730</v>
      </c>
      <c r="J45" s="13" t="s">
        <v>2425</v>
      </c>
      <c r="K45" s="13" t="s">
        <v>2731</v>
      </c>
      <c r="L45" s="13" t="s">
        <v>2732</v>
      </c>
      <c r="M45" s="16"/>
      <c r="N45" s="145" t="str">
        <f t="shared" ca="1" si="1"/>
        <v>Sem verificação</v>
      </c>
    </row>
    <row r="46" spans="1:14" ht="18" customHeight="1">
      <c r="A46" s="115" t="s">
        <v>2606</v>
      </c>
      <c r="B46" s="41" t="str">
        <f>IF($A46="","",IFERROR(INDEX(Riscos!$C$5:$C$154,MATCH($A46,Riscos!$A$5:$A$154,0)),IFERROR(INDEX(Oportunidades!$C$5:$C$154,MATCH($A46,Oportunidades!$A$5:$A$154,0)),"ID não encontrado")))</f>
        <v>Incapacidade de demonstrar o desempenho ambiental e a eficácia das ações de eficiência por falta de submedição de energia e água por processo.</v>
      </c>
      <c r="C46" s="12" t="s">
        <v>347</v>
      </c>
      <c r="D46" s="13" t="s">
        <v>2733</v>
      </c>
      <c r="E46" s="13" t="s">
        <v>2734</v>
      </c>
      <c r="F46" s="13" t="s">
        <v>351</v>
      </c>
      <c r="G46" s="12" t="s">
        <v>348</v>
      </c>
      <c r="H46" s="13" t="s">
        <v>2735</v>
      </c>
      <c r="I46" s="13" t="s">
        <v>2736</v>
      </c>
      <c r="J46" s="13" t="s">
        <v>84</v>
      </c>
      <c r="K46" s="13" t="s">
        <v>2737</v>
      </c>
      <c r="L46" s="13" t="s">
        <v>2440</v>
      </c>
      <c r="M46" s="16"/>
      <c r="N46" s="145" t="str">
        <f t="shared" ca="1" si="1"/>
        <v>Sem verificação</v>
      </c>
    </row>
    <row r="47" spans="1:14" ht="18" customHeight="1">
      <c r="A47" s="115" t="s">
        <v>2606</v>
      </c>
      <c r="B47" s="41" t="str">
        <f>IF($A47="","",IFERROR(INDEX(Riscos!$C$5:$C$154,MATCH($A47,Riscos!$A$5:$A$154,0)),IFERROR(INDEX(Oportunidades!$C$5:$C$154,MATCH($A47,Oportunidades!$A$5:$A$154,0)),"ID não encontrado")))</f>
        <v>Incapacidade de demonstrar o desempenho ambiental e a eficácia das ações de eficiência por falta de submedição de energia e água por processo.</v>
      </c>
      <c r="C47" s="12" t="s">
        <v>349</v>
      </c>
      <c r="D47" s="13" t="s">
        <v>2738</v>
      </c>
      <c r="E47" s="13" t="s">
        <v>2739</v>
      </c>
      <c r="F47" s="13" t="s">
        <v>350</v>
      </c>
      <c r="G47" s="12" t="s">
        <v>102</v>
      </c>
      <c r="H47" s="13" t="s">
        <v>2740</v>
      </c>
      <c r="I47" s="13" t="s">
        <v>2741</v>
      </c>
      <c r="J47" s="13" t="s">
        <v>2425</v>
      </c>
      <c r="K47" s="13" t="s">
        <v>2742</v>
      </c>
      <c r="L47" s="13" t="s">
        <v>2743</v>
      </c>
      <c r="M47" s="16"/>
      <c r="N47" s="145" t="str">
        <f t="shared" ca="1" si="1"/>
        <v>Sem verificação</v>
      </c>
    </row>
    <row r="48" spans="1:14" ht="18" customHeight="1">
      <c r="A48" s="115" t="s">
        <v>2608</v>
      </c>
      <c r="B48" s="41" t="str">
        <f>IF($A48="","",IFERROR(INDEX(Riscos!$C$5:$C$154,MATCH($A48,Riscos!$A$5:$A$154,0)),IFERROR(INDEX(Oportunidades!$C$5:$C$154,MATCH($A48,Oportunidades!$A$5:$A$154,0)),"ID não encontrado")))</f>
        <v>Lotes de resina fora de especificação e declarações de conteúdo reciclado não verificadas de fornecedores spot (SUP-005) e de PCR.</v>
      </c>
      <c r="C48" s="12" t="s">
        <v>347</v>
      </c>
      <c r="D48" s="13" t="s">
        <v>2744</v>
      </c>
      <c r="E48" s="13" t="s">
        <v>2745</v>
      </c>
      <c r="F48" s="13" t="s">
        <v>351</v>
      </c>
      <c r="G48" s="12" t="s">
        <v>71</v>
      </c>
      <c r="H48" s="13" t="s">
        <v>2746</v>
      </c>
      <c r="I48" s="13" t="s">
        <v>2747</v>
      </c>
      <c r="J48" s="13" t="s">
        <v>103</v>
      </c>
      <c r="K48" s="13" t="s">
        <v>2748</v>
      </c>
      <c r="L48" s="13" t="s">
        <v>2749</v>
      </c>
      <c r="M48" s="16"/>
      <c r="N48" s="145" t="str">
        <f t="shared" ca="1" si="1"/>
        <v>Sem verificação</v>
      </c>
    </row>
    <row r="49" spans="1:14" ht="18" customHeight="1">
      <c r="A49" s="115" t="s">
        <v>2608</v>
      </c>
      <c r="B49" s="41" t="str">
        <f>IF($A49="","",IFERROR(INDEX(Riscos!$C$5:$C$154,MATCH($A49,Riscos!$A$5:$A$154,0)),IFERROR(INDEX(Oportunidades!$C$5:$C$154,MATCH($A49,Oportunidades!$A$5:$A$154,0)),"ID não encontrado")))</f>
        <v>Lotes de resina fora de especificação e declarações de conteúdo reciclado não verificadas de fornecedores spot (SUP-005) e de PCR.</v>
      </c>
      <c r="C49" s="12" t="s">
        <v>347</v>
      </c>
      <c r="D49" s="13" t="s">
        <v>2750</v>
      </c>
      <c r="E49" s="13" t="s">
        <v>2751</v>
      </c>
      <c r="F49" s="13" t="s">
        <v>83</v>
      </c>
      <c r="G49" s="12" t="s">
        <v>348</v>
      </c>
      <c r="H49" s="13" t="s">
        <v>2752</v>
      </c>
      <c r="I49" s="13" t="s">
        <v>2753</v>
      </c>
      <c r="J49" s="13" t="s">
        <v>2469</v>
      </c>
      <c r="K49" s="13" t="s">
        <v>2754</v>
      </c>
      <c r="L49" s="13" t="s">
        <v>2755</v>
      </c>
      <c r="M49" s="16"/>
      <c r="N49" s="145" t="str">
        <f t="shared" ca="1" si="1"/>
        <v>Sem verificação</v>
      </c>
    </row>
    <row r="50" spans="1:14" ht="18" customHeight="1">
      <c r="A50" s="115" t="s">
        <v>2608</v>
      </c>
      <c r="B50" s="41" t="str">
        <f>IF($A50="","",IFERROR(INDEX(Riscos!$C$5:$C$154,MATCH($A50,Riscos!$A$5:$A$154,0)),IFERROR(INDEX(Oportunidades!$C$5:$C$154,MATCH($A50,Oportunidades!$A$5:$A$154,0)),"ID não encontrado")))</f>
        <v>Lotes de resina fora de especificação e declarações de conteúdo reciclado não verificadas de fornecedores spot (SUP-005) e de PCR.</v>
      </c>
      <c r="C50" s="12" t="s">
        <v>349</v>
      </c>
      <c r="D50" s="13" t="s">
        <v>2756</v>
      </c>
      <c r="E50" s="13" t="s">
        <v>2757</v>
      </c>
      <c r="F50" s="13" t="s">
        <v>350</v>
      </c>
      <c r="G50" s="12" t="s">
        <v>102</v>
      </c>
      <c r="H50" s="13" t="s">
        <v>2758</v>
      </c>
      <c r="I50" s="13" t="s">
        <v>2759</v>
      </c>
      <c r="J50" s="13" t="s">
        <v>2760</v>
      </c>
      <c r="K50" s="13" t="s">
        <v>2761</v>
      </c>
      <c r="L50" s="13" t="s">
        <v>1514</v>
      </c>
      <c r="M50" s="16"/>
      <c r="N50" s="145" t="str">
        <f t="shared" ca="1" si="1"/>
        <v>Sem verificação</v>
      </c>
    </row>
    <row r="51" spans="1:14" ht="18" customHeight="1">
      <c r="A51" s="115" t="s">
        <v>2609</v>
      </c>
      <c r="B51" s="41" t="str">
        <f>IF($A51="","",IFERROR(INDEX(Riscos!$C$5:$C$154,MATCH($A51,Riscos!$A$5:$A$154,0)),IFERROR(INDEX(Oportunidades!$C$5:$C$154,MATCH($A51,Oportunidades!$A$5:$A$154,0)),"ID não encontrado")))</f>
        <v>Perdas de granulado de plástico na descarga de silos e big bags chegam à rede pluvial e ao meio aquático.</v>
      </c>
      <c r="C51" s="12" t="s">
        <v>347</v>
      </c>
      <c r="D51" s="13" t="s">
        <v>2762</v>
      </c>
      <c r="E51" s="13" t="s">
        <v>2763</v>
      </c>
      <c r="F51" s="13" t="s">
        <v>83</v>
      </c>
      <c r="G51" s="12" t="s">
        <v>102</v>
      </c>
      <c r="H51" s="13" t="s">
        <v>2764</v>
      </c>
      <c r="I51" s="13" t="s">
        <v>2765</v>
      </c>
      <c r="J51" s="13" t="s">
        <v>2766</v>
      </c>
      <c r="K51" s="13" t="s">
        <v>2487</v>
      </c>
      <c r="L51" s="13" t="s">
        <v>2767</v>
      </c>
      <c r="M51" s="16"/>
      <c r="N51" s="145" t="str">
        <f t="shared" ca="1" si="1"/>
        <v>Sem verificação</v>
      </c>
    </row>
    <row r="52" spans="1:14" ht="18" customHeight="1">
      <c r="A52" s="115" t="s">
        <v>2609</v>
      </c>
      <c r="B52" s="41" t="str">
        <f>IF($A52="","",IFERROR(INDEX(Riscos!$C$5:$C$154,MATCH($A52,Riscos!$A$5:$A$154,0)),IFERROR(INDEX(Oportunidades!$C$5:$C$154,MATCH($A52,Oportunidades!$A$5:$A$154,0)),"ID não encontrado")))</f>
        <v>Perdas de granulado de plástico na descarga de silos e big bags chegam à rede pluvial e ao meio aquático.</v>
      </c>
      <c r="C52" s="12" t="s">
        <v>347</v>
      </c>
      <c r="D52" s="13" t="s">
        <v>2768</v>
      </c>
      <c r="E52" s="13" t="s">
        <v>2769</v>
      </c>
      <c r="F52" s="13" t="s">
        <v>73</v>
      </c>
      <c r="G52" s="12" t="s">
        <v>348</v>
      </c>
      <c r="H52" s="13" t="s">
        <v>2770</v>
      </c>
      <c r="I52" s="13" t="s">
        <v>2771</v>
      </c>
      <c r="J52" s="13" t="s">
        <v>2425</v>
      </c>
      <c r="K52" s="13" t="s">
        <v>2772</v>
      </c>
      <c r="L52" s="13" t="s">
        <v>2486</v>
      </c>
      <c r="M52" s="16"/>
      <c r="N52" s="145" t="str">
        <f t="shared" ca="1" si="1"/>
        <v>Sem verificação</v>
      </c>
    </row>
    <row r="53" spans="1:14" ht="18" customHeight="1">
      <c r="A53" s="115" t="s">
        <v>2609</v>
      </c>
      <c r="B53" s="41" t="str">
        <f>IF($A53="","",IFERROR(INDEX(Riscos!$C$5:$C$154,MATCH($A53,Riscos!$A$5:$A$154,0)),IFERROR(INDEX(Oportunidades!$C$5:$C$154,MATCH($A53,Oportunidades!$A$5:$A$154,0)),"ID não encontrado")))</f>
        <v>Perdas de granulado de plástico na descarga de silos e big bags chegam à rede pluvial e ao meio aquático.</v>
      </c>
      <c r="C53" s="12" t="s">
        <v>349</v>
      </c>
      <c r="D53" s="13" t="s">
        <v>2773</v>
      </c>
      <c r="E53" s="13" t="s">
        <v>2774</v>
      </c>
      <c r="F53" s="13" t="s">
        <v>350</v>
      </c>
      <c r="G53" s="12" t="s">
        <v>102</v>
      </c>
      <c r="H53" s="13" t="s">
        <v>2775</v>
      </c>
      <c r="I53" s="13" t="s">
        <v>2776</v>
      </c>
      <c r="J53" s="13" t="s">
        <v>2425</v>
      </c>
      <c r="K53" s="13" t="s">
        <v>2777</v>
      </c>
      <c r="L53" s="13" t="s">
        <v>2778</v>
      </c>
      <c r="M53" s="16"/>
      <c r="N53" s="145" t="str">
        <f t="shared" ca="1" si="1"/>
        <v>Sem verificação</v>
      </c>
    </row>
    <row r="54" spans="1:14" ht="18" customHeight="1">
      <c r="A54" s="115"/>
      <c r="B54" s="41" t="str">
        <f>IF($A54="","",IFERROR(INDEX(Riscos!$C$5:$C$154,MATCH($A54,Riscos!$A$5:$A$154,0)),IFERROR(INDEX(Oportunidades!$C$5:$C$154,MATCH($A54,Oportunidades!$A$5:$A$154,0)),"ID não encontrado")))</f>
        <v/>
      </c>
      <c r="C54" s="12"/>
      <c r="D54" s="13"/>
      <c r="E54" s="13"/>
      <c r="F54" s="13"/>
      <c r="G54" s="12"/>
      <c r="H54" s="13"/>
      <c r="I54" s="13"/>
      <c r="J54" s="13"/>
      <c r="K54" s="13"/>
      <c r="L54" s="13"/>
      <c r="M54" s="16"/>
      <c r="N54" s="145" t="str">
        <f t="shared" ca="1" si="1"/>
        <v/>
      </c>
    </row>
    <row r="55" spans="1:14" ht="18" customHeight="1">
      <c r="A55" s="115"/>
      <c r="B55" s="41" t="str">
        <f>IF($A55="","",IFERROR(INDEX(Riscos!$C$5:$C$154,MATCH($A55,Riscos!$A$5:$A$154,0)),IFERROR(INDEX(Oportunidades!$C$5:$C$154,MATCH($A55,Oportunidades!$A$5:$A$154,0)),"ID não encontrado")))</f>
        <v/>
      </c>
      <c r="C55" s="12"/>
      <c r="D55" s="13"/>
      <c r="E55" s="13"/>
      <c r="F55" s="13"/>
      <c r="G55" s="12"/>
      <c r="H55" s="13"/>
      <c r="I55" s="13"/>
      <c r="J55" s="13"/>
      <c r="K55" s="13"/>
      <c r="L55" s="13"/>
      <c r="M55" s="16"/>
      <c r="N55" s="145" t="str">
        <f t="shared" ca="1" si="1"/>
        <v/>
      </c>
    </row>
    <row r="56" spans="1:14" ht="18" customHeight="1">
      <c r="A56" s="115"/>
      <c r="B56" s="41" t="str">
        <f>IF($A56="","",IFERROR(INDEX(Riscos!$C$5:$C$154,MATCH($A56,Riscos!$A$5:$A$154,0)),IFERROR(INDEX(Oportunidades!$C$5:$C$154,MATCH($A56,Oportunidades!$A$5:$A$154,0)),"ID não encontrado")))</f>
        <v/>
      </c>
      <c r="C56" s="12"/>
      <c r="D56" s="13"/>
      <c r="E56" s="13"/>
      <c r="F56" s="13"/>
      <c r="G56" s="12"/>
      <c r="H56" s="13"/>
      <c r="I56" s="13"/>
      <c r="J56" s="13"/>
      <c r="K56" s="13"/>
      <c r="L56" s="13"/>
      <c r="M56" s="16"/>
      <c r="N56" s="145" t="str">
        <f t="shared" ca="1" si="1"/>
        <v/>
      </c>
    </row>
    <row r="57" spans="1:14" ht="18" customHeight="1">
      <c r="A57" s="115"/>
      <c r="B57" s="41" t="str">
        <f>IF($A57="","",IFERROR(INDEX(Riscos!$C$5:$C$154,MATCH($A57,Riscos!$A$5:$A$154,0)),IFERROR(INDEX(Oportunidades!$C$5:$C$154,MATCH($A57,Oportunidades!$A$5:$A$154,0)),"ID não encontrado")))</f>
        <v/>
      </c>
      <c r="C57" s="12"/>
      <c r="D57" s="13"/>
      <c r="E57" s="13"/>
      <c r="F57" s="13"/>
      <c r="G57" s="12"/>
      <c r="H57" s="13"/>
      <c r="I57" s="13"/>
      <c r="J57" s="13"/>
      <c r="K57" s="13"/>
      <c r="L57" s="13"/>
      <c r="M57" s="16"/>
      <c r="N57" s="145" t="str">
        <f t="shared" ca="1" si="1"/>
        <v/>
      </c>
    </row>
    <row r="58" spans="1:14" ht="18" customHeight="1">
      <c r="A58" s="115"/>
      <c r="B58" s="41" t="str">
        <f>IF($A58="","",IFERROR(INDEX(Riscos!$C$5:$C$154,MATCH($A58,Riscos!$A$5:$A$154,0)),IFERROR(INDEX(Oportunidades!$C$5:$C$154,MATCH($A58,Oportunidades!$A$5:$A$154,0)),"ID não encontrado")))</f>
        <v/>
      </c>
      <c r="C58" s="12"/>
      <c r="D58" s="13"/>
      <c r="E58" s="13"/>
      <c r="F58" s="13"/>
      <c r="G58" s="12"/>
      <c r="H58" s="13"/>
      <c r="I58" s="13"/>
      <c r="J58" s="13"/>
      <c r="K58" s="13"/>
      <c r="L58" s="13"/>
      <c r="M58" s="16"/>
      <c r="N58" s="145" t="str">
        <f t="shared" ca="1" si="1"/>
        <v/>
      </c>
    </row>
    <row r="59" spans="1:14" ht="18" customHeight="1">
      <c r="A59" s="115"/>
      <c r="B59" s="41" t="str">
        <f>IF($A59="","",IFERROR(INDEX(Riscos!$C$5:$C$154,MATCH($A59,Riscos!$A$5:$A$154,0)),IFERROR(INDEX(Oportunidades!$C$5:$C$154,MATCH($A59,Oportunidades!$A$5:$A$154,0)),"ID não encontrado")))</f>
        <v/>
      </c>
      <c r="C59" s="12"/>
      <c r="D59" s="13"/>
      <c r="E59" s="13"/>
      <c r="F59" s="13"/>
      <c r="G59" s="12"/>
      <c r="H59" s="13"/>
      <c r="I59" s="13"/>
      <c r="J59" s="13"/>
      <c r="K59" s="13"/>
      <c r="L59" s="13"/>
      <c r="M59" s="16"/>
      <c r="N59" s="145" t="str">
        <f t="shared" ca="1" si="1"/>
        <v/>
      </c>
    </row>
    <row r="60" spans="1:14" ht="18" customHeight="1">
      <c r="A60" s="115"/>
      <c r="B60" s="41" t="str">
        <f>IF($A60="","",IFERROR(INDEX(Riscos!$C$5:$C$154,MATCH($A60,Riscos!$A$5:$A$154,0)),IFERROR(INDEX(Oportunidades!$C$5:$C$154,MATCH($A60,Oportunidades!$A$5:$A$154,0)),"ID não encontrado")))</f>
        <v/>
      </c>
      <c r="C60" s="12"/>
      <c r="D60" s="13"/>
      <c r="E60" s="13"/>
      <c r="F60" s="13"/>
      <c r="G60" s="12"/>
      <c r="H60" s="13"/>
      <c r="I60" s="13"/>
      <c r="J60" s="13"/>
      <c r="K60" s="13"/>
      <c r="L60" s="13"/>
      <c r="M60" s="16"/>
      <c r="N60" s="145" t="str">
        <f t="shared" ca="1" si="1"/>
        <v/>
      </c>
    </row>
    <row r="61" spans="1:14" ht="18" customHeight="1">
      <c r="A61" s="115"/>
      <c r="B61" s="41" t="str">
        <f>IF($A61="","",IFERROR(INDEX(Riscos!$C$5:$C$154,MATCH($A61,Riscos!$A$5:$A$154,0)),IFERROR(INDEX(Oportunidades!$C$5:$C$154,MATCH($A61,Oportunidades!$A$5:$A$154,0)),"ID não encontrado")))</f>
        <v/>
      </c>
      <c r="C61" s="12"/>
      <c r="D61" s="13"/>
      <c r="E61" s="13"/>
      <c r="F61" s="13"/>
      <c r="G61" s="12"/>
      <c r="H61" s="13"/>
      <c r="I61" s="13"/>
      <c r="J61" s="13"/>
      <c r="K61" s="13"/>
      <c r="L61" s="13"/>
      <c r="M61" s="16"/>
      <c r="N61" s="145" t="str">
        <f t="shared" ca="1" si="1"/>
        <v/>
      </c>
    </row>
    <row r="62" spans="1:14" ht="18" customHeight="1">
      <c r="A62" s="115"/>
      <c r="B62" s="41" t="str">
        <f>IF($A62="","",IFERROR(INDEX(Riscos!$C$5:$C$154,MATCH($A62,Riscos!$A$5:$A$154,0)),IFERROR(INDEX(Oportunidades!$C$5:$C$154,MATCH($A62,Oportunidades!$A$5:$A$154,0)),"ID não encontrado")))</f>
        <v/>
      </c>
      <c r="C62" s="12"/>
      <c r="D62" s="13"/>
      <c r="E62" s="13"/>
      <c r="F62" s="13"/>
      <c r="G62" s="12"/>
      <c r="H62" s="13"/>
      <c r="I62" s="13"/>
      <c r="J62" s="13"/>
      <c r="K62" s="13"/>
      <c r="L62" s="13"/>
      <c r="M62" s="16"/>
      <c r="N62" s="145" t="str">
        <f t="shared" ca="1" si="1"/>
        <v/>
      </c>
    </row>
    <row r="63" spans="1:14" ht="18" customHeight="1">
      <c r="A63" s="115"/>
      <c r="B63" s="41" t="str">
        <f>IF($A63="","",IFERROR(INDEX(Riscos!$C$5:$C$154,MATCH($A63,Riscos!$A$5:$A$154,0)),IFERROR(INDEX(Oportunidades!$C$5:$C$154,MATCH($A63,Oportunidades!$A$5:$A$154,0)),"ID não encontrado")))</f>
        <v/>
      </c>
      <c r="C63" s="12"/>
      <c r="D63" s="13"/>
      <c r="E63" s="13"/>
      <c r="F63" s="13"/>
      <c r="G63" s="12"/>
      <c r="H63" s="13"/>
      <c r="I63" s="13"/>
      <c r="J63" s="13"/>
      <c r="K63" s="13"/>
      <c r="L63" s="13"/>
      <c r="M63" s="16"/>
      <c r="N63" s="145" t="str">
        <f t="shared" ca="1" si="1"/>
        <v/>
      </c>
    </row>
    <row r="64" spans="1:14" ht="18" customHeight="1">
      <c r="A64" s="115"/>
      <c r="B64" s="41" t="str">
        <f>IF($A64="","",IFERROR(INDEX(Riscos!$C$5:$C$154,MATCH($A64,Riscos!$A$5:$A$154,0)),IFERROR(INDEX(Oportunidades!$C$5:$C$154,MATCH($A64,Oportunidades!$A$5:$A$154,0)),"ID não encontrado")))</f>
        <v/>
      </c>
      <c r="C64" s="12"/>
      <c r="D64" s="13"/>
      <c r="E64" s="13"/>
      <c r="F64" s="13"/>
      <c r="G64" s="12"/>
      <c r="H64" s="13"/>
      <c r="I64" s="13"/>
      <c r="J64" s="13"/>
      <c r="K64" s="13"/>
      <c r="L64" s="13"/>
      <c r="M64" s="16"/>
      <c r="N64" s="145" t="str">
        <f t="shared" ca="1" si="1"/>
        <v/>
      </c>
    </row>
    <row r="65" spans="1:14" ht="18" customHeight="1">
      <c r="A65" s="115"/>
      <c r="B65" s="41" t="str">
        <f>IF($A65="","",IFERROR(INDEX(Riscos!$C$5:$C$154,MATCH($A65,Riscos!$A$5:$A$154,0)),IFERROR(INDEX(Oportunidades!$C$5:$C$154,MATCH($A65,Oportunidades!$A$5:$A$154,0)),"ID não encontrado")))</f>
        <v/>
      </c>
      <c r="C65" s="12"/>
      <c r="D65" s="13"/>
      <c r="E65" s="13"/>
      <c r="F65" s="13"/>
      <c r="G65" s="12"/>
      <c r="H65" s="13"/>
      <c r="I65" s="13"/>
      <c r="J65" s="13"/>
      <c r="K65" s="13"/>
      <c r="L65" s="13"/>
      <c r="M65" s="16"/>
      <c r="N65" s="145" t="str">
        <f t="shared" ca="1" si="1"/>
        <v/>
      </c>
    </row>
    <row r="66" spans="1:14" ht="18" customHeight="1">
      <c r="A66" s="115"/>
      <c r="B66" s="41" t="str">
        <f>IF($A66="","",IFERROR(INDEX(Riscos!$C$5:$C$154,MATCH($A66,Riscos!$A$5:$A$154,0)),IFERROR(INDEX(Oportunidades!$C$5:$C$154,MATCH($A66,Oportunidades!$A$5:$A$154,0)),"ID não encontrado")))</f>
        <v/>
      </c>
      <c r="C66" s="12"/>
      <c r="D66" s="13"/>
      <c r="E66" s="13"/>
      <c r="F66" s="13"/>
      <c r="G66" s="12"/>
      <c r="H66" s="13"/>
      <c r="I66" s="13"/>
      <c r="J66" s="13"/>
      <c r="K66" s="13"/>
      <c r="L66" s="13"/>
      <c r="M66" s="16"/>
      <c r="N66" s="145" t="str">
        <f t="shared" ca="1" si="1"/>
        <v/>
      </c>
    </row>
    <row r="67" spans="1:14" ht="18" customHeight="1">
      <c r="A67" s="115"/>
      <c r="B67" s="41" t="str">
        <f>IF($A67="","",IFERROR(INDEX(Riscos!$C$5:$C$154,MATCH($A67,Riscos!$A$5:$A$154,0)),IFERROR(INDEX(Oportunidades!$C$5:$C$154,MATCH($A67,Oportunidades!$A$5:$A$154,0)),"ID não encontrado")))</f>
        <v/>
      </c>
      <c r="C67" s="12"/>
      <c r="D67" s="13"/>
      <c r="E67" s="13"/>
      <c r="F67" s="13"/>
      <c r="G67" s="12"/>
      <c r="H67" s="13"/>
      <c r="I67" s="13"/>
      <c r="J67" s="13"/>
      <c r="K67" s="13"/>
      <c r="L67" s="13"/>
      <c r="M67" s="16"/>
      <c r="N67" s="145" t="str">
        <f t="shared" ca="1" si="1"/>
        <v/>
      </c>
    </row>
    <row r="68" spans="1:14" ht="18" customHeight="1">
      <c r="A68" s="115"/>
      <c r="B68" s="41" t="str">
        <f>IF($A68="","",IFERROR(INDEX(Riscos!$C$5:$C$154,MATCH($A68,Riscos!$A$5:$A$154,0)),IFERROR(INDEX(Oportunidades!$C$5:$C$154,MATCH($A68,Oportunidades!$A$5:$A$154,0)),"ID não encontrado")))</f>
        <v/>
      </c>
      <c r="C68" s="12"/>
      <c r="D68" s="13"/>
      <c r="E68" s="13"/>
      <c r="F68" s="13"/>
      <c r="G68" s="12"/>
      <c r="H68" s="13"/>
      <c r="I68" s="13"/>
      <c r="J68" s="13"/>
      <c r="K68" s="13"/>
      <c r="L68" s="13"/>
      <c r="M68" s="16"/>
      <c r="N68" s="145" t="str">
        <f t="shared" ca="1" si="1"/>
        <v/>
      </c>
    </row>
    <row r="69" spans="1:14" ht="18" customHeight="1">
      <c r="A69" s="115"/>
      <c r="B69" s="41" t="str">
        <f>IF($A69="","",IFERROR(INDEX(Riscos!$C$5:$C$154,MATCH($A69,Riscos!$A$5:$A$154,0)),IFERROR(INDEX(Oportunidades!$C$5:$C$154,MATCH($A69,Oportunidades!$A$5:$A$154,0)),"ID não encontrado")))</f>
        <v/>
      </c>
      <c r="C69" s="12"/>
      <c r="D69" s="13"/>
      <c r="E69" s="13"/>
      <c r="F69" s="13"/>
      <c r="G69" s="12"/>
      <c r="H69" s="13"/>
      <c r="I69" s="13"/>
      <c r="J69" s="13"/>
      <c r="K69" s="13"/>
      <c r="L69" s="13"/>
      <c r="M69" s="16"/>
      <c r="N69" s="145" t="str">
        <f t="shared" ca="1" si="1"/>
        <v/>
      </c>
    </row>
    <row r="70" spans="1:14" ht="18" customHeight="1">
      <c r="A70" s="115"/>
      <c r="B70" s="41" t="str">
        <f>IF($A70="","",IFERROR(INDEX(Riscos!$C$5:$C$154,MATCH($A70,Riscos!$A$5:$A$154,0)),IFERROR(INDEX(Oportunidades!$C$5:$C$154,MATCH($A70,Oportunidades!$A$5:$A$154,0)),"ID não encontrado")))</f>
        <v/>
      </c>
      <c r="C70" s="12"/>
      <c r="D70" s="13"/>
      <c r="E70" s="13"/>
      <c r="F70" s="13"/>
      <c r="G70" s="12"/>
      <c r="H70" s="13"/>
      <c r="I70" s="13"/>
      <c r="J70" s="13"/>
      <c r="K70" s="13"/>
      <c r="L70" s="13"/>
      <c r="M70" s="16"/>
      <c r="N70" s="145" t="str">
        <f t="shared" ca="1" si="1"/>
        <v/>
      </c>
    </row>
    <row r="71" spans="1:14" ht="18" customHeight="1">
      <c r="A71" s="115"/>
      <c r="B71" s="41" t="str">
        <f>IF($A71="","",IFERROR(INDEX(Riscos!$C$5:$C$154,MATCH($A71,Riscos!$A$5:$A$154,0)),IFERROR(INDEX(Oportunidades!$C$5:$C$154,MATCH($A71,Oportunidades!$A$5:$A$154,0)),"ID não encontrado")))</f>
        <v/>
      </c>
      <c r="C71" s="12"/>
      <c r="D71" s="13"/>
      <c r="E71" s="13"/>
      <c r="F71" s="13"/>
      <c r="G71" s="12"/>
      <c r="H71" s="13"/>
      <c r="I71" s="13"/>
      <c r="J71" s="13"/>
      <c r="K71" s="13"/>
      <c r="L71" s="13"/>
      <c r="M71" s="16"/>
      <c r="N71" s="145" t="str">
        <f t="shared" ref="N71:N86" ca="1" si="2">IF($E71="","",IF($M71="","Sem verificação",IF(TODAY()-$M71&gt;365,"Verificação vencida","OK")))</f>
        <v/>
      </c>
    </row>
    <row r="72" spans="1:14" ht="18" customHeight="1">
      <c r="A72" s="115"/>
      <c r="B72" s="41" t="str">
        <f>IF($A72="","",IFERROR(INDEX(Riscos!$C$5:$C$154,MATCH($A72,Riscos!$A$5:$A$154,0)),IFERROR(INDEX(Oportunidades!$C$5:$C$154,MATCH($A72,Oportunidades!$A$5:$A$154,0)),"ID não encontrado")))</f>
        <v/>
      </c>
      <c r="C72" s="12"/>
      <c r="D72" s="13"/>
      <c r="E72" s="13"/>
      <c r="F72" s="13"/>
      <c r="G72" s="12"/>
      <c r="H72" s="13"/>
      <c r="I72" s="13"/>
      <c r="J72" s="13"/>
      <c r="K72" s="13"/>
      <c r="L72" s="13"/>
      <c r="M72" s="16"/>
      <c r="N72" s="145" t="str">
        <f t="shared" ca="1" si="2"/>
        <v/>
      </c>
    </row>
    <row r="73" spans="1:14" ht="18" customHeight="1">
      <c r="A73" s="115"/>
      <c r="B73" s="41" t="str">
        <f>IF($A73="","",IFERROR(INDEX(Riscos!$C$5:$C$154,MATCH($A73,Riscos!$A$5:$A$154,0)),IFERROR(INDEX(Oportunidades!$C$5:$C$154,MATCH($A73,Oportunidades!$A$5:$A$154,0)),"ID não encontrado")))</f>
        <v/>
      </c>
      <c r="C73" s="12"/>
      <c r="D73" s="13"/>
      <c r="E73" s="13"/>
      <c r="F73" s="13"/>
      <c r="G73" s="12"/>
      <c r="H73" s="13"/>
      <c r="I73" s="13"/>
      <c r="J73" s="13"/>
      <c r="K73" s="13"/>
      <c r="L73" s="13"/>
      <c r="M73" s="16"/>
      <c r="N73" s="145" t="str">
        <f t="shared" ca="1" si="2"/>
        <v/>
      </c>
    </row>
    <row r="74" spans="1:14" ht="18" customHeight="1">
      <c r="A74" s="115"/>
      <c r="B74" s="41" t="str">
        <f>IF($A74="","",IFERROR(INDEX(Riscos!$C$5:$C$154,MATCH($A74,Riscos!$A$5:$A$154,0)),IFERROR(INDEX(Oportunidades!$C$5:$C$154,MATCH($A74,Oportunidades!$A$5:$A$154,0)),"ID não encontrado")))</f>
        <v/>
      </c>
      <c r="C74" s="12"/>
      <c r="D74" s="13"/>
      <c r="E74" s="13"/>
      <c r="F74" s="13"/>
      <c r="G74" s="12"/>
      <c r="H74" s="13"/>
      <c r="I74" s="13"/>
      <c r="J74" s="13"/>
      <c r="K74" s="13"/>
      <c r="L74" s="13"/>
      <c r="M74" s="16"/>
      <c r="N74" s="145" t="str">
        <f t="shared" ca="1" si="2"/>
        <v/>
      </c>
    </row>
    <row r="75" spans="1:14" ht="18" customHeight="1">
      <c r="A75" s="115"/>
      <c r="B75" s="41" t="str">
        <f>IF($A75="","",IFERROR(INDEX(Riscos!$C$5:$C$154,MATCH($A75,Riscos!$A$5:$A$154,0)),IFERROR(INDEX(Oportunidades!$C$5:$C$154,MATCH($A75,Oportunidades!$A$5:$A$154,0)),"ID não encontrado")))</f>
        <v/>
      </c>
      <c r="C75" s="12"/>
      <c r="D75" s="13"/>
      <c r="E75" s="13"/>
      <c r="F75" s="13"/>
      <c r="G75" s="12"/>
      <c r="H75" s="13"/>
      <c r="I75" s="13"/>
      <c r="J75" s="13"/>
      <c r="K75" s="13"/>
      <c r="L75" s="13"/>
      <c r="M75" s="16"/>
      <c r="N75" s="145" t="str">
        <f t="shared" ca="1" si="2"/>
        <v/>
      </c>
    </row>
    <row r="76" spans="1:14" ht="18" customHeight="1">
      <c r="A76" s="115"/>
      <c r="B76" s="41" t="str">
        <f>IF($A76="","",IFERROR(INDEX(Riscos!$C$5:$C$154,MATCH($A76,Riscos!$A$5:$A$154,0)),IFERROR(INDEX(Oportunidades!$C$5:$C$154,MATCH($A76,Oportunidades!$A$5:$A$154,0)),"ID não encontrado")))</f>
        <v/>
      </c>
      <c r="C76" s="12"/>
      <c r="D76" s="13"/>
      <c r="E76" s="13"/>
      <c r="F76" s="13"/>
      <c r="G76" s="12"/>
      <c r="H76" s="13"/>
      <c r="I76" s="13"/>
      <c r="J76" s="13"/>
      <c r="K76" s="13"/>
      <c r="L76" s="13"/>
      <c r="M76" s="16"/>
      <c r="N76" s="145" t="str">
        <f t="shared" ca="1" si="2"/>
        <v/>
      </c>
    </row>
    <row r="77" spans="1:14" ht="18" customHeight="1">
      <c r="A77" s="115"/>
      <c r="B77" s="41" t="str">
        <f>IF($A77="","",IFERROR(INDEX(Riscos!$C$5:$C$154,MATCH($A77,Riscos!$A$5:$A$154,0)),IFERROR(INDEX(Oportunidades!$C$5:$C$154,MATCH($A77,Oportunidades!$A$5:$A$154,0)),"ID não encontrado")))</f>
        <v/>
      </c>
      <c r="C77" s="12"/>
      <c r="D77" s="13"/>
      <c r="E77" s="13"/>
      <c r="F77" s="13"/>
      <c r="G77" s="12"/>
      <c r="H77" s="13"/>
      <c r="I77" s="13"/>
      <c r="J77" s="13"/>
      <c r="K77" s="13"/>
      <c r="L77" s="13"/>
      <c r="M77" s="16"/>
      <c r="N77" s="145" t="str">
        <f t="shared" ca="1" si="2"/>
        <v/>
      </c>
    </row>
    <row r="78" spans="1:14" ht="18" customHeight="1">
      <c r="A78" s="115"/>
      <c r="B78" s="41" t="str">
        <f>IF($A78="","",IFERROR(INDEX(Riscos!$C$5:$C$154,MATCH($A78,Riscos!$A$5:$A$154,0)),IFERROR(INDEX(Oportunidades!$C$5:$C$154,MATCH($A78,Oportunidades!$A$5:$A$154,0)),"ID não encontrado")))</f>
        <v/>
      </c>
      <c r="C78" s="12"/>
      <c r="D78" s="13"/>
      <c r="E78" s="13"/>
      <c r="F78" s="13"/>
      <c r="G78" s="12"/>
      <c r="H78" s="13"/>
      <c r="I78" s="13"/>
      <c r="J78" s="13"/>
      <c r="K78" s="13"/>
      <c r="L78" s="13"/>
      <c r="M78" s="16"/>
      <c r="N78" s="145" t="str">
        <f t="shared" ca="1" si="2"/>
        <v/>
      </c>
    </row>
    <row r="79" spans="1:14" ht="18" customHeight="1">
      <c r="A79" s="115"/>
      <c r="B79" s="41" t="str">
        <f>IF($A79="","",IFERROR(INDEX(Riscos!$C$5:$C$154,MATCH($A79,Riscos!$A$5:$A$154,0)),IFERROR(INDEX(Oportunidades!$C$5:$C$154,MATCH($A79,Oportunidades!$A$5:$A$154,0)),"ID não encontrado")))</f>
        <v/>
      </c>
      <c r="C79" s="12"/>
      <c r="D79" s="13"/>
      <c r="E79" s="13"/>
      <c r="F79" s="13"/>
      <c r="G79" s="12"/>
      <c r="H79" s="13"/>
      <c r="I79" s="13"/>
      <c r="J79" s="13"/>
      <c r="K79" s="13"/>
      <c r="L79" s="13"/>
      <c r="M79" s="16"/>
      <c r="N79" s="145" t="str">
        <f t="shared" ca="1" si="2"/>
        <v/>
      </c>
    </row>
    <row r="80" spans="1:14" ht="18" customHeight="1">
      <c r="A80" s="115"/>
      <c r="B80" s="41" t="str">
        <f>IF($A80="","",IFERROR(INDEX(Riscos!$C$5:$C$154,MATCH($A80,Riscos!$A$5:$A$154,0)),IFERROR(INDEX(Oportunidades!$C$5:$C$154,MATCH($A80,Oportunidades!$A$5:$A$154,0)),"ID não encontrado")))</f>
        <v/>
      </c>
      <c r="C80" s="12"/>
      <c r="D80" s="13"/>
      <c r="E80" s="13"/>
      <c r="F80" s="13"/>
      <c r="G80" s="12"/>
      <c r="H80" s="13"/>
      <c r="I80" s="13"/>
      <c r="J80" s="13"/>
      <c r="K80" s="13"/>
      <c r="L80" s="13"/>
      <c r="M80" s="16"/>
      <c r="N80" s="145" t="str">
        <f t="shared" ca="1" si="2"/>
        <v/>
      </c>
    </row>
    <row r="81" spans="1:14" ht="18" customHeight="1">
      <c r="A81" s="115"/>
      <c r="B81" s="41" t="str">
        <f>IF($A81="","",IFERROR(INDEX(Riscos!$C$5:$C$154,MATCH($A81,Riscos!$A$5:$A$154,0)),IFERROR(INDEX(Oportunidades!$C$5:$C$154,MATCH($A81,Oportunidades!$A$5:$A$154,0)),"ID não encontrado")))</f>
        <v/>
      </c>
      <c r="C81" s="12"/>
      <c r="D81" s="13"/>
      <c r="E81" s="13"/>
      <c r="F81" s="13"/>
      <c r="G81" s="12"/>
      <c r="H81" s="13"/>
      <c r="I81" s="13"/>
      <c r="J81" s="13"/>
      <c r="K81" s="13"/>
      <c r="L81" s="13"/>
      <c r="M81" s="16"/>
      <c r="N81" s="145" t="str">
        <f t="shared" ca="1" si="2"/>
        <v/>
      </c>
    </row>
    <row r="82" spans="1:14" ht="18" customHeight="1">
      <c r="A82" s="115"/>
      <c r="B82" s="41" t="str">
        <f>IF($A82="","",IFERROR(INDEX(Riscos!$C$5:$C$154,MATCH($A82,Riscos!$A$5:$A$154,0)),IFERROR(INDEX(Oportunidades!$C$5:$C$154,MATCH($A82,Oportunidades!$A$5:$A$154,0)),"ID não encontrado")))</f>
        <v/>
      </c>
      <c r="C82" s="12"/>
      <c r="D82" s="13"/>
      <c r="E82" s="13"/>
      <c r="F82" s="13"/>
      <c r="G82" s="12"/>
      <c r="H82" s="13"/>
      <c r="I82" s="13"/>
      <c r="J82" s="13"/>
      <c r="K82" s="13"/>
      <c r="L82" s="13"/>
      <c r="M82" s="16"/>
      <c r="N82" s="145" t="str">
        <f t="shared" ca="1" si="2"/>
        <v/>
      </c>
    </row>
    <row r="83" spans="1:14" ht="18" customHeight="1">
      <c r="A83" s="115"/>
      <c r="B83" s="41" t="str">
        <f>IF($A83="","",IFERROR(INDEX(Riscos!$C$5:$C$154,MATCH($A83,Riscos!$A$5:$A$154,0)),IFERROR(INDEX(Oportunidades!$C$5:$C$154,MATCH($A83,Oportunidades!$A$5:$A$154,0)),"ID não encontrado")))</f>
        <v/>
      </c>
      <c r="C83" s="12"/>
      <c r="D83" s="13"/>
      <c r="E83" s="13"/>
      <c r="F83" s="13"/>
      <c r="G83" s="12"/>
      <c r="H83" s="13"/>
      <c r="I83" s="13"/>
      <c r="J83" s="13"/>
      <c r="K83" s="13"/>
      <c r="L83" s="13"/>
      <c r="M83" s="16"/>
      <c r="N83" s="145" t="str">
        <f t="shared" ca="1" si="2"/>
        <v/>
      </c>
    </row>
    <row r="84" spans="1:14" ht="18" customHeight="1">
      <c r="A84" s="115"/>
      <c r="B84" s="41" t="str">
        <f>IF($A84="","",IFERROR(INDEX(Riscos!$C$5:$C$154,MATCH($A84,Riscos!$A$5:$A$154,0)),IFERROR(INDEX(Oportunidades!$C$5:$C$154,MATCH($A84,Oportunidades!$A$5:$A$154,0)),"ID não encontrado")))</f>
        <v/>
      </c>
      <c r="C84" s="12"/>
      <c r="D84" s="13"/>
      <c r="E84" s="13"/>
      <c r="F84" s="13"/>
      <c r="G84" s="12"/>
      <c r="H84" s="13"/>
      <c r="I84" s="13"/>
      <c r="J84" s="13"/>
      <c r="K84" s="13"/>
      <c r="L84" s="13"/>
      <c r="M84" s="16"/>
      <c r="N84" s="145" t="str">
        <f t="shared" ca="1" si="2"/>
        <v/>
      </c>
    </row>
    <row r="85" spans="1:14" ht="18" customHeight="1">
      <c r="A85" s="115"/>
      <c r="B85" s="41" t="str">
        <f>IF($A85="","",IFERROR(INDEX(Riscos!$C$5:$C$154,MATCH($A85,Riscos!$A$5:$A$154,0)),IFERROR(INDEX(Oportunidades!$C$5:$C$154,MATCH($A85,Oportunidades!$A$5:$A$154,0)),"ID não encontrado")))</f>
        <v/>
      </c>
      <c r="C85" s="12"/>
      <c r="D85" s="13"/>
      <c r="E85" s="13"/>
      <c r="F85" s="13"/>
      <c r="G85" s="12"/>
      <c r="H85" s="13"/>
      <c r="I85" s="13"/>
      <c r="J85" s="13"/>
      <c r="K85" s="13"/>
      <c r="L85" s="13"/>
      <c r="M85" s="16"/>
      <c r="N85" s="145" t="str">
        <f t="shared" ca="1" si="2"/>
        <v/>
      </c>
    </row>
    <row r="86" spans="1:14" ht="18" customHeight="1">
      <c r="A86" s="118"/>
      <c r="B86" s="142" t="str">
        <f>IF($A86="","",IFERROR(INDEX(Riscos!$C$5:$C$154,MATCH($A86,Riscos!$A$5:$A$154,0)),IFERROR(INDEX(Oportunidades!$C$5:$C$154,MATCH($A86,Oportunidades!$A$5:$A$154,0)),"ID não encontrado")))</f>
        <v/>
      </c>
      <c r="C86" s="119"/>
      <c r="D86" s="120"/>
      <c r="E86" s="120"/>
      <c r="F86" s="120"/>
      <c r="G86" s="119"/>
      <c r="H86" s="120"/>
      <c r="I86" s="120"/>
      <c r="J86" s="120"/>
      <c r="K86" s="120"/>
      <c r="L86" s="120"/>
      <c r="M86" s="123"/>
      <c r="N86" s="149" t="str">
        <f t="shared" ca="1" si="2"/>
        <v/>
      </c>
    </row>
  </sheetData>
  <mergeCells count="3">
    <mergeCell ref="A1:N1"/>
    <mergeCell ref="A2:N2"/>
    <mergeCell ref="A4:N4"/>
  </mergeCells>
  <conditionalFormatting sqref="C7:C86">
    <cfRule type="cellIs" dxfId="54" priority="9" operator="equal">
      <formula>"Preventiva"</formula>
    </cfRule>
    <cfRule type="cellIs" dxfId="53" priority="10" operator="equal">
      <formula>"Reativa"</formula>
    </cfRule>
  </conditionalFormatting>
  <conditionalFormatting sqref="G7:G86">
    <cfRule type="cellIs" dxfId="52" priority="2" operator="equal">
      <formula>"Inexistente"</formula>
    </cfRule>
    <cfRule type="cellIs" dxfId="51" priority="3" operator="equal">
      <formula>"Baixa"</formula>
    </cfRule>
    <cfRule type="cellIs" dxfId="50" priority="4" operator="equal">
      <formula>"Média"</formula>
    </cfRule>
    <cfRule type="cellIs" dxfId="49" priority="5" operator="equal">
      <formula>"Alta"</formula>
    </cfRule>
  </conditionalFormatting>
  <conditionalFormatting sqref="N7:N86">
    <cfRule type="cellIs" dxfId="48" priority="6" operator="equal">
      <formula>"Sem verificação"</formula>
    </cfRule>
    <cfRule type="cellIs" dxfId="47" priority="7" operator="equal">
      <formula>"Verificação vencida"</formula>
    </cfRule>
    <cfRule type="cellIs" dxfId="46" priority="8" operator="equal">
      <formula>"OK"</formula>
    </cfRule>
  </conditionalFormatting>
  <dataValidations count="4">
    <dataValidation type="date" operator="greaterThan" allowBlank="1" showErrorMessage="1" sqref="M7:M86" xr:uid="{00000000-0002-0000-0500-000000000000}">
      <formula1>36526</formula1>
      <formula2>0</formula2>
    </dataValidation>
    <dataValidation type="list" allowBlank="1" showErrorMessage="1" sqref="C7:C86" xr:uid="{00000000-0002-0000-0500-000001000000}">
      <formula1>"Preventiva,Reativa"</formula1>
      <formula2>0</formula2>
    </dataValidation>
    <dataValidation type="list" allowBlank="1" showErrorMessage="1" sqref="F7:F86" xr:uid="{00000000-0002-0000-0500-000002000000}">
      <formula1>"Eliminação,Substituição,Controle de engenharia,Controle administrativo,EPI,Detecção / alarme,Resposta / recuperação"</formula1>
      <formula2>0</formula2>
    </dataValidation>
    <dataValidation type="list" allowBlank="1" showErrorMessage="1" sqref="G7:G86" xr:uid="{00000000-0002-0000-0500-000003000000}">
      <formula1>ListaEficacia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  <pageSetUpPr fitToPage="1"/>
  </sheetPr>
  <dimension ref="A1:M64"/>
  <sheetViews>
    <sheetView showGridLines="0" zoomScaleNormal="100" workbookViewId="0">
      <pane xSplit="3" ySplit="4" topLeftCell="D5" activePane="bottomRight" state="frozen"/>
      <selection activeCell="E8" sqref="E8:H8"/>
      <selection pane="topRight" activeCell="E8" sqref="E8:H8"/>
      <selection pane="bottomLeft" activeCell="E8" sqref="E8:H8"/>
      <selection pane="bottomRight" activeCell="E8" sqref="E8:H8"/>
    </sheetView>
  </sheetViews>
  <sheetFormatPr defaultColWidth="8.6640625" defaultRowHeight="14.4"/>
  <cols>
    <col min="1" max="1" width="13" customWidth="1"/>
    <col min="2" max="2" width="15" customWidth="1"/>
    <col min="3" max="4" width="30" customWidth="1"/>
    <col min="5" max="5" width="20" customWidth="1"/>
    <col min="6" max="6" width="14" customWidth="1"/>
    <col min="7" max="7" width="17" customWidth="1"/>
    <col min="8" max="8" width="20" customWidth="1"/>
    <col min="9" max="9" width="32" customWidth="1"/>
    <col min="10" max="10" width="15.5546875" customWidth="1"/>
    <col min="11" max="11" width="14.33203125" customWidth="1"/>
    <col min="12" max="12" width="15" customWidth="1"/>
    <col min="13" max="13" width="28.21875" customWidth="1"/>
  </cols>
  <sheetData>
    <row r="1" spans="1:13" ht="25.5" customHeight="1">
      <c r="A1" s="246" t="s">
        <v>353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</row>
    <row r="2" spans="1:13" ht="30" customHeight="1">
      <c r="A2" s="237" t="s">
        <v>2108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</row>
    <row r="4" spans="1:13" ht="42" customHeight="1">
      <c r="A4" s="134" t="s">
        <v>33</v>
      </c>
      <c r="B4" s="135" t="s">
        <v>354</v>
      </c>
      <c r="C4" s="135" t="s">
        <v>355</v>
      </c>
      <c r="D4" s="135" t="s">
        <v>356</v>
      </c>
      <c r="E4" s="135" t="s">
        <v>357</v>
      </c>
      <c r="F4" s="135" t="s">
        <v>358</v>
      </c>
      <c r="G4" s="135" t="s">
        <v>279</v>
      </c>
      <c r="H4" s="135" t="s">
        <v>359</v>
      </c>
      <c r="I4" s="135" t="s">
        <v>360</v>
      </c>
      <c r="J4" s="135" t="s">
        <v>361</v>
      </c>
      <c r="K4" s="135" t="s">
        <v>362</v>
      </c>
      <c r="L4" s="135" t="s">
        <v>346</v>
      </c>
      <c r="M4" s="150" t="s">
        <v>363</v>
      </c>
    </row>
    <row r="5" spans="1:13" ht="34.200000000000003">
      <c r="A5" s="132" t="s">
        <v>134</v>
      </c>
      <c r="B5" s="12" t="s">
        <v>364</v>
      </c>
      <c r="C5" s="13" t="s">
        <v>1515</v>
      </c>
      <c r="D5" s="13" t="s">
        <v>1516</v>
      </c>
      <c r="E5" s="13" t="s">
        <v>1517</v>
      </c>
      <c r="F5" s="12" t="s">
        <v>365</v>
      </c>
      <c r="G5" s="13" t="s">
        <v>1001</v>
      </c>
      <c r="H5" s="13" t="s">
        <v>366</v>
      </c>
      <c r="I5" s="13" t="s">
        <v>1518</v>
      </c>
      <c r="J5" s="16">
        <v>46366</v>
      </c>
      <c r="K5" s="17">
        <f t="shared" ref="K5:K36" si="0">IF(OR($J5="",$F5=""),"",IFERROR(IF(N(INDEX(FreqDias,MATCH($F5,ListaFreq,0)))=0,"",$J5+INDEX(FreqDias,MATCH($F5,ListaFreq,0))),""))</f>
        <v>46456</v>
      </c>
      <c r="L5" s="15" t="str">
        <f t="shared" ref="L5:L36" ca="1" si="1">IF($C5="","",IF($F5="","Sem frequência",IF(N(IFERROR(INDEX(FreqDias,MATCH($F5,ListaFreq,0)),0))=0,"Conforme programa",IF($J5="","Sem data",IF($K5&lt;TODAY(),"Atrasado",IF($K5-TODAY()&lt;=DiasAlerta,"Vence em breve","Em dia"))))))</f>
        <v>Em dia</v>
      </c>
      <c r="M5" s="117" t="s">
        <v>2824</v>
      </c>
    </row>
    <row r="6" spans="1:13" ht="22.8">
      <c r="A6" s="132" t="s">
        <v>134</v>
      </c>
      <c r="B6" s="12" t="s">
        <v>364</v>
      </c>
      <c r="C6" s="13" t="s">
        <v>1520</v>
      </c>
      <c r="D6" s="13" t="s">
        <v>1521</v>
      </c>
      <c r="E6" s="13" t="s">
        <v>1517</v>
      </c>
      <c r="F6" s="12" t="s">
        <v>365</v>
      </c>
      <c r="G6" s="13" t="s">
        <v>957</v>
      </c>
      <c r="H6" s="13" t="s">
        <v>366</v>
      </c>
      <c r="I6" s="13" t="s">
        <v>1518</v>
      </c>
      <c r="J6" s="16">
        <v>46366</v>
      </c>
      <c r="K6" s="17">
        <f t="shared" si="0"/>
        <v>46456</v>
      </c>
      <c r="L6" s="15" t="str">
        <f t="shared" ca="1" si="1"/>
        <v>Em dia</v>
      </c>
      <c r="M6" s="117" t="s">
        <v>1519</v>
      </c>
    </row>
    <row r="7" spans="1:13" ht="22.8">
      <c r="A7" s="132" t="s">
        <v>134</v>
      </c>
      <c r="B7" s="12" t="s">
        <v>364</v>
      </c>
      <c r="C7" s="13" t="s">
        <v>1522</v>
      </c>
      <c r="D7" s="13" t="s">
        <v>1523</v>
      </c>
      <c r="E7" s="13" t="s">
        <v>1517</v>
      </c>
      <c r="F7" s="12" t="s">
        <v>365</v>
      </c>
      <c r="G7" s="13" t="s">
        <v>898</v>
      </c>
      <c r="H7" s="13" t="s">
        <v>366</v>
      </c>
      <c r="I7" s="13" t="s">
        <v>1524</v>
      </c>
      <c r="J7" s="16">
        <v>46346</v>
      </c>
      <c r="K7" s="17">
        <f t="shared" si="0"/>
        <v>46436</v>
      </c>
      <c r="L7" s="15" t="str">
        <f t="shared" ca="1" si="1"/>
        <v>Em dia</v>
      </c>
      <c r="M7" s="117" t="s">
        <v>1525</v>
      </c>
    </row>
    <row r="8" spans="1:13" ht="22.8">
      <c r="A8" s="132" t="s">
        <v>134</v>
      </c>
      <c r="B8" s="12" t="s">
        <v>364</v>
      </c>
      <c r="C8" s="13" t="s">
        <v>1526</v>
      </c>
      <c r="D8" s="13" t="s">
        <v>368</v>
      </c>
      <c r="E8" s="13" t="s">
        <v>1527</v>
      </c>
      <c r="F8" s="12" t="s">
        <v>365</v>
      </c>
      <c r="G8" s="13" t="s">
        <v>1001</v>
      </c>
      <c r="H8" s="13" t="s">
        <v>366</v>
      </c>
      <c r="I8" s="13" t="s">
        <v>1528</v>
      </c>
      <c r="J8" s="16">
        <v>46366</v>
      </c>
      <c r="K8" s="17">
        <f t="shared" si="0"/>
        <v>46456</v>
      </c>
      <c r="L8" s="15" t="str">
        <f t="shared" ca="1" si="1"/>
        <v>Em dia</v>
      </c>
      <c r="M8" s="117" t="s">
        <v>2825</v>
      </c>
    </row>
    <row r="9" spans="1:13" ht="22.8">
      <c r="A9" s="132" t="s">
        <v>134</v>
      </c>
      <c r="B9" s="12" t="s">
        <v>364</v>
      </c>
      <c r="C9" s="13" t="s">
        <v>1529</v>
      </c>
      <c r="D9" s="13" t="s">
        <v>1530</v>
      </c>
      <c r="E9" s="13" t="s">
        <v>371</v>
      </c>
      <c r="F9" s="12" t="s">
        <v>403</v>
      </c>
      <c r="G9" s="13" t="s">
        <v>1493</v>
      </c>
      <c r="H9" s="13" t="s">
        <v>366</v>
      </c>
      <c r="I9" s="13" t="s">
        <v>1531</v>
      </c>
      <c r="J9" s="16">
        <v>46310</v>
      </c>
      <c r="K9" s="17">
        <f t="shared" si="0"/>
        <v>46490</v>
      </c>
      <c r="L9" s="15" t="str">
        <f t="shared" ca="1" si="1"/>
        <v>Em dia</v>
      </c>
      <c r="M9" s="117" t="s">
        <v>1532</v>
      </c>
    </row>
    <row r="10" spans="1:13" ht="22.8">
      <c r="A10" s="132" t="s">
        <v>134</v>
      </c>
      <c r="B10" s="12" t="s">
        <v>364</v>
      </c>
      <c r="C10" s="13" t="s">
        <v>1533</v>
      </c>
      <c r="D10" s="13" t="s">
        <v>1534</v>
      </c>
      <c r="E10" s="13" t="s">
        <v>1535</v>
      </c>
      <c r="F10" s="12" t="s">
        <v>326</v>
      </c>
      <c r="G10" s="13" t="s">
        <v>826</v>
      </c>
      <c r="H10" s="13" t="s">
        <v>366</v>
      </c>
      <c r="I10" s="13" t="s">
        <v>372</v>
      </c>
      <c r="J10" s="16">
        <v>46361</v>
      </c>
      <c r="K10" s="17">
        <f t="shared" si="0"/>
        <v>46391</v>
      </c>
      <c r="L10" s="15" t="str">
        <f t="shared" ca="1" si="1"/>
        <v>Em dia</v>
      </c>
      <c r="M10" s="117" t="s">
        <v>1536</v>
      </c>
    </row>
    <row r="11" spans="1:13" ht="22.8">
      <c r="A11" s="132" t="s">
        <v>134</v>
      </c>
      <c r="B11" s="12" t="s">
        <v>364</v>
      </c>
      <c r="C11" s="13" t="s">
        <v>1537</v>
      </c>
      <c r="D11" s="13" t="s">
        <v>369</v>
      </c>
      <c r="E11" s="13" t="s">
        <v>370</v>
      </c>
      <c r="F11" s="12" t="s">
        <v>365</v>
      </c>
      <c r="G11" s="13" t="s">
        <v>1493</v>
      </c>
      <c r="H11" s="13" t="s">
        <v>366</v>
      </c>
      <c r="I11" s="13" t="s">
        <v>1538</v>
      </c>
      <c r="J11" s="16"/>
      <c r="K11" s="17" t="str">
        <f t="shared" si="0"/>
        <v/>
      </c>
      <c r="L11" s="15" t="str">
        <f t="shared" ca="1" si="1"/>
        <v>Sem data</v>
      </c>
      <c r="M11" s="117" t="s">
        <v>2826</v>
      </c>
    </row>
    <row r="12" spans="1:13" ht="22.8">
      <c r="A12" s="132" t="s">
        <v>134</v>
      </c>
      <c r="B12" s="12" t="s">
        <v>364</v>
      </c>
      <c r="C12" s="13" t="s">
        <v>1539</v>
      </c>
      <c r="D12" s="13" t="s">
        <v>369</v>
      </c>
      <c r="E12" s="13" t="s">
        <v>370</v>
      </c>
      <c r="F12" s="12" t="s">
        <v>365</v>
      </c>
      <c r="G12" s="13" t="s">
        <v>1493</v>
      </c>
      <c r="H12" s="13" t="s">
        <v>366</v>
      </c>
      <c r="I12" s="13" t="s">
        <v>373</v>
      </c>
      <c r="J12" s="16">
        <v>46356</v>
      </c>
      <c r="K12" s="17">
        <f t="shared" si="0"/>
        <v>46446</v>
      </c>
      <c r="L12" s="15" t="str">
        <f t="shared" ca="1" si="1"/>
        <v>Em dia</v>
      </c>
      <c r="M12" s="117" t="s">
        <v>2826</v>
      </c>
    </row>
    <row r="13" spans="1:13" ht="24">
      <c r="A13" s="132" t="s">
        <v>134</v>
      </c>
      <c r="B13" s="12" t="s">
        <v>364</v>
      </c>
      <c r="C13" s="13" t="s">
        <v>2827</v>
      </c>
      <c r="D13" s="13" t="s">
        <v>374</v>
      </c>
      <c r="E13" s="13" t="s">
        <v>375</v>
      </c>
      <c r="F13" s="12" t="s">
        <v>376</v>
      </c>
      <c r="G13" s="13" t="s">
        <v>390</v>
      </c>
      <c r="H13" s="13" t="s">
        <v>366</v>
      </c>
      <c r="I13" s="13" t="s">
        <v>378</v>
      </c>
      <c r="J13" s="16"/>
      <c r="K13" s="17" t="str">
        <f t="shared" si="0"/>
        <v/>
      </c>
      <c r="L13" s="15" t="str">
        <f t="shared" ca="1" si="1"/>
        <v>Conforme programa</v>
      </c>
      <c r="M13" s="117" t="s">
        <v>2797</v>
      </c>
    </row>
    <row r="14" spans="1:13" ht="24">
      <c r="A14" s="132" t="s">
        <v>134</v>
      </c>
      <c r="B14" s="12" t="s">
        <v>364</v>
      </c>
      <c r="C14" s="13" t="s">
        <v>2828</v>
      </c>
      <c r="D14" s="13" t="s">
        <v>374</v>
      </c>
      <c r="E14" s="13" t="s">
        <v>375</v>
      </c>
      <c r="F14" s="12" t="s">
        <v>376</v>
      </c>
      <c r="G14" s="13" t="s">
        <v>390</v>
      </c>
      <c r="H14" s="13" t="s">
        <v>366</v>
      </c>
      <c r="I14" s="13" t="s">
        <v>378</v>
      </c>
      <c r="J14" s="16"/>
      <c r="K14" s="17" t="str">
        <f t="shared" si="0"/>
        <v/>
      </c>
      <c r="L14" s="15" t="str">
        <f t="shared" ca="1" si="1"/>
        <v>Conforme programa</v>
      </c>
      <c r="M14" s="117" t="s">
        <v>2829</v>
      </c>
    </row>
    <row r="15" spans="1:13" ht="22.8">
      <c r="A15" s="132" t="s">
        <v>379</v>
      </c>
      <c r="B15" s="12" t="s">
        <v>364</v>
      </c>
      <c r="C15" s="13" t="s">
        <v>1540</v>
      </c>
      <c r="D15" s="13" t="s">
        <v>1541</v>
      </c>
      <c r="E15" s="13" t="s">
        <v>380</v>
      </c>
      <c r="F15" s="12" t="s">
        <v>326</v>
      </c>
      <c r="G15" s="13" t="s">
        <v>390</v>
      </c>
      <c r="H15" s="13" t="s">
        <v>366</v>
      </c>
      <c r="I15" s="13" t="s">
        <v>1542</v>
      </c>
      <c r="J15" s="16">
        <v>46368</v>
      </c>
      <c r="K15" s="17">
        <f t="shared" si="0"/>
        <v>46398</v>
      </c>
      <c r="L15" s="15" t="str">
        <f t="shared" ca="1" si="1"/>
        <v>Em dia</v>
      </c>
      <c r="M15" s="117" t="s">
        <v>1543</v>
      </c>
    </row>
    <row r="16" spans="1:13" ht="22.8">
      <c r="A16" s="132" t="s">
        <v>379</v>
      </c>
      <c r="B16" s="12" t="s">
        <v>364</v>
      </c>
      <c r="C16" s="13" t="s">
        <v>1544</v>
      </c>
      <c r="D16" s="13" t="s">
        <v>381</v>
      </c>
      <c r="E16" s="13" t="s">
        <v>1545</v>
      </c>
      <c r="F16" s="12" t="s">
        <v>326</v>
      </c>
      <c r="G16" s="13" t="s">
        <v>74</v>
      </c>
      <c r="H16" s="13" t="s">
        <v>366</v>
      </c>
      <c r="I16" s="13" t="s">
        <v>1546</v>
      </c>
      <c r="J16" s="16">
        <v>46364</v>
      </c>
      <c r="K16" s="17">
        <f t="shared" si="0"/>
        <v>46394</v>
      </c>
      <c r="L16" s="15" t="str">
        <f t="shared" ca="1" si="1"/>
        <v>Em dia</v>
      </c>
      <c r="M16" s="117" t="s">
        <v>1547</v>
      </c>
    </row>
    <row r="17" spans="1:13" ht="22.8">
      <c r="A17" s="132" t="s">
        <v>379</v>
      </c>
      <c r="B17" s="12" t="s">
        <v>364</v>
      </c>
      <c r="C17" s="13" t="s">
        <v>1548</v>
      </c>
      <c r="D17" s="13" t="s">
        <v>381</v>
      </c>
      <c r="E17" s="13" t="s">
        <v>1545</v>
      </c>
      <c r="F17" s="12" t="s">
        <v>326</v>
      </c>
      <c r="G17" s="13" t="s">
        <v>103</v>
      </c>
      <c r="H17" s="13" t="s">
        <v>366</v>
      </c>
      <c r="I17" s="13" t="s">
        <v>1546</v>
      </c>
      <c r="J17" s="16">
        <v>46364</v>
      </c>
      <c r="K17" s="17">
        <f t="shared" si="0"/>
        <v>46394</v>
      </c>
      <c r="L17" s="15" t="str">
        <f t="shared" ca="1" si="1"/>
        <v>Em dia</v>
      </c>
      <c r="M17" s="117" t="s">
        <v>1547</v>
      </c>
    </row>
    <row r="18" spans="1:13" ht="22.8">
      <c r="A18" s="132" t="s">
        <v>379</v>
      </c>
      <c r="B18" s="12" t="s">
        <v>364</v>
      </c>
      <c r="C18" s="13" t="s">
        <v>1549</v>
      </c>
      <c r="D18" s="13" t="s">
        <v>381</v>
      </c>
      <c r="E18" s="13" t="s">
        <v>1545</v>
      </c>
      <c r="F18" s="12" t="s">
        <v>326</v>
      </c>
      <c r="G18" s="13" t="s">
        <v>84</v>
      </c>
      <c r="H18" s="13" t="s">
        <v>366</v>
      </c>
      <c r="I18" s="13" t="s">
        <v>1546</v>
      </c>
      <c r="J18" s="16">
        <v>46364</v>
      </c>
      <c r="K18" s="17">
        <f t="shared" si="0"/>
        <v>46394</v>
      </c>
      <c r="L18" s="15" t="str">
        <f t="shared" ca="1" si="1"/>
        <v>Em dia</v>
      </c>
      <c r="M18" s="117" t="s">
        <v>1547</v>
      </c>
    </row>
    <row r="19" spans="1:13" ht="22.8">
      <c r="A19" s="132" t="s">
        <v>379</v>
      </c>
      <c r="B19" s="12" t="s">
        <v>364</v>
      </c>
      <c r="C19" s="13" t="s">
        <v>1550</v>
      </c>
      <c r="D19" s="13" t="s">
        <v>381</v>
      </c>
      <c r="E19" s="13" t="s">
        <v>1545</v>
      </c>
      <c r="F19" s="12" t="s">
        <v>326</v>
      </c>
      <c r="G19" s="13" t="s">
        <v>826</v>
      </c>
      <c r="H19" s="13" t="s">
        <v>366</v>
      </c>
      <c r="I19" s="13" t="s">
        <v>1546</v>
      </c>
      <c r="J19" s="16">
        <v>46361</v>
      </c>
      <c r="K19" s="17">
        <f t="shared" si="0"/>
        <v>46391</v>
      </c>
      <c r="L19" s="15" t="str">
        <f t="shared" ca="1" si="1"/>
        <v>Em dia</v>
      </c>
      <c r="M19" s="117" t="s">
        <v>1536</v>
      </c>
    </row>
    <row r="20" spans="1:13" ht="22.8">
      <c r="A20" s="132" t="s">
        <v>379</v>
      </c>
      <c r="B20" s="12" t="s">
        <v>364</v>
      </c>
      <c r="C20" s="13" t="s">
        <v>1551</v>
      </c>
      <c r="D20" s="13" t="s">
        <v>1552</v>
      </c>
      <c r="E20" s="13" t="s">
        <v>382</v>
      </c>
      <c r="F20" s="12" t="s">
        <v>326</v>
      </c>
      <c r="G20" s="13" t="s">
        <v>1001</v>
      </c>
      <c r="H20" s="13" t="s">
        <v>366</v>
      </c>
      <c r="I20" s="13" t="s">
        <v>1553</v>
      </c>
      <c r="J20" s="16"/>
      <c r="K20" s="17" t="str">
        <f t="shared" si="0"/>
        <v/>
      </c>
      <c r="L20" s="15" t="str">
        <f t="shared" ca="1" si="1"/>
        <v>Sem data</v>
      </c>
      <c r="M20" s="117" t="s">
        <v>2830</v>
      </c>
    </row>
    <row r="21" spans="1:13" ht="22.8">
      <c r="A21" s="132" t="s">
        <v>379</v>
      </c>
      <c r="B21" s="12" t="s">
        <v>364</v>
      </c>
      <c r="C21" s="13" t="s">
        <v>1554</v>
      </c>
      <c r="D21" s="13" t="s">
        <v>381</v>
      </c>
      <c r="E21" s="13" t="s">
        <v>382</v>
      </c>
      <c r="F21" s="12" t="s">
        <v>326</v>
      </c>
      <c r="G21" s="13" t="s">
        <v>1001</v>
      </c>
      <c r="H21" s="13" t="s">
        <v>366</v>
      </c>
      <c r="I21" s="13" t="s">
        <v>1546</v>
      </c>
      <c r="J21" s="16">
        <v>46364</v>
      </c>
      <c r="K21" s="17">
        <f t="shared" si="0"/>
        <v>46394</v>
      </c>
      <c r="L21" s="15" t="str">
        <f t="shared" ca="1" si="1"/>
        <v>Em dia</v>
      </c>
      <c r="M21" s="117" t="s">
        <v>1555</v>
      </c>
    </row>
    <row r="22" spans="1:13" ht="22.8">
      <c r="A22" s="132" t="s">
        <v>379</v>
      </c>
      <c r="B22" s="12" t="s">
        <v>364</v>
      </c>
      <c r="C22" s="13" t="s">
        <v>1556</v>
      </c>
      <c r="D22" s="13" t="s">
        <v>1557</v>
      </c>
      <c r="E22" s="13" t="s">
        <v>382</v>
      </c>
      <c r="F22" s="12" t="s">
        <v>326</v>
      </c>
      <c r="G22" s="13" t="s">
        <v>103</v>
      </c>
      <c r="H22" s="13" t="s">
        <v>366</v>
      </c>
      <c r="I22" s="13" t="s">
        <v>1546</v>
      </c>
      <c r="J22" s="16">
        <v>46364</v>
      </c>
      <c r="K22" s="17">
        <f t="shared" si="0"/>
        <v>46394</v>
      </c>
      <c r="L22" s="15" t="str">
        <f t="shared" ca="1" si="1"/>
        <v>Em dia</v>
      </c>
      <c r="M22" s="117" t="s">
        <v>1558</v>
      </c>
    </row>
    <row r="23" spans="1:13" ht="24">
      <c r="A23" s="132" t="s">
        <v>65</v>
      </c>
      <c r="B23" s="12" t="s">
        <v>364</v>
      </c>
      <c r="C23" s="13" t="s">
        <v>1559</v>
      </c>
      <c r="D23" s="13" t="s">
        <v>383</v>
      </c>
      <c r="E23" s="13" t="s">
        <v>375</v>
      </c>
      <c r="F23" s="12" t="s">
        <v>376</v>
      </c>
      <c r="G23" s="13" t="s">
        <v>74</v>
      </c>
      <c r="H23" s="13" t="s">
        <v>384</v>
      </c>
      <c r="I23" s="13" t="s">
        <v>385</v>
      </c>
      <c r="J23" s="16">
        <v>46350</v>
      </c>
      <c r="K23" s="17" t="str">
        <f t="shared" si="0"/>
        <v/>
      </c>
      <c r="L23" s="15" t="str">
        <f t="shared" ca="1" si="1"/>
        <v>Conforme programa</v>
      </c>
      <c r="M23" s="117" t="s">
        <v>1560</v>
      </c>
    </row>
    <row r="24" spans="1:13" ht="22.8">
      <c r="A24" s="132" t="s">
        <v>65</v>
      </c>
      <c r="B24" s="12" t="s">
        <v>364</v>
      </c>
      <c r="C24" s="13" t="s">
        <v>1561</v>
      </c>
      <c r="D24" s="13" t="s">
        <v>1562</v>
      </c>
      <c r="E24" s="13" t="s">
        <v>382</v>
      </c>
      <c r="F24" s="12" t="s">
        <v>329</v>
      </c>
      <c r="G24" s="13" t="s">
        <v>103</v>
      </c>
      <c r="H24" s="13" t="s">
        <v>384</v>
      </c>
      <c r="I24" s="13" t="s">
        <v>386</v>
      </c>
      <c r="J24" s="16">
        <v>46386</v>
      </c>
      <c r="K24" s="17">
        <f t="shared" si="0"/>
        <v>46387</v>
      </c>
      <c r="L24" s="15" t="str">
        <f t="shared" ca="1" si="1"/>
        <v>Em dia</v>
      </c>
      <c r="M24" s="117" t="s">
        <v>1563</v>
      </c>
    </row>
    <row r="25" spans="1:13" ht="34.200000000000003">
      <c r="A25" s="132" t="s">
        <v>65</v>
      </c>
      <c r="B25" s="12" t="s">
        <v>364</v>
      </c>
      <c r="C25" s="13" t="s">
        <v>1564</v>
      </c>
      <c r="D25" s="13" t="s">
        <v>1565</v>
      </c>
      <c r="E25" s="13" t="s">
        <v>1566</v>
      </c>
      <c r="F25" s="12" t="s">
        <v>329</v>
      </c>
      <c r="G25" s="13" t="s">
        <v>688</v>
      </c>
      <c r="H25" s="13" t="s">
        <v>384</v>
      </c>
      <c r="I25" s="13" t="s">
        <v>1567</v>
      </c>
      <c r="J25" s="16">
        <v>46386</v>
      </c>
      <c r="K25" s="17">
        <f t="shared" si="0"/>
        <v>46387</v>
      </c>
      <c r="L25" s="15" t="str">
        <f t="shared" ca="1" si="1"/>
        <v>Em dia</v>
      </c>
      <c r="M25" s="117" t="s">
        <v>1568</v>
      </c>
    </row>
    <row r="26" spans="1:13" ht="22.8">
      <c r="A26" s="132" t="s">
        <v>65</v>
      </c>
      <c r="B26" s="12" t="s">
        <v>364</v>
      </c>
      <c r="C26" s="13" t="s">
        <v>1569</v>
      </c>
      <c r="D26" s="13" t="s">
        <v>1570</v>
      </c>
      <c r="E26" s="13" t="s">
        <v>1571</v>
      </c>
      <c r="F26" s="12" t="s">
        <v>407</v>
      </c>
      <c r="G26" s="13" t="s">
        <v>84</v>
      </c>
      <c r="H26" s="13" t="s">
        <v>1572</v>
      </c>
      <c r="I26" s="13" t="s">
        <v>1573</v>
      </c>
      <c r="J26" s="16">
        <v>46384</v>
      </c>
      <c r="K26" s="17">
        <f t="shared" si="0"/>
        <v>46391</v>
      </c>
      <c r="L26" s="15" t="str">
        <f t="shared" ca="1" si="1"/>
        <v>Em dia</v>
      </c>
      <c r="M26" s="117" t="s">
        <v>1574</v>
      </c>
    </row>
    <row r="27" spans="1:13" ht="22.8">
      <c r="A27" s="132" t="s">
        <v>65</v>
      </c>
      <c r="B27" s="12" t="s">
        <v>364</v>
      </c>
      <c r="C27" s="13" t="s">
        <v>1575</v>
      </c>
      <c r="D27" s="13" t="s">
        <v>1576</v>
      </c>
      <c r="E27" s="13" t="s">
        <v>1577</v>
      </c>
      <c r="F27" s="12" t="s">
        <v>329</v>
      </c>
      <c r="G27" s="13" t="s">
        <v>103</v>
      </c>
      <c r="H27" s="13" t="s">
        <v>1578</v>
      </c>
      <c r="I27" s="13" t="s">
        <v>1579</v>
      </c>
      <c r="J27" s="16">
        <v>46386</v>
      </c>
      <c r="K27" s="17">
        <f t="shared" si="0"/>
        <v>46387</v>
      </c>
      <c r="L27" s="15" t="str">
        <f t="shared" ca="1" si="1"/>
        <v>Em dia</v>
      </c>
      <c r="M27" s="117" t="s">
        <v>1580</v>
      </c>
    </row>
    <row r="28" spans="1:13" ht="22.8">
      <c r="A28" s="132" t="s">
        <v>65</v>
      </c>
      <c r="B28" s="12" t="s">
        <v>364</v>
      </c>
      <c r="C28" s="13" t="s">
        <v>1581</v>
      </c>
      <c r="D28" s="13" t="s">
        <v>1582</v>
      </c>
      <c r="E28" s="13" t="s">
        <v>1583</v>
      </c>
      <c r="F28" s="12" t="s">
        <v>407</v>
      </c>
      <c r="G28" s="13" t="s">
        <v>1001</v>
      </c>
      <c r="H28" s="13" t="s">
        <v>384</v>
      </c>
      <c r="I28" s="13" t="s">
        <v>1584</v>
      </c>
      <c r="J28" s="16">
        <v>46379</v>
      </c>
      <c r="K28" s="17">
        <f t="shared" si="0"/>
        <v>46386</v>
      </c>
      <c r="L28" s="15" t="str">
        <f t="shared" ca="1" si="1"/>
        <v>Em dia</v>
      </c>
      <c r="M28" s="117" t="s">
        <v>2831</v>
      </c>
    </row>
    <row r="29" spans="1:13" ht="22.8">
      <c r="A29" s="132" t="s">
        <v>387</v>
      </c>
      <c r="B29" s="12" t="s">
        <v>143</v>
      </c>
      <c r="C29" s="13" t="s">
        <v>1585</v>
      </c>
      <c r="D29" s="13" t="s">
        <v>388</v>
      </c>
      <c r="E29" s="13" t="s">
        <v>389</v>
      </c>
      <c r="F29" s="12" t="s">
        <v>365</v>
      </c>
      <c r="G29" s="13" t="s">
        <v>390</v>
      </c>
      <c r="H29" s="13" t="s">
        <v>391</v>
      </c>
      <c r="I29" s="13" t="s">
        <v>392</v>
      </c>
      <c r="J29" s="16">
        <v>46374</v>
      </c>
      <c r="K29" s="17">
        <f t="shared" si="0"/>
        <v>46464</v>
      </c>
      <c r="L29" s="15" t="str">
        <f t="shared" ca="1" si="1"/>
        <v>Em dia</v>
      </c>
      <c r="M29" s="117" t="s">
        <v>1519</v>
      </c>
    </row>
    <row r="30" spans="1:13" ht="22.8">
      <c r="A30" s="132" t="s">
        <v>387</v>
      </c>
      <c r="B30" s="12" t="s">
        <v>143</v>
      </c>
      <c r="C30" s="13" t="s">
        <v>1586</v>
      </c>
      <c r="D30" s="13" t="s">
        <v>388</v>
      </c>
      <c r="E30" s="13" t="s">
        <v>1587</v>
      </c>
      <c r="F30" s="12" t="s">
        <v>326</v>
      </c>
      <c r="G30" s="13" t="s">
        <v>390</v>
      </c>
      <c r="H30" s="13" t="s">
        <v>1588</v>
      </c>
      <c r="I30" s="13" t="s">
        <v>1589</v>
      </c>
      <c r="J30" s="16">
        <v>46368</v>
      </c>
      <c r="K30" s="17">
        <f t="shared" si="0"/>
        <v>46398</v>
      </c>
      <c r="L30" s="15" t="str">
        <f t="shared" ca="1" si="1"/>
        <v>Em dia</v>
      </c>
      <c r="M30" s="117" t="s">
        <v>1590</v>
      </c>
    </row>
    <row r="31" spans="1:13" ht="22.8">
      <c r="A31" s="132" t="s">
        <v>387</v>
      </c>
      <c r="B31" s="12" t="s">
        <v>393</v>
      </c>
      <c r="C31" s="13" t="s">
        <v>394</v>
      </c>
      <c r="D31" s="13" t="s">
        <v>395</v>
      </c>
      <c r="E31" s="13" t="s">
        <v>396</v>
      </c>
      <c r="F31" s="12" t="s">
        <v>397</v>
      </c>
      <c r="G31" s="13" t="s">
        <v>366</v>
      </c>
      <c r="H31" s="13" t="s">
        <v>398</v>
      </c>
      <c r="I31" s="13" t="s">
        <v>399</v>
      </c>
      <c r="J31" s="16">
        <v>46378</v>
      </c>
      <c r="K31" s="17">
        <f t="shared" si="0"/>
        <v>46743</v>
      </c>
      <c r="L31" s="15" t="str">
        <f t="shared" ca="1" si="1"/>
        <v>Em dia</v>
      </c>
      <c r="M31" s="117" t="s">
        <v>1591</v>
      </c>
    </row>
    <row r="32" spans="1:13" ht="22.8">
      <c r="A32" s="132" t="s">
        <v>387</v>
      </c>
      <c r="B32" s="12" t="s">
        <v>400</v>
      </c>
      <c r="C32" s="13" t="s">
        <v>401</v>
      </c>
      <c r="D32" s="13" t="s">
        <v>1592</v>
      </c>
      <c r="E32" s="13" t="s">
        <v>402</v>
      </c>
      <c r="F32" s="12" t="s">
        <v>403</v>
      </c>
      <c r="G32" s="13" t="s">
        <v>404</v>
      </c>
      <c r="H32" s="13" t="s">
        <v>405</v>
      </c>
      <c r="I32" s="13" t="s">
        <v>406</v>
      </c>
      <c r="J32" s="16">
        <v>46310</v>
      </c>
      <c r="K32" s="17">
        <f t="shared" si="0"/>
        <v>46490</v>
      </c>
      <c r="L32" s="15" t="str">
        <f t="shared" ca="1" si="1"/>
        <v>Em dia</v>
      </c>
      <c r="M32" s="117" t="s">
        <v>1593</v>
      </c>
    </row>
    <row r="33" spans="1:13" ht="18" customHeight="1">
      <c r="A33" s="132"/>
      <c r="B33" s="12"/>
      <c r="C33" s="13"/>
      <c r="D33" s="13"/>
      <c r="E33" s="13"/>
      <c r="F33" s="12"/>
      <c r="G33" s="13"/>
      <c r="H33" s="13"/>
      <c r="I33" s="13"/>
      <c r="J33" s="16"/>
      <c r="K33" s="17" t="str">
        <f t="shared" si="0"/>
        <v/>
      </c>
      <c r="L33" s="15" t="str">
        <f t="shared" ca="1" si="1"/>
        <v/>
      </c>
      <c r="M33" s="117"/>
    </row>
    <row r="34" spans="1:13" ht="18" customHeight="1">
      <c r="A34" s="132"/>
      <c r="B34" s="12"/>
      <c r="C34" s="13"/>
      <c r="D34" s="13"/>
      <c r="E34" s="13"/>
      <c r="F34" s="12"/>
      <c r="G34" s="13"/>
      <c r="H34" s="13"/>
      <c r="I34" s="13"/>
      <c r="J34" s="16"/>
      <c r="K34" s="17" t="str">
        <f t="shared" si="0"/>
        <v/>
      </c>
      <c r="L34" s="15" t="str">
        <f t="shared" ca="1" si="1"/>
        <v/>
      </c>
      <c r="M34" s="117"/>
    </row>
    <row r="35" spans="1:13" ht="18" customHeight="1">
      <c r="A35" s="132"/>
      <c r="B35" s="12"/>
      <c r="C35" s="13"/>
      <c r="D35" s="13"/>
      <c r="E35" s="13"/>
      <c r="F35" s="12"/>
      <c r="G35" s="13"/>
      <c r="H35" s="13"/>
      <c r="I35" s="13"/>
      <c r="J35" s="16"/>
      <c r="K35" s="17" t="str">
        <f t="shared" si="0"/>
        <v/>
      </c>
      <c r="L35" s="15" t="str">
        <f t="shared" ca="1" si="1"/>
        <v/>
      </c>
      <c r="M35" s="117"/>
    </row>
    <row r="36" spans="1:13" ht="18" customHeight="1">
      <c r="A36" s="132"/>
      <c r="B36" s="12"/>
      <c r="C36" s="13"/>
      <c r="D36" s="13"/>
      <c r="E36" s="13"/>
      <c r="F36" s="12"/>
      <c r="G36" s="13"/>
      <c r="H36" s="13"/>
      <c r="I36" s="13"/>
      <c r="J36" s="16"/>
      <c r="K36" s="17" t="str">
        <f t="shared" si="0"/>
        <v/>
      </c>
      <c r="L36" s="15" t="str">
        <f t="shared" ca="1" si="1"/>
        <v/>
      </c>
      <c r="M36" s="117"/>
    </row>
    <row r="37" spans="1:13" ht="18" customHeight="1">
      <c r="A37" s="132"/>
      <c r="B37" s="12"/>
      <c r="C37" s="13"/>
      <c r="D37" s="13"/>
      <c r="E37" s="13"/>
      <c r="F37" s="12"/>
      <c r="G37" s="13"/>
      <c r="H37" s="13"/>
      <c r="I37" s="13"/>
      <c r="J37" s="16"/>
      <c r="K37" s="17" t="str">
        <f t="shared" ref="K37:K64" si="2">IF(OR($J37="",$F37=""),"",IFERROR(IF(N(INDEX(FreqDias,MATCH($F37,ListaFreq,0)))=0,"",$J37+INDEX(FreqDias,MATCH($F37,ListaFreq,0))),""))</f>
        <v/>
      </c>
      <c r="L37" s="15" t="str">
        <f t="shared" ref="L37:L64" ca="1" si="3">IF($C37="","",IF($F37="","Sem frequência",IF(N(IFERROR(INDEX(FreqDias,MATCH($F37,ListaFreq,0)),0))=0,"Conforme programa",IF($J37="","Sem data",IF($K37&lt;TODAY(),"Atrasado",IF($K37-TODAY()&lt;=DiasAlerta,"Vence em breve","Em dia"))))))</f>
        <v/>
      </c>
      <c r="M37" s="117"/>
    </row>
    <row r="38" spans="1:13" ht="18" customHeight="1">
      <c r="A38" s="132"/>
      <c r="B38" s="12"/>
      <c r="C38" s="13"/>
      <c r="D38" s="13"/>
      <c r="E38" s="13"/>
      <c r="F38" s="12"/>
      <c r="G38" s="13"/>
      <c r="H38" s="13"/>
      <c r="I38" s="13"/>
      <c r="J38" s="16"/>
      <c r="K38" s="17" t="str">
        <f t="shared" si="2"/>
        <v/>
      </c>
      <c r="L38" s="15" t="str">
        <f t="shared" ca="1" si="3"/>
        <v/>
      </c>
      <c r="M38" s="117"/>
    </row>
    <row r="39" spans="1:13" ht="18" customHeight="1">
      <c r="A39" s="132"/>
      <c r="B39" s="12"/>
      <c r="C39" s="13"/>
      <c r="D39" s="13"/>
      <c r="E39" s="13"/>
      <c r="F39" s="12"/>
      <c r="G39" s="13"/>
      <c r="H39" s="13"/>
      <c r="I39" s="13"/>
      <c r="J39" s="16"/>
      <c r="K39" s="17" t="str">
        <f t="shared" si="2"/>
        <v/>
      </c>
      <c r="L39" s="15" t="str">
        <f t="shared" ca="1" si="3"/>
        <v/>
      </c>
      <c r="M39" s="117"/>
    </row>
    <row r="40" spans="1:13" ht="18" customHeight="1">
      <c r="A40" s="132"/>
      <c r="B40" s="12"/>
      <c r="C40" s="13"/>
      <c r="D40" s="13"/>
      <c r="E40" s="13"/>
      <c r="F40" s="12"/>
      <c r="G40" s="13"/>
      <c r="H40" s="13"/>
      <c r="I40" s="13"/>
      <c r="J40" s="16"/>
      <c r="K40" s="17" t="str">
        <f t="shared" si="2"/>
        <v/>
      </c>
      <c r="L40" s="15" t="str">
        <f t="shared" ca="1" si="3"/>
        <v/>
      </c>
      <c r="M40" s="117"/>
    </row>
    <row r="41" spans="1:13" ht="18" customHeight="1">
      <c r="A41" s="132"/>
      <c r="B41" s="12"/>
      <c r="C41" s="13"/>
      <c r="D41" s="13"/>
      <c r="E41" s="13"/>
      <c r="F41" s="12"/>
      <c r="G41" s="13"/>
      <c r="H41" s="13"/>
      <c r="I41" s="13"/>
      <c r="J41" s="16"/>
      <c r="K41" s="17" t="str">
        <f t="shared" si="2"/>
        <v/>
      </c>
      <c r="L41" s="15" t="str">
        <f t="shared" ca="1" si="3"/>
        <v/>
      </c>
      <c r="M41" s="117"/>
    </row>
    <row r="42" spans="1:13" ht="18" customHeight="1">
      <c r="A42" s="132"/>
      <c r="B42" s="12"/>
      <c r="C42" s="13"/>
      <c r="D42" s="13"/>
      <c r="E42" s="13"/>
      <c r="F42" s="12"/>
      <c r="G42" s="13"/>
      <c r="H42" s="13"/>
      <c r="I42" s="13"/>
      <c r="J42" s="16"/>
      <c r="K42" s="17" t="str">
        <f t="shared" si="2"/>
        <v/>
      </c>
      <c r="L42" s="15" t="str">
        <f t="shared" ca="1" si="3"/>
        <v/>
      </c>
      <c r="M42" s="117"/>
    </row>
    <row r="43" spans="1:13" ht="18" customHeight="1">
      <c r="A43" s="132"/>
      <c r="B43" s="12"/>
      <c r="C43" s="13"/>
      <c r="D43" s="13"/>
      <c r="E43" s="13"/>
      <c r="F43" s="12"/>
      <c r="G43" s="13"/>
      <c r="H43" s="13"/>
      <c r="I43" s="13"/>
      <c r="J43" s="16"/>
      <c r="K43" s="17" t="str">
        <f t="shared" si="2"/>
        <v/>
      </c>
      <c r="L43" s="15" t="str">
        <f t="shared" ca="1" si="3"/>
        <v/>
      </c>
      <c r="M43" s="117"/>
    </row>
    <row r="44" spans="1:13" ht="18" customHeight="1">
      <c r="A44" s="132"/>
      <c r="B44" s="12"/>
      <c r="C44" s="13"/>
      <c r="D44" s="13"/>
      <c r="E44" s="13"/>
      <c r="F44" s="12"/>
      <c r="G44" s="13"/>
      <c r="H44" s="13"/>
      <c r="I44" s="13"/>
      <c r="J44" s="16"/>
      <c r="K44" s="17" t="str">
        <f t="shared" si="2"/>
        <v/>
      </c>
      <c r="L44" s="15" t="str">
        <f t="shared" ca="1" si="3"/>
        <v/>
      </c>
      <c r="M44" s="117"/>
    </row>
    <row r="45" spans="1:13" ht="18" customHeight="1">
      <c r="A45" s="132"/>
      <c r="B45" s="12"/>
      <c r="C45" s="13"/>
      <c r="D45" s="13"/>
      <c r="E45" s="13"/>
      <c r="F45" s="12"/>
      <c r="G45" s="13"/>
      <c r="H45" s="13"/>
      <c r="I45" s="13"/>
      <c r="J45" s="16"/>
      <c r="K45" s="17" t="str">
        <f t="shared" si="2"/>
        <v/>
      </c>
      <c r="L45" s="15" t="str">
        <f t="shared" ca="1" si="3"/>
        <v/>
      </c>
      <c r="M45" s="117"/>
    </row>
    <row r="46" spans="1:13" ht="18" customHeight="1">
      <c r="A46" s="132"/>
      <c r="B46" s="12"/>
      <c r="C46" s="13"/>
      <c r="D46" s="13"/>
      <c r="E46" s="13"/>
      <c r="F46" s="12"/>
      <c r="G46" s="13"/>
      <c r="H46" s="13"/>
      <c r="I46" s="13"/>
      <c r="J46" s="16"/>
      <c r="K46" s="17" t="str">
        <f t="shared" si="2"/>
        <v/>
      </c>
      <c r="L46" s="15" t="str">
        <f t="shared" ca="1" si="3"/>
        <v/>
      </c>
      <c r="M46" s="117"/>
    </row>
    <row r="47" spans="1:13" ht="18" customHeight="1">
      <c r="A47" s="132"/>
      <c r="B47" s="12"/>
      <c r="C47" s="13"/>
      <c r="D47" s="13"/>
      <c r="E47" s="13"/>
      <c r="F47" s="12"/>
      <c r="G47" s="13"/>
      <c r="H47" s="13"/>
      <c r="I47" s="13"/>
      <c r="J47" s="16"/>
      <c r="K47" s="17" t="str">
        <f t="shared" si="2"/>
        <v/>
      </c>
      <c r="L47" s="15" t="str">
        <f t="shared" ca="1" si="3"/>
        <v/>
      </c>
      <c r="M47" s="117"/>
    </row>
    <row r="48" spans="1:13" ht="18" customHeight="1">
      <c r="A48" s="132"/>
      <c r="B48" s="12"/>
      <c r="C48" s="13"/>
      <c r="D48" s="13"/>
      <c r="E48" s="13"/>
      <c r="F48" s="12"/>
      <c r="G48" s="13"/>
      <c r="H48" s="13"/>
      <c r="I48" s="13"/>
      <c r="J48" s="16"/>
      <c r="K48" s="17" t="str">
        <f t="shared" si="2"/>
        <v/>
      </c>
      <c r="L48" s="15" t="str">
        <f t="shared" ca="1" si="3"/>
        <v/>
      </c>
      <c r="M48" s="117"/>
    </row>
    <row r="49" spans="1:13" ht="18" customHeight="1">
      <c r="A49" s="132"/>
      <c r="B49" s="12"/>
      <c r="C49" s="13"/>
      <c r="D49" s="13"/>
      <c r="E49" s="13"/>
      <c r="F49" s="12"/>
      <c r="G49" s="13"/>
      <c r="H49" s="13"/>
      <c r="I49" s="13"/>
      <c r="J49" s="16"/>
      <c r="K49" s="17" t="str">
        <f t="shared" si="2"/>
        <v/>
      </c>
      <c r="L49" s="15" t="str">
        <f t="shared" ca="1" si="3"/>
        <v/>
      </c>
      <c r="M49" s="117"/>
    </row>
    <row r="50" spans="1:13" ht="18" customHeight="1">
      <c r="A50" s="132"/>
      <c r="B50" s="12"/>
      <c r="C50" s="13"/>
      <c r="D50" s="13"/>
      <c r="E50" s="13"/>
      <c r="F50" s="12"/>
      <c r="G50" s="13"/>
      <c r="H50" s="13"/>
      <c r="I50" s="13"/>
      <c r="J50" s="16"/>
      <c r="K50" s="17" t="str">
        <f t="shared" si="2"/>
        <v/>
      </c>
      <c r="L50" s="15" t="str">
        <f t="shared" ca="1" si="3"/>
        <v/>
      </c>
      <c r="M50" s="117"/>
    </row>
    <row r="51" spans="1:13" ht="18" customHeight="1">
      <c r="A51" s="132"/>
      <c r="B51" s="12"/>
      <c r="C51" s="13"/>
      <c r="D51" s="13"/>
      <c r="E51" s="13"/>
      <c r="F51" s="12"/>
      <c r="G51" s="13"/>
      <c r="H51" s="13"/>
      <c r="I51" s="13"/>
      <c r="J51" s="16"/>
      <c r="K51" s="17" t="str">
        <f t="shared" si="2"/>
        <v/>
      </c>
      <c r="L51" s="15" t="str">
        <f t="shared" ca="1" si="3"/>
        <v/>
      </c>
      <c r="M51" s="117"/>
    </row>
    <row r="52" spans="1:13" ht="18" customHeight="1">
      <c r="A52" s="132"/>
      <c r="B52" s="12"/>
      <c r="C52" s="13"/>
      <c r="D52" s="13"/>
      <c r="E52" s="13"/>
      <c r="F52" s="12"/>
      <c r="G52" s="13"/>
      <c r="H52" s="13"/>
      <c r="I52" s="13"/>
      <c r="J52" s="16"/>
      <c r="K52" s="17" t="str">
        <f t="shared" si="2"/>
        <v/>
      </c>
      <c r="L52" s="15" t="str">
        <f t="shared" ca="1" si="3"/>
        <v/>
      </c>
      <c r="M52" s="117"/>
    </row>
    <row r="53" spans="1:13" ht="18" customHeight="1">
      <c r="A53" s="132"/>
      <c r="B53" s="12"/>
      <c r="C53" s="13"/>
      <c r="D53" s="13"/>
      <c r="E53" s="13"/>
      <c r="F53" s="12"/>
      <c r="G53" s="13"/>
      <c r="H53" s="13"/>
      <c r="I53" s="13"/>
      <c r="J53" s="16"/>
      <c r="K53" s="17" t="str">
        <f t="shared" si="2"/>
        <v/>
      </c>
      <c r="L53" s="15" t="str">
        <f t="shared" ca="1" si="3"/>
        <v/>
      </c>
      <c r="M53" s="117"/>
    </row>
    <row r="54" spans="1:13" ht="18" customHeight="1">
      <c r="A54" s="132"/>
      <c r="B54" s="12"/>
      <c r="C54" s="13"/>
      <c r="D54" s="13"/>
      <c r="E54" s="13"/>
      <c r="F54" s="12"/>
      <c r="G54" s="13"/>
      <c r="H54" s="13"/>
      <c r="I54" s="13"/>
      <c r="J54" s="16"/>
      <c r="K54" s="17" t="str">
        <f t="shared" si="2"/>
        <v/>
      </c>
      <c r="L54" s="15" t="str">
        <f t="shared" ca="1" si="3"/>
        <v/>
      </c>
      <c r="M54" s="117"/>
    </row>
    <row r="55" spans="1:13" ht="18" customHeight="1">
      <c r="A55" s="132"/>
      <c r="B55" s="12"/>
      <c r="C55" s="13"/>
      <c r="D55" s="13"/>
      <c r="E55" s="13"/>
      <c r="F55" s="12"/>
      <c r="G55" s="13"/>
      <c r="H55" s="13"/>
      <c r="I55" s="13"/>
      <c r="J55" s="16"/>
      <c r="K55" s="17" t="str">
        <f t="shared" si="2"/>
        <v/>
      </c>
      <c r="L55" s="15" t="str">
        <f t="shared" ca="1" si="3"/>
        <v/>
      </c>
      <c r="M55" s="117"/>
    </row>
    <row r="56" spans="1:13" ht="18" customHeight="1">
      <c r="A56" s="132"/>
      <c r="B56" s="12"/>
      <c r="C56" s="13"/>
      <c r="D56" s="13"/>
      <c r="E56" s="13"/>
      <c r="F56" s="12"/>
      <c r="G56" s="13"/>
      <c r="H56" s="13"/>
      <c r="I56" s="13"/>
      <c r="J56" s="16"/>
      <c r="K56" s="17" t="str">
        <f t="shared" si="2"/>
        <v/>
      </c>
      <c r="L56" s="15" t="str">
        <f t="shared" ca="1" si="3"/>
        <v/>
      </c>
      <c r="M56" s="117"/>
    </row>
    <row r="57" spans="1:13" ht="18" customHeight="1">
      <c r="A57" s="132"/>
      <c r="B57" s="12"/>
      <c r="C57" s="13"/>
      <c r="D57" s="13"/>
      <c r="E57" s="13"/>
      <c r="F57" s="12"/>
      <c r="G57" s="13"/>
      <c r="H57" s="13"/>
      <c r="I57" s="13"/>
      <c r="J57" s="16"/>
      <c r="K57" s="17" t="str">
        <f t="shared" si="2"/>
        <v/>
      </c>
      <c r="L57" s="15" t="str">
        <f t="shared" ca="1" si="3"/>
        <v/>
      </c>
      <c r="M57" s="117"/>
    </row>
    <row r="58" spans="1:13" ht="18" customHeight="1">
      <c r="A58" s="132"/>
      <c r="B58" s="12"/>
      <c r="C58" s="13"/>
      <c r="D58" s="13"/>
      <c r="E58" s="13"/>
      <c r="F58" s="12"/>
      <c r="G58" s="13"/>
      <c r="H58" s="13"/>
      <c r="I58" s="13"/>
      <c r="J58" s="16"/>
      <c r="K58" s="17" t="str">
        <f t="shared" si="2"/>
        <v/>
      </c>
      <c r="L58" s="15" t="str">
        <f t="shared" ca="1" si="3"/>
        <v/>
      </c>
      <c r="M58" s="117"/>
    </row>
    <row r="59" spans="1:13" ht="18" customHeight="1">
      <c r="A59" s="132"/>
      <c r="B59" s="12"/>
      <c r="C59" s="13"/>
      <c r="D59" s="13"/>
      <c r="E59" s="13"/>
      <c r="F59" s="12"/>
      <c r="G59" s="13"/>
      <c r="H59" s="13"/>
      <c r="I59" s="13"/>
      <c r="J59" s="16"/>
      <c r="K59" s="17" t="str">
        <f t="shared" si="2"/>
        <v/>
      </c>
      <c r="L59" s="15" t="str">
        <f t="shared" ca="1" si="3"/>
        <v/>
      </c>
      <c r="M59" s="117"/>
    </row>
    <row r="60" spans="1:13" ht="18" customHeight="1">
      <c r="A60" s="132"/>
      <c r="B60" s="12"/>
      <c r="C60" s="13"/>
      <c r="D60" s="13"/>
      <c r="E60" s="13"/>
      <c r="F60" s="12"/>
      <c r="G60" s="13"/>
      <c r="H60" s="13"/>
      <c r="I60" s="13"/>
      <c r="J60" s="16"/>
      <c r="K60" s="17" t="str">
        <f t="shared" si="2"/>
        <v/>
      </c>
      <c r="L60" s="15" t="str">
        <f t="shared" ca="1" si="3"/>
        <v/>
      </c>
      <c r="M60" s="117"/>
    </row>
    <row r="61" spans="1:13" ht="18" customHeight="1">
      <c r="A61" s="132"/>
      <c r="B61" s="12"/>
      <c r="C61" s="13"/>
      <c r="D61" s="13"/>
      <c r="E61" s="13"/>
      <c r="F61" s="12"/>
      <c r="G61" s="13"/>
      <c r="H61" s="13"/>
      <c r="I61" s="13"/>
      <c r="J61" s="16"/>
      <c r="K61" s="17" t="str">
        <f t="shared" si="2"/>
        <v/>
      </c>
      <c r="L61" s="15" t="str">
        <f t="shared" ca="1" si="3"/>
        <v/>
      </c>
      <c r="M61" s="117"/>
    </row>
    <row r="62" spans="1:13" ht="18" customHeight="1">
      <c r="A62" s="132"/>
      <c r="B62" s="12"/>
      <c r="C62" s="13"/>
      <c r="D62" s="13"/>
      <c r="E62" s="13"/>
      <c r="F62" s="12"/>
      <c r="G62" s="13"/>
      <c r="H62" s="13"/>
      <c r="I62" s="13"/>
      <c r="J62" s="16"/>
      <c r="K62" s="17" t="str">
        <f t="shared" si="2"/>
        <v/>
      </c>
      <c r="L62" s="15" t="str">
        <f t="shared" ca="1" si="3"/>
        <v/>
      </c>
      <c r="M62" s="117"/>
    </row>
    <row r="63" spans="1:13" ht="18" customHeight="1">
      <c r="A63" s="132"/>
      <c r="B63" s="12"/>
      <c r="C63" s="13"/>
      <c r="D63" s="13"/>
      <c r="E63" s="13"/>
      <c r="F63" s="12"/>
      <c r="G63" s="13"/>
      <c r="H63" s="13"/>
      <c r="I63" s="13"/>
      <c r="J63" s="16"/>
      <c r="K63" s="17" t="str">
        <f t="shared" si="2"/>
        <v/>
      </c>
      <c r="L63" s="15" t="str">
        <f t="shared" ca="1" si="3"/>
        <v/>
      </c>
      <c r="M63" s="117"/>
    </row>
    <row r="64" spans="1:13" ht="18" customHeight="1">
      <c r="A64" s="136"/>
      <c r="B64" s="119"/>
      <c r="C64" s="120"/>
      <c r="D64" s="120"/>
      <c r="E64" s="120"/>
      <c r="F64" s="119"/>
      <c r="G64" s="120"/>
      <c r="H64" s="120"/>
      <c r="I64" s="120"/>
      <c r="J64" s="123"/>
      <c r="K64" s="124" t="str">
        <f t="shared" si="2"/>
        <v/>
      </c>
      <c r="L64" s="122" t="str">
        <f t="shared" ca="1" si="3"/>
        <v/>
      </c>
      <c r="M64" s="128"/>
    </row>
  </sheetData>
  <mergeCells count="2">
    <mergeCell ref="A1:M1"/>
    <mergeCell ref="A2:M2"/>
  </mergeCells>
  <conditionalFormatting sqref="L5:L64">
    <cfRule type="cellIs" dxfId="45" priority="2" operator="equal">
      <formula>"Atrasado"</formula>
    </cfRule>
    <cfRule type="cellIs" dxfId="44" priority="3" operator="equal">
      <formula>"Vence em breve"</formula>
    </cfRule>
    <cfRule type="cellIs" dxfId="43" priority="4" operator="equal">
      <formula>"Em dia"</formula>
    </cfRule>
    <cfRule type="cellIs" dxfId="42" priority="5" operator="equal">
      <formula>"Sem data"</formula>
    </cfRule>
    <cfRule type="cellIs" dxfId="41" priority="6" operator="equal">
      <formula>"Conforme programa"</formula>
    </cfRule>
  </conditionalFormatting>
  <dataValidations count="4">
    <dataValidation type="date" operator="greaterThan" allowBlank="1" showErrorMessage="1" sqref="J5:J64" xr:uid="{00000000-0002-0000-0600-000000000000}">
      <formula1>36526</formula1>
      <formula2>0</formula2>
    </dataValidation>
    <dataValidation type="list" allowBlank="1" showErrorMessage="1" sqref="A5:A64" xr:uid="{00000000-0002-0000-0600-000001000000}">
      <formula1>"Estratégico,Tático,Operacional,Transversal"</formula1>
      <formula2>0</formula2>
    </dataValidation>
    <dataValidation type="list" allowBlank="1" showErrorMessage="1" sqref="B5:B64" xr:uid="{00000000-0002-0000-0600-000002000000}">
      <formula1>"Monitoramento,Comunicação,Consulta,Análise crítica"</formula1>
      <formula2>0</formula2>
    </dataValidation>
    <dataValidation type="list" allowBlank="1" showErrorMessage="1" sqref="F5:F64" xr:uid="{00000000-0002-0000-0600-000003000000}">
      <formula1>ListaFreq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  <pageSetUpPr fitToPage="1"/>
  </sheetPr>
  <dimension ref="A1:K11"/>
  <sheetViews>
    <sheetView showGridLines="0" zoomScaleNormal="100" workbookViewId="0">
      <pane ySplit="3" topLeftCell="A4" activePane="bottomLeft" state="frozen"/>
      <selection activeCell="E8" sqref="E8:H8"/>
      <selection pane="bottomLeft" activeCell="B8" sqref="B8:K8"/>
    </sheetView>
  </sheetViews>
  <sheetFormatPr defaultColWidth="8.6640625" defaultRowHeight="14.4"/>
  <cols>
    <col min="1" max="1" width="26" customWidth="1"/>
    <col min="2" max="2" width="40" customWidth="1"/>
    <col min="3" max="3" width="26.5546875" customWidth="1"/>
    <col min="4" max="4" width="36.33203125" customWidth="1"/>
    <col min="5" max="5" width="26.88671875" customWidth="1"/>
    <col min="6" max="6" width="16.88671875" customWidth="1"/>
    <col min="7" max="7" width="17" customWidth="1"/>
    <col min="8" max="8" width="43.44140625" customWidth="1"/>
    <col min="9" max="9" width="14.77734375" customWidth="1"/>
    <col min="10" max="10" width="10.77734375" customWidth="1"/>
    <col min="11" max="11" width="38.77734375" customWidth="1"/>
  </cols>
  <sheetData>
    <row r="1" spans="1:11" ht="25.5" customHeight="1">
      <c r="A1" s="247" t="s">
        <v>2800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</row>
    <row r="2" spans="1:11" ht="40.049999999999997" customHeight="1">
      <c r="A2" s="249" t="s">
        <v>2801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</row>
    <row r="4" spans="1:11" ht="15" customHeight="1">
      <c r="A4" s="251" t="s">
        <v>408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5" spans="1:11" ht="22.35" customHeight="1">
      <c r="A5" s="10" t="s">
        <v>409</v>
      </c>
      <c r="B5" s="253" t="s">
        <v>1660</v>
      </c>
      <c r="C5" s="254"/>
      <c r="D5" s="254"/>
      <c r="E5" s="254"/>
      <c r="F5" s="254"/>
      <c r="G5" s="254"/>
      <c r="H5" s="254"/>
      <c r="I5" s="254"/>
      <c r="J5" s="254"/>
      <c r="K5" s="254"/>
    </row>
    <row r="6" spans="1:11" ht="15" customHeight="1">
      <c r="A6" s="10" t="s">
        <v>410</v>
      </c>
      <c r="B6" s="253" t="s">
        <v>676</v>
      </c>
      <c r="C6" s="254"/>
      <c r="D6" s="254"/>
      <c r="E6" s="254"/>
      <c r="F6" s="254"/>
      <c r="G6" s="254"/>
      <c r="H6" s="254"/>
      <c r="I6" s="254"/>
      <c r="J6" s="254"/>
      <c r="K6" s="254"/>
    </row>
    <row r="7" spans="1:11" ht="24">
      <c r="A7" s="10" t="s">
        <v>411</v>
      </c>
      <c r="B7" s="255">
        <v>46560</v>
      </c>
      <c r="C7" s="256"/>
      <c r="D7" s="256"/>
      <c r="E7" s="256"/>
      <c r="F7" s="256"/>
      <c r="G7" s="256"/>
      <c r="H7" s="256"/>
      <c r="I7" s="256"/>
      <c r="J7" s="256"/>
      <c r="K7" s="256"/>
    </row>
    <row r="8" spans="1:11" ht="43.5" customHeight="1">
      <c r="A8" s="10" t="s">
        <v>412</v>
      </c>
      <c r="B8" s="253" t="s">
        <v>1661</v>
      </c>
      <c r="C8" s="254"/>
      <c r="D8" s="254"/>
      <c r="E8" s="254"/>
      <c r="F8" s="254"/>
      <c r="G8" s="254"/>
      <c r="H8" s="254"/>
      <c r="I8" s="254"/>
      <c r="J8" s="254"/>
      <c r="K8" s="254"/>
    </row>
    <row r="9" spans="1:11" ht="25.5" customHeight="1">
      <c r="A9" s="220" t="s">
        <v>413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</row>
    <row r="11" spans="1:11">
      <c r="A11" s="180" t="s">
        <v>2802</v>
      </c>
    </row>
  </sheetData>
  <mergeCells count="8">
    <mergeCell ref="A1:K1"/>
    <mergeCell ref="A2:K2"/>
    <mergeCell ref="A4:K4"/>
    <mergeCell ref="A9:K9"/>
    <mergeCell ref="B5:K5"/>
    <mergeCell ref="B6:K6"/>
    <mergeCell ref="B7:K7"/>
    <mergeCell ref="B8:K8"/>
  </mergeCells>
  <pageMargins left="0.75" right="0.75" top="1" bottom="1" header="0.511811023622047" footer="0.511811023622047"/>
  <pageSetup paperSize="9" scale="2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E2AB-B9EA-4C42-B48D-285CC4C26F27}">
  <sheetPr>
    <tabColor rgb="FF1F7A7A"/>
    <pageSetUpPr fitToPage="1"/>
  </sheetPr>
  <dimension ref="A1:R179"/>
  <sheetViews>
    <sheetView showGridLines="0" zoomScaleNormal="100" workbookViewId="0">
      <selection activeCell="C8" sqref="C8:H8"/>
    </sheetView>
  </sheetViews>
  <sheetFormatPr defaultColWidth="9.21875" defaultRowHeight="12.75" customHeight="1"/>
  <cols>
    <col min="1" max="1" width="40.77734375" style="49" customWidth="1"/>
    <col min="2" max="2" width="46.77734375" style="49" customWidth="1"/>
    <col min="3" max="4" width="34.77734375" style="49" customWidth="1"/>
    <col min="5" max="5" width="38.77734375" style="49" customWidth="1"/>
    <col min="6" max="6" width="22.77734375" style="49" customWidth="1"/>
    <col min="7" max="7" width="18.77734375" style="49" customWidth="1"/>
    <col min="8" max="8" width="44.77734375" style="49" customWidth="1"/>
    <col min="9" max="9" width="11.77734375" style="49" customWidth="1"/>
    <col min="10" max="10" width="18.5546875" style="49" customWidth="1"/>
    <col min="11" max="11" width="13.77734375" style="49" customWidth="1"/>
    <col min="12" max="12" width="16.5546875" style="49" customWidth="1"/>
    <col min="13" max="13" width="15.109375" style="49" customWidth="1"/>
    <col min="14" max="14" width="21.44140625" style="49" customWidth="1"/>
    <col min="15" max="15" width="58.77734375" style="49" customWidth="1"/>
    <col min="16" max="16" width="17.77734375" style="49" customWidth="1"/>
    <col min="17" max="17" width="44.77734375" style="49" customWidth="1"/>
    <col min="18" max="18" width="34.77734375" style="49" customWidth="1"/>
    <col min="19" max="16384" width="9.21875" style="49"/>
  </cols>
  <sheetData>
    <row r="1" spans="1:10" ht="24" customHeight="1">
      <c r="A1" s="281" t="s">
        <v>2057</v>
      </c>
      <c r="B1" s="281"/>
      <c r="C1" s="281"/>
      <c r="D1" s="281"/>
      <c r="E1" s="281"/>
      <c r="F1" s="281"/>
      <c r="G1" s="281"/>
      <c r="H1" s="281"/>
    </row>
    <row r="2" spans="1:10" ht="30" customHeight="1">
      <c r="A2" s="183" t="s">
        <v>2614</v>
      </c>
      <c r="B2" s="183"/>
      <c r="C2" s="183"/>
      <c r="D2" s="183"/>
      <c r="E2" s="183"/>
      <c r="F2" s="183"/>
      <c r="G2" s="183"/>
      <c r="H2" s="183"/>
    </row>
    <row r="4" spans="1:10" ht="12.75" customHeight="1">
      <c r="A4" s="276" t="s">
        <v>2058</v>
      </c>
      <c r="B4" s="276"/>
      <c r="C4" s="276"/>
      <c r="D4" s="276"/>
      <c r="E4" s="276"/>
      <c r="F4" s="276"/>
      <c r="G4" s="276"/>
      <c r="H4" s="276"/>
    </row>
    <row r="5" spans="1:10" ht="12.75" customHeight="1">
      <c r="A5" s="89" t="s">
        <v>2059</v>
      </c>
      <c r="B5" s="11" t="s">
        <v>1772</v>
      </c>
      <c r="C5" s="282" t="s">
        <v>2064</v>
      </c>
      <c r="D5" s="282"/>
      <c r="E5" s="282"/>
      <c r="F5" s="282"/>
      <c r="G5" s="282"/>
      <c r="H5" s="282"/>
    </row>
    <row r="6" spans="1:10" ht="12.75" customHeight="1">
      <c r="A6" s="89" t="s">
        <v>2060</v>
      </c>
      <c r="B6" s="91">
        <v>46371</v>
      </c>
      <c r="C6" s="93"/>
      <c r="D6" s="93"/>
      <c r="E6" s="93"/>
      <c r="F6" s="93"/>
      <c r="G6" s="93"/>
      <c r="H6" s="93"/>
    </row>
    <row r="7" spans="1:10" ht="12.75" customHeight="1">
      <c r="A7" s="89" t="s">
        <v>2061</v>
      </c>
      <c r="B7" s="284" t="s">
        <v>2063</v>
      </c>
      <c r="C7" s="285"/>
      <c r="D7" s="285"/>
      <c r="E7" s="285"/>
      <c r="F7" s="285"/>
      <c r="G7" s="285"/>
      <c r="H7" s="285"/>
    </row>
    <row r="8" spans="1:10" ht="12.75" customHeight="1">
      <c r="A8" s="89" t="s">
        <v>639</v>
      </c>
      <c r="B8" s="92">
        <v>4</v>
      </c>
      <c r="C8" s="282" t="str">
        <f>"Grau "&amp;B8&amp;" – "&amp;INDEX(GrauNome,B8)&amp;" (índice mínimo "&amp;ROUND(INDEX(GrauMin,B8)*100,1)&amp;"%"&amp;")"</f>
        <v>Grau 4 – Gerenciado (índice mínimo 62,5%)</v>
      </c>
      <c r="D8" s="282"/>
      <c r="E8" s="282"/>
      <c r="F8" s="282"/>
      <c r="G8" s="282"/>
      <c r="H8" s="282"/>
    </row>
    <row r="9" spans="1:10" ht="12.75" customHeight="1">
      <c r="A9" s="89" t="s">
        <v>2062</v>
      </c>
      <c r="B9" s="90">
        <v>0.8</v>
      </c>
      <c r="C9" s="282" t="s">
        <v>2065</v>
      </c>
      <c r="D9" s="282"/>
      <c r="E9" s="282"/>
      <c r="F9" s="282"/>
      <c r="G9" s="282"/>
      <c r="H9" s="282"/>
    </row>
    <row r="11" spans="1:10" ht="12.75" customHeight="1">
      <c r="A11" s="276" t="s">
        <v>2066</v>
      </c>
      <c r="B11" s="276"/>
      <c r="C11" s="276"/>
      <c r="D11" s="276"/>
      <c r="E11" s="276"/>
      <c r="F11" s="276"/>
      <c r="G11" s="276"/>
      <c r="H11" s="276"/>
    </row>
    <row r="12" spans="1:10" ht="12.75" customHeight="1">
      <c r="A12" s="89" t="s">
        <v>2067</v>
      </c>
      <c r="B12" s="95">
        <f>IFERROR(SUMIFS(tbMat[Pontos ponderados],tbMat[Ciclo],Ciclo_Atual)/SUMIFS(tbMat[Peso avaliado],tbMat[Ciclo],Ciclo_Atual),"")</f>
        <v>0.51887755102040811</v>
      </c>
      <c r="C12" s="278" t="s">
        <v>2078</v>
      </c>
      <c r="D12" s="278"/>
      <c r="E12" s="278"/>
      <c r="F12" s="278"/>
      <c r="G12" s="278"/>
      <c r="H12" s="278"/>
    </row>
    <row r="13" spans="1:10" ht="12.75" customHeight="1">
      <c r="A13" s="89" t="s">
        <v>2068</v>
      </c>
      <c r="B13" s="94" t="str">
        <f>IF(J13="","",J13&amp;" – "&amp;INDEX(GrauNome,J13))</f>
        <v>3 – Definido</v>
      </c>
      <c r="C13" s="278" t="str">
        <f>IF(J13="","",INDEX(GrauAud,J13))</f>
        <v>Facilita a gestão de riscos e passa a usar a avaliação feita pela direção/gerência, quando adequada.</v>
      </c>
      <c r="D13" s="278"/>
      <c r="E13" s="278"/>
      <c r="F13" s="278"/>
      <c r="G13" s="278"/>
      <c r="H13" s="278"/>
      <c r="J13" s="55">
        <f>IF(B12="","",1+(B12&gt;=0.125)+(B12&gt;=0.375)+(B12&gt;=0.625)+(B12&gt;=0.95))</f>
        <v>3</v>
      </c>
    </row>
    <row r="14" spans="1:10" ht="12.75" customHeight="1">
      <c r="A14" s="89" t="s">
        <v>2069</v>
      </c>
      <c r="B14" s="94" t="str">
        <f>B8&amp;" – "&amp;INDEX(GrauNome,B8)</f>
        <v>4 – Gerenciado</v>
      </c>
      <c r="C14" s="278" t="str">
        <f>"Índice mínimo para o grau "&amp;B8&amp;": "&amp;ROUND(INDEX(GrauMin,B8)*100,1)&amp;"%"</f>
        <v>Índice mínimo para o grau 4: 62,5%</v>
      </c>
      <c r="D14" s="278"/>
      <c r="E14" s="278"/>
      <c r="F14" s="278"/>
      <c r="G14" s="278"/>
      <c r="H14" s="278"/>
      <c r="J14" s="55"/>
    </row>
    <row r="15" spans="1:10" ht="12.75" customHeight="1">
      <c r="A15" s="89" t="s">
        <v>2070</v>
      </c>
      <c r="B15" s="94">
        <f>IF(J13="","",MAX(0,B8-J13))</f>
        <v>1</v>
      </c>
      <c r="C15" s="278" t="s">
        <v>2079</v>
      </c>
      <c r="D15" s="278"/>
      <c r="E15" s="278"/>
      <c r="F15" s="278"/>
      <c r="G15" s="278"/>
      <c r="H15" s="278"/>
      <c r="J15" s="55"/>
    </row>
    <row r="16" spans="1:10" ht="12.75" customHeight="1">
      <c r="A16" s="89" t="s">
        <v>640</v>
      </c>
      <c r="B16" s="94">
        <f>COUNTIFS(tbMat[Ciclo],Ciclo_Atual,tbMat[Lacuna],"&gt;0")</f>
        <v>12</v>
      </c>
      <c r="C16" s="278" t="str">
        <f>"de "&amp;COUNTIFS(tbMat[Ciclo],Ciclo_Atual,tbMat[Nível],"&gt;0")&amp;" critérios avaliados (grau do critério menor que a meta)"</f>
        <v>de 25 critérios avaliados (grau do critério menor que a meta)</v>
      </c>
      <c r="D16" s="278"/>
      <c r="E16" s="278"/>
      <c r="F16" s="278"/>
      <c r="G16" s="278"/>
      <c r="H16" s="278"/>
      <c r="J16" s="55"/>
    </row>
    <row r="17" spans="1:10" ht="12.75" customHeight="1">
      <c r="A17" s="89" t="s">
        <v>2071</v>
      </c>
      <c r="B17" s="94">
        <f>COUNTIFS(tbMat[Ciclo],Ciclo_Atual,tbMat[Situação],"Crítico abaixo da meta")</f>
        <v>3</v>
      </c>
      <c r="C17" s="278" t="s">
        <v>2080</v>
      </c>
      <c r="D17" s="278"/>
      <c r="E17" s="278"/>
      <c r="F17" s="278"/>
      <c r="G17" s="278"/>
      <c r="H17" s="278"/>
      <c r="J17" s="55"/>
    </row>
    <row r="18" spans="1:10" ht="12.75" customHeight="1">
      <c r="A18" s="89" t="s">
        <v>2072</v>
      </c>
      <c r="B18" s="96">
        <f>IFERROR(COUNTIFS(tbMat[Ciclo],Ciclo_Atual,tbMat[Evidência observada],"&lt;&gt;")/COUNTIFS(tbMat[Ciclo],Ciclo_Atual,tbMat[ID],"&lt;&gt;"),"")</f>
        <v>0.92</v>
      </c>
      <c r="C18" s="279" t="str">
        <f>"Mínimo exigido: "&amp;TEXT(CovMin,"0%")&amp;" — nota sem evidência vale no máximo 25% do critério"</f>
        <v>Mínimo exigido: 80% — nota sem evidência vale no máximo 25% do critério</v>
      </c>
      <c r="D18" s="279"/>
      <c r="E18" s="279"/>
      <c r="F18" s="279"/>
      <c r="G18" s="279"/>
      <c r="H18" s="279"/>
      <c r="J18" s="55"/>
    </row>
    <row r="19" spans="1:10" ht="34.049999999999997" customHeight="1">
      <c r="A19" s="89" t="s">
        <v>2073</v>
      </c>
      <c r="B19" s="280" t="str">
        <f>IF(J13="","Sem dados no ciclo informado",IF(J13&gt;=B8,IF(AND(B17=0,B18&gt;=CovMin),"META ATINGIDA","META ATINGIDA COM RESSALVAS — "&amp;IF(B17&gt;0,B17&amp;" critério(s) crítico(s) abaixo da meta","")&amp;IF(AND(B17&gt;0,B18&lt;CovMin)," e ","")&amp;IF(B18&lt;CovMin,"cobertura de evidência abaixo de "&amp;TEXT(CovMin,"0%"),"")),IF(J13=B8-1,"ABAIXO DA META — priorize as maiores lacunas e os "&amp;B17&amp;" critério(s) crítico(s) abaixo da meta","CRÍTICO — "&amp;(B8-J13)&amp;" graus abaixo da meta: exige plano da Direção")))</f>
        <v>ABAIXO DA META — priorize as maiores lacunas e os 3 critério(s) crítico(s) abaixo da meta</v>
      </c>
      <c r="C19" s="280"/>
      <c r="D19" s="280"/>
      <c r="E19" s="280"/>
      <c r="F19" s="280"/>
      <c r="G19" s="280"/>
      <c r="H19" s="280"/>
      <c r="J19" s="55">
        <f>IF(J13="","",IF(J13&gt;=B8,IF(AND(B17=0,B18&gt;=CovMin),1,2),IF(J13=B8-1,3,4)))</f>
        <v>3</v>
      </c>
    </row>
    <row r="20" spans="1:10" ht="25.95" customHeight="1">
      <c r="A20" s="89" t="s">
        <v>2074</v>
      </c>
      <c r="B20" s="275" t="str">
        <f>IF(J13="","",INDEX(GrauAud,J13))</f>
        <v>Facilita a gestão de riscos e passa a usar a avaliação feita pela direção/gerência, quando adequada.</v>
      </c>
      <c r="C20" s="275"/>
      <c r="D20" s="275"/>
      <c r="E20" s="275"/>
      <c r="F20" s="275"/>
      <c r="G20" s="275"/>
      <c r="H20" s="275"/>
    </row>
    <row r="21" spans="1:10" ht="12.75" customHeight="1">
      <c r="A21" s="89" t="s">
        <v>2075</v>
      </c>
      <c r="B21" s="275" t="str">
        <f>IFERROR(INDEX(tbMat[ID],MATCH(LARGE(tbMat[Ordem],1),tbMat[Ordem],0))&amp;" — "&amp;INDEX(tbMat[Critério],MATCH(LARGE(tbMat[Ordem],1),tbMat[Ordem],0))&amp;" (lacuna de "&amp;INDEX(tbMat[Lacuna],MATCH(LARGE(tbMat[Ordem],1),tbMat[Ordem],0))&amp;" grau(s) • peso "&amp;INDEX(tbMat[Peso],MATCH(LARGE(tbMat[Ordem],1),tbMat[Ordem],0))&amp;" • "&amp;INDEX(tbMat[Situação],MATCH(LARGE(tbMat[Ordem],1),tbMat[Ordem],0))&amp;")","")</f>
        <v>TRA-03 — Aceitação do residual (lacuna de 2 grau(s) • peso 3 • Crítico abaixo da meta)</v>
      </c>
      <c r="C21" s="275"/>
      <c r="D21" s="275"/>
      <c r="E21" s="275"/>
      <c r="F21" s="275"/>
      <c r="G21" s="275"/>
      <c r="H21" s="275"/>
    </row>
    <row r="22" spans="1:10" ht="12.75" customHeight="1">
      <c r="A22" s="89" t="s">
        <v>2076</v>
      </c>
      <c r="B22" s="275" t="str">
        <f>IFERROR(INDEX(tbMat[ID],MATCH(LARGE(tbMat[Ordem],2),tbMat[Ordem],0))&amp;" — "&amp;INDEX(tbMat[Critério],MATCH(LARGE(tbMat[Ordem],2),tbMat[Ordem],0))&amp;" (lacuna de "&amp;INDEX(tbMat[Lacuna],MATCH(LARGE(tbMat[Ordem],2),tbMat[Ordem],0))&amp;" grau(s) • peso "&amp;INDEX(tbMat[Peso],MATCH(LARGE(tbMat[Ordem],2),tbMat[Ordem],0))&amp;" • "&amp;INDEX(tbMat[Situação],MATCH(LARGE(tbMat[Ordem],2),tbMat[Ordem],0))&amp;")","")</f>
        <v>TRA-04 — Verificação de eficácia (lacuna de 2 grau(s) • peso 3 • Crítico abaixo da meta)</v>
      </c>
      <c r="C22" s="275"/>
      <c r="D22" s="275"/>
      <c r="E22" s="275"/>
      <c r="F22" s="275"/>
      <c r="G22" s="275"/>
      <c r="H22" s="275"/>
    </row>
    <row r="23" spans="1:10" ht="12.75" customHeight="1">
      <c r="A23" s="89" t="s">
        <v>2077</v>
      </c>
      <c r="B23" s="275" t="str">
        <f>IFERROR(INDEX(tbMat[ID],MATCH(LARGE(tbMat[Ordem],3),tbMat[Ordem],0))&amp;" — "&amp;INDEX(tbMat[Critério],MATCH(LARGE(tbMat[Ordem],3),tbMat[Ordem],0))&amp;" (lacuna de "&amp;INDEX(tbMat[Lacuna],MATCH(LARGE(tbMat[Ordem],3),tbMat[Ordem],0))&amp;" grau(s) • peso "&amp;INDEX(tbMat[Peso],MATCH(LARGE(tbMat[Ordem],3),tbMat[Ordem],0))&amp;" • "&amp;INDEX(tbMat[Situação],MATCH(LARGE(tbMat[Ordem],3),tbMat[Ordem],0))&amp;")","")</f>
        <v>GOV-06 — Riscos em mudanças, projetos e investimentos (lacuna de 2 grau(s) • peso 2 • Abaixo da meta)</v>
      </c>
      <c r="C23" s="275"/>
      <c r="D23" s="275"/>
      <c r="E23" s="275"/>
      <c r="F23" s="275"/>
      <c r="G23" s="275"/>
      <c r="H23" s="275"/>
    </row>
    <row r="25" spans="1:10" ht="12.75" customHeight="1">
      <c r="A25" s="276" t="s">
        <v>2081</v>
      </c>
      <c r="B25" s="276"/>
      <c r="C25" s="276"/>
      <c r="D25" s="276"/>
      <c r="E25" s="276"/>
      <c r="F25" s="276"/>
      <c r="G25" s="276"/>
      <c r="H25" s="276"/>
    </row>
    <row r="26" spans="1:10" ht="28.05" customHeight="1">
      <c r="A26" s="51" t="s">
        <v>1742</v>
      </c>
      <c r="B26" s="51" t="s">
        <v>2082</v>
      </c>
      <c r="C26" s="51" t="s">
        <v>606</v>
      </c>
      <c r="D26" s="51" t="s">
        <v>2083</v>
      </c>
      <c r="E26" s="51" t="s">
        <v>2084</v>
      </c>
      <c r="F26" s="277" t="s">
        <v>2085</v>
      </c>
      <c r="G26" s="277"/>
      <c r="H26" s="277"/>
    </row>
    <row r="27" spans="1:10" ht="12.75" customHeight="1">
      <c r="A27" s="70" t="s">
        <v>1774</v>
      </c>
      <c r="B27" s="98">
        <f>IFERROR(SUMIFS(tbMat[Pontos ponderados],tbMat[Ciclo],Ciclo_Atual,tbMat[Dimensão],$A27)/SUMIFS(tbMat[Peso avaliado],tbMat[Ciclo],Ciclo_Atual,tbMat[Dimensão],$A27),"")</f>
        <v>0.57045454545454544</v>
      </c>
      <c r="C27" s="97" t="str">
        <f t="shared" ref="C27:C32" si="0">IF(J27="","",J27&amp;" – "&amp;INDEX(GrauNome,J27))</f>
        <v>3 – Definido</v>
      </c>
      <c r="D27" s="97">
        <f>COUNTIFS(tbMat[Ciclo],Ciclo_Atual,tbMat[Dimensão],$A27,tbMat[Situação],"Crítico abaixo da meta")</f>
        <v>0</v>
      </c>
      <c r="E27" s="100">
        <f>IFERROR(SUMIFS(tbAud[Pontos ponderados],tbAud[Dimensão],$A27)/SUMIFS(tbAud[Peso],tbAud[Dimensão],$A27),"")</f>
        <v>0.94444444444444442</v>
      </c>
      <c r="F27" s="275" t="str">
        <f t="shared" ref="F27:F33" si="1">IF(OR(B27="",E27=""),"—",IF(B27-E27&gt;0.3,"Notas acima da conformidade auditada: revisar evidências",IF(E27-B27&gt;0.3,"Auditoria acima da maturidade: falta formalizar ou medir o resultado","Coerente")))</f>
        <v>Auditoria acima da maturidade: falta formalizar ou medir o resultado</v>
      </c>
      <c r="G27" s="275"/>
      <c r="H27" s="275"/>
      <c r="J27" s="55">
        <f t="shared" ref="J27:J32" si="2">IF(B27="","",1+(B27&gt;=0.125)+(B27&gt;=0.375)+(B27&gt;=0.625)+(B27&gt;=0.95))</f>
        <v>3</v>
      </c>
    </row>
    <row r="28" spans="1:10" ht="12.75" customHeight="1">
      <c r="A28" s="70" t="s">
        <v>1799</v>
      </c>
      <c r="B28" s="98">
        <f>IFERROR(SUMIFS(tbMat[Pontos ponderados],tbMat[Ciclo],Ciclo_Atual,tbMat[Dimensão],$A28)/SUMIFS(tbMat[Peso avaliado],tbMat[Ciclo],Ciclo_Atual,tbMat[Dimensão],$A28),"")</f>
        <v>0.70937499999999998</v>
      </c>
      <c r="C28" s="97" t="str">
        <f t="shared" si="0"/>
        <v>4 – Gerenciado</v>
      </c>
      <c r="D28" s="97">
        <f>COUNTIFS(tbMat[Ciclo],Ciclo_Atual,tbMat[Dimensão],$A28,tbMat[Situação],"Crítico abaixo da meta")</f>
        <v>0</v>
      </c>
      <c r="E28" s="100">
        <f>IFERROR(SUMIFS(tbAud[Pontos ponderados],tbAud[Dimensão],$A28)/SUMIFS(tbAud[Peso],tbAud[Dimensão],$A28),"")</f>
        <v>0.72222222222222221</v>
      </c>
      <c r="F28" s="275" t="str">
        <f t="shared" si="1"/>
        <v>Coerente</v>
      </c>
      <c r="G28" s="275"/>
      <c r="H28" s="275"/>
      <c r="J28" s="55">
        <f t="shared" si="2"/>
        <v>4</v>
      </c>
    </row>
    <row r="29" spans="1:10" ht="12.75" customHeight="1">
      <c r="A29" s="70" t="s">
        <v>1818</v>
      </c>
      <c r="B29" s="98">
        <f>IFERROR(SUMIFS(tbMat[Pontos ponderados],tbMat[Ciclo],Ciclo_Atual,tbMat[Dimensão],$A29)/SUMIFS(tbMat[Peso avaliado],tbMat[Ciclo],Ciclo_Atual,tbMat[Dimensão],$A29),"")</f>
        <v>0.48888888888888893</v>
      </c>
      <c r="C29" s="97" t="str">
        <f t="shared" si="0"/>
        <v>3 – Definido</v>
      </c>
      <c r="D29" s="97">
        <f>COUNTIFS(tbMat[Ciclo],Ciclo_Atual,tbMat[Dimensão],$A29,tbMat[Situação],"Crítico abaixo da meta")</f>
        <v>1</v>
      </c>
      <c r="E29" s="100">
        <f>IFERROR(SUMIFS(tbAud[Pontos ponderados],tbAud[Dimensão],$A29)/SUMIFS(tbAud[Peso],tbAud[Dimensão],$A29),"")</f>
        <v>0.89583333333333337</v>
      </c>
      <c r="F29" s="275" t="str">
        <f t="shared" si="1"/>
        <v>Auditoria acima da maturidade: falta formalizar ou medir o resultado</v>
      </c>
      <c r="G29" s="275"/>
      <c r="H29" s="275"/>
      <c r="J29" s="55">
        <f t="shared" si="2"/>
        <v>3</v>
      </c>
    </row>
    <row r="30" spans="1:10" ht="12.75" customHeight="1">
      <c r="A30" s="70" t="s">
        <v>1835</v>
      </c>
      <c r="B30" s="98">
        <f>IFERROR(SUMIFS(tbMat[Pontos ponderados],tbMat[Ciclo],Ciclo_Atual,tbMat[Dimensão],$A30)/SUMIFS(tbMat[Peso avaliado],tbMat[Ciclo],Ciclo_Atual,tbMat[Dimensão],$A30),"")</f>
        <v>0.44500000000000001</v>
      </c>
      <c r="C30" s="97" t="str">
        <f t="shared" si="0"/>
        <v>3 – Definido</v>
      </c>
      <c r="D30" s="97">
        <f>COUNTIFS(tbMat[Ciclo],Ciclo_Atual,tbMat[Dimensão],$A30,tbMat[Situação],"Crítico abaixo da meta")</f>
        <v>2</v>
      </c>
      <c r="E30" s="100">
        <f>IFERROR(SUMIFS(tbAud[Pontos ponderados],tbAud[Dimensão],$A30)/SUMIFS(tbAud[Peso],tbAud[Dimensão],$A30),"")</f>
        <v>0.67708333333333337</v>
      </c>
      <c r="F30" s="275" t="str">
        <f t="shared" si="1"/>
        <v>Coerente</v>
      </c>
      <c r="G30" s="275"/>
      <c r="H30" s="275"/>
      <c r="J30" s="55">
        <f t="shared" si="2"/>
        <v>3</v>
      </c>
    </row>
    <row r="31" spans="1:10" ht="12.75" customHeight="1">
      <c r="A31" s="70" t="s">
        <v>1852</v>
      </c>
      <c r="B31" s="98">
        <f>IFERROR(SUMIFS(tbMat[Pontos ponderados],tbMat[Ciclo],Ciclo_Atual,tbMat[Dimensão],$A31)/SUMIFS(tbMat[Peso avaliado],tbMat[Ciclo],Ciclo_Atual,tbMat[Dimensão],$A31),"")</f>
        <v>0.51249999999999996</v>
      </c>
      <c r="C31" s="97" t="str">
        <f t="shared" si="0"/>
        <v>3 – Definido</v>
      </c>
      <c r="D31" s="97">
        <f>COUNTIFS(tbMat[Ciclo],Ciclo_Atual,tbMat[Dimensão],$A31,tbMat[Situação],"Crítico abaixo da meta")</f>
        <v>0</v>
      </c>
      <c r="E31" s="100">
        <f>IFERROR(SUMIFS(tbAud[Pontos ponderados],tbAud[Dimensão],$A31)/SUMIFS(tbAud[Peso],tbAud[Dimensão],$A31),"")</f>
        <v>0.63636363636363635</v>
      </c>
      <c r="F31" s="275" t="str">
        <f t="shared" si="1"/>
        <v>Coerente</v>
      </c>
      <c r="G31" s="275"/>
      <c r="H31" s="275"/>
      <c r="J31" s="55">
        <f t="shared" si="2"/>
        <v>3</v>
      </c>
    </row>
    <row r="32" spans="1:10" ht="12.75" customHeight="1">
      <c r="A32" s="70" t="s">
        <v>1868</v>
      </c>
      <c r="B32" s="98">
        <f>IFERROR(SUMIFS(tbMat[Pontos ponderados],tbMat[Ciclo],Ciclo_Atual,tbMat[Dimensão],$A32)/SUMIFS(tbMat[Peso avaliado],tbMat[Ciclo],Ciclo_Atual,tbMat[Dimensão],$A32),"")</f>
        <v>0.17500000000000002</v>
      </c>
      <c r="C32" s="97" t="str">
        <f t="shared" si="0"/>
        <v>2 – Consciente</v>
      </c>
      <c r="D32" s="97">
        <f>COUNTIFS(tbMat[Ciclo],Ciclo_Atual,tbMat[Dimensão],$A32,tbMat[Situação],"Crítico abaixo da meta")</f>
        <v>0</v>
      </c>
      <c r="E32" s="100">
        <f>IFERROR(SUMIFS(tbAud[Pontos ponderados],tbAud[Dimensão],$A32)/SUMIFS(tbAud[Peso],tbAud[Dimensão],$A32),"")</f>
        <v>0.75</v>
      </c>
      <c r="F32" s="275" t="str">
        <f t="shared" si="1"/>
        <v>Auditoria acima da maturidade: falta formalizar ou medir o resultado</v>
      </c>
      <c r="G32" s="275"/>
      <c r="H32" s="275"/>
      <c r="J32" s="55">
        <f t="shared" si="2"/>
        <v>2</v>
      </c>
    </row>
    <row r="33" spans="1:10" ht="12.75" customHeight="1">
      <c r="A33" s="70" t="s">
        <v>2046</v>
      </c>
      <c r="B33" s="99">
        <f>B12</f>
        <v>0.51887755102040811</v>
      </c>
      <c r="C33" s="85" t="str">
        <f>B13</f>
        <v>3 – Definido</v>
      </c>
      <c r="D33" s="85">
        <f>B17</f>
        <v>3</v>
      </c>
      <c r="E33" s="88">
        <f>IFERROR(SUM(tbAud[Pontos ponderados])/SUM(tbAud[Peso]),"")</f>
        <v>0.7551724137931034</v>
      </c>
      <c r="F33" s="283" t="str">
        <f t="shared" si="1"/>
        <v>Coerente</v>
      </c>
      <c r="G33" s="283"/>
      <c r="H33" s="283"/>
    </row>
    <row r="35" spans="1:10" ht="12.75" customHeight="1">
      <c r="A35" s="276" t="s">
        <v>2086</v>
      </c>
      <c r="B35" s="276"/>
      <c r="C35" s="276"/>
      <c r="D35" s="276"/>
      <c r="E35" s="276"/>
      <c r="F35" s="276"/>
      <c r="G35" s="276"/>
      <c r="H35" s="276"/>
    </row>
    <row r="36" spans="1:10" ht="28.05" customHeight="1">
      <c r="A36" s="51" t="s">
        <v>1741</v>
      </c>
      <c r="B36" s="51" t="s">
        <v>2082</v>
      </c>
      <c r="C36" s="51" t="s">
        <v>606</v>
      </c>
      <c r="D36" s="51" t="s">
        <v>640</v>
      </c>
      <c r="E36" s="51" t="s">
        <v>2083</v>
      </c>
      <c r="F36" s="51" t="s">
        <v>2072</v>
      </c>
    </row>
    <row r="37" spans="1:10" ht="12.75" customHeight="1">
      <c r="A37" s="11" t="s">
        <v>1772</v>
      </c>
      <c r="B37" s="98">
        <f>IF($A37="","",IFERROR(SUMIFS(tbMat[Pontos ponderados],tbMat[Ciclo],$A37)/SUMIFS(tbMat[Peso avaliado],tbMat[Ciclo],$A37),""))</f>
        <v>0.51887755102040811</v>
      </c>
      <c r="C37" s="97" t="str">
        <f t="shared" ref="C37:C42" si="3">IF(J37="","",J37&amp;" – "&amp;INDEX(GrauNome,J37))</f>
        <v>3 – Definido</v>
      </c>
      <c r="D37" s="97">
        <f>IF($A37="","",COUNTIFS(tbMat[Ciclo],$A37,tbMat[Lacuna],"&gt;0"))</f>
        <v>12</v>
      </c>
      <c r="E37" s="97">
        <f>IF($A37="","",COUNTIFS(tbMat[Ciclo],$A37,tbMat[Situação],"Crítico abaixo da meta"))</f>
        <v>3</v>
      </c>
      <c r="F37" s="100">
        <f>IF($A37="","",IFERROR(COUNTIFS(tbMat[Ciclo],$A37,tbMat[Evidência observada],"&lt;&gt;")/COUNTIFS(tbMat[Ciclo],$A37,tbMat[ID],"&lt;&gt;"),""))</f>
        <v>0.92</v>
      </c>
      <c r="J37" s="55">
        <f t="shared" ref="J37:J42" si="4">IF(B37="","",1+(B37&gt;=0.125)+(B37&gt;=0.375)+(B37&gt;=0.625)+(B37&gt;=0.95))</f>
        <v>3</v>
      </c>
    </row>
    <row r="38" spans="1:10" ht="12.75" customHeight="1">
      <c r="A38" s="11"/>
      <c r="B38" s="98" t="str">
        <f>IF($A38="","",IFERROR(SUMIFS(tbMat[Pontos ponderados],tbMat[Ciclo],$A38)/SUMIFS(tbMat[Peso avaliado],tbMat[Ciclo],$A38),""))</f>
        <v/>
      </c>
      <c r="C38" s="97" t="str">
        <f t="shared" si="3"/>
        <v/>
      </c>
      <c r="D38" s="97" t="str">
        <f>IF($A38="","",COUNTIFS(tbMat[Ciclo],$A38,tbMat[Lacuna],"&gt;0"))</f>
        <v/>
      </c>
      <c r="E38" s="97" t="str">
        <f>IF($A38="","",COUNTIFS(tbMat[Ciclo],$A38,tbMat[Situação],"Crítico abaixo da meta"))</f>
        <v/>
      </c>
      <c r="F38" s="100" t="str">
        <f>IF($A38="","",IFERROR(COUNTIFS(tbMat[Ciclo],$A38,tbMat[Evidência observada],"&lt;&gt;")/COUNTIFS(tbMat[Ciclo],$A38,tbMat[ID],"&lt;&gt;"),""))</f>
        <v/>
      </c>
      <c r="J38" s="55" t="str">
        <f t="shared" si="4"/>
        <v/>
      </c>
    </row>
    <row r="39" spans="1:10" ht="12.75" customHeight="1">
      <c r="A39" s="11"/>
      <c r="B39" s="98" t="str">
        <f>IF($A39="","",IFERROR(SUMIFS(tbMat[Pontos ponderados],tbMat[Ciclo],$A39)/SUMIFS(tbMat[Peso avaliado],tbMat[Ciclo],$A39),""))</f>
        <v/>
      </c>
      <c r="C39" s="97" t="str">
        <f t="shared" si="3"/>
        <v/>
      </c>
      <c r="D39" s="97" t="str">
        <f>IF($A39="","",COUNTIFS(tbMat[Ciclo],$A39,tbMat[Lacuna],"&gt;0"))</f>
        <v/>
      </c>
      <c r="E39" s="97" t="str">
        <f>IF($A39="","",COUNTIFS(tbMat[Ciclo],$A39,tbMat[Situação],"Crítico abaixo da meta"))</f>
        <v/>
      </c>
      <c r="F39" s="100" t="str">
        <f>IF($A39="","",IFERROR(COUNTIFS(tbMat[Ciclo],$A39,tbMat[Evidência observada],"&lt;&gt;")/COUNTIFS(tbMat[Ciclo],$A39,tbMat[ID],"&lt;&gt;"),""))</f>
        <v/>
      </c>
      <c r="J39" s="55" t="str">
        <f t="shared" si="4"/>
        <v/>
      </c>
    </row>
    <row r="40" spans="1:10" ht="12.75" customHeight="1">
      <c r="A40" s="11"/>
      <c r="B40" s="98" t="str">
        <f>IF($A40="","",IFERROR(SUMIFS(tbMat[Pontos ponderados],tbMat[Ciclo],$A40)/SUMIFS(tbMat[Peso avaliado],tbMat[Ciclo],$A40),""))</f>
        <v/>
      </c>
      <c r="C40" s="97" t="str">
        <f t="shared" si="3"/>
        <v/>
      </c>
      <c r="D40" s="97" t="str">
        <f>IF($A40="","",COUNTIFS(tbMat[Ciclo],$A40,tbMat[Lacuna],"&gt;0"))</f>
        <v/>
      </c>
      <c r="E40" s="97" t="str">
        <f>IF($A40="","",COUNTIFS(tbMat[Ciclo],$A40,tbMat[Situação],"Crítico abaixo da meta"))</f>
        <v/>
      </c>
      <c r="F40" s="100" t="str">
        <f>IF($A40="","",IFERROR(COUNTIFS(tbMat[Ciclo],$A40,tbMat[Evidência observada],"&lt;&gt;")/COUNTIFS(tbMat[Ciclo],$A40,tbMat[ID],"&lt;&gt;"),""))</f>
        <v/>
      </c>
      <c r="J40" s="55" t="str">
        <f t="shared" si="4"/>
        <v/>
      </c>
    </row>
    <row r="41" spans="1:10" ht="12.75" customHeight="1">
      <c r="A41" s="11"/>
      <c r="B41" s="98" t="str">
        <f>IF($A41="","",IFERROR(SUMIFS(tbMat[Pontos ponderados],tbMat[Ciclo],$A41)/SUMIFS(tbMat[Peso avaliado],tbMat[Ciclo],$A41),""))</f>
        <v/>
      </c>
      <c r="C41" s="97" t="str">
        <f t="shared" si="3"/>
        <v/>
      </c>
      <c r="D41" s="97" t="str">
        <f>IF($A41="","",COUNTIFS(tbMat[Ciclo],$A41,tbMat[Lacuna],"&gt;0"))</f>
        <v/>
      </c>
      <c r="E41" s="97" t="str">
        <f>IF($A41="","",COUNTIFS(tbMat[Ciclo],$A41,tbMat[Situação],"Crítico abaixo da meta"))</f>
        <v/>
      </c>
      <c r="F41" s="100" t="str">
        <f>IF($A41="","",IFERROR(COUNTIFS(tbMat[Ciclo],$A41,tbMat[Evidência observada],"&lt;&gt;")/COUNTIFS(tbMat[Ciclo],$A41,tbMat[ID],"&lt;&gt;"),""))</f>
        <v/>
      </c>
      <c r="J41" s="55" t="str">
        <f t="shared" si="4"/>
        <v/>
      </c>
    </row>
    <row r="42" spans="1:10" ht="12.75" customHeight="1">
      <c r="A42" s="11"/>
      <c r="B42" s="98" t="str">
        <f>IF($A42="","",IFERROR(SUMIFS(tbMat[Pontos ponderados],tbMat[Ciclo],$A42)/SUMIFS(tbMat[Peso avaliado],tbMat[Ciclo],$A42),""))</f>
        <v/>
      </c>
      <c r="C42" s="97" t="str">
        <f t="shared" si="3"/>
        <v/>
      </c>
      <c r="D42" s="97" t="str">
        <f>IF($A42="","",COUNTIFS(tbMat[Ciclo],$A42,tbMat[Lacuna],"&gt;0"))</f>
        <v/>
      </c>
      <c r="E42" s="97" t="str">
        <f>IF($A42="","",COUNTIFS(tbMat[Ciclo],$A42,tbMat[Situação],"Crítico abaixo da meta"))</f>
        <v/>
      </c>
      <c r="F42" s="100" t="str">
        <f>IF($A42="","",IFERROR(COUNTIFS(tbMat[Ciclo],$A42,tbMat[Evidência observada],"&lt;&gt;")/COUNTIFS(tbMat[Ciclo],$A42,tbMat[ID],"&lt;&gt;"),""))</f>
        <v/>
      </c>
      <c r="J42" s="55" t="str">
        <f t="shared" si="4"/>
        <v/>
      </c>
    </row>
    <row r="44" spans="1:10" ht="25.95" customHeight="1">
      <c r="A44" s="220" t="s">
        <v>2087</v>
      </c>
      <c r="B44" s="220"/>
      <c r="C44" s="220"/>
      <c r="D44" s="220"/>
      <c r="E44" s="220"/>
      <c r="F44" s="220"/>
      <c r="G44" s="220"/>
      <c r="H44" s="220"/>
    </row>
    <row r="68" spans="1:15" ht="24" customHeight="1">
      <c r="A68" s="182" t="s">
        <v>1762</v>
      </c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</row>
    <row r="69" spans="1:15" ht="30" customHeight="1">
      <c r="A69" s="183" t="s">
        <v>2615</v>
      </c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</row>
    <row r="71" spans="1:15" ht="12.75" customHeight="1">
      <c r="A71" s="274" t="s">
        <v>1763</v>
      </c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</row>
    <row r="72" spans="1:15" ht="30" customHeight="1">
      <c r="A72" s="82" t="s">
        <v>79</v>
      </c>
      <c r="B72" s="82" t="s">
        <v>417</v>
      </c>
      <c r="C72" s="82" t="s">
        <v>276</v>
      </c>
      <c r="D72" s="82" t="s">
        <v>1764</v>
      </c>
      <c r="E72" s="82" t="s">
        <v>354</v>
      </c>
      <c r="F72" s="82" t="s">
        <v>1765</v>
      </c>
      <c r="G72" s="82" t="s">
        <v>1766</v>
      </c>
      <c r="H72" s="82" t="s">
        <v>1767</v>
      </c>
      <c r="I72" s="82" t="s">
        <v>1768</v>
      </c>
      <c r="J72" s="82" t="s">
        <v>1717</v>
      </c>
      <c r="K72" s="82" t="s">
        <v>1769</v>
      </c>
      <c r="L72" s="82" t="s">
        <v>1770</v>
      </c>
      <c r="M72" s="82" t="s">
        <v>1751</v>
      </c>
      <c r="N72" s="82" t="s">
        <v>319</v>
      </c>
      <c r="O72" s="82" t="s">
        <v>1771</v>
      </c>
    </row>
    <row r="73" spans="1:15" ht="22.8" customHeight="1">
      <c r="A73" s="101" t="s">
        <v>2821</v>
      </c>
      <c r="B73" s="16">
        <v>46350</v>
      </c>
      <c r="C73" s="101" t="s">
        <v>97</v>
      </c>
      <c r="D73" s="101" t="s">
        <v>2042</v>
      </c>
      <c r="E73" s="101" t="s">
        <v>2043</v>
      </c>
      <c r="F73" s="97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>22</v>
      </c>
      <c r="G73" s="97">
        <f>IF(tbAuditorias[[#This Row],[Auditoria]]="","",COUNTIFS(tbAud[Auditoria],tbAuditorias[[#This Row],[Auditoria]],tbAud[Classificação],"Conforme"))</f>
        <v>17</v>
      </c>
      <c r="H73" s="97">
        <f>IF(tbAuditorias[[#This Row],[Auditoria]]="","",COUNTIFS(tbAud[Auditoria],tbAuditorias[[#This Row],[Auditoria]],tbAud[Classificação],"Observação"))</f>
        <v>4</v>
      </c>
      <c r="I73" s="97">
        <f>IF(tbAuditorias[[#This Row],[Auditoria]]="","",COUNTIFS(tbAud[Auditoria],tbAuditorias[[#This Row],[Auditoria]],tbAud[Resultado],"Não conforme"))</f>
        <v>1</v>
      </c>
      <c r="J73" s="97">
        <f>IF(tbAuditorias[[#This Row],[Auditoria]]="","",COUNTIFS(tbAud[Auditoria],tbAuditorias[[#This Row],[Auditoria]],tbAud[Resultado],"N/A"))</f>
        <v>0</v>
      </c>
      <c r="K73" s="97">
        <f>IF(tbAuditorias[[#This Row],[Auditoria]]="","",COUNTIFS(tbAud[Auditoria],tbAuditorias[[#This Row],[Auditoria]],tbAud[Classificação],"Não verificado"))</f>
        <v>0</v>
      </c>
      <c r="L73" s="97">
        <f>IF(tbAuditorias[[#This Row],[Auditoria]]="","",COUNTIFS(tbAud[Auditoria],tbAuditorias[[#This Row],[Auditoria]],tbAud[Classificação],"NC maior"))</f>
        <v>1</v>
      </c>
      <c r="M73" s="88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>0.84693877551020413</v>
      </c>
      <c r="N73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>Atenção</v>
      </c>
      <c r="O73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>Conforme com ressalvas — tratar 1 NC e 4 observação(ões) e verificar a eficácia</v>
      </c>
    </row>
    <row r="74" spans="1:15" ht="22.8" customHeight="1">
      <c r="A74" s="101" t="s">
        <v>2822</v>
      </c>
      <c r="B74" s="16">
        <v>46365</v>
      </c>
      <c r="C74" s="101" t="s">
        <v>78</v>
      </c>
      <c r="D74" s="101" t="s">
        <v>1613</v>
      </c>
      <c r="E74" s="101" t="s">
        <v>2043</v>
      </c>
      <c r="F74" s="97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>22</v>
      </c>
      <c r="G74" s="97">
        <f>IF(tbAuditorias[[#This Row],[Auditoria]]="","",COUNTIFS(tbAud[Auditoria],tbAuditorias[[#This Row],[Auditoria]],tbAud[Classificação],"Conforme"))</f>
        <v>15</v>
      </c>
      <c r="H74" s="97">
        <f>IF(tbAuditorias[[#This Row],[Auditoria]]="","",COUNTIFS(tbAud[Auditoria],tbAuditorias[[#This Row],[Auditoria]],tbAud[Classificação],"Observação"))</f>
        <v>5</v>
      </c>
      <c r="I74" s="97">
        <f>IF(tbAuditorias[[#This Row],[Auditoria]]="","",COUNTIFS(tbAud[Auditoria],tbAuditorias[[#This Row],[Auditoria]],tbAud[Resultado],"Não conforme"))</f>
        <v>2</v>
      </c>
      <c r="J74" s="97">
        <f>IF(tbAuditorias[[#This Row],[Auditoria]]="","",COUNTIFS(tbAud[Auditoria],tbAuditorias[[#This Row],[Auditoria]],tbAud[Resultado],"N/A"))</f>
        <v>0</v>
      </c>
      <c r="K74" s="97">
        <f>IF(tbAuditorias[[#This Row],[Auditoria]]="","",COUNTIFS(tbAud[Auditoria],tbAuditorias[[#This Row],[Auditoria]],tbAud[Classificação],"Não verificado"))</f>
        <v>0</v>
      </c>
      <c r="L74" s="97">
        <f>IF(tbAuditorias[[#This Row],[Auditoria]]="","",COUNTIFS(tbAud[Auditoria],tbAuditorias[[#This Row],[Auditoria]],tbAud[Classificação],"NC maior"))</f>
        <v>1</v>
      </c>
      <c r="M74" s="88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>0.79591836734693877</v>
      </c>
      <c r="N74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>Atenção</v>
      </c>
      <c r="O74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>Conforme com ressalvas — tratar 2 NC e 5 observação(ões) e verificar a eficácia</v>
      </c>
    </row>
    <row r="75" spans="1:15" ht="22.8" customHeight="1">
      <c r="A75" s="101" t="s">
        <v>2823</v>
      </c>
      <c r="B75" s="16">
        <v>46372</v>
      </c>
      <c r="C75" s="101" t="s">
        <v>557</v>
      </c>
      <c r="D75" s="101" t="s">
        <v>377</v>
      </c>
      <c r="E75" s="101" t="s">
        <v>2043</v>
      </c>
      <c r="F75" s="97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>21</v>
      </c>
      <c r="G75" s="97">
        <f>IF(tbAuditorias[[#This Row],[Auditoria]]="","",COUNTIFS(tbAud[Auditoria],tbAuditorias[[#This Row],[Auditoria]],tbAud[Classificação],"Conforme"))</f>
        <v>10</v>
      </c>
      <c r="H75" s="97">
        <f>IF(tbAuditorias[[#This Row],[Auditoria]]="","",COUNTIFS(tbAud[Auditoria],tbAuditorias[[#This Row],[Auditoria]],tbAud[Classificação],"Observação"))</f>
        <v>7</v>
      </c>
      <c r="I75" s="97">
        <f>IF(tbAuditorias[[#This Row],[Auditoria]]="","",COUNTIFS(tbAud[Auditoria],tbAuditorias[[#This Row],[Auditoria]],tbAud[Resultado],"Não conforme"))</f>
        <v>4</v>
      </c>
      <c r="J75" s="97">
        <f>IF(tbAuditorias[[#This Row],[Auditoria]]="","",COUNTIFS(tbAud[Auditoria],tbAuditorias[[#This Row],[Auditoria]],tbAud[Resultado],"N/A"))</f>
        <v>1</v>
      </c>
      <c r="K75" s="97">
        <f>IF(tbAuditorias[[#This Row],[Auditoria]]="","",COUNTIFS(tbAud[Auditoria],tbAuditorias[[#This Row],[Auditoria]],tbAud[Classificação],"Não verificado"))</f>
        <v>0</v>
      </c>
      <c r="L75" s="97">
        <f>IF(tbAuditorias[[#This Row],[Auditoria]]="","",COUNTIFS(tbAud[Auditoria],tbAuditorias[[#This Row],[Auditoria]],tbAud[Classificação],"NC maior"))</f>
        <v>3</v>
      </c>
      <c r="M75" s="88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>0.61702127659574468</v>
      </c>
      <c r="N75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>Crítico</v>
      </c>
      <c r="O75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>Não conforme — plano de ação imediato (3 NC maior(es)) e reauditoria em até 90 dias</v>
      </c>
    </row>
    <row r="76" spans="1:15" ht="12" customHeight="1">
      <c r="A76" s="101"/>
      <c r="B76" s="16"/>
      <c r="C76" s="101"/>
      <c r="D76" s="101"/>
      <c r="E76" s="101"/>
      <c r="F76" s="97" t="str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/>
      </c>
      <c r="G76" s="97" t="str">
        <f>IF(tbAuditorias[[#This Row],[Auditoria]]="","",COUNTIFS(tbAud[Auditoria],tbAuditorias[[#This Row],[Auditoria]],tbAud[Classificação],"Conforme"))</f>
        <v/>
      </c>
      <c r="H76" s="97" t="str">
        <f>IF(tbAuditorias[[#This Row],[Auditoria]]="","",COUNTIFS(tbAud[Auditoria],tbAuditorias[[#This Row],[Auditoria]],tbAud[Classificação],"Observação"))</f>
        <v/>
      </c>
      <c r="I76" s="97" t="str">
        <f>IF(tbAuditorias[[#This Row],[Auditoria]]="","",COUNTIFS(tbAud[Auditoria],tbAuditorias[[#This Row],[Auditoria]],tbAud[Resultado],"Não conforme"))</f>
        <v/>
      </c>
      <c r="J76" s="97" t="str">
        <f>IF(tbAuditorias[[#This Row],[Auditoria]]="","",COUNTIFS(tbAud[Auditoria],tbAuditorias[[#This Row],[Auditoria]],tbAud[Resultado],"N/A"))</f>
        <v/>
      </c>
      <c r="K76" s="97" t="str">
        <f>IF(tbAuditorias[[#This Row],[Auditoria]]="","",COUNTIFS(tbAud[Auditoria],tbAuditorias[[#This Row],[Auditoria]],tbAud[Classificação],"Não verificado"))</f>
        <v/>
      </c>
      <c r="L76" s="97" t="str">
        <f>IF(tbAuditorias[[#This Row],[Auditoria]]="","",COUNTIFS(tbAud[Auditoria],tbAuditorias[[#This Row],[Auditoria]],tbAud[Classificação],"NC maior"))</f>
        <v/>
      </c>
      <c r="M76" s="88" t="str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/>
      </c>
      <c r="N76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/>
      </c>
      <c r="O76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/>
      </c>
    </row>
    <row r="77" spans="1:15" ht="12" customHeight="1">
      <c r="A77" s="101"/>
      <c r="B77" s="16"/>
      <c r="C77" s="101"/>
      <c r="D77" s="101"/>
      <c r="E77" s="101"/>
      <c r="F77" s="97" t="str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/>
      </c>
      <c r="G77" s="97" t="str">
        <f>IF(tbAuditorias[[#This Row],[Auditoria]]="","",COUNTIFS(tbAud[Auditoria],tbAuditorias[[#This Row],[Auditoria]],tbAud[Classificação],"Conforme"))</f>
        <v/>
      </c>
      <c r="H77" s="97" t="str">
        <f>IF(tbAuditorias[[#This Row],[Auditoria]]="","",COUNTIFS(tbAud[Auditoria],tbAuditorias[[#This Row],[Auditoria]],tbAud[Classificação],"Observação"))</f>
        <v/>
      </c>
      <c r="I77" s="97" t="str">
        <f>IF(tbAuditorias[[#This Row],[Auditoria]]="","",COUNTIFS(tbAud[Auditoria],tbAuditorias[[#This Row],[Auditoria]],tbAud[Resultado],"Não conforme"))</f>
        <v/>
      </c>
      <c r="J77" s="97" t="str">
        <f>IF(tbAuditorias[[#This Row],[Auditoria]]="","",COUNTIFS(tbAud[Auditoria],tbAuditorias[[#This Row],[Auditoria]],tbAud[Resultado],"N/A"))</f>
        <v/>
      </c>
      <c r="K77" s="97" t="str">
        <f>IF(tbAuditorias[[#This Row],[Auditoria]]="","",COUNTIFS(tbAud[Auditoria],tbAuditorias[[#This Row],[Auditoria]],tbAud[Classificação],"Não verificado"))</f>
        <v/>
      </c>
      <c r="L77" s="97" t="str">
        <f>IF(tbAuditorias[[#This Row],[Auditoria]]="","",COUNTIFS(tbAud[Auditoria],tbAuditorias[[#This Row],[Auditoria]],tbAud[Classificação],"NC maior"))</f>
        <v/>
      </c>
      <c r="M77" s="88" t="str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/>
      </c>
      <c r="N77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/>
      </c>
      <c r="O77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/>
      </c>
    </row>
    <row r="78" spans="1:15" ht="12" customHeight="1">
      <c r="A78" s="101"/>
      <c r="B78" s="16"/>
      <c r="C78" s="101"/>
      <c r="D78" s="101"/>
      <c r="E78" s="101"/>
      <c r="F78" s="97" t="str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/>
      </c>
      <c r="G78" s="97" t="str">
        <f>IF(tbAuditorias[[#This Row],[Auditoria]]="","",COUNTIFS(tbAud[Auditoria],tbAuditorias[[#This Row],[Auditoria]],tbAud[Classificação],"Conforme"))</f>
        <v/>
      </c>
      <c r="H78" s="97" t="str">
        <f>IF(tbAuditorias[[#This Row],[Auditoria]]="","",COUNTIFS(tbAud[Auditoria],tbAuditorias[[#This Row],[Auditoria]],tbAud[Classificação],"Observação"))</f>
        <v/>
      </c>
      <c r="I78" s="97" t="str">
        <f>IF(tbAuditorias[[#This Row],[Auditoria]]="","",COUNTIFS(tbAud[Auditoria],tbAuditorias[[#This Row],[Auditoria]],tbAud[Resultado],"Não conforme"))</f>
        <v/>
      </c>
      <c r="J78" s="97" t="str">
        <f>IF(tbAuditorias[[#This Row],[Auditoria]]="","",COUNTIFS(tbAud[Auditoria],tbAuditorias[[#This Row],[Auditoria]],tbAud[Resultado],"N/A"))</f>
        <v/>
      </c>
      <c r="K78" s="97" t="str">
        <f>IF(tbAuditorias[[#This Row],[Auditoria]]="","",COUNTIFS(tbAud[Auditoria],tbAuditorias[[#This Row],[Auditoria]],tbAud[Classificação],"Não verificado"))</f>
        <v/>
      </c>
      <c r="L78" s="97" t="str">
        <f>IF(tbAuditorias[[#This Row],[Auditoria]]="","",COUNTIFS(tbAud[Auditoria],tbAuditorias[[#This Row],[Auditoria]],tbAud[Classificação],"NC maior"))</f>
        <v/>
      </c>
      <c r="M78" s="88" t="str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/>
      </c>
      <c r="N78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/>
      </c>
      <c r="O78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/>
      </c>
    </row>
    <row r="79" spans="1:15" ht="12" customHeight="1">
      <c r="A79" s="101"/>
      <c r="B79" s="16"/>
      <c r="C79" s="101"/>
      <c r="D79" s="101"/>
      <c r="E79" s="101"/>
      <c r="F79" s="97" t="str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/>
      </c>
      <c r="G79" s="97" t="str">
        <f>IF(tbAuditorias[[#This Row],[Auditoria]]="","",COUNTIFS(tbAud[Auditoria],tbAuditorias[[#This Row],[Auditoria]],tbAud[Classificação],"Conforme"))</f>
        <v/>
      </c>
      <c r="H79" s="97" t="str">
        <f>IF(tbAuditorias[[#This Row],[Auditoria]]="","",COUNTIFS(tbAud[Auditoria],tbAuditorias[[#This Row],[Auditoria]],tbAud[Classificação],"Observação"))</f>
        <v/>
      </c>
      <c r="I79" s="97" t="str">
        <f>IF(tbAuditorias[[#This Row],[Auditoria]]="","",COUNTIFS(tbAud[Auditoria],tbAuditorias[[#This Row],[Auditoria]],tbAud[Resultado],"Não conforme"))</f>
        <v/>
      </c>
      <c r="J79" s="97" t="str">
        <f>IF(tbAuditorias[[#This Row],[Auditoria]]="","",COUNTIFS(tbAud[Auditoria],tbAuditorias[[#This Row],[Auditoria]],tbAud[Resultado],"N/A"))</f>
        <v/>
      </c>
      <c r="K79" s="97" t="str">
        <f>IF(tbAuditorias[[#This Row],[Auditoria]]="","",COUNTIFS(tbAud[Auditoria],tbAuditorias[[#This Row],[Auditoria]],tbAud[Classificação],"Não verificado"))</f>
        <v/>
      </c>
      <c r="L79" s="97" t="str">
        <f>IF(tbAuditorias[[#This Row],[Auditoria]]="","",COUNTIFS(tbAud[Auditoria],tbAuditorias[[#This Row],[Auditoria]],tbAud[Classificação],"NC maior"))</f>
        <v/>
      </c>
      <c r="M79" s="88" t="str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/>
      </c>
      <c r="N79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/>
      </c>
      <c r="O79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/>
      </c>
    </row>
    <row r="80" spans="1:15" ht="12" customHeight="1">
      <c r="A80" s="101"/>
      <c r="B80" s="16"/>
      <c r="C80" s="101"/>
      <c r="D80" s="101"/>
      <c r="E80" s="101"/>
      <c r="F80" s="97" t="str">
        <f>IF(tbAuditorias[[#This Row],[Auditoria]]="","",COUNTIFS(tbAud[Auditoria],tbAuditorias[[#This Row],[Auditoria]],tbAud[Resultado],"Conforme")+COUNTIFS(tbAud[Auditoria],tbAuditorias[[#This Row],[Auditoria]],tbAud[Resultado],"Parcial")+COUNTIFS(tbAud[Auditoria],tbAuditorias[[#This Row],[Auditoria]],tbAud[Resultado],"Não conforme"))</f>
        <v/>
      </c>
      <c r="G80" s="97" t="str">
        <f>IF(tbAuditorias[[#This Row],[Auditoria]]="","",COUNTIFS(tbAud[Auditoria],tbAuditorias[[#This Row],[Auditoria]],tbAud[Classificação],"Conforme"))</f>
        <v/>
      </c>
      <c r="H80" s="97" t="str">
        <f>IF(tbAuditorias[[#This Row],[Auditoria]]="","",COUNTIFS(tbAud[Auditoria],tbAuditorias[[#This Row],[Auditoria]],tbAud[Classificação],"Observação"))</f>
        <v/>
      </c>
      <c r="I80" s="97" t="str">
        <f>IF(tbAuditorias[[#This Row],[Auditoria]]="","",COUNTIFS(tbAud[Auditoria],tbAuditorias[[#This Row],[Auditoria]],tbAud[Resultado],"Não conforme"))</f>
        <v/>
      </c>
      <c r="J80" s="97" t="str">
        <f>IF(tbAuditorias[[#This Row],[Auditoria]]="","",COUNTIFS(tbAud[Auditoria],tbAuditorias[[#This Row],[Auditoria]],tbAud[Resultado],"N/A"))</f>
        <v/>
      </c>
      <c r="K80" s="97" t="str">
        <f>IF(tbAuditorias[[#This Row],[Auditoria]]="","",COUNTIFS(tbAud[Auditoria],tbAuditorias[[#This Row],[Auditoria]],tbAud[Classificação],"Não verificado"))</f>
        <v/>
      </c>
      <c r="L80" s="97" t="str">
        <f>IF(tbAuditorias[[#This Row],[Auditoria]]="","",COUNTIFS(tbAud[Auditoria],tbAuditorias[[#This Row],[Auditoria]],tbAud[Classificação],"NC maior"))</f>
        <v/>
      </c>
      <c r="M80" s="88" t="str">
        <f>IF(tbAuditorias[[#This Row],[Auditoria]]="","",IF(SUMIFS(tbAud[Peso],tbAud[Auditoria],tbAuditorias[[#This Row],[Auditoria]])=0,"",SUMIFS(tbAud[Pontos ponderados],tbAud[Auditoria],tbAuditorias[[#This Row],[Auditoria]])/SUMIFS(tbAud[Peso],tbAud[Auditoria],tbAuditorias[[#This Row],[Auditoria]])))</f>
        <v/>
      </c>
      <c r="N80" s="85" t="str">
        <f>IF(tbAuditorias[[#This Row],[Índice]]="","",IF(OR(tbAuditorias[[#This Row],[Índice]]&lt;0.7,tbAuditorias[[#This Row],[NC maiores]]&gt;=2),"Crítico",IF(AND(tbAuditorias[[#This Row],[Índice]]&gt;=0.9,tbAuditorias[[#This Row],[NC maiores]]=0,tbAuditorias[[#This Row],[Não verificados]]=0),"Conforme","Atenção")))</f>
        <v/>
      </c>
      <c r="O80" s="87" t="str">
        <f>IF(tbAuditorias[[#This Row],[Situação]]="","",IF(tbAuditorias[[#This Row],[Situação]]="Conforme","Conforme — manter os controles e monitorar",IF(tbAuditorias[[#This Row],[Situação]]="Atenção","Conforme com ressalvas — tratar "&amp;tbAuditorias[[#This Row],[Não conformes]]&amp;" NC e "&amp;tbAuditorias[[#This Row],[Parciais]]&amp;" observação(ões) e verificar a eficácia","Não conforme — plano de ação imediato ("&amp;tbAuditorias[[#This Row],[NC maiores]]&amp;" NC maior(es)) e reauditoria em até 90 dias")))</f>
        <v/>
      </c>
    </row>
    <row r="82" spans="1:15" ht="12.75" customHeight="1">
      <c r="A82" s="274" t="s">
        <v>2044</v>
      </c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</row>
    <row r="83" spans="1:15" ht="12.75" customHeight="1">
      <c r="A83" s="59" t="s">
        <v>1742</v>
      </c>
      <c r="B83" s="59" t="str">
        <f>IF(INDEX(tbAuditorias[Auditoria],1)="","",INDEX(tbAuditorias[Auditoria],1))</f>
        <v>AUD-SGI-2026-01</v>
      </c>
      <c r="C83" s="59" t="str">
        <f>IF(INDEX(tbAuditorias[Auditoria],2)="","",INDEX(tbAuditorias[Auditoria],2))</f>
        <v>AUD-SGI-2026-02</v>
      </c>
      <c r="D83" s="59" t="str">
        <f>IF(INDEX(tbAuditorias[Auditoria],3)="","",INDEX(tbAuditorias[Auditoria],3))</f>
        <v>AUD-SGI-2026-03</v>
      </c>
      <c r="E83" s="59" t="str">
        <f>IF(INDEX(tbAuditorias[Auditoria],4)="","",INDEX(tbAuditorias[Auditoria],4))</f>
        <v/>
      </c>
      <c r="F83" s="59" t="str">
        <f>IF(INDEX(tbAuditorias[Auditoria],5)="","",INDEX(tbAuditorias[Auditoria],5))</f>
        <v/>
      </c>
      <c r="G83" s="59" t="str">
        <f>IF(INDEX(tbAuditorias[Auditoria],6)="","",INDEX(tbAuditorias[Auditoria],6))</f>
        <v/>
      </c>
      <c r="H83" s="59" t="str">
        <f>IF(INDEX(tbAuditorias[Auditoria],7)="","",INDEX(tbAuditorias[Auditoria],7))</f>
        <v/>
      </c>
      <c r="I83" s="59" t="str">
        <f>IF(INDEX(tbAuditorias[Auditoria],8)="","",INDEX(tbAuditorias[Auditoria],8))</f>
        <v/>
      </c>
      <c r="J83" s="59" t="s">
        <v>2045</v>
      </c>
    </row>
    <row r="84" spans="1:15" ht="12.75" customHeight="1">
      <c r="A84" s="70" t="s">
        <v>1774</v>
      </c>
      <c r="B84" s="88">
        <f>IF(B$83="","",IFERROR(SUMIFS(tbAud[Pontos ponderados],tbAud[Auditoria],B$83,tbAud[Dimensão],$A84)/SUMIFS(tbAud[Peso],tbAud[Auditoria],B$83,tbAud[Dimensão],$A84),""))</f>
        <v>1</v>
      </c>
      <c r="C84" s="88">
        <f>IF(C$83="","",IFERROR(SUMIFS(tbAud[Pontos ponderados],tbAud[Auditoria],C$83,tbAud[Dimensão],$A84)/SUMIFS(tbAud[Peso],tbAud[Auditoria],C$83,tbAud[Dimensão],$A84),""))</f>
        <v>1</v>
      </c>
      <c r="D84" s="88">
        <f>IF(D$83="","",IFERROR(SUMIFS(tbAud[Pontos ponderados],tbAud[Auditoria],D$83,tbAud[Dimensão],$A84)/SUMIFS(tbAud[Peso],tbAud[Auditoria],D$83,tbAud[Dimensão],$A84),""))</f>
        <v>0.83333333333333337</v>
      </c>
      <c r="E84" s="88" t="str">
        <f>IF(E$83="","",IFERROR(SUMIFS(tbAud[Pontos ponderados],tbAud[Auditoria],E$83,tbAud[Dimensão],$A84)/SUMIFS(tbAud[Peso],tbAud[Auditoria],E$83,tbAud[Dimensão],$A84),""))</f>
        <v/>
      </c>
      <c r="F84" s="88" t="str">
        <f>IF(F$83="","",IFERROR(SUMIFS(tbAud[Pontos ponderados],tbAud[Auditoria],F$83,tbAud[Dimensão],$A84)/SUMIFS(tbAud[Peso],tbAud[Auditoria],F$83,tbAud[Dimensão],$A84),""))</f>
        <v/>
      </c>
      <c r="G84" s="88" t="str">
        <f>IF(G$83="","",IFERROR(SUMIFS(tbAud[Pontos ponderados],tbAud[Auditoria],G$83,tbAud[Dimensão],$A84)/SUMIFS(tbAud[Peso],tbAud[Auditoria],G$83,tbAud[Dimensão],$A84),""))</f>
        <v/>
      </c>
      <c r="H84" s="88" t="str">
        <f>IF(H$83="","",IFERROR(SUMIFS(tbAud[Pontos ponderados],tbAud[Auditoria],H$83,tbAud[Dimensão],$A84)/SUMIFS(tbAud[Peso],tbAud[Auditoria],H$83,tbAud[Dimensão],$A84),""))</f>
        <v/>
      </c>
      <c r="I84" s="88" t="str">
        <f>IF(I$83="","",IFERROR(SUMIFS(tbAud[Pontos ponderados],tbAud[Auditoria],I$83,tbAud[Dimensão],$A84)/SUMIFS(tbAud[Peso],tbAud[Auditoria],I$83,tbAud[Dimensão],$A84),""))</f>
        <v/>
      </c>
      <c r="J84" s="88">
        <f>IFERROR(SUMIFS(tbAud[Pontos ponderados],tbAud[Dimensão],$A84)/SUMIFS(tbAud[Peso],tbAud[Dimensão],$A84),"")</f>
        <v>0.94444444444444442</v>
      </c>
    </row>
    <row r="85" spans="1:15" ht="12.75" customHeight="1">
      <c r="A85" s="70" t="s">
        <v>1799</v>
      </c>
      <c r="B85" s="88">
        <f>IF(B$83="","",IFERROR(SUMIFS(tbAud[Pontos ponderados],tbAud[Auditoria],B$83,tbAud[Dimensão],$A85)/SUMIFS(tbAud[Peso],tbAud[Auditoria],B$83,tbAud[Dimensão],$A85),""))</f>
        <v>0.66666666666666663</v>
      </c>
      <c r="C85" s="88">
        <f>IF(C$83="","",IFERROR(SUMIFS(tbAud[Pontos ponderados],tbAud[Auditoria],C$83,tbAud[Dimensão],$A85)/SUMIFS(tbAud[Peso],tbAud[Auditoria],C$83,tbAud[Dimensão],$A85),""))</f>
        <v>0.83333333333333337</v>
      </c>
      <c r="D85" s="88">
        <f>IF(D$83="","",IFERROR(SUMIFS(tbAud[Pontos ponderados],tbAud[Auditoria],D$83,tbAud[Dimensão],$A85)/SUMIFS(tbAud[Peso],tbAud[Auditoria],D$83,tbAud[Dimensão],$A85),""))</f>
        <v>0.66666666666666663</v>
      </c>
      <c r="E85" s="88" t="str">
        <f>IF(E$83="","",IFERROR(SUMIFS(tbAud[Pontos ponderados],tbAud[Auditoria],E$83,tbAud[Dimensão],$A85)/SUMIFS(tbAud[Peso],tbAud[Auditoria],E$83,tbAud[Dimensão],$A85),""))</f>
        <v/>
      </c>
      <c r="F85" s="88" t="str">
        <f>IF(F$83="","",IFERROR(SUMIFS(tbAud[Pontos ponderados],tbAud[Auditoria],F$83,tbAud[Dimensão],$A85)/SUMIFS(tbAud[Peso],tbAud[Auditoria],F$83,tbAud[Dimensão],$A85),""))</f>
        <v/>
      </c>
      <c r="G85" s="88" t="str">
        <f>IF(G$83="","",IFERROR(SUMIFS(tbAud[Pontos ponderados],tbAud[Auditoria],G$83,tbAud[Dimensão],$A85)/SUMIFS(tbAud[Peso],tbAud[Auditoria],G$83,tbAud[Dimensão],$A85),""))</f>
        <v/>
      </c>
      <c r="H85" s="88" t="str">
        <f>IF(H$83="","",IFERROR(SUMIFS(tbAud[Pontos ponderados],tbAud[Auditoria],H$83,tbAud[Dimensão],$A85)/SUMIFS(tbAud[Peso],tbAud[Auditoria],H$83,tbAud[Dimensão],$A85),""))</f>
        <v/>
      </c>
      <c r="I85" s="88" t="str">
        <f>IF(I$83="","",IFERROR(SUMIFS(tbAud[Pontos ponderados],tbAud[Auditoria],I$83,tbAud[Dimensão],$A85)/SUMIFS(tbAud[Peso],tbAud[Auditoria],I$83,tbAud[Dimensão],$A85),""))</f>
        <v/>
      </c>
      <c r="J85" s="88">
        <f>IFERROR(SUMIFS(tbAud[Pontos ponderados],tbAud[Dimensão],$A85)/SUMIFS(tbAud[Peso],tbAud[Dimensão],$A85),"")</f>
        <v>0.72222222222222221</v>
      </c>
    </row>
    <row r="86" spans="1:15" ht="12.75" customHeight="1">
      <c r="A86" s="70" t="s">
        <v>1818</v>
      </c>
      <c r="B86" s="88">
        <f>IF(B$83="","",IFERROR(SUMIFS(tbAud[Pontos ponderados],tbAud[Auditoria],B$83,tbAud[Dimensão],$A86)/SUMIFS(tbAud[Peso],tbAud[Auditoria],B$83,tbAud[Dimensão],$A86),""))</f>
        <v>1</v>
      </c>
      <c r="C86" s="88">
        <f>IF(C$83="","",IFERROR(SUMIFS(tbAud[Pontos ponderados],tbAud[Auditoria],C$83,tbAud[Dimensão],$A86)/SUMIFS(tbAud[Peso],tbAud[Auditoria],C$83,tbAud[Dimensão],$A86),""))</f>
        <v>0.875</v>
      </c>
      <c r="D86" s="88">
        <f>IF(D$83="","",IFERROR(SUMIFS(tbAud[Pontos ponderados],tbAud[Auditoria],D$83,tbAud[Dimensão],$A86)/SUMIFS(tbAud[Peso],tbAud[Auditoria],D$83,tbAud[Dimensão],$A86),""))</f>
        <v>0.8125</v>
      </c>
      <c r="E86" s="88" t="str">
        <f>IF(E$83="","",IFERROR(SUMIFS(tbAud[Pontos ponderados],tbAud[Auditoria],E$83,tbAud[Dimensão],$A86)/SUMIFS(tbAud[Peso],tbAud[Auditoria],E$83,tbAud[Dimensão],$A86),""))</f>
        <v/>
      </c>
      <c r="F86" s="88" t="str">
        <f>IF(F$83="","",IFERROR(SUMIFS(tbAud[Pontos ponderados],tbAud[Auditoria],F$83,tbAud[Dimensão],$A86)/SUMIFS(tbAud[Peso],tbAud[Auditoria],F$83,tbAud[Dimensão],$A86),""))</f>
        <v/>
      </c>
      <c r="G86" s="88" t="str">
        <f>IF(G$83="","",IFERROR(SUMIFS(tbAud[Pontos ponderados],tbAud[Auditoria],G$83,tbAud[Dimensão],$A86)/SUMIFS(tbAud[Peso],tbAud[Auditoria],G$83,tbAud[Dimensão],$A86),""))</f>
        <v/>
      </c>
      <c r="H86" s="88" t="str">
        <f>IF(H$83="","",IFERROR(SUMIFS(tbAud[Pontos ponderados],tbAud[Auditoria],H$83,tbAud[Dimensão],$A86)/SUMIFS(tbAud[Peso],tbAud[Auditoria],H$83,tbAud[Dimensão],$A86),""))</f>
        <v/>
      </c>
      <c r="I86" s="88" t="str">
        <f>IF(I$83="","",IFERROR(SUMIFS(tbAud[Pontos ponderados],tbAud[Auditoria],I$83,tbAud[Dimensão],$A86)/SUMIFS(tbAud[Peso],tbAud[Auditoria],I$83,tbAud[Dimensão],$A86),""))</f>
        <v/>
      </c>
      <c r="J86" s="88">
        <f>IFERROR(SUMIFS(tbAud[Pontos ponderados],tbAud[Dimensão],$A86)/SUMIFS(tbAud[Peso],tbAud[Dimensão],$A86),"")</f>
        <v>0.89583333333333337</v>
      </c>
    </row>
    <row r="87" spans="1:15" ht="12.75" customHeight="1">
      <c r="A87" s="70" t="s">
        <v>1835</v>
      </c>
      <c r="B87" s="88">
        <f>IF(B$83="","",IFERROR(SUMIFS(tbAud[Pontos ponderados],tbAud[Auditoria],B$83,tbAud[Dimensão],$A87)/SUMIFS(tbAud[Peso],tbAud[Auditoria],B$83,tbAud[Dimensão],$A87),""))</f>
        <v>0.75</v>
      </c>
      <c r="C87" s="88">
        <f>IF(C$83="","",IFERROR(SUMIFS(tbAud[Pontos ponderados],tbAud[Auditoria],C$83,tbAud[Dimensão],$A87)/SUMIFS(tbAud[Peso],tbAud[Auditoria],C$83,tbAud[Dimensão],$A87),""))</f>
        <v>0.71875</v>
      </c>
      <c r="D87" s="88">
        <f>IF(D$83="","",IFERROR(SUMIFS(tbAud[Pontos ponderados],tbAud[Auditoria],D$83,tbAud[Dimensão],$A87)/SUMIFS(tbAud[Peso],tbAud[Auditoria],D$83,tbAud[Dimensão],$A87),""))</f>
        <v>0.5625</v>
      </c>
      <c r="E87" s="88" t="str">
        <f>IF(E$83="","",IFERROR(SUMIFS(tbAud[Pontos ponderados],tbAud[Auditoria],E$83,tbAud[Dimensão],$A87)/SUMIFS(tbAud[Peso],tbAud[Auditoria],E$83,tbAud[Dimensão],$A87),""))</f>
        <v/>
      </c>
      <c r="F87" s="88" t="str">
        <f>IF(F$83="","",IFERROR(SUMIFS(tbAud[Pontos ponderados],tbAud[Auditoria],F$83,tbAud[Dimensão],$A87)/SUMIFS(tbAud[Peso],tbAud[Auditoria],F$83,tbAud[Dimensão],$A87),""))</f>
        <v/>
      </c>
      <c r="G87" s="88" t="str">
        <f>IF(G$83="","",IFERROR(SUMIFS(tbAud[Pontos ponderados],tbAud[Auditoria],G$83,tbAud[Dimensão],$A87)/SUMIFS(tbAud[Peso],tbAud[Auditoria],G$83,tbAud[Dimensão],$A87),""))</f>
        <v/>
      </c>
      <c r="H87" s="88" t="str">
        <f>IF(H$83="","",IFERROR(SUMIFS(tbAud[Pontos ponderados],tbAud[Auditoria],H$83,tbAud[Dimensão],$A87)/SUMIFS(tbAud[Peso],tbAud[Auditoria],H$83,tbAud[Dimensão],$A87),""))</f>
        <v/>
      </c>
      <c r="I87" s="88" t="str">
        <f>IF(I$83="","",IFERROR(SUMIFS(tbAud[Pontos ponderados],tbAud[Auditoria],I$83,tbAud[Dimensão],$A87)/SUMIFS(tbAud[Peso],tbAud[Auditoria],I$83,tbAud[Dimensão],$A87),""))</f>
        <v/>
      </c>
      <c r="J87" s="88">
        <f>IFERROR(SUMIFS(tbAud[Pontos ponderados],tbAud[Dimensão],$A87)/SUMIFS(tbAud[Peso],tbAud[Dimensão],$A87),"")</f>
        <v>0.67708333333333337</v>
      </c>
    </row>
    <row r="88" spans="1:15" ht="12.75" customHeight="1">
      <c r="A88" s="70" t="s">
        <v>1852</v>
      </c>
      <c r="B88" s="88">
        <f>IF(B$83="","",IFERROR(SUMIFS(tbAud[Pontos ponderados],tbAud[Auditoria],B$83,tbAud[Dimensão],$A88)/SUMIFS(tbAud[Peso],tbAud[Auditoria],B$83,tbAud[Dimensão],$A88),""))</f>
        <v>0.875</v>
      </c>
      <c r="C88" s="88">
        <f>IF(C$83="","",IFERROR(SUMIFS(tbAud[Pontos ponderados],tbAud[Auditoria],C$83,tbAud[Dimensão],$A88)/SUMIFS(tbAud[Peso],tbAud[Auditoria],C$83,tbAud[Dimensão],$A88),""))</f>
        <v>0.5</v>
      </c>
      <c r="D88" s="88">
        <f>IF(D$83="","",IFERROR(SUMIFS(tbAud[Pontos ponderados],tbAud[Auditoria],D$83,tbAud[Dimensão],$A88)/SUMIFS(tbAud[Peso],tbAud[Auditoria],D$83,tbAud[Dimensão],$A88),""))</f>
        <v>0.5</v>
      </c>
      <c r="E88" s="88" t="str">
        <f>IF(E$83="","",IFERROR(SUMIFS(tbAud[Pontos ponderados],tbAud[Auditoria],E$83,tbAud[Dimensão],$A88)/SUMIFS(tbAud[Peso],tbAud[Auditoria],E$83,tbAud[Dimensão],$A88),""))</f>
        <v/>
      </c>
      <c r="F88" s="88" t="str">
        <f>IF(F$83="","",IFERROR(SUMIFS(tbAud[Pontos ponderados],tbAud[Auditoria],F$83,tbAud[Dimensão],$A88)/SUMIFS(tbAud[Peso],tbAud[Auditoria],F$83,tbAud[Dimensão],$A88),""))</f>
        <v/>
      </c>
      <c r="G88" s="88" t="str">
        <f>IF(G$83="","",IFERROR(SUMIFS(tbAud[Pontos ponderados],tbAud[Auditoria],G$83,tbAud[Dimensão],$A88)/SUMIFS(tbAud[Peso],tbAud[Auditoria],G$83,tbAud[Dimensão],$A88),""))</f>
        <v/>
      </c>
      <c r="H88" s="88" t="str">
        <f>IF(H$83="","",IFERROR(SUMIFS(tbAud[Pontos ponderados],tbAud[Auditoria],H$83,tbAud[Dimensão],$A88)/SUMIFS(tbAud[Peso],tbAud[Auditoria],H$83,tbAud[Dimensão],$A88),""))</f>
        <v/>
      </c>
      <c r="I88" s="88" t="str">
        <f>IF(I$83="","",IFERROR(SUMIFS(tbAud[Pontos ponderados],tbAud[Auditoria],I$83,tbAud[Dimensão],$A88)/SUMIFS(tbAud[Peso],tbAud[Auditoria],I$83,tbAud[Dimensão],$A88),""))</f>
        <v/>
      </c>
      <c r="J88" s="88">
        <f>IFERROR(SUMIFS(tbAud[Pontos ponderados],tbAud[Dimensão],$A88)/SUMIFS(tbAud[Peso],tbAud[Dimensão],$A88),"")</f>
        <v>0.63636363636363635</v>
      </c>
    </row>
    <row r="89" spans="1:15" ht="12.75" customHeight="1">
      <c r="A89" s="70" t="s">
        <v>1868</v>
      </c>
      <c r="B89" s="88">
        <f>IF(B$83="","",IFERROR(SUMIFS(tbAud[Pontos ponderados],tbAud[Auditoria],B$83,tbAud[Dimensão],$A89)/SUMIFS(tbAud[Peso],tbAud[Auditoria],B$83,tbAud[Dimensão],$A89),""))</f>
        <v>0.8125</v>
      </c>
      <c r="C89" s="88">
        <f>IF(C$83="","",IFERROR(SUMIFS(tbAud[Pontos ponderados],tbAud[Auditoria],C$83,tbAud[Dimensão],$A89)/SUMIFS(tbAud[Peso],tbAud[Auditoria],C$83,tbAud[Dimensão],$A89),""))</f>
        <v>1</v>
      </c>
      <c r="D89" s="88">
        <f>IF(D$83="","",IFERROR(SUMIFS(tbAud[Pontos ponderados],tbAud[Auditoria],D$83,tbAud[Dimensão],$A89)/SUMIFS(tbAud[Peso],tbAud[Auditoria],D$83,tbAud[Dimensão],$A89),""))</f>
        <v>0.4375</v>
      </c>
      <c r="E89" s="88" t="str">
        <f>IF(E$83="","",IFERROR(SUMIFS(tbAud[Pontos ponderados],tbAud[Auditoria],E$83,tbAud[Dimensão],$A89)/SUMIFS(tbAud[Peso],tbAud[Auditoria],E$83,tbAud[Dimensão],$A89),""))</f>
        <v/>
      </c>
      <c r="F89" s="88" t="str">
        <f>IF(F$83="","",IFERROR(SUMIFS(tbAud[Pontos ponderados],tbAud[Auditoria],F$83,tbAud[Dimensão],$A89)/SUMIFS(tbAud[Peso],tbAud[Auditoria],F$83,tbAud[Dimensão],$A89),""))</f>
        <v/>
      </c>
      <c r="G89" s="88" t="str">
        <f>IF(G$83="","",IFERROR(SUMIFS(tbAud[Pontos ponderados],tbAud[Auditoria],G$83,tbAud[Dimensão],$A89)/SUMIFS(tbAud[Peso],tbAud[Auditoria],G$83,tbAud[Dimensão],$A89),""))</f>
        <v/>
      </c>
      <c r="H89" s="88" t="str">
        <f>IF(H$83="","",IFERROR(SUMIFS(tbAud[Pontos ponderados],tbAud[Auditoria],H$83,tbAud[Dimensão],$A89)/SUMIFS(tbAud[Peso],tbAud[Auditoria],H$83,tbAud[Dimensão],$A89),""))</f>
        <v/>
      </c>
      <c r="I89" s="88" t="str">
        <f>IF(I$83="","",IFERROR(SUMIFS(tbAud[Pontos ponderados],tbAud[Auditoria],I$83,tbAud[Dimensão],$A89)/SUMIFS(tbAud[Peso],tbAud[Auditoria],I$83,tbAud[Dimensão],$A89),""))</f>
        <v/>
      </c>
      <c r="J89" s="88">
        <f>IFERROR(SUMIFS(tbAud[Pontos ponderados],tbAud[Dimensão],$A89)/SUMIFS(tbAud[Peso],tbAud[Dimensão],$A89),"")</f>
        <v>0.75</v>
      </c>
    </row>
    <row r="90" spans="1:15" ht="12.75" customHeight="1">
      <c r="A90" s="70" t="s">
        <v>2046</v>
      </c>
      <c r="B90" s="88">
        <f>IF(B$83="","",IFERROR(SUMIFS(tbAud[Pontos ponderados],tbAud[Auditoria],B$83)/SUMIFS(tbAud[Peso],tbAud[Auditoria],B$83),""))</f>
        <v>0.84693877551020413</v>
      </c>
      <c r="C90" s="88">
        <f>IF(C$83="","",IFERROR(SUMIFS(tbAud[Pontos ponderados],tbAud[Auditoria],C$83)/SUMIFS(tbAud[Peso],tbAud[Auditoria],C$83),""))</f>
        <v>0.79591836734693877</v>
      </c>
      <c r="D90" s="88">
        <f>IF(D$83="","",IFERROR(SUMIFS(tbAud[Pontos ponderados],tbAud[Auditoria],D$83)/SUMIFS(tbAud[Peso],tbAud[Auditoria],D$83),""))</f>
        <v>0.61702127659574468</v>
      </c>
      <c r="E90" s="88" t="str">
        <f>IF(E$83="","",IFERROR(SUMIFS(tbAud[Pontos ponderados],tbAud[Auditoria],E$83)/SUMIFS(tbAud[Peso],tbAud[Auditoria],E$83),""))</f>
        <v/>
      </c>
      <c r="F90" s="88" t="str">
        <f>IF(F$83="","",IFERROR(SUMIFS(tbAud[Pontos ponderados],tbAud[Auditoria],F$83)/SUMIFS(tbAud[Peso],tbAud[Auditoria],F$83),""))</f>
        <v/>
      </c>
      <c r="G90" s="88" t="str">
        <f>IF(G$83="","",IFERROR(SUMIFS(tbAud[Pontos ponderados],tbAud[Auditoria],G$83)/SUMIFS(tbAud[Peso],tbAud[Auditoria],G$83),""))</f>
        <v/>
      </c>
      <c r="H90" s="88" t="str">
        <f>IF(H$83="","",IFERROR(SUMIFS(tbAud[Pontos ponderados],tbAud[Auditoria],H$83)/SUMIFS(tbAud[Peso],tbAud[Auditoria],H$83),""))</f>
        <v/>
      </c>
      <c r="I90" s="88" t="str">
        <f>IF(I$83="","",IFERROR(SUMIFS(tbAud[Pontos ponderados],tbAud[Auditoria],I$83)/SUMIFS(tbAud[Peso],tbAud[Auditoria],I$83),""))</f>
        <v/>
      </c>
      <c r="J90" s="88">
        <f>IFERROR(SUM(tbAud[Pontos ponderados])/SUM(tbAud[Peso]),"")</f>
        <v>0.7551724137931034</v>
      </c>
    </row>
    <row r="92" spans="1:15" ht="12.75" customHeight="1">
      <c r="A92" s="274" t="s">
        <v>2047</v>
      </c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</row>
    <row r="93" spans="1:15" ht="12.75" customHeight="1">
      <c r="A93" s="272" t="s">
        <v>2048</v>
      </c>
      <c r="B93" s="272"/>
      <c r="C93" s="273"/>
      <c r="D93" s="85">
        <f>COUNTIF(tbAud[Classificação],"NC maior")</f>
        <v>5</v>
      </c>
    </row>
    <row r="94" spans="1:15" ht="12.75" customHeight="1">
      <c r="A94" s="272" t="s">
        <v>2049</v>
      </c>
      <c r="B94" s="272"/>
      <c r="C94" s="273"/>
      <c r="D94" s="85">
        <f>COUNTIF(tbAud[Classificação],"NC menor")</f>
        <v>2</v>
      </c>
    </row>
    <row r="95" spans="1:15" ht="12.75" customHeight="1">
      <c r="A95" s="272" t="s">
        <v>2050</v>
      </c>
      <c r="B95" s="272"/>
      <c r="C95" s="273"/>
      <c r="D95" s="85">
        <f>COUNTIF(tbAud[Classificação],"Observação")</f>
        <v>16</v>
      </c>
    </row>
    <row r="96" spans="1:15" ht="12.75" customHeight="1">
      <c r="A96" s="272" t="s">
        <v>2051</v>
      </c>
      <c r="B96" s="272"/>
      <c r="C96" s="273"/>
      <c r="D96" s="85">
        <f>COUNTIF(tbAud[Classificação],"Não verificado")</f>
        <v>0</v>
      </c>
    </row>
    <row r="97" spans="1:18" ht="12.75" customHeight="1">
      <c r="A97" s="272" t="s">
        <v>2052</v>
      </c>
      <c r="B97" s="272"/>
      <c r="C97" s="273"/>
      <c r="D97" s="85">
        <f ca="1">COUNTIF(tbAud[Alerta],"Abrir PAC/RNC")</f>
        <v>0</v>
      </c>
    </row>
    <row r="98" spans="1:18" ht="12.75" customHeight="1">
      <c r="A98" s="272" t="s">
        <v>2053</v>
      </c>
      <c r="B98" s="272"/>
      <c r="C98" s="273"/>
      <c r="D98" s="85">
        <f ca="1">COUNTIF(tbAud[Alerta],"Ação vencida")</f>
        <v>0</v>
      </c>
    </row>
    <row r="99" spans="1:18" ht="12.75" customHeight="1">
      <c r="A99" s="272" t="s">
        <v>2054</v>
      </c>
      <c r="B99" s="272"/>
      <c r="C99" s="273"/>
      <c r="D99" s="85">
        <f>COUNTIF(tbAud[Eficácia],"Pendente")</f>
        <v>14</v>
      </c>
    </row>
    <row r="100" spans="1:18" ht="12.75" customHeight="1">
      <c r="A100" s="272" t="s">
        <v>2055</v>
      </c>
      <c r="B100" s="272"/>
      <c r="C100" s="273"/>
      <c r="D100" s="85">
        <f ca="1">COUNTIF(tbAud[Alerta],"Justificar N/A")</f>
        <v>0</v>
      </c>
    </row>
    <row r="101" spans="1:18" ht="12.75" customHeight="1">
      <c r="A101" s="220" t="s">
        <v>2056</v>
      </c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</row>
    <row r="104" spans="1:18" ht="25.5" customHeight="1">
      <c r="A104" s="265" t="s">
        <v>641</v>
      </c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</row>
    <row r="105" spans="1:18" ht="64.05" customHeight="1">
      <c r="A105" s="266" t="s">
        <v>642</v>
      </c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</row>
    <row r="106" spans="1:18" ht="11.4" customHeight="1"/>
    <row r="107" spans="1:18" ht="13.2" customHeight="1">
      <c r="A107" s="267" t="s">
        <v>643</v>
      </c>
      <c r="B107" s="268"/>
      <c r="C107" s="267"/>
      <c r="D107" s="267"/>
      <c r="E107" s="268"/>
      <c r="F107" s="268"/>
      <c r="G107" s="268"/>
      <c r="H107" s="268"/>
      <c r="I107" s="267"/>
      <c r="K107" s="268" t="s">
        <v>644</v>
      </c>
      <c r="L107" s="268"/>
      <c r="M107" s="268"/>
      <c r="N107" s="268"/>
      <c r="O107" s="268"/>
      <c r="P107" s="268"/>
      <c r="Q107" s="268"/>
      <c r="R107" s="267"/>
    </row>
    <row r="108" spans="1:18" ht="12" customHeight="1">
      <c r="B108" s="57" t="s">
        <v>645</v>
      </c>
      <c r="C108" s="38">
        <v>8</v>
      </c>
      <c r="E108" s="264" t="s">
        <v>650</v>
      </c>
      <c r="F108" s="264"/>
      <c r="G108" s="264"/>
      <c r="H108" s="264"/>
      <c r="I108" s="38">
        <v>12</v>
      </c>
      <c r="K108" s="264" t="s">
        <v>656</v>
      </c>
      <c r="L108" s="264"/>
      <c r="M108" s="264"/>
      <c r="N108" s="264"/>
      <c r="O108" s="264"/>
      <c r="P108" s="269"/>
      <c r="Q108" s="58">
        <f ca="1">COUNTIF($K$117:$K$136,"Alta")</f>
        <v>5</v>
      </c>
    </row>
    <row r="109" spans="1:18" ht="12" customHeight="1">
      <c r="B109" s="57" t="s">
        <v>646</v>
      </c>
      <c r="C109" s="38">
        <v>4</v>
      </c>
      <c r="E109" s="264" t="s">
        <v>651</v>
      </c>
      <c r="F109" s="264"/>
      <c r="G109" s="264"/>
      <c r="H109" s="264"/>
      <c r="I109" s="38">
        <v>4</v>
      </c>
      <c r="K109" s="264" t="s">
        <v>657</v>
      </c>
      <c r="L109" s="264"/>
      <c r="M109" s="264"/>
      <c r="N109" s="264"/>
      <c r="O109" s="264"/>
      <c r="P109" s="269"/>
      <c r="Q109" s="58">
        <f ca="1">COUNTIF($K$117:$K$136,"Sem riscos")</f>
        <v>2</v>
      </c>
    </row>
    <row r="110" spans="1:18" ht="12" customHeight="1">
      <c r="B110" s="57" t="s">
        <v>647</v>
      </c>
      <c r="C110" s="38">
        <v>2</v>
      </c>
      <c r="E110" s="264" t="s">
        <v>652</v>
      </c>
      <c r="F110" s="264"/>
      <c r="G110" s="264"/>
      <c r="H110" s="264"/>
      <c r="I110" s="38">
        <v>6</v>
      </c>
      <c r="K110" s="264" t="s">
        <v>658</v>
      </c>
      <c r="L110" s="264"/>
      <c r="M110" s="264"/>
      <c r="N110" s="264"/>
      <c r="O110" s="264"/>
      <c r="P110" s="269"/>
      <c r="Q110" s="58">
        <f ca="1">COUNTIF($P$117:$P$136,"Atrasada")</f>
        <v>0</v>
      </c>
    </row>
    <row r="111" spans="1:18" ht="12" customHeight="1">
      <c r="B111" s="57" t="s">
        <v>648</v>
      </c>
      <c r="C111" s="38">
        <v>1</v>
      </c>
      <c r="E111" s="264" t="s">
        <v>653</v>
      </c>
      <c r="F111" s="264"/>
      <c r="G111" s="264"/>
      <c r="H111" s="264"/>
      <c r="I111" s="38">
        <v>12</v>
      </c>
      <c r="K111" s="264" t="s">
        <v>659</v>
      </c>
      <c r="L111" s="264"/>
      <c r="M111" s="264"/>
      <c r="N111" s="264"/>
      <c r="O111" s="264"/>
      <c r="P111" s="269"/>
      <c r="Q111" s="58">
        <f ca="1">COUNTIFS($P$117:$P$136,"Nunca auditada",$C$117:$C$136,"&gt;0")</f>
        <v>16</v>
      </c>
    </row>
    <row r="112" spans="1:18" ht="12" customHeight="1">
      <c r="B112" s="50" t="s">
        <v>649</v>
      </c>
      <c r="C112" s="38">
        <v>1</v>
      </c>
      <c r="E112" s="264" t="s">
        <v>654</v>
      </c>
      <c r="F112" s="264"/>
      <c r="G112" s="264"/>
      <c r="H112" s="264"/>
      <c r="I112" s="38">
        <v>24</v>
      </c>
      <c r="K112" s="266" t="s">
        <v>660</v>
      </c>
      <c r="L112" s="266"/>
      <c r="M112" s="266"/>
      <c r="N112" s="266"/>
      <c r="O112" s="266"/>
      <c r="P112" s="270"/>
      <c r="Q112" s="56">
        <f ca="1">COUNTIF($P$117:$P$136,"Vence em breve")</f>
        <v>0</v>
      </c>
    </row>
    <row r="113" spans="1:18" ht="12" customHeight="1">
      <c r="E113" s="266" t="s">
        <v>655</v>
      </c>
      <c r="F113" s="266"/>
      <c r="G113" s="266"/>
      <c r="H113" s="266"/>
      <c r="I113" s="38">
        <v>12</v>
      </c>
    </row>
    <row r="114" spans="1:18" ht="24" customHeight="1">
      <c r="A114" s="271" t="s">
        <v>2616</v>
      </c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</row>
    <row r="115" spans="1:18" ht="11.4" customHeight="1"/>
    <row r="116" spans="1:18" ht="31.95" customHeight="1">
      <c r="A116" s="155" t="s">
        <v>661</v>
      </c>
      <c r="B116" s="156" t="s">
        <v>283</v>
      </c>
      <c r="C116" s="156" t="s">
        <v>188</v>
      </c>
      <c r="D116" s="156" t="s">
        <v>453</v>
      </c>
      <c r="E116" s="156" t="s">
        <v>425</v>
      </c>
      <c r="F116" s="156" t="s">
        <v>428</v>
      </c>
      <c r="G116" s="156" t="s">
        <v>444</v>
      </c>
      <c r="H116" s="156" t="s">
        <v>662</v>
      </c>
      <c r="I116" s="156" t="s">
        <v>663</v>
      </c>
      <c r="J116" s="156" t="s">
        <v>664</v>
      </c>
      <c r="K116" s="156" t="s">
        <v>665</v>
      </c>
      <c r="L116" s="156" t="s">
        <v>666</v>
      </c>
      <c r="M116" s="156" t="s">
        <v>667</v>
      </c>
      <c r="N116" s="156" t="s">
        <v>668</v>
      </c>
      <c r="O116" s="156" t="s">
        <v>669</v>
      </c>
      <c r="P116" s="156" t="s">
        <v>319</v>
      </c>
      <c r="Q116" s="156" t="s">
        <v>670</v>
      </c>
      <c r="R116" s="157" t="s">
        <v>671</v>
      </c>
    </row>
    <row r="117" spans="1:18" ht="34.200000000000003" customHeight="1">
      <c r="A117" s="153">
        <f t="shared" ref="A117:A136" si="5">IF($B117="","",ROW()-ROW($A$116))</f>
        <v>1</v>
      </c>
      <c r="B117" s="53" t="str">
        <f>IF(Critérios!B71="","",Critérios!B71)</f>
        <v>Sopro (ISBM)</v>
      </c>
      <c r="C117" s="60">
        <f>IF($B117="","",COUNTIF(Riscos!$B$5:$B$154,$B117))</f>
        <v>4</v>
      </c>
      <c r="D117" s="60">
        <f>IF($B117="","",COUNTIFS(Riscos!$B$5:$B$154,$B117,Riscos!$W$5:$W$154,"Crítico"))</f>
        <v>0</v>
      </c>
      <c r="E117" s="60">
        <f>IF($B117="","",COUNTIFS(Riscos!$B$5:$B$154,$B117,Riscos!$W$5:$W$154,"Alto"))</f>
        <v>2</v>
      </c>
      <c r="F117" s="60">
        <f>IF($B117="","",COUNTIFS(Riscos!$B$5:$B$154,$B117,Riscos!$W$5:$W$154,"Médio"))</f>
        <v>2</v>
      </c>
      <c r="G117" s="60">
        <f>IF($B117="","",COUNTIFS(Riscos!$B$5:$B$154,$B117,Riscos!$W$5:$W$154,"Baixo"))</f>
        <v>0</v>
      </c>
      <c r="H117" s="60">
        <f ca="1">IF($B117="","",SUMPRODUCT((Riscos!$B$5:$B$154=$B117)*(Riscos!$AZ$5:$AZ$154&lt;&gt;"OK")*(Riscos!$AZ$5:$AZ$154&lt;&gt;"")))</f>
        <v>3</v>
      </c>
      <c r="I117" s="60">
        <f>IF($B117="","",COUNTIF(Oportunidades!$B$5:$B$154,$B117))</f>
        <v>0</v>
      </c>
      <c r="J117" s="60">
        <f t="shared" ref="J117:J136" ca="1" si="6">IF($B117="","",$D117*$C$108+$E117*$C$109+$F117*$C$110+$G117*$C$111+$H117*$C$112)</f>
        <v>15</v>
      </c>
      <c r="K117" s="60" t="str">
        <f t="shared" ref="K117:K136" ca="1" si="7">IF($B117="","",IF($C117=0,"Sem riscos",IF($J117&gt;=$I$108,"Alta",IF($J117&gt;=$I$109,"Média","Baixa"))))</f>
        <v>Alta</v>
      </c>
      <c r="L117" s="60">
        <f t="shared" ref="L117:L136" ca="1" si="8">IF($B117="","",IF($K117="Alta",$I$110,IF($K117="Média",$I$111,IF($K117="Baixa",$I$112,$I$113))))</f>
        <v>6</v>
      </c>
      <c r="M117" s="65" t="str">
        <f t="shared" ref="M117:M136" si="9">IF($B117="","",IFERROR(1/(1/SUMPRODUCT(MAX((AudArea=$B117)*AudData))),""))</f>
        <v/>
      </c>
      <c r="N117" s="61" t="str">
        <f t="shared" ref="N117:N136" si="10">IF($M117="","",IFERROR(INDEX(AudPct,MATCH(1,INDEX((AudArea=$B117)*(AudData=$M117),0),0)),""))</f>
        <v/>
      </c>
      <c r="O117" s="65" t="str">
        <f t="shared" ref="O117:O136" si="11">IF(OR($B117="",$M117=""),"",EDATE($M117,$L117))</f>
        <v/>
      </c>
      <c r="P117" s="60" t="str">
        <f t="shared" ref="P117:P136" ca="1" si="12">IF($B117="","",IF($M117="","Nunca auditada",IF($O117&lt;TODAY(),"Atrasada",IF($O117-TODAY()&lt;=DiasAlerta,"Vence em breve","Em dia"))))</f>
        <v>Nunca auditada</v>
      </c>
      <c r="Q117" s="52" t="str">
        <f t="shared" ref="Q117:Q136" si="13">IF($B117="","",IF($C117=0,"Confirmar se a identificação de riscos da área está completa",IF($D117+$E117&gt;0,"Testar controles-chave e a eficácia dos riscos Altos e Críticos",IF($H117&gt;0,"Verificar o tratamento dos alertas abertos","Amostragem de rotina"))))</f>
        <v>Testar controles-chave e a eficácia dos riscos Altos e Críticos</v>
      </c>
      <c r="R117" s="154" t="s">
        <v>1614</v>
      </c>
    </row>
    <row r="118" spans="1:18" ht="34.200000000000003" customHeight="1">
      <c r="A118" s="153">
        <f t="shared" si="5"/>
        <v>2</v>
      </c>
      <c r="B118" s="53" t="str">
        <f>IF(Critérios!B72="","",Critérios!B72)</f>
        <v>Injeção</v>
      </c>
      <c r="C118" s="60">
        <f>IF($B118="","",COUNTIF(Riscos!$B$5:$B$154,$B118))</f>
        <v>3</v>
      </c>
      <c r="D118" s="60">
        <f>IF($B118="","",COUNTIFS(Riscos!$B$5:$B$154,$B118,Riscos!$W$5:$W$154,"Crítico"))</f>
        <v>0</v>
      </c>
      <c r="E118" s="60">
        <f>IF($B118="","",COUNTIFS(Riscos!$B$5:$B$154,$B118,Riscos!$W$5:$W$154,"Alto"))</f>
        <v>2</v>
      </c>
      <c r="F118" s="60">
        <f>IF($B118="","",COUNTIFS(Riscos!$B$5:$B$154,$B118,Riscos!$W$5:$W$154,"Médio"))</f>
        <v>0</v>
      </c>
      <c r="G118" s="60">
        <f>IF($B118="","",COUNTIFS(Riscos!$B$5:$B$154,$B118,Riscos!$W$5:$W$154,"Baixo"))</f>
        <v>1</v>
      </c>
      <c r="H118" s="60">
        <f ca="1">IF($B118="","",SUMPRODUCT((Riscos!$B$5:$B$154=$B118)*(Riscos!$AZ$5:$AZ$154&lt;&gt;"OK")*(Riscos!$AZ$5:$AZ$154&lt;&gt;"")))</f>
        <v>2</v>
      </c>
      <c r="I118" s="60">
        <f>IF($B118="","",COUNTIF(Oportunidades!$B$5:$B$154,$B118))</f>
        <v>1</v>
      </c>
      <c r="J118" s="60">
        <f t="shared" ca="1" si="6"/>
        <v>11</v>
      </c>
      <c r="K118" s="60" t="str">
        <f t="shared" ca="1" si="7"/>
        <v>Média</v>
      </c>
      <c r="L118" s="60">
        <f t="shared" ca="1" si="8"/>
        <v>12</v>
      </c>
      <c r="M118" s="65" t="str">
        <f t="shared" si="9"/>
        <v/>
      </c>
      <c r="N118" s="61" t="str">
        <f t="shared" si="10"/>
        <v/>
      </c>
      <c r="O118" s="65" t="str">
        <f t="shared" si="11"/>
        <v/>
      </c>
      <c r="P118" s="60" t="str">
        <f t="shared" ca="1" si="12"/>
        <v>Nunca auditada</v>
      </c>
      <c r="Q118" s="52" t="str">
        <f t="shared" si="13"/>
        <v>Testar controles-chave e a eficácia dos riscos Altos e Críticos</v>
      </c>
      <c r="R118" s="154" t="s">
        <v>1615</v>
      </c>
    </row>
    <row r="119" spans="1:18" ht="22.8" customHeight="1">
      <c r="A119" s="153">
        <f t="shared" si="5"/>
        <v>3</v>
      </c>
      <c r="B119" s="53" t="str">
        <f>IF(Critérios!B73="","",Critérios!B73)</f>
        <v>Serigrafia</v>
      </c>
      <c r="C119" s="60">
        <f>IF($B119="","",COUNTIF(Riscos!$B$5:$B$154,$B119))</f>
        <v>3</v>
      </c>
      <c r="D119" s="60">
        <f>IF($B119="","",COUNTIFS(Riscos!$B$5:$B$154,$B119,Riscos!$W$5:$W$154,"Crítico"))</f>
        <v>0</v>
      </c>
      <c r="E119" s="60">
        <f>IF($B119="","",COUNTIFS(Riscos!$B$5:$B$154,$B119,Riscos!$W$5:$W$154,"Alto"))</f>
        <v>1</v>
      </c>
      <c r="F119" s="60">
        <f>IF($B119="","",COUNTIFS(Riscos!$B$5:$B$154,$B119,Riscos!$W$5:$W$154,"Médio"))</f>
        <v>2</v>
      </c>
      <c r="G119" s="60">
        <f>IF($B119="","",COUNTIFS(Riscos!$B$5:$B$154,$B119,Riscos!$W$5:$W$154,"Baixo"))</f>
        <v>0</v>
      </c>
      <c r="H119" s="60">
        <f ca="1">IF($B119="","",SUMPRODUCT((Riscos!$B$5:$B$154=$B119)*(Riscos!$AZ$5:$AZ$154&lt;&gt;"OK")*(Riscos!$AZ$5:$AZ$154&lt;&gt;"")))</f>
        <v>1</v>
      </c>
      <c r="I119" s="60">
        <f>IF($B119="","",COUNTIF(Oportunidades!$B$5:$B$154,$B119))</f>
        <v>0</v>
      </c>
      <c r="J119" s="60">
        <f t="shared" ca="1" si="6"/>
        <v>9</v>
      </c>
      <c r="K119" s="60" t="str">
        <f t="shared" ca="1" si="7"/>
        <v>Média</v>
      </c>
      <c r="L119" s="60">
        <f t="shared" ca="1" si="8"/>
        <v>12</v>
      </c>
      <c r="M119" s="65" t="str">
        <f t="shared" si="9"/>
        <v/>
      </c>
      <c r="N119" s="61" t="str">
        <f t="shared" si="10"/>
        <v/>
      </c>
      <c r="O119" s="65" t="str">
        <f t="shared" si="11"/>
        <v/>
      </c>
      <c r="P119" s="60" t="str">
        <f t="shared" ca="1" si="12"/>
        <v>Nunca auditada</v>
      </c>
      <c r="Q119" s="52" t="str">
        <f t="shared" si="13"/>
        <v>Testar controles-chave e a eficácia dos riscos Altos e Críticos</v>
      </c>
      <c r="R119" s="154" t="s">
        <v>1616</v>
      </c>
    </row>
    <row r="120" spans="1:18" ht="22.8" customHeight="1">
      <c r="A120" s="153">
        <f t="shared" si="5"/>
        <v>4</v>
      </c>
      <c r="B120" s="53" t="str">
        <f>IF(Critérios!B74="","",Critérios!B74)</f>
        <v>Hot Foil</v>
      </c>
      <c r="C120" s="60">
        <f>IF($B120="","",COUNTIF(Riscos!$B$5:$B$154,$B120))</f>
        <v>1</v>
      </c>
      <c r="D120" s="60">
        <f>IF($B120="","",COUNTIFS(Riscos!$B$5:$B$154,$B120,Riscos!$W$5:$W$154,"Crítico"))</f>
        <v>0</v>
      </c>
      <c r="E120" s="60">
        <f>IF($B120="","",COUNTIFS(Riscos!$B$5:$B$154,$B120,Riscos!$W$5:$W$154,"Alto"))</f>
        <v>1</v>
      </c>
      <c r="F120" s="60">
        <f>IF($B120="","",COUNTIFS(Riscos!$B$5:$B$154,$B120,Riscos!$W$5:$W$154,"Médio"))</f>
        <v>0</v>
      </c>
      <c r="G120" s="60">
        <f>IF($B120="","",COUNTIFS(Riscos!$B$5:$B$154,$B120,Riscos!$W$5:$W$154,"Baixo"))</f>
        <v>0</v>
      </c>
      <c r="H120" s="60">
        <f ca="1">IF($B120="","",SUMPRODUCT((Riscos!$B$5:$B$154=$B120)*(Riscos!$AZ$5:$AZ$154&lt;&gt;"OK")*(Riscos!$AZ$5:$AZ$154&lt;&gt;"")))</f>
        <v>1</v>
      </c>
      <c r="I120" s="60">
        <f>IF($B120="","",COUNTIF(Oportunidades!$B$5:$B$154,$B120))</f>
        <v>0</v>
      </c>
      <c r="J120" s="60">
        <f t="shared" ca="1" si="6"/>
        <v>5</v>
      </c>
      <c r="K120" s="60" t="str">
        <f t="shared" ca="1" si="7"/>
        <v>Média</v>
      </c>
      <c r="L120" s="60">
        <f t="shared" ca="1" si="8"/>
        <v>12</v>
      </c>
      <c r="M120" s="65" t="str">
        <f t="shared" si="9"/>
        <v/>
      </c>
      <c r="N120" s="61" t="str">
        <f t="shared" si="10"/>
        <v/>
      </c>
      <c r="O120" s="65" t="str">
        <f t="shared" si="11"/>
        <v/>
      </c>
      <c r="P120" s="60" t="str">
        <f t="shared" ca="1" si="12"/>
        <v>Nunca auditada</v>
      </c>
      <c r="Q120" s="52" t="str">
        <f t="shared" si="13"/>
        <v>Testar controles-chave e a eficácia dos riscos Altos e Críticos</v>
      </c>
      <c r="R120" s="154" t="s">
        <v>1617</v>
      </c>
    </row>
    <row r="121" spans="1:18" ht="22.8" customHeight="1">
      <c r="A121" s="153">
        <f t="shared" si="5"/>
        <v>5</v>
      </c>
      <c r="B121" s="53" t="str">
        <f>IF(Critérios!B75="","",Critérios!B75)</f>
        <v>Manutenção</v>
      </c>
      <c r="C121" s="60">
        <f>IF($B121="","",COUNTIF(Riscos!$B$5:$B$154,$B121))</f>
        <v>0</v>
      </c>
      <c r="D121" s="60">
        <f>IF($B121="","",COUNTIFS(Riscos!$B$5:$B$154,$B121,Riscos!$W$5:$W$154,"Crítico"))</f>
        <v>0</v>
      </c>
      <c r="E121" s="60">
        <f>IF($B121="","",COUNTIFS(Riscos!$B$5:$B$154,$B121,Riscos!$W$5:$W$154,"Alto"))</f>
        <v>0</v>
      </c>
      <c r="F121" s="60">
        <f>IF($B121="","",COUNTIFS(Riscos!$B$5:$B$154,$B121,Riscos!$W$5:$W$154,"Médio"))</f>
        <v>0</v>
      </c>
      <c r="G121" s="60">
        <f>IF($B121="","",COUNTIFS(Riscos!$B$5:$B$154,$B121,Riscos!$W$5:$W$154,"Baixo"))</f>
        <v>0</v>
      </c>
      <c r="H121" s="60">
        <f ca="1">IF($B121="","",SUMPRODUCT((Riscos!$B$5:$B$154=$B121)*(Riscos!$AZ$5:$AZ$154&lt;&gt;"OK")*(Riscos!$AZ$5:$AZ$154&lt;&gt;"")))</f>
        <v>0</v>
      </c>
      <c r="I121" s="60">
        <f>IF($B121="","",COUNTIF(Oportunidades!$B$5:$B$154,$B121))</f>
        <v>1</v>
      </c>
      <c r="J121" s="60">
        <f t="shared" ca="1" si="6"/>
        <v>0</v>
      </c>
      <c r="K121" s="60" t="str">
        <f t="shared" si="7"/>
        <v>Sem riscos</v>
      </c>
      <c r="L121" s="60">
        <f t="shared" si="8"/>
        <v>12</v>
      </c>
      <c r="M121" s="65">
        <f t="shared" si="9"/>
        <v>46365</v>
      </c>
      <c r="N121" s="61">
        <f t="shared" si="10"/>
        <v>0.79591836734693877</v>
      </c>
      <c r="O121" s="65">
        <f t="shared" si="11"/>
        <v>46730</v>
      </c>
      <c r="P121" s="60" t="str">
        <f t="shared" ca="1" si="12"/>
        <v>Em dia</v>
      </c>
      <c r="Q121" s="52" t="str">
        <f t="shared" si="13"/>
        <v>Confirmar se a identificação de riscos da área está completa</v>
      </c>
      <c r="R121" s="154" t="s">
        <v>1618</v>
      </c>
    </row>
    <row r="122" spans="1:18" ht="22.8" customHeight="1">
      <c r="A122" s="153">
        <f t="shared" si="5"/>
        <v>6</v>
      </c>
      <c r="B122" s="53" t="str">
        <f>IF(Critérios!B76="","",Critérios!B76)</f>
        <v>Qualidade</v>
      </c>
      <c r="C122" s="60">
        <f>IF($B122="","",COUNTIF(Riscos!$B$5:$B$154,$B122))</f>
        <v>4</v>
      </c>
      <c r="D122" s="60">
        <f>IF($B122="","",COUNTIFS(Riscos!$B$5:$B$154,$B122,Riscos!$W$5:$W$154,"Crítico"))</f>
        <v>0</v>
      </c>
      <c r="E122" s="60">
        <f>IF($B122="","",COUNTIFS(Riscos!$B$5:$B$154,$B122,Riscos!$W$5:$W$154,"Alto"))</f>
        <v>4</v>
      </c>
      <c r="F122" s="60">
        <f>IF($B122="","",COUNTIFS(Riscos!$B$5:$B$154,$B122,Riscos!$W$5:$W$154,"Médio"))</f>
        <v>0</v>
      </c>
      <c r="G122" s="60">
        <f>IF($B122="","",COUNTIFS(Riscos!$B$5:$B$154,$B122,Riscos!$W$5:$W$154,"Baixo"))</f>
        <v>0</v>
      </c>
      <c r="H122" s="60">
        <f ca="1">IF($B122="","",SUMPRODUCT((Riscos!$B$5:$B$154=$B122)*(Riscos!$AZ$5:$AZ$154&lt;&gt;"OK")*(Riscos!$AZ$5:$AZ$154&lt;&gt;"")))</f>
        <v>4</v>
      </c>
      <c r="I122" s="60">
        <f>IF($B122="","",COUNTIF(Oportunidades!$B$5:$B$154,$B122))</f>
        <v>2</v>
      </c>
      <c r="J122" s="60">
        <f t="shared" ca="1" si="6"/>
        <v>20</v>
      </c>
      <c r="K122" s="60" t="str">
        <f t="shared" ca="1" si="7"/>
        <v>Alta</v>
      </c>
      <c r="L122" s="60">
        <f t="shared" ca="1" si="8"/>
        <v>6</v>
      </c>
      <c r="M122" s="65">
        <f t="shared" si="9"/>
        <v>46350</v>
      </c>
      <c r="N122" s="61">
        <f t="shared" si="10"/>
        <v>0.84693877551020413</v>
      </c>
      <c r="O122" s="65">
        <f t="shared" ca="1" si="11"/>
        <v>46531</v>
      </c>
      <c r="P122" s="60" t="str">
        <f t="shared" ca="1" si="12"/>
        <v>Em dia</v>
      </c>
      <c r="Q122" s="52" t="str">
        <f t="shared" si="13"/>
        <v>Testar controles-chave e a eficácia dos riscos Altos e Críticos</v>
      </c>
      <c r="R122" s="154" t="s">
        <v>1619</v>
      </c>
    </row>
    <row r="123" spans="1:18" ht="22.8" customHeight="1">
      <c r="A123" s="153">
        <f t="shared" si="5"/>
        <v>7</v>
      </c>
      <c r="B123" s="53" t="str">
        <f>IF(Critérios!B77="","",Critérios!B77)</f>
        <v>Segurança do Trabalho</v>
      </c>
      <c r="C123" s="60">
        <f>IF($B123="","",COUNTIF(Riscos!$B$5:$B$154,$B123))</f>
        <v>1</v>
      </c>
      <c r="D123" s="60">
        <f>IF($B123="","",COUNTIFS(Riscos!$B$5:$B$154,$B123,Riscos!$W$5:$W$154,"Crítico"))</f>
        <v>0</v>
      </c>
      <c r="E123" s="60">
        <f>IF($B123="","",COUNTIFS(Riscos!$B$5:$B$154,$B123,Riscos!$W$5:$W$154,"Alto"))</f>
        <v>0</v>
      </c>
      <c r="F123" s="60">
        <f>IF($B123="","",COUNTIFS(Riscos!$B$5:$B$154,$B123,Riscos!$W$5:$W$154,"Médio"))</f>
        <v>1</v>
      </c>
      <c r="G123" s="60">
        <f>IF($B123="","",COUNTIFS(Riscos!$B$5:$B$154,$B123,Riscos!$W$5:$W$154,"Baixo"))</f>
        <v>0</v>
      </c>
      <c r="H123" s="60">
        <f ca="1">IF($B123="","",SUMPRODUCT((Riscos!$B$5:$B$154=$B123)*(Riscos!$AZ$5:$AZ$154&lt;&gt;"OK")*(Riscos!$AZ$5:$AZ$154&lt;&gt;"")))</f>
        <v>0</v>
      </c>
      <c r="I123" s="60">
        <f>IF($B123="","",COUNTIF(Oportunidades!$B$5:$B$154,$B123))</f>
        <v>0</v>
      </c>
      <c r="J123" s="60">
        <f t="shared" ca="1" si="6"/>
        <v>2</v>
      </c>
      <c r="K123" s="60" t="str">
        <f t="shared" ca="1" si="7"/>
        <v>Baixa</v>
      </c>
      <c r="L123" s="60">
        <f t="shared" ca="1" si="8"/>
        <v>24</v>
      </c>
      <c r="M123" s="65" t="str">
        <f t="shared" si="9"/>
        <v/>
      </c>
      <c r="N123" s="61" t="str">
        <f t="shared" si="10"/>
        <v/>
      </c>
      <c r="O123" s="65" t="str">
        <f t="shared" si="11"/>
        <v/>
      </c>
      <c r="P123" s="60" t="str">
        <f t="shared" ca="1" si="12"/>
        <v>Nunca auditada</v>
      </c>
      <c r="Q123" s="52" t="str">
        <f t="shared" ca="1" si="13"/>
        <v>Amostragem de rotina</v>
      </c>
      <c r="R123" s="154" t="s">
        <v>1620</v>
      </c>
    </row>
    <row r="124" spans="1:18" ht="22.8" customHeight="1">
      <c r="A124" s="153">
        <f t="shared" si="5"/>
        <v>8</v>
      </c>
      <c r="B124" s="53" t="str">
        <f>IF(Critérios!B78="","",Critérios!B78)</f>
        <v>Gestão Ambiental</v>
      </c>
      <c r="C124" s="60">
        <f>IF($B124="","",COUNTIF(Riscos!$B$5:$B$154,$B124))</f>
        <v>4</v>
      </c>
      <c r="D124" s="60">
        <f>IF($B124="","",COUNTIFS(Riscos!$B$5:$B$154,$B124,Riscos!$W$5:$W$154,"Crítico"))</f>
        <v>0</v>
      </c>
      <c r="E124" s="60">
        <f>IF($B124="","",COUNTIFS(Riscos!$B$5:$B$154,$B124,Riscos!$W$5:$W$154,"Alto"))</f>
        <v>2</v>
      </c>
      <c r="F124" s="60">
        <f>IF($B124="","",COUNTIFS(Riscos!$B$5:$B$154,$B124,Riscos!$W$5:$W$154,"Médio"))</f>
        <v>2</v>
      </c>
      <c r="G124" s="60">
        <f>IF($B124="","",COUNTIFS(Riscos!$B$5:$B$154,$B124,Riscos!$W$5:$W$154,"Baixo"))</f>
        <v>0</v>
      </c>
      <c r="H124" s="60">
        <f ca="1">IF($B124="","",SUMPRODUCT((Riscos!$B$5:$B$154=$B124)*(Riscos!$AZ$5:$AZ$154&lt;&gt;"OK")*(Riscos!$AZ$5:$AZ$154&lt;&gt;"")))</f>
        <v>2</v>
      </c>
      <c r="I124" s="60">
        <f>IF($B124="","",COUNTIF(Oportunidades!$B$5:$B$154,$B124))</f>
        <v>1</v>
      </c>
      <c r="J124" s="60">
        <f t="shared" ca="1" si="6"/>
        <v>14</v>
      </c>
      <c r="K124" s="60" t="str">
        <f t="shared" ca="1" si="7"/>
        <v>Alta</v>
      </c>
      <c r="L124" s="60">
        <f t="shared" ca="1" si="8"/>
        <v>6</v>
      </c>
      <c r="M124" s="65" t="str">
        <f t="shared" si="9"/>
        <v/>
      </c>
      <c r="N124" s="61" t="str">
        <f t="shared" si="10"/>
        <v/>
      </c>
      <c r="O124" s="65" t="str">
        <f t="shared" si="11"/>
        <v/>
      </c>
      <c r="P124" s="60" t="str">
        <f t="shared" ca="1" si="12"/>
        <v>Nunca auditada</v>
      </c>
      <c r="Q124" s="52" t="str">
        <f t="shared" si="13"/>
        <v>Testar controles-chave e a eficácia dos riscos Altos e Críticos</v>
      </c>
      <c r="R124" s="154" t="s">
        <v>1621</v>
      </c>
    </row>
    <row r="125" spans="1:18" ht="22.8" customHeight="1">
      <c r="A125" s="153">
        <f t="shared" si="5"/>
        <v>9</v>
      </c>
      <c r="B125" s="53" t="str">
        <f>IF(Critérios!B79="","",Critérios!B79)</f>
        <v>Logística / Expedição</v>
      </c>
      <c r="C125" s="60">
        <f>IF($B125="","",COUNTIF(Riscos!$B$5:$B$154,$B125))</f>
        <v>2</v>
      </c>
      <c r="D125" s="60">
        <f>IF($B125="","",COUNTIFS(Riscos!$B$5:$B$154,$B125,Riscos!$W$5:$W$154,"Crítico"))</f>
        <v>0</v>
      </c>
      <c r="E125" s="60">
        <f>IF($B125="","",COUNTIFS(Riscos!$B$5:$B$154,$B125,Riscos!$W$5:$W$154,"Alto"))</f>
        <v>0</v>
      </c>
      <c r="F125" s="60">
        <f>IF($B125="","",COUNTIFS(Riscos!$B$5:$B$154,$B125,Riscos!$W$5:$W$154,"Médio"))</f>
        <v>2</v>
      </c>
      <c r="G125" s="60">
        <f>IF($B125="","",COUNTIFS(Riscos!$B$5:$B$154,$B125,Riscos!$W$5:$W$154,"Baixo"))</f>
        <v>0</v>
      </c>
      <c r="H125" s="60">
        <f ca="1">IF($B125="","",SUMPRODUCT((Riscos!$B$5:$B$154=$B125)*(Riscos!$AZ$5:$AZ$154&lt;&gt;"OK")*(Riscos!$AZ$5:$AZ$154&lt;&gt;"")))</f>
        <v>1</v>
      </c>
      <c r="I125" s="60">
        <f>IF($B125="","",COUNTIF(Oportunidades!$B$5:$B$154,$B125))</f>
        <v>0</v>
      </c>
      <c r="J125" s="60">
        <f t="shared" ca="1" si="6"/>
        <v>5</v>
      </c>
      <c r="K125" s="60" t="str">
        <f t="shared" ca="1" si="7"/>
        <v>Média</v>
      </c>
      <c r="L125" s="60">
        <f t="shared" ca="1" si="8"/>
        <v>12</v>
      </c>
      <c r="M125" s="65" t="str">
        <f t="shared" si="9"/>
        <v/>
      </c>
      <c r="N125" s="61" t="str">
        <f t="shared" si="10"/>
        <v/>
      </c>
      <c r="O125" s="65" t="str">
        <f t="shared" si="11"/>
        <v/>
      </c>
      <c r="P125" s="60" t="str">
        <f t="shared" ca="1" si="12"/>
        <v>Nunca auditada</v>
      </c>
      <c r="Q125" s="52" t="str">
        <f t="shared" ca="1" si="13"/>
        <v>Verificar o tratamento dos alertas abertos</v>
      </c>
      <c r="R125" s="154" t="s">
        <v>1622</v>
      </c>
    </row>
    <row r="126" spans="1:18" ht="22.8" customHeight="1">
      <c r="A126" s="153">
        <f t="shared" si="5"/>
        <v>10</v>
      </c>
      <c r="B126" s="53" t="str">
        <f>IF(Critérios!B80="","",Critérios!B80)</f>
        <v>Compras / Fornecedores</v>
      </c>
      <c r="C126" s="60">
        <f>IF($B126="","",COUNTIF(Riscos!$B$5:$B$154,$B126))</f>
        <v>3</v>
      </c>
      <c r="D126" s="60">
        <f>IF($B126="","",COUNTIFS(Riscos!$B$5:$B$154,$B126,Riscos!$W$5:$W$154,"Crítico"))</f>
        <v>1</v>
      </c>
      <c r="E126" s="60">
        <f>IF($B126="","",COUNTIFS(Riscos!$B$5:$B$154,$B126,Riscos!$W$5:$W$154,"Alto"))</f>
        <v>1</v>
      </c>
      <c r="F126" s="60">
        <f>IF($B126="","",COUNTIFS(Riscos!$B$5:$B$154,$B126,Riscos!$W$5:$W$154,"Médio"))</f>
        <v>1</v>
      </c>
      <c r="G126" s="60">
        <f>IF($B126="","",COUNTIFS(Riscos!$B$5:$B$154,$B126,Riscos!$W$5:$W$154,"Baixo"))</f>
        <v>0</v>
      </c>
      <c r="H126" s="60">
        <f ca="1">IF($B126="","",SUMPRODUCT((Riscos!$B$5:$B$154=$B126)*(Riscos!$AZ$5:$AZ$154&lt;&gt;"OK")*(Riscos!$AZ$5:$AZ$154&lt;&gt;"")))</f>
        <v>3</v>
      </c>
      <c r="I126" s="60">
        <f>IF($B126="","",COUNTIF(Oportunidades!$B$5:$B$154,$B126))</f>
        <v>2</v>
      </c>
      <c r="J126" s="60">
        <f t="shared" ca="1" si="6"/>
        <v>17</v>
      </c>
      <c r="K126" s="60" t="str">
        <f t="shared" ca="1" si="7"/>
        <v>Alta</v>
      </c>
      <c r="L126" s="60">
        <f t="shared" ca="1" si="8"/>
        <v>6</v>
      </c>
      <c r="M126" s="65">
        <f t="shared" si="9"/>
        <v>46372</v>
      </c>
      <c r="N126" s="61">
        <f t="shared" si="10"/>
        <v>0.61702127659574468</v>
      </c>
      <c r="O126" s="65">
        <f t="shared" ca="1" si="11"/>
        <v>46554</v>
      </c>
      <c r="P126" s="60" t="str">
        <f t="shared" ca="1" si="12"/>
        <v>Em dia</v>
      </c>
      <c r="Q126" s="52" t="str">
        <f t="shared" si="13"/>
        <v>Testar controles-chave e a eficácia dos riscos Altos e Críticos</v>
      </c>
      <c r="R126" s="154" t="s">
        <v>1623</v>
      </c>
    </row>
    <row r="127" spans="1:18" ht="22.8" customHeight="1">
      <c r="A127" s="153">
        <f t="shared" si="5"/>
        <v>11</v>
      </c>
      <c r="B127" s="53" t="str">
        <f>IF(Critérios!B81="","",Critérios!B81)</f>
        <v>PCP / Planejamento</v>
      </c>
      <c r="C127" s="60">
        <f>IF($B127="","",COUNTIF(Riscos!$B$5:$B$154,$B127))</f>
        <v>1</v>
      </c>
      <c r="D127" s="60">
        <f>IF($B127="","",COUNTIFS(Riscos!$B$5:$B$154,$B127,Riscos!$W$5:$W$154,"Crítico"))</f>
        <v>0</v>
      </c>
      <c r="E127" s="60">
        <f>IF($B127="","",COUNTIFS(Riscos!$B$5:$B$154,$B127,Riscos!$W$5:$W$154,"Alto"))</f>
        <v>0</v>
      </c>
      <c r="F127" s="60">
        <f>IF($B127="","",COUNTIFS(Riscos!$B$5:$B$154,$B127,Riscos!$W$5:$W$154,"Médio"))</f>
        <v>1</v>
      </c>
      <c r="G127" s="60">
        <f>IF($B127="","",COUNTIFS(Riscos!$B$5:$B$154,$B127,Riscos!$W$5:$W$154,"Baixo"))</f>
        <v>0</v>
      </c>
      <c r="H127" s="60">
        <f ca="1">IF($B127="","",SUMPRODUCT((Riscos!$B$5:$B$154=$B127)*(Riscos!$AZ$5:$AZ$154&lt;&gt;"OK")*(Riscos!$AZ$5:$AZ$154&lt;&gt;"")))</f>
        <v>1</v>
      </c>
      <c r="I127" s="60">
        <f>IF($B127="","",COUNTIF(Oportunidades!$B$5:$B$154,$B127))</f>
        <v>1</v>
      </c>
      <c r="J127" s="60">
        <f t="shared" ca="1" si="6"/>
        <v>3</v>
      </c>
      <c r="K127" s="60" t="str">
        <f t="shared" ca="1" si="7"/>
        <v>Baixa</v>
      </c>
      <c r="L127" s="60">
        <f t="shared" ca="1" si="8"/>
        <v>24</v>
      </c>
      <c r="M127" s="65" t="str">
        <f t="shared" si="9"/>
        <v/>
      </c>
      <c r="N127" s="61" t="str">
        <f t="shared" si="10"/>
        <v/>
      </c>
      <c r="O127" s="65" t="str">
        <f t="shared" si="11"/>
        <v/>
      </c>
      <c r="P127" s="60" t="str">
        <f t="shared" ca="1" si="12"/>
        <v>Nunca auditada</v>
      </c>
      <c r="Q127" s="52" t="str">
        <f t="shared" ca="1" si="13"/>
        <v>Verificar o tratamento dos alertas abertos</v>
      </c>
      <c r="R127" s="154" t="s">
        <v>1624</v>
      </c>
    </row>
    <row r="128" spans="1:18" ht="22.8" customHeight="1">
      <c r="A128" s="153">
        <f t="shared" si="5"/>
        <v>12</v>
      </c>
      <c r="B128" s="53" t="str">
        <f>IF(Critérios!B82="","",Critérios!B82)</f>
        <v>Engenharia de Processo</v>
      </c>
      <c r="C128" s="60">
        <f>IF($B128="","",COUNTIF(Riscos!$B$5:$B$154,$B128))</f>
        <v>1</v>
      </c>
      <c r="D128" s="60">
        <f>IF($B128="","",COUNTIFS(Riscos!$B$5:$B$154,$B128,Riscos!$W$5:$W$154,"Crítico"))</f>
        <v>0</v>
      </c>
      <c r="E128" s="60">
        <f>IF($B128="","",COUNTIFS(Riscos!$B$5:$B$154,$B128,Riscos!$W$5:$W$154,"Alto"))</f>
        <v>0</v>
      </c>
      <c r="F128" s="60">
        <f>IF($B128="","",COUNTIFS(Riscos!$B$5:$B$154,$B128,Riscos!$W$5:$W$154,"Médio"))</f>
        <v>0</v>
      </c>
      <c r="G128" s="60">
        <f>IF($B128="","",COUNTIFS(Riscos!$B$5:$B$154,$B128,Riscos!$W$5:$W$154,"Baixo"))</f>
        <v>1</v>
      </c>
      <c r="H128" s="60">
        <f ca="1">IF($B128="","",SUMPRODUCT((Riscos!$B$5:$B$154=$B128)*(Riscos!$AZ$5:$AZ$154&lt;&gt;"OK")*(Riscos!$AZ$5:$AZ$154&lt;&gt;"")))</f>
        <v>0</v>
      </c>
      <c r="I128" s="60">
        <f>IF($B128="","",COUNTIF(Oportunidades!$B$5:$B$154,$B128))</f>
        <v>1</v>
      </c>
      <c r="J128" s="60">
        <f t="shared" ca="1" si="6"/>
        <v>1</v>
      </c>
      <c r="K128" s="60" t="str">
        <f t="shared" ca="1" si="7"/>
        <v>Baixa</v>
      </c>
      <c r="L128" s="60">
        <f t="shared" ca="1" si="8"/>
        <v>24</v>
      </c>
      <c r="M128" s="65" t="str">
        <f t="shared" si="9"/>
        <v/>
      </c>
      <c r="N128" s="61" t="str">
        <f t="shared" si="10"/>
        <v/>
      </c>
      <c r="O128" s="65" t="str">
        <f t="shared" si="11"/>
        <v/>
      </c>
      <c r="P128" s="60" t="str">
        <f t="shared" ca="1" si="12"/>
        <v>Nunca auditada</v>
      </c>
      <c r="Q128" s="52" t="str">
        <f t="shared" ca="1" si="13"/>
        <v>Amostragem de rotina</v>
      </c>
      <c r="R128" s="154" t="s">
        <v>1625</v>
      </c>
    </row>
    <row r="129" spans="1:18" ht="22.8" customHeight="1">
      <c r="A129" s="153">
        <f t="shared" si="5"/>
        <v>13</v>
      </c>
      <c r="B129" s="53" t="str">
        <f>IF(Critérios!B83="","",Critérios!B83)</f>
        <v>Utilidades (energia, água, ar)</v>
      </c>
      <c r="C129" s="60">
        <f>IF($B129="","",COUNTIF(Riscos!$B$5:$B$154,$B129))</f>
        <v>3</v>
      </c>
      <c r="D129" s="60">
        <f>IF($B129="","",COUNTIFS(Riscos!$B$5:$B$154,$B129,Riscos!$W$5:$W$154,"Crítico"))</f>
        <v>0</v>
      </c>
      <c r="E129" s="60">
        <f>IF($B129="","",COUNTIFS(Riscos!$B$5:$B$154,$B129,Riscos!$W$5:$W$154,"Alto"))</f>
        <v>2</v>
      </c>
      <c r="F129" s="60">
        <f>IF($B129="","",COUNTIFS(Riscos!$B$5:$B$154,$B129,Riscos!$W$5:$W$154,"Médio"))</f>
        <v>1</v>
      </c>
      <c r="G129" s="60">
        <f>IF($B129="","",COUNTIFS(Riscos!$B$5:$B$154,$B129,Riscos!$W$5:$W$154,"Baixo"))</f>
        <v>0</v>
      </c>
      <c r="H129" s="60">
        <f ca="1">IF($B129="","",SUMPRODUCT((Riscos!$B$5:$B$154=$B129)*(Riscos!$AZ$5:$AZ$154&lt;&gt;"OK")*(Riscos!$AZ$5:$AZ$154&lt;&gt;"")))</f>
        <v>2</v>
      </c>
      <c r="I129" s="60">
        <f>IF($B129="","",COUNTIF(Oportunidades!$B$5:$B$154,$B129))</f>
        <v>1</v>
      </c>
      <c r="J129" s="60">
        <f t="shared" ca="1" si="6"/>
        <v>12</v>
      </c>
      <c r="K129" s="60" t="str">
        <f t="shared" ca="1" si="7"/>
        <v>Alta</v>
      </c>
      <c r="L129" s="60">
        <f t="shared" ca="1" si="8"/>
        <v>6</v>
      </c>
      <c r="M129" s="65" t="str">
        <f t="shared" si="9"/>
        <v/>
      </c>
      <c r="N129" s="61" t="str">
        <f t="shared" si="10"/>
        <v/>
      </c>
      <c r="O129" s="65" t="str">
        <f t="shared" si="11"/>
        <v/>
      </c>
      <c r="P129" s="60" t="str">
        <f t="shared" ca="1" si="12"/>
        <v>Nunca auditada</v>
      </c>
      <c r="Q129" s="52" t="str">
        <f t="shared" si="13"/>
        <v>Testar controles-chave e a eficácia dos riscos Altos e Críticos</v>
      </c>
      <c r="R129" s="154" t="s">
        <v>1626</v>
      </c>
    </row>
    <row r="130" spans="1:18" ht="22.8" customHeight="1">
      <c r="A130" s="153">
        <f t="shared" si="5"/>
        <v>14</v>
      </c>
      <c r="B130" s="53" t="str">
        <f>IF(Critérios!B84="","",Critérios!B84)</f>
        <v>Dados / TI</v>
      </c>
      <c r="C130" s="60">
        <f>IF($B130="","",COUNTIF(Riscos!$B$5:$B$154,$B130))</f>
        <v>3</v>
      </c>
      <c r="D130" s="60">
        <f>IF($B130="","",COUNTIFS(Riscos!$B$5:$B$154,$B130,Riscos!$W$5:$W$154,"Crítico"))</f>
        <v>0</v>
      </c>
      <c r="E130" s="60">
        <f>IF($B130="","",COUNTIFS(Riscos!$B$5:$B$154,$B130,Riscos!$W$5:$W$154,"Alto"))</f>
        <v>1</v>
      </c>
      <c r="F130" s="60">
        <f>IF($B130="","",COUNTIFS(Riscos!$B$5:$B$154,$B130,Riscos!$W$5:$W$154,"Médio"))</f>
        <v>1</v>
      </c>
      <c r="G130" s="60">
        <f>IF($B130="","",COUNTIFS(Riscos!$B$5:$B$154,$B130,Riscos!$W$5:$W$154,"Baixo"))</f>
        <v>1</v>
      </c>
      <c r="H130" s="60">
        <f ca="1">IF($B130="","",SUMPRODUCT((Riscos!$B$5:$B$154=$B130)*(Riscos!$AZ$5:$AZ$154&lt;&gt;"OK")*(Riscos!$AZ$5:$AZ$154&lt;&gt;"")))</f>
        <v>1</v>
      </c>
      <c r="I130" s="60">
        <f>IF($B130="","",COUNTIF(Oportunidades!$B$5:$B$154,$B130))</f>
        <v>1</v>
      </c>
      <c r="J130" s="60">
        <f t="shared" ca="1" si="6"/>
        <v>8</v>
      </c>
      <c r="K130" s="60" t="str">
        <f t="shared" ca="1" si="7"/>
        <v>Média</v>
      </c>
      <c r="L130" s="60">
        <f t="shared" ca="1" si="8"/>
        <v>12</v>
      </c>
      <c r="M130" s="65" t="str">
        <f t="shared" si="9"/>
        <v/>
      </c>
      <c r="N130" s="61" t="str">
        <f t="shared" si="10"/>
        <v/>
      </c>
      <c r="O130" s="65" t="str">
        <f t="shared" si="11"/>
        <v/>
      </c>
      <c r="P130" s="60" t="str">
        <f t="shared" ca="1" si="12"/>
        <v>Nunca auditada</v>
      </c>
      <c r="Q130" s="52" t="str">
        <f t="shared" si="13"/>
        <v>Testar controles-chave e a eficácia dos riscos Altos e Críticos</v>
      </c>
      <c r="R130" s="154" t="s">
        <v>1627</v>
      </c>
    </row>
    <row r="131" spans="1:18" ht="22.8" customHeight="1">
      <c r="A131" s="153">
        <f t="shared" si="5"/>
        <v>15</v>
      </c>
      <c r="B131" s="53" t="str">
        <f>IF(Critérios!B85="","",Critérios!B85)</f>
        <v>Recursos Humanos</v>
      </c>
      <c r="C131" s="60">
        <f>IF($B131="","",COUNTIF(Riscos!$B$5:$B$154,$B131))</f>
        <v>1</v>
      </c>
      <c r="D131" s="60">
        <f>IF($B131="","",COUNTIFS(Riscos!$B$5:$B$154,$B131,Riscos!$W$5:$W$154,"Crítico"))</f>
        <v>0</v>
      </c>
      <c r="E131" s="60">
        <f>IF($B131="","",COUNTIFS(Riscos!$B$5:$B$154,$B131,Riscos!$W$5:$W$154,"Alto"))</f>
        <v>1</v>
      </c>
      <c r="F131" s="60">
        <f>IF($B131="","",COUNTIFS(Riscos!$B$5:$B$154,$B131,Riscos!$W$5:$W$154,"Médio"))</f>
        <v>0</v>
      </c>
      <c r="G131" s="60">
        <f>IF($B131="","",COUNTIFS(Riscos!$B$5:$B$154,$B131,Riscos!$W$5:$W$154,"Baixo"))</f>
        <v>0</v>
      </c>
      <c r="H131" s="60">
        <f ca="1">IF($B131="","",SUMPRODUCT((Riscos!$B$5:$B$154=$B131)*(Riscos!$AZ$5:$AZ$154&lt;&gt;"OK")*(Riscos!$AZ$5:$AZ$154&lt;&gt;"")))</f>
        <v>1</v>
      </c>
      <c r="I131" s="60">
        <f>IF($B131="","",COUNTIF(Oportunidades!$B$5:$B$154,$B131))</f>
        <v>0</v>
      </c>
      <c r="J131" s="60">
        <f t="shared" ca="1" si="6"/>
        <v>5</v>
      </c>
      <c r="K131" s="60" t="str">
        <f t="shared" ca="1" si="7"/>
        <v>Média</v>
      </c>
      <c r="L131" s="60">
        <f t="shared" ca="1" si="8"/>
        <v>12</v>
      </c>
      <c r="M131" s="65" t="str">
        <f t="shared" si="9"/>
        <v/>
      </c>
      <c r="N131" s="61" t="str">
        <f t="shared" si="10"/>
        <v/>
      </c>
      <c r="O131" s="65" t="str">
        <f t="shared" si="11"/>
        <v/>
      </c>
      <c r="P131" s="60" t="str">
        <f t="shared" ca="1" si="12"/>
        <v>Nunca auditada</v>
      </c>
      <c r="Q131" s="52" t="str">
        <f t="shared" si="13"/>
        <v>Testar controles-chave e a eficácia dos riscos Altos e Críticos</v>
      </c>
      <c r="R131" s="154" t="s">
        <v>1628</v>
      </c>
    </row>
    <row r="132" spans="1:18" ht="22.8" customHeight="1">
      <c r="A132" s="153">
        <f t="shared" si="5"/>
        <v>16</v>
      </c>
      <c r="B132" s="53" t="str">
        <f>IF(Critérios!B86="","",Critérios!B86)</f>
        <v>Gestão Financeira</v>
      </c>
      <c r="C132" s="60">
        <f>IF($B132="","",COUNTIF(Riscos!$B$5:$B$154,$B132))</f>
        <v>2</v>
      </c>
      <c r="D132" s="60">
        <f>IF($B132="","",COUNTIFS(Riscos!$B$5:$B$154,$B132,Riscos!$W$5:$W$154,"Crítico"))</f>
        <v>0</v>
      </c>
      <c r="E132" s="60">
        <f>IF($B132="","",COUNTIFS(Riscos!$B$5:$B$154,$B132,Riscos!$W$5:$W$154,"Alto"))</f>
        <v>1</v>
      </c>
      <c r="F132" s="60">
        <f>IF($B132="","",COUNTIFS(Riscos!$B$5:$B$154,$B132,Riscos!$W$5:$W$154,"Médio"))</f>
        <v>1</v>
      </c>
      <c r="G132" s="60">
        <f>IF($B132="","",COUNTIFS(Riscos!$B$5:$B$154,$B132,Riscos!$W$5:$W$154,"Baixo"))</f>
        <v>0</v>
      </c>
      <c r="H132" s="60">
        <f ca="1">IF($B132="","",SUMPRODUCT((Riscos!$B$5:$B$154=$B132)*(Riscos!$AZ$5:$AZ$154&lt;&gt;"OK")*(Riscos!$AZ$5:$AZ$154&lt;&gt;"")))</f>
        <v>1</v>
      </c>
      <c r="I132" s="60">
        <f>IF($B132="","",COUNTIF(Oportunidades!$B$5:$B$154,$B132))</f>
        <v>0</v>
      </c>
      <c r="J132" s="60">
        <f t="shared" ca="1" si="6"/>
        <v>7</v>
      </c>
      <c r="K132" s="60" t="str">
        <f t="shared" ca="1" si="7"/>
        <v>Média</v>
      </c>
      <c r="L132" s="60">
        <f t="shared" ca="1" si="8"/>
        <v>12</v>
      </c>
      <c r="M132" s="65" t="str">
        <f t="shared" si="9"/>
        <v/>
      </c>
      <c r="N132" s="61" t="str">
        <f t="shared" si="10"/>
        <v/>
      </c>
      <c r="O132" s="65" t="str">
        <f t="shared" si="11"/>
        <v/>
      </c>
      <c r="P132" s="60" t="str">
        <f t="shared" ca="1" si="12"/>
        <v>Nunca auditada</v>
      </c>
      <c r="Q132" s="52" t="str">
        <f t="shared" si="13"/>
        <v>Testar controles-chave e a eficácia dos riscos Altos e Críticos</v>
      </c>
      <c r="R132" s="154" t="s">
        <v>1629</v>
      </c>
    </row>
    <row r="133" spans="1:18" ht="22.8" customHeight="1">
      <c r="A133" s="153">
        <f t="shared" si="5"/>
        <v>17</v>
      </c>
      <c r="B133" s="53" t="str">
        <f>IF(Critérios!B87="","",Critérios!B87)</f>
        <v>Laboratório da Qualidade</v>
      </c>
      <c r="C133" s="60">
        <f>IF($B133="","",COUNTIF(Riscos!$B$5:$B$154,$B133))</f>
        <v>0</v>
      </c>
      <c r="D133" s="60">
        <f>IF($B133="","",COUNTIFS(Riscos!$B$5:$B$154,$B133,Riscos!$W$5:$W$154,"Crítico"))</f>
        <v>0</v>
      </c>
      <c r="E133" s="60">
        <f>IF($B133="","",COUNTIFS(Riscos!$B$5:$B$154,$B133,Riscos!$W$5:$W$154,"Alto"))</f>
        <v>0</v>
      </c>
      <c r="F133" s="60">
        <f>IF($B133="","",COUNTIFS(Riscos!$B$5:$B$154,$B133,Riscos!$W$5:$W$154,"Médio"))</f>
        <v>0</v>
      </c>
      <c r="G133" s="60">
        <f>IF($B133="","",COUNTIFS(Riscos!$B$5:$B$154,$B133,Riscos!$W$5:$W$154,"Baixo"))</f>
        <v>0</v>
      </c>
      <c r="H133" s="60">
        <f ca="1">IF($B133="","",SUMPRODUCT((Riscos!$B$5:$B$154=$B133)*(Riscos!$AZ$5:$AZ$154&lt;&gt;"OK")*(Riscos!$AZ$5:$AZ$154&lt;&gt;"")))</f>
        <v>0</v>
      </c>
      <c r="I133" s="60">
        <f>IF($B133="","",COUNTIF(Oportunidades!$B$5:$B$154,$B133))</f>
        <v>1</v>
      </c>
      <c r="J133" s="60">
        <f t="shared" ca="1" si="6"/>
        <v>0</v>
      </c>
      <c r="K133" s="60" t="str">
        <f t="shared" si="7"/>
        <v>Sem riscos</v>
      </c>
      <c r="L133" s="60">
        <f t="shared" si="8"/>
        <v>12</v>
      </c>
      <c r="M133" s="65" t="str">
        <f t="shared" si="9"/>
        <v/>
      </c>
      <c r="N133" s="61" t="str">
        <f t="shared" si="10"/>
        <v/>
      </c>
      <c r="O133" s="65" t="str">
        <f t="shared" si="11"/>
        <v/>
      </c>
      <c r="P133" s="60" t="str">
        <f t="shared" ca="1" si="12"/>
        <v>Nunca auditada</v>
      </c>
      <c r="Q133" s="52" t="str">
        <f t="shared" si="13"/>
        <v>Confirmar se a identificação de riscos da área está completa</v>
      </c>
      <c r="R133" s="154" t="s">
        <v>1630</v>
      </c>
    </row>
    <row r="134" spans="1:18" ht="11.4" customHeight="1">
      <c r="A134" s="153">
        <f t="shared" si="5"/>
        <v>18</v>
      </c>
      <c r="B134" s="53" t="str">
        <f>IF(Critérios!B88="","",Critérios!B88)</f>
        <v>Gestão Estratégica</v>
      </c>
      <c r="C134" s="60">
        <f>IF($B134="","",COUNTIF(Riscos!$B$5:$B$154,$B134))</f>
        <v>1</v>
      </c>
      <c r="D134" s="60">
        <f>IF($B134="","",COUNTIFS(Riscos!$B$5:$B$154,$B134,Riscos!$W$5:$W$154,"Crítico"))</f>
        <v>0</v>
      </c>
      <c r="E134" s="60">
        <f>IF($B134="","",COUNTIFS(Riscos!$B$5:$B$154,$B134,Riscos!$W$5:$W$154,"Alto"))</f>
        <v>0</v>
      </c>
      <c r="F134" s="60">
        <f>IF($B134="","",COUNTIFS(Riscos!$B$5:$B$154,$B134,Riscos!$W$5:$W$154,"Médio"))</f>
        <v>1</v>
      </c>
      <c r="G134" s="60">
        <f>IF($B134="","",COUNTIFS(Riscos!$B$5:$B$154,$B134,Riscos!$W$5:$W$154,"Baixo"))</f>
        <v>0</v>
      </c>
      <c r="H134" s="60">
        <f ca="1">IF($B134="","",SUMPRODUCT((Riscos!$B$5:$B$154=$B134)*(Riscos!$AZ$5:$AZ$154&lt;&gt;"OK")*(Riscos!$AZ$5:$AZ$154&lt;&gt;"")))</f>
        <v>1</v>
      </c>
      <c r="I134" s="60">
        <f>IF($B134="","",COUNTIF(Oportunidades!$B$5:$B$154,$B134))</f>
        <v>1</v>
      </c>
      <c r="J134" s="60">
        <f t="shared" ca="1" si="6"/>
        <v>3</v>
      </c>
      <c r="K134" s="60" t="str">
        <f t="shared" ca="1" si="7"/>
        <v>Baixa</v>
      </c>
      <c r="L134" s="60">
        <f t="shared" ca="1" si="8"/>
        <v>24</v>
      </c>
      <c r="M134" s="65" t="str">
        <f t="shared" si="9"/>
        <v/>
      </c>
      <c r="N134" s="61" t="str">
        <f t="shared" si="10"/>
        <v/>
      </c>
      <c r="O134" s="65" t="str">
        <f t="shared" si="11"/>
        <v/>
      </c>
      <c r="P134" s="60" t="str">
        <f t="shared" ca="1" si="12"/>
        <v>Nunca auditada</v>
      </c>
      <c r="Q134" s="52" t="str">
        <f t="shared" ca="1" si="13"/>
        <v>Verificar o tratamento dos alertas abertos</v>
      </c>
      <c r="R134" s="154" t="s">
        <v>1631</v>
      </c>
    </row>
    <row r="135" spans="1:18" ht="22.8" customHeight="1">
      <c r="A135" s="153">
        <f t="shared" si="5"/>
        <v>19</v>
      </c>
      <c r="B135" s="53" t="str">
        <f>IF(Critérios!B89="","",Critérios!B89)</f>
        <v>Gestão Comercial</v>
      </c>
      <c r="C135" s="60">
        <f>IF($B135="","",COUNTIF(Riscos!$B$5:$B$154,$B135))</f>
        <v>1</v>
      </c>
      <c r="D135" s="60">
        <f>IF($B135="","",COUNTIFS(Riscos!$B$5:$B$154,$B135,Riscos!$W$5:$W$154,"Crítico"))</f>
        <v>0</v>
      </c>
      <c r="E135" s="60">
        <f>IF($B135="","",COUNTIFS(Riscos!$B$5:$B$154,$B135,Riscos!$W$5:$W$154,"Alto"))</f>
        <v>1</v>
      </c>
      <c r="F135" s="60">
        <f>IF($B135="","",COUNTIFS(Riscos!$B$5:$B$154,$B135,Riscos!$W$5:$W$154,"Médio"))</f>
        <v>0</v>
      </c>
      <c r="G135" s="60">
        <f>IF($B135="","",COUNTIFS(Riscos!$B$5:$B$154,$B135,Riscos!$W$5:$W$154,"Baixo"))</f>
        <v>0</v>
      </c>
      <c r="H135" s="60">
        <f ca="1">IF($B135="","",SUMPRODUCT((Riscos!$B$5:$B$154=$B135)*(Riscos!$AZ$5:$AZ$154&lt;&gt;"OK")*(Riscos!$AZ$5:$AZ$154&lt;&gt;"")))</f>
        <v>1</v>
      </c>
      <c r="I135" s="60">
        <f>IF($B135="","",COUNTIF(Oportunidades!$B$5:$B$154,$B135))</f>
        <v>1</v>
      </c>
      <c r="J135" s="60">
        <f t="shared" ca="1" si="6"/>
        <v>5</v>
      </c>
      <c r="K135" s="60" t="str">
        <f t="shared" ca="1" si="7"/>
        <v>Média</v>
      </c>
      <c r="L135" s="60">
        <f t="shared" ca="1" si="8"/>
        <v>12</v>
      </c>
      <c r="M135" s="65" t="str">
        <f t="shared" si="9"/>
        <v/>
      </c>
      <c r="N135" s="61" t="str">
        <f t="shared" si="10"/>
        <v/>
      </c>
      <c r="O135" s="65" t="str">
        <f t="shared" si="11"/>
        <v/>
      </c>
      <c r="P135" s="60" t="str">
        <f t="shared" ca="1" si="12"/>
        <v>Nunca auditada</v>
      </c>
      <c r="Q135" s="52" t="str">
        <f t="shared" si="13"/>
        <v>Testar controles-chave e a eficácia dos riscos Altos e Críticos</v>
      </c>
      <c r="R135" s="154" t="s">
        <v>1632</v>
      </c>
    </row>
    <row r="136" spans="1:18" ht="22.8" customHeight="1">
      <c r="A136" s="158">
        <f t="shared" si="5"/>
        <v>20</v>
      </c>
      <c r="B136" s="159" t="str">
        <f>IF(Critérios!B90="","",Critérios!B90)</f>
        <v>Produção (transversal)</v>
      </c>
      <c r="C136" s="160">
        <f>IF($B136="","",COUNTIF(Riscos!$B$5:$B$154,$B136))</f>
        <v>1</v>
      </c>
      <c r="D136" s="160">
        <f>IF($B136="","",COUNTIFS(Riscos!$B$5:$B$154,$B136,Riscos!$W$5:$W$154,"Crítico"))</f>
        <v>0</v>
      </c>
      <c r="E136" s="160">
        <f>IF($B136="","",COUNTIFS(Riscos!$B$5:$B$154,$B136,Riscos!$W$5:$W$154,"Alto"))</f>
        <v>0</v>
      </c>
      <c r="F136" s="160">
        <f>IF($B136="","",COUNTIFS(Riscos!$B$5:$B$154,$B136,Riscos!$W$5:$W$154,"Médio"))</f>
        <v>1</v>
      </c>
      <c r="G136" s="160">
        <f>IF($B136="","",COUNTIFS(Riscos!$B$5:$B$154,$B136,Riscos!$W$5:$W$154,"Baixo"))</f>
        <v>0</v>
      </c>
      <c r="H136" s="160">
        <f ca="1">IF($B136="","",SUMPRODUCT((Riscos!$B$5:$B$154=$B136)*(Riscos!$AZ$5:$AZ$154&lt;&gt;"OK")*(Riscos!$AZ$5:$AZ$154&lt;&gt;"")))</f>
        <v>1</v>
      </c>
      <c r="I136" s="160">
        <f>IF($B136="","",COUNTIF(Oportunidades!$B$5:$B$154,$B136))</f>
        <v>1</v>
      </c>
      <c r="J136" s="160">
        <f t="shared" ca="1" si="6"/>
        <v>3</v>
      </c>
      <c r="K136" s="160" t="str">
        <f t="shared" ca="1" si="7"/>
        <v>Baixa</v>
      </c>
      <c r="L136" s="160">
        <f t="shared" ca="1" si="8"/>
        <v>24</v>
      </c>
      <c r="M136" s="144" t="str">
        <f t="shared" si="9"/>
        <v/>
      </c>
      <c r="N136" s="161" t="str">
        <f t="shared" si="10"/>
        <v/>
      </c>
      <c r="O136" s="144" t="str">
        <f t="shared" si="11"/>
        <v/>
      </c>
      <c r="P136" s="160" t="str">
        <f t="shared" ca="1" si="12"/>
        <v>Nunca auditada</v>
      </c>
      <c r="Q136" s="162" t="str">
        <f t="shared" ca="1" si="13"/>
        <v>Verificar o tratamento dos alertas abertos</v>
      </c>
      <c r="R136" s="163" t="s">
        <v>1633</v>
      </c>
    </row>
    <row r="139" spans="1:18" ht="24" customHeight="1">
      <c r="A139" s="259" t="s">
        <v>1662</v>
      </c>
      <c r="B139" s="259"/>
      <c r="C139" s="259"/>
      <c r="D139" s="259"/>
      <c r="E139" s="259"/>
      <c r="F139" s="259"/>
    </row>
    <row r="140" spans="1:18" ht="30" customHeight="1">
      <c r="A140" s="183" t="s">
        <v>1663</v>
      </c>
      <c r="B140" s="183"/>
      <c r="C140" s="183"/>
      <c r="D140" s="183"/>
      <c r="E140" s="183"/>
      <c r="F140" s="183"/>
    </row>
    <row r="141" spans="1:18" ht="11.4" customHeight="1"/>
    <row r="142" spans="1:18" ht="13.2" customHeight="1">
      <c r="A142" s="257" t="s">
        <v>1664</v>
      </c>
      <c r="B142" s="257"/>
      <c r="C142" s="257"/>
      <c r="D142" s="257"/>
      <c r="E142" s="257"/>
      <c r="F142" s="257"/>
    </row>
    <row r="143" spans="1:18" ht="12" customHeight="1">
      <c r="A143" s="51" t="s">
        <v>1665</v>
      </c>
      <c r="B143" s="51" t="s">
        <v>1666</v>
      </c>
      <c r="C143" s="51" t="s">
        <v>1667</v>
      </c>
      <c r="D143" s="51" t="s">
        <v>1668</v>
      </c>
      <c r="E143" s="51" t="s">
        <v>1669</v>
      </c>
      <c r="F143" s="51" t="s">
        <v>1670</v>
      </c>
    </row>
    <row r="144" spans="1:18" ht="22.8" customHeight="1">
      <c r="A144" s="72" t="s">
        <v>614</v>
      </c>
      <c r="B144" s="73" t="s">
        <v>1671</v>
      </c>
      <c r="C144" s="73" t="s">
        <v>1672</v>
      </c>
      <c r="D144" s="73" t="s">
        <v>1673</v>
      </c>
      <c r="E144" s="73" t="s">
        <v>1674</v>
      </c>
      <c r="F144" s="74">
        <v>0.25</v>
      </c>
    </row>
    <row r="145" spans="1:6" ht="22.8" customHeight="1">
      <c r="A145" s="72" t="s">
        <v>1675</v>
      </c>
      <c r="B145" s="73" t="s">
        <v>1676</v>
      </c>
      <c r="C145" s="73" t="s">
        <v>1677</v>
      </c>
      <c r="D145" s="73" t="s">
        <v>1678</v>
      </c>
      <c r="E145" s="73" t="s">
        <v>1679</v>
      </c>
      <c r="F145" s="74">
        <v>0.3</v>
      </c>
    </row>
    <row r="146" spans="1:6" ht="22.8" customHeight="1">
      <c r="A146" s="72" t="s">
        <v>759</v>
      </c>
      <c r="B146" s="73" t="s">
        <v>1680</v>
      </c>
      <c r="C146" s="73" t="s">
        <v>1681</v>
      </c>
      <c r="D146" s="73" t="s">
        <v>1682</v>
      </c>
      <c r="E146" s="73" t="s">
        <v>1683</v>
      </c>
      <c r="F146" s="74">
        <v>0.3</v>
      </c>
    </row>
    <row r="147" spans="1:6" ht="22.8" customHeight="1">
      <c r="A147" s="70" t="s">
        <v>1684</v>
      </c>
      <c r="B147" s="69" t="s">
        <v>1685</v>
      </c>
      <c r="C147" s="69" t="s">
        <v>1686</v>
      </c>
      <c r="D147" s="69" t="s">
        <v>1687</v>
      </c>
      <c r="E147" s="69" t="s">
        <v>1688</v>
      </c>
      <c r="F147" s="71">
        <v>0.15</v>
      </c>
    </row>
    <row r="148" spans="1:6" ht="52.05" customHeight="1">
      <c r="A148" s="260" t="s">
        <v>1689</v>
      </c>
      <c r="B148" s="260"/>
      <c r="C148" s="260"/>
      <c r="D148" s="260"/>
      <c r="E148" s="260"/>
      <c r="F148" s="260"/>
    </row>
    <row r="149" spans="1:6" ht="11.4" customHeight="1"/>
    <row r="150" spans="1:6" ht="13.2" customHeight="1">
      <c r="A150" s="257" t="s">
        <v>1690</v>
      </c>
      <c r="B150" s="257"/>
      <c r="C150" s="257"/>
      <c r="D150" s="257"/>
      <c r="E150" s="257"/>
      <c r="F150" s="257"/>
    </row>
    <row r="151" spans="1:6" ht="12" customHeight="1">
      <c r="A151" s="51" t="s">
        <v>606</v>
      </c>
      <c r="B151" s="51" t="s">
        <v>607</v>
      </c>
      <c r="C151" s="51" t="s">
        <v>1691</v>
      </c>
      <c r="D151" s="51" t="s">
        <v>1692</v>
      </c>
      <c r="E151" s="51" t="s">
        <v>1693</v>
      </c>
    </row>
    <row r="152" spans="1:6" ht="22.8" customHeight="1">
      <c r="A152" s="77" t="s">
        <v>608</v>
      </c>
      <c r="B152" s="73" t="s">
        <v>609</v>
      </c>
      <c r="C152" s="73" t="s">
        <v>610</v>
      </c>
      <c r="D152" s="73" t="s">
        <v>1694</v>
      </c>
      <c r="E152" s="76">
        <v>0</v>
      </c>
    </row>
    <row r="153" spans="1:6" ht="34.200000000000003" customHeight="1">
      <c r="A153" s="78" t="s">
        <v>611</v>
      </c>
      <c r="B153" s="73" t="s">
        <v>612</v>
      </c>
      <c r="C153" s="73" t="s">
        <v>613</v>
      </c>
      <c r="D153" s="73" t="s">
        <v>1695</v>
      </c>
      <c r="E153" s="76">
        <v>0.125</v>
      </c>
    </row>
    <row r="154" spans="1:6" ht="34.200000000000003" customHeight="1">
      <c r="A154" s="79" t="s">
        <v>614</v>
      </c>
      <c r="B154" s="73" t="s">
        <v>615</v>
      </c>
      <c r="C154" s="73" t="s">
        <v>616</v>
      </c>
      <c r="D154" s="73" t="s">
        <v>1696</v>
      </c>
      <c r="E154" s="76">
        <v>0.375</v>
      </c>
    </row>
    <row r="155" spans="1:6" ht="34.200000000000003" customHeight="1">
      <c r="A155" s="80" t="s">
        <v>617</v>
      </c>
      <c r="B155" s="73" t="s">
        <v>618</v>
      </c>
      <c r="C155" s="73" t="s">
        <v>619</v>
      </c>
      <c r="D155" s="73" t="s">
        <v>1697</v>
      </c>
      <c r="E155" s="76">
        <v>0.625</v>
      </c>
    </row>
    <row r="156" spans="1:6" ht="22.8" customHeight="1">
      <c r="A156" s="81" t="s">
        <v>620</v>
      </c>
      <c r="B156" s="69" t="s">
        <v>621</v>
      </c>
      <c r="C156" s="69" t="s">
        <v>622</v>
      </c>
      <c r="D156" s="69" t="s">
        <v>1698</v>
      </c>
      <c r="E156" s="75">
        <v>0.95</v>
      </c>
    </row>
    <row r="157" spans="1:6" ht="11.4" customHeight="1"/>
    <row r="158" spans="1:6" ht="13.2" customHeight="1">
      <c r="A158" s="257" t="s">
        <v>1699</v>
      </c>
      <c r="B158" s="257"/>
      <c r="C158" s="257"/>
      <c r="D158" s="257"/>
      <c r="E158" s="257"/>
      <c r="F158" s="257"/>
    </row>
    <row r="159" spans="1:6" ht="12" customHeight="1">
      <c r="A159" s="59" t="s">
        <v>1700</v>
      </c>
      <c r="B159" s="59" t="s">
        <v>1701</v>
      </c>
      <c r="C159" s="59" t="s">
        <v>1702</v>
      </c>
      <c r="D159" s="59" t="s">
        <v>1703</v>
      </c>
      <c r="E159" s="59" t="s">
        <v>1704</v>
      </c>
    </row>
    <row r="160" spans="1:6" ht="22.8" customHeight="1">
      <c r="A160" s="72" t="s">
        <v>1705</v>
      </c>
      <c r="B160" s="73" t="s">
        <v>1706</v>
      </c>
      <c r="C160" s="84">
        <v>1</v>
      </c>
      <c r="D160" s="73" t="s">
        <v>1705</v>
      </c>
      <c r="E160" s="73" t="s">
        <v>1707</v>
      </c>
    </row>
    <row r="161" spans="1:6" ht="22.8" customHeight="1">
      <c r="A161" s="72" t="s">
        <v>1708</v>
      </c>
      <c r="B161" s="73" t="s">
        <v>1709</v>
      </c>
      <c r="C161" s="84" t="s">
        <v>1710</v>
      </c>
      <c r="D161" s="73" t="s">
        <v>1711</v>
      </c>
      <c r="E161" s="73" t="s">
        <v>1712</v>
      </c>
    </row>
    <row r="162" spans="1:6" ht="22.8" customHeight="1">
      <c r="A162" s="72" t="s">
        <v>1713</v>
      </c>
      <c r="B162" s="73" t="s">
        <v>1714</v>
      </c>
      <c r="C162" s="84">
        <v>0</v>
      </c>
      <c r="D162" s="73" t="s">
        <v>1715</v>
      </c>
      <c r="E162" s="73" t="s">
        <v>1716</v>
      </c>
    </row>
    <row r="163" spans="1:6" ht="22.8" customHeight="1">
      <c r="A163" s="70" t="s">
        <v>1717</v>
      </c>
      <c r="B163" s="69" t="s">
        <v>1718</v>
      </c>
      <c r="C163" s="83" t="s">
        <v>1719</v>
      </c>
      <c r="D163" s="69" t="s">
        <v>1717</v>
      </c>
      <c r="E163" s="69" t="s">
        <v>1720</v>
      </c>
    </row>
    <row r="164" spans="1:6" ht="52.05" customHeight="1">
      <c r="A164" s="258" t="s">
        <v>1721</v>
      </c>
      <c r="B164" s="258"/>
      <c r="C164" s="258"/>
      <c r="D164" s="258"/>
      <c r="E164" s="258"/>
      <c r="F164" s="258"/>
    </row>
    <row r="165" spans="1:6" ht="11.4" customHeight="1"/>
    <row r="166" spans="1:6" ht="13.2" customHeight="1">
      <c r="A166" s="257" t="s">
        <v>2094</v>
      </c>
      <c r="B166" s="257"/>
      <c r="C166" s="257"/>
      <c r="D166" s="257"/>
      <c r="E166" s="257"/>
      <c r="F166" s="257"/>
    </row>
    <row r="167" spans="1:6" ht="25.95" customHeight="1">
      <c r="A167" s="262" t="s">
        <v>1722</v>
      </c>
      <c r="B167" s="262"/>
      <c r="C167" s="262"/>
      <c r="D167" s="262"/>
      <c r="E167" s="262"/>
      <c r="F167" s="262"/>
    </row>
    <row r="168" spans="1:6" ht="25.95" customHeight="1">
      <c r="A168" s="262" t="s">
        <v>1723</v>
      </c>
      <c r="B168" s="262"/>
      <c r="C168" s="262"/>
      <c r="D168" s="262"/>
      <c r="E168" s="262"/>
      <c r="F168" s="262"/>
    </row>
    <row r="169" spans="1:6" ht="25.95" customHeight="1">
      <c r="A169" s="262" t="s">
        <v>1724</v>
      </c>
      <c r="B169" s="262"/>
      <c r="C169" s="262"/>
      <c r="D169" s="262"/>
      <c r="E169" s="262"/>
      <c r="F169" s="262"/>
    </row>
    <row r="170" spans="1:6" ht="25.95" customHeight="1">
      <c r="A170" s="262" t="s">
        <v>1725</v>
      </c>
      <c r="B170" s="262"/>
      <c r="C170" s="262"/>
      <c r="D170" s="262"/>
      <c r="E170" s="262"/>
      <c r="F170" s="262"/>
    </row>
    <row r="171" spans="1:6" ht="25.95" customHeight="1">
      <c r="A171" s="263" t="s">
        <v>1726</v>
      </c>
      <c r="B171" s="263"/>
      <c r="C171" s="263"/>
      <c r="D171" s="263"/>
      <c r="E171" s="263"/>
      <c r="F171" s="263"/>
    </row>
    <row r="172" spans="1:6" ht="11.4" customHeight="1"/>
    <row r="173" spans="1:6" ht="13.2" customHeight="1">
      <c r="A173" s="261" t="s">
        <v>2095</v>
      </c>
      <c r="B173" s="261"/>
      <c r="C173" s="261"/>
      <c r="D173" s="261"/>
      <c r="E173" s="261"/>
      <c r="F173" s="261"/>
    </row>
    <row r="174" spans="1:6" ht="12" customHeight="1">
      <c r="A174" s="86" t="s">
        <v>1729</v>
      </c>
      <c r="B174" s="86" t="s">
        <v>1730</v>
      </c>
      <c r="C174" s="86" t="s">
        <v>1731</v>
      </c>
      <c r="D174" s="86" t="s">
        <v>1732</v>
      </c>
      <c r="E174" s="86" t="s">
        <v>1736</v>
      </c>
    </row>
    <row r="175" spans="1:6" ht="11.4" customHeight="1">
      <c r="A175" s="87" t="s">
        <v>418</v>
      </c>
      <c r="B175" s="87" t="s">
        <v>1728</v>
      </c>
      <c r="C175" s="87" t="s">
        <v>1705</v>
      </c>
      <c r="D175" s="87" t="s">
        <v>1733</v>
      </c>
      <c r="E175" s="87" t="s">
        <v>1737</v>
      </c>
    </row>
    <row r="176" spans="1:6" ht="11.4" customHeight="1">
      <c r="A176" s="87" t="s">
        <v>1708</v>
      </c>
      <c r="B176" s="87" t="s">
        <v>82</v>
      </c>
      <c r="C176" s="87" t="s">
        <v>1708</v>
      </c>
      <c r="D176" s="87" t="s">
        <v>1734</v>
      </c>
      <c r="E176" s="87" t="s">
        <v>759</v>
      </c>
    </row>
    <row r="177" spans="1:5" ht="11.4" customHeight="1">
      <c r="A177" s="87" t="s">
        <v>419</v>
      </c>
      <c r="B177" s="87" t="s">
        <v>71</v>
      </c>
      <c r="C177" s="87" t="s">
        <v>1713</v>
      </c>
      <c r="D177" s="87" t="s">
        <v>1711</v>
      </c>
      <c r="E177" s="87" t="s">
        <v>1738</v>
      </c>
    </row>
    <row r="178" spans="1:5" ht="11.4" customHeight="1">
      <c r="A178" s="87"/>
      <c r="B178" s="87"/>
      <c r="C178" s="87" t="s">
        <v>1717</v>
      </c>
      <c r="D178" s="87" t="s">
        <v>1735</v>
      </c>
      <c r="E178" s="87" t="s">
        <v>1717</v>
      </c>
    </row>
    <row r="179" spans="1:5" ht="11.4" customHeight="1">
      <c r="A179" s="87"/>
      <c r="B179" s="87"/>
      <c r="C179" s="87"/>
      <c r="D179" s="87" t="s">
        <v>1665</v>
      </c>
      <c r="E179" s="87"/>
    </row>
  </sheetData>
  <mergeCells count="75">
    <mergeCell ref="A1:H1"/>
    <mergeCell ref="A2:H2"/>
    <mergeCell ref="A4:H4"/>
    <mergeCell ref="C5:H5"/>
    <mergeCell ref="A44:H44"/>
    <mergeCell ref="F33:H33"/>
    <mergeCell ref="A35:H35"/>
    <mergeCell ref="B7:H7"/>
    <mergeCell ref="C8:H8"/>
    <mergeCell ref="C9:H9"/>
    <mergeCell ref="A11:H11"/>
    <mergeCell ref="C12:H12"/>
    <mergeCell ref="C13:H13"/>
    <mergeCell ref="C14:H14"/>
    <mergeCell ref="C15:H15"/>
    <mergeCell ref="C16:H16"/>
    <mergeCell ref="C17:H17"/>
    <mergeCell ref="C18:H18"/>
    <mergeCell ref="B19:H19"/>
    <mergeCell ref="B20:H20"/>
    <mergeCell ref="B21:H21"/>
    <mergeCell ref="B22:H22"/>
    <mergeCell ref="B23:H23"/>
    <mergeCell ref="A25:H25"/>
    <mergeCell ref="F26:H26"/>
    <mergeCell ref="F27:H27"/>
    <mergeCell ref="F28:H28"/>
    <mergeCell ref="F29:H29"/>
    <mergeCell ref="F30:H30"/>
    <mergeCell ref="F31:H31"/>
    <mergeCell ref="F32:H32"/>
    <mergeCell ref="A101:O101"/>
    <mergeCell ref="A96:C96"/>
    <mergeCell ref="A97:C97"/>
    <mergeCell ref="A98:C98"/>
    <mergeCell ref="A99:C99"/>
    <mergeCell ref="A100:C100"/>
    <mergeCell ref="A93:C93"/>
    <mergeCell ref="A94:C94"/>
    <mergeCell ref="A95:C95"/>
    <mergeCell ref="A68:O68"/>
    <mergeCell ref="A69:O69"/>
    <mergeCell ref="A71:O71"/>
    <mergeCell ref="A82:O82"/>
    <mergeCell ref="A92:O92"/>
    <mergeCell ref="K110:P110"/>
    <mergeCell ref="K111:P111"/>
    <mergeCell ref="K112:P112"/>
    <mergeCell ref="A114:R114"/>
    <mergeCell ref="E110:H110"/>
    <mergeCell ref="E111:H111"/>
    <mergeCell ref="E112:H112"/>
    <mergeCell ref="E113:H113"/>
    <mergeCell ref="E109:H109"/>
    <mergeCell ref="A104:R104"/>
    <mergeCell ref="A105:R105"/>
    <mergeCell ref="A107:I107"/>
    <mergeCell ref="K107:R107"/>
    <mergeCell ref="E108:H108"/>
    <mergeCell ref="K108:P108"/>
    <mergeCell ref="K109:P109"/>
    <mergeCell ref="A173:F173"/>
    <mergeCell ref="A166:F166"/>
    <mergeCell ref="A167:F167"/>
    <mergeCell ref="A168:F168"/>
    <mergeCell ref="A169:F169"/>
    <mergeCell ref="A170:F170"/>
    <mergeCell ref="A171:F171"/>
    <mergeCell ref="A158:F158"/>
    <mergeCell ref="A164:F164"/>
    <mergeCell ref="A139:F139"/>
    <mergeCell ref="A140:F140"/>
    <mergeCell ref="A142:F142"/>
    <mergeCell ref="A148:F148"/>
    <mergeCell ref="A150:F150"/>
  </mergeCells>
  <conditionalFormatting sqref="B19:H19">
    <cfRule type="expression" dxfId="40" priority="13" stopIfTrue="1">
      <formula>$J$19=1</formula>
    </cfRule>
    <cfRule type="expression" dxfId="39" priority="14" stopIfTrue="1">
      <formula>$J$19=2</formula>
    </cfRule>
    <cfRule type="expression" dxfId="38" priority="15" stopIfTrue="1">
      <formula>$J$19=3</formula>
    </cfRule>
    <cfRule type="expression" dxfId="37" priority="16" stopIfTrue="1">
      <formula>$J$19=4</formula>
    </cfRule>
  </conditionalFormatting>
  <conditionalFormatting sqref="B84:J90">
    <cfRule type="colorScale" priority="12">
      <colorScale>
        <cfvo type="num" val="0.5"/>
        <cfvo type="num" val="0.8"/>
        <cfvo type="num" val="1"/>
        <color rgb="FFFF7C80"/>
        <color rgb="FFFFEB9C"/>
        <color rgb="FFA9D08E"/>
      </colorScale>
    </cfRule>
  </conditionalFormatting>
  <conditionalFormatting sqref="K117:K136">
    <cfRule type="cellIs" dxfId="36" priority="1" stopIfTrue="1" operator="equal">
      <formula>"Alta"</formula>
    </cfRule>
    <cfRule type="cellIs" dxfId="35" priority="2" stopIfTrue="1" operator="equal">
      <formula>"Média"</formula>
    </cfRule>
    <cfRule type="cellIs" dxfId="34" priority="3" stopIfTrue="1" operator="equal">
      <formula>"Baixa"</formula>
    </cfRule>
    <cfRule type="cellIs" dxfId="33" priority="4" stopIfTrue="1" operator="equal">
      <formula>"Sem riscos"</formula>
    </cfRule>
  </conditionalFormatting>
  <conditionalFormatting sqref="N73:N80">
    <cfRule type="cellIs" dxfId="32" priority="9" stopIfTrue="1" operator="equal">
      <formula>"Conforme"</formula>
    </cfRule>
    <cfRule type="cellIs" dxfId="31" priority="10" stopIfTrue="1" operator="equal">
      <formula>"Atenção"</formula>
    </cfRule>
    <cfRule type="cellIs" dxfId="30" priority="11" stopIfTrue="1" operator="equal">
      <formula>"Crítico"</formula>
    </cfRule>
  </conditionalFormatting>
  <conditionalFormatting sqref="P117:P136">
    <cfRule type="cellIs" dxfId="29" priority="5" stopIfTrue="1" operator="equal">
      <formula>"Atrasada"</formula>
    </cfRule>
    <cfRule type="cellIs" dxfId="28" priority="6" stopIfTrue="1" operator="equal">
      <formula>"Nunca auditada"</formula>
    </cfRule>
    <cfRule type="cellIs" dxfId="27" priority="7" stopIfTrue="1" operator="equal">
      <formula>"Vence em breve"</formula>
    </cfRule>
    <cfRule type="cellIs" dxfId="26" priority="8" stopIfTrue="1" operator="equal">
      <formula>"Em dia"</formula>
    </cfRule>
  </conditionalFormatting>
  <pageMargins left="0.7" right="0.7" top="0.75" bottom="0.75" header="0.3" footer="0.3"/>
  <pageSetup paperSize="9" scale="44" fitToHeight="0" orientation="landscape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6884-B616-4648-B97E-CF70CD7E39E7}">
  <sheetPr>
    <tabColor rgb="FF1F7A7A"/>
  </sheetPr>
  <dimension ref="A1:AC29"/>
  <sheetViews>
    <sheetView showGridLines="0" workbookViewId="0">
      <pane xSplit="4" ySplit="4" topLeftCell="E5" activePane="bottomRight" state="frozen"/>
      <selection activeCell="E8" sqref="E8:H8"/>
      <selection pane="topRight" activeCell="E8" sqref="E8:H8"/>
      <selection pane="bottomLeft" activeCell="E8" sqref="E8:H8"/>
      <selection pane="bottomRight" activeCell="E8" sqref="E8:H8"/>
    </sheetView>
  </sheetViews>
  <sheetFormatPr defaultRowHeight="11.4" outlineLevelCol="1"/>
  <cols>
    <col min="1" max="2" width="9.77734375" style="49" customWidth="1"/>
    <col min="3" max="3" width="15.77734375" style="49" customWidth="1"/>
    <col min="4" max="4" width="24.77734375" style="49" customWidth="1"/>
    <col min="5" max="5" width="44.77734375" style="49" customWidth="1"/>
    <col min="6" max="6" width="40.77734375" style="49" customWidth="1"/>
    <col min="7" max="7" width="10.77734375" style="49" customWidth="1"/>
    <col min="8" max="9" width="6.77734375" style="49" customWidth="1"/>
    <col min="10" max="10" width="34.77734375" style="49" customWidth="1"/>
    <col min="11" max="14" width="10.77734375" style="49" customWidth="1"/>
    <col min="15" max="15" width="36.77734375" style="49" customWidth="1"/>
    <col min="16" max="16" width="8.77734375" style="49" customWidth="1"/>
    <col min="17" max="17" width="6.77734375" style="49" customWidth="1"/>
    <col min="18" max="18" width="14.77734375" style="49" customWidth="1"/>
    <col min="19" max="19" width="7.77734375" style="49" customWidth="1"/>
    <col min="20" max="20" width="18.77734375" style="49" customWidth="1"/>
    <col min="21" max="21" width="8.77734375" style="49" customWidth="1"/>
    <col min="22" max="23" width="42.77734375" style="49" customWidth="1"/>
    <col min="24" max="24" width="13.77734375" style="49" customWidth="1"/>
    <col min="25" max="25" width="20.77734375" style="49" customWidth="1"/>
    <col min="26" max="26" width="11.77734375" style="49" customWidth="1"/>
    <col min="27" max="27" width="9.77734375" style="49" customWidth="1" outlineLevel="1"/>
    <col min="28" max="29" width="8.77734375" style="49" customWidth="1" outlineLevel="1"/>
    <col min="30" max="16384" width="8.88671875" style="49"/>
  </cols>
  <sheetData>
    <row r="1" spans="1:29" ht="24" customHeight="1">
      <c r="A1" s="281" t="s">
        <v>1739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</row>
    <row r="2" spans="1:29" ht="37.950000000000003" customHeight="1">
      <c r="A2" s="183" t="s">
        <v>1740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</row>
    <row r="4" spans="1:29" ht="30" customHeight="1">
      <c r="A4" s="68" t="s">
        <v>1741</v>
      </c>
      <c r="B4" s="68" t="s">
        <v>20</v>
      </c>
      <c r="C4" s="68" t="s">
        <v>1742</v>
      </c>
      <c r="D4" s="68" t="s">
        <v>1743</v>
      </c>
      <c r="E4" s="68" t="s">
        <v>1744</v>
      </c>
      <c r="F4" s="68" t="s">
        <v>1745</v>
      </c>
      <c r="G4" s="68" t="s">
        <v>1746</v>
      </c>
      <c r="H4" s="68" t="s">
        <v>1747</v>
      </c>
      <c r="I4" s="68" t="s">
        <v>1748</v>
      </c>
      <c r="J4" s="68" t="s">
        <v>1749</v>
      </c>
      <c r="K4" s="68" t="s">
        <v>614</v>
      </c>
      <c r="L4" s="68" t="s">
        <v>1675</v>
      </c>
      <c r="M4" s="68" t="s">
        <v>759</v>
      </c>
      <c r="N4" s="68" t="s">
        <v>1684</v>
      </c>
      <c r="O4" s="68" t="s">
        <v>1750</v>
      </c>
      <c r="P4" s="68" t="s">
        <v>1751</v>
      </c>
      <c r="Q4" s="68" t="s">
        <v>33</v>
      </c>
      <c r="R4" s="68" t="s">
        <v>606</v>
      </c>
      <c r="S4" s="68" t="s">
        <v>623</v>
      </c>
      <c r="T4" s="68" t="s">
        <v>319</v>
      </c>
      <c r="U4" s="68" t="s">
        <v>665</v>
      </c>
      <c r="V4" s="68" t="s">
        <v>1752</v>
      </c>
      <c r="W4" s="68" t="s">
        <v>1753</v>
      </c>
      <c r="X4" s="68" t="s">
        <v>1754</v>
      </c>
      <c r="Y4" s="68" t="s">
        <v>3</v>
      </c>
      <c r="Z4" s="68" t="s">
        <v>291</v>
      </c>
      <c r="AA4" s="105" t="s">
        <v>1755</v>
      </c>
      <c r="AB4" s="105" t="s">
        <v>1756</v>
      </c>
      <c r="AC4" s="105" t="s">
        <v>60</v>
      </c>
    </row>
    <row r="5" spans="1:29" ht="34.200000000000003">
      <c r="A5" s="12" t="s">
        <v>1772</v>
      </c>
      <c r="B5" s="102" t="s">
        <v>1773</v>
      </c>
      <c r="C5" s="101" t="s">
        <v>1774</v>
      </c>
      <c r="D5" s="43" t="s">
        <v>1775</v>
      </c>
      <c r="E5" s="13" t="s">
        <v>1776</v>
      </c>
      <c r="F5" s="13" t="s">
        <v>1777</v>
      </c>
      <c r="G5" s="12" t="s">
        <v>82</v>
      </c>
      <c r="H5" s="54">
        <f>IF(tbMat[[#This Row],[Criticidade]]="Crítica",3,IF(tbMat[[#This Row],[Criticidade]]="Alta",2,IF(tbMat[[#This Row],[Criticidade]]="Média",1,"")))</f>
        <v>2</v>
      </c>
      <c r="I5" s="12">
        <v>4</v>
      </c>
      <c r="J5" s="53" t="str">
        <f>IFERROR(TEXT(COUNTA(Riscos!$G$5:$G$154)/COUNTA(Riscos!$C$5:$C$154),"0%")&amp;" dos riscos e "&amp;TEXT(COUNTA(Oportunidades!$G$5:$G$154)/COUNTA(Oportunidades!$C$5:$C$154),"0%")&amp;" das oportunidades citam o objetivo","Sem registros")</f>
        <v>87% dos riscos e 93% das oportunidades citam o objetivo</v>
      </c>
      <c r="K5" s="12" t="s">
        <v>418</v>
      </c>
      <c r="L5" s="12" t="s">
        <v>418</v>
      </c>
      <c r="M5" s="12" t="s">
        <v>1708</v>
      </c>
      <c r="N5" s="12" t="s">
        <v>419</v>
      </c>
      <c r="O5" s="13" t="s">
        <v>1875</v>
      </c>
      <c r="P5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5" s="54">
        <f>IF(tbMat[[#This Row],[Índice]]="","",1+(tbMat[[#This Row],[Índice]]&gt;=0.125)+(tbMat[[#This Row],[Índice]]&gt;=0.375)+(tbMat[[#This Row],[Índice]]&gt;=0.625)+(tbMat[[#This Row],[Índice]]&gt;=0.95))</f>
        <v>4</v>
      </c>
      <c r="R5" s="60" t="str">
        <f>IF(tbMat[[#This Row],[Nível]]="","",tbMat[[#This Row],[Nível]]&amp;" – "&amp;INDEX(GrauNome,tbMat[[#This Row],[Nível]]))</f>
        <v>4 – Gerenciado</v>
      </c>
      <c r="S5" s="54">
        <f>IF(tbMat[[#This Row],[Nível]]="","",MAX(0,tbMat[[#This Row],[Meta]]-tbMat[[#This Row],[Nível]]))</f>
        <v>0</v>
      </c>
      <c r="T5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5" s="54">
        <f>IF(tbMat[[#This Row],[Lacuna]]="","",tbMat[[#This Row],[Peso]]*tbMat[[#This Row],[Lacuna]])</f>
        <v>0</v>
      </c>
      <c r="V5" s="13" t="s">
        <v>1898</v>
      </c>
      <c r="W5" s="13" t="s">
        <v>624</v>
      </c>
      <c r="X5" s="12"/>
      <c r="Y5" s="101" t="s">
        <v>1047</v>
      </c>
      <c r="Z5" s="16">
        <v>46477</v>
      </c>
      <c r="AA5" s="106">
        <f>IF(tbMat[[#This Row],[Índice]]="","",tbMat[[#This Row],[Peso]]*tbMat[[#This Row],[Índice]])</f>
        <v>1.4</v>
      </c>
      <c r="AB5" s="107">
        <f>IF(tbMat[[#This Row],[Índice]]="","",tbMat[[#This Row],[Peso]])</f>
        <v>2</v>
      </c>
      <c r="AC5" s="106" t="str">
        <f>IF(AND(tbMat[[#This Row],[Ciclo]]=Ciclo_Atual,N(tbMat[[#This Row],[Prioridade]])&gt;0),tbMat[[#This Row],[Prioridade]]+1/ROW(),"")</f>
        <v/>
      </c>
    </row>
    <row r="6" spans="1:29" ht="34.200000000000003">
      <c r="A6" s="12" t="s">
        <v>1772</v>
      </c>
      <c r="B6" s="102" t="s">
        <v>1778</v>
      </c>
      <c r="C6" s="101" t="s">
        <v>1774</v>
      </c>
      <c r="D6" s="43" t="s">
        <v>1779</v>
      </c>
      <c r="E6" s="13" t="s">
        <v>1780</v>
      </c>
      <c r="F6" s="13" t="s">
        <v>1781</v>
      </c>
      <c r="G6" s="12" t="s">
        <v>82</v>
      </c>
      <c r="H6" s="54">
        <f>IF(tbMat[[#This Row],[Criticidade]]="Crítica",3,IF(tbMat[[#This Row],[Criticidade]]="Alta",2,IF(tbMat[[#This Row],[Criticidade]]="Média",1,"")))</f>
        <v>2</v>
      </c>
      <c r="I6" s="12">
        <v>4</v>
      </c>
      <c r="J6" s="53" t="str">
        <f>IF(AND(Politica_Apetite!$B$5&lt;&gt;"",Politica_Apetite!$B$6&lt;&gt;""),"Política e aprovação registradas","Política/aprovação não registradas em Contexto")&amp;IFERROR(" • "&amp;TEXT(COUNTA(Riscos!$AD$5:$AD$154)/COUNTA(Riscos!$C$5:$C$154),"0%")&amp;" dos riscos com dono","")</f>
        <v>Política e aprovação registradas • 100% dos riscos com dono</v>
      </c>
      <c r="K6" s="12" t="s">
        <v>418</v>
      </c>
      <c r="L6" s="12" t="s">
        <v>418</v>
      </c>
      <c r="M6" s="12" t="s">
        <v>1708</v>
      </c>
      <c r="N6" s="12" t="s">
        <v>419</v>
      </c>
      <c r="O6" s="13" t="s">
        <v>1876</v>
      </c>
      <c r="P6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6" s="54">
        <f>IF(tbMat[[#This Row],[Índice]]="","",1+(tbMat[[#This Row],[Índice]]&gt;=0.125)+(tbMat[[#This Row],[Índice]]&gt;=0.375)+(tbMat[[#This Row],[Índice]]&gt;=0.625)+(tbMat[[#This Row],[Índice]]&gt;=0.95))</f>
        <v>4</v>
      </c>
      <c r="R6" s="60" t="str">
        <f>IF(tbMat[[#This Row],[Nível]]="","",tbMat[[#This Row],[Nível]]&amp;" – "&amp;INDEX(GrauNome,tbMat[[#This Row],[Nível]]))</f>
        <v>4 – Gerenciado</v>
      </c>
      <c r="S6" s="54">
        <f>IF(tbMat[[#This Row],[Nível]]="","",MAX(0,tbMat[[#This Row],[Meta]]-tbMat[[#This Row],[Nível]]))</f>
        <v>0</v>
      </c>
      <c r="T6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6" s="54">
        <f>IF(tbMat[[#This Row],[Lacuna]]="","",tbMat[[#This Row],[Peso]]*tbMat[[#This Row],[Lacuna]])</f>
        <v>0</v>
      </c>
      <c r="V6" s="13" t="s">
        <v>1899</v>
      </c>
      <c r="W6" s="13" t="s">
        <v>625</v>
      </c>
      <c r="X6" s="12"/>
      <c r="Y6" s="101" t="s">
        <v>390</v>
      </c>
      <c r="Z6" s="16">
        <v>46507</v>
      </c>
      <c r="AA6" s="106">
        <f>IF(tbMat[[#This Row],[Índice]]="","",tbMat[[#This Row],[Peso]]*tbMat[[#This Row],[Índice]])</f>
        <v>1.4</v>
      </c>
      <c r="AB6" s="107">
        <f>IF(tbMat[[#This Row],[Índice]]="","",tbMat[[#This Row],[Peso]])</f>
        <v>2</v>
      </c>
      <c r="AC6" s="106" t="str">
        <f>IF(AND(tbMat[[#This Row],[Ciclo]]=Ciclo_Atual,N(tbMat[[#This Row],[Prioridade]])&gt;0),tbMat[[#This Row],[Prioridade]]+1/ROW(),"")</f>
        <v/>
      </c>
    </row>
    <row r="7" spans="1:29" ht="34.200000000000003">
      <c r="A7" s="12" t="s">
        <v>1772</v>
      </c>
      <c r="B7" s="102" t="s">
        <v>1782</v>
      </c>
      <c r="C7" s="101" t="s">
        <v>1774</v>
      </c>
      <c r="D7" s="43" t="s">
        <v>1783</v>
      </c>
      <c r="E7" s="13" t="s">
        <v>1784</v>
      </c>
      <c r="F7" s="13" t="s">
        <v>1785</v>
      </c>
      <c r="G7" s="12" t="s">
        <v>71</v>
      </c>
      <c r="H7" s="54">
        <f>IF(tbMat[[#This Row],[Criticidade]]="Crítica",3,IF(tbMat[[#This Row],[Criticidade]]="Alta",2,IF(tbMat[[#This Row],[Criticidade]]="Média",1,"")))</f>
        <v>1</v>
      </c>
      <c r="I7" s="12">
        <v>3</v>
      </c>
      <c r="J7" s="53" t="str">
        <f>IFERROR(COUNT(Riscos!$BG$5:$BG$154)&amp;" riscos com custo de tratamento estimado • "&amp;COUNT(Oportunidades!$AS$5:$AS$154)&amp;" oportunidades com investimento","Sem registros")</f>
        <v>31 riscos com custo de tratamento estimado • 14 oportunidades com investimento</v>
      </c>
      <c r="K7" s="12" t="s">
        <v>1708</v>
      </c>
      <c r="L7" s="12" t="s">
        <v>1708</v>
      </c>
      <c r="M7" s="12" t="s">
        <v>419</v>
      </c>
      <c r="N7" s="12" t="s">
        <v>419</v>
      </c>
      <c r="O7" s="13"/>
      <c r="P7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0.125</v>
      </c>
      <c r="Q7" s="54">
        <f>IF(tbMat[[#This Row],[Índice]]="","",1+(tbMat[[#This Row],[Índice]]&gt;=0.125)+(tbMat[[#This Row],[Índice]]&gt;=0.375)+(tbMat[[#This Row],[Índice]]&gt;=0.625)+(tbMat[[#This Row],[Índice]]&gt;=0.95))</f>
        <v>2</v>
      </c>
      <c r="R7" s="60" t="str">
        <f>IF(tbMat[[#This Row],[Nível]]="","",tbMat[[#This Row],[Nível]]&amp;" – "&amp;INDEX(GrauNome,tbMat[[#This Row],[Nível]]))</f>
        <v>2 – Consciente</v>
      </c>
      <c r="S7" s="54">
        <f>IF(tbMat[[#This Row],[Nível]]="","",MAX(0,tbMat[[#This Row],[Meta]]-tbMat[[#This Row],[Nível]]))</f>
        <v>1</v>
      </c>
      <c r="T7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Sem evidência</v>
      </c>
      <c r="U7" s="54">
        <f>IF(tbMat[[#This Row],[Lacuna]]="","",tbMat[[#This Row],[Peso]]*tbMat[[#This Row],[Lacuna]])</f>
        <v>1</v>
      </c>
      <c r="V7" s="13" t="s">
        <v>1900</v>
      </c>
      <c r="W7" s="13" t="s">
        <v>1901</v>
      </c>
      <c r="X7" s="12"/>
      <c r="Y7" s="101" t="s">
        <v>957</v>
      </c>
      <c r="Z7" s="16">
        <v>46477</v>
      </c>
      <c r="AA7" s="106">
        <f>IF(tbMat[[#This Row],[Índice]]="","",tbMat[[#This Row],[Peso]]*tbMat[[#This Row],[Índice]])</f>
        <v>0.125</v>
      </c>
      <c r="AB7" s="107">
        <f>IF(tbMat[[#This Row],[Índice]]="","",tbMat[[#This Row],[Peso]])</f>
        <v>1</v>
      </c>
      <c r="AC7" s="106">
        <f>IF(AND(tbMat[[#This Row],[Ciclo]]=Ciclo_Atual,N(tbMat[[#This Row],[Prioridade]])&gt;0),tbMat[[#This Row],[Prioridade]]+1/ROW(),"")</f>
        <v>1.1428571428571428</v>
      </c>
    </row>
    <row r="8" spans="1:29" ht="34.200000000000003">
      <c r="A8" s="12" t="s">
        <v>1772</v>
      </c>
      <c r="B8" s="102" t="s">
        <v>1786</v>
      </c>
      <c r="C8" s="101" t="s">
        <v>1774</v>
      </c>
      <c r="D8" s="43" t="s">
        <v>1787</v>
      </c>
      <c r="E8" s="13" t="s">
        <v>1788</v>
      </c>
      <c r="F8" s="13" t="s">
        <v>1789</v>
      </c>
      <c r="G8" s="12" t="s">
        <v>82</v>
      </c>
      <c r="H8" s="54">
        <f>IF(tbMat[[#This Row],[Criticidade]]="Crítica",3,IF(tbMat[[#This Row],[Criticidade]]="Alta",2,IF(tbMat[[#This Row],[Criticidade]]="Média",1,"")))</f>
        <v>2</v>
      </c>
      <c r="I8" s="12">
        <v>4</v>
      </c>
      <c r="J8" s="53" t="str">
        <f>IF(COUNTIF(Histórico!$C$5:$C$64,"Crit*")&gt;0,"Aprovação dos critérios registrada no Histórico","Aprovação dos critérios não registrada")&amp;" • "&amp;SUM(Riscos!$AV$5:$AV$154)&amp;IF(SUM(Riscos!$AV$5:$AV$154)=1," ocorrência informada"," ocorrências informadas")</f>
        <v>Aprovação dos critérios registrada no Histórico • 8420 ocorrências informadas</v>
      </c>
      <c r="K8" s="12" t="s">
        <v>418</v>
      </c>
      <c r="L8" s="12" t="s">
        <v>418</v>
      </c>
      <c r="M8" s="12" t="s">
        <v>1708</v>
      </c>
      <c r="N8" s="12" t="s">
        <v>419</v>
      </c>
      <c r="O8" s="13" t="s">
        <v>1877</v>
      </c>
      <c r="P8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8" s="54">
        <f>IF(tbMat[[#This Row],[Índice]]="","",1+(tbMat[[#This Row],[Índice]]&gt;=0.125)+(tbMat[[#This Row],[Índice]]&gt;=0.375)+(tbMat[[#This Row],[Índice]]&gt;=0.625)+(tbMat[[#This Row],[Índice]]&gt;=0.95))</f>
        <v>4</v>
      </c>
      <c r="R8" s="60" t="str">
        <f>IF(tbMat[[#This Row],[Nível]]="","",tbMat[[#This Row],[Nível]]&amp;" – "&amp;INDEX(GrauNome,tbMat[[#This Row],[Nível]]))</f>
        <v>4 – Gerenciado</v>
      </c>
      <c r="S8" s="54">
        <f>IF(tbMat[[#This Row],[Nível]]="","",MAX(0,tbMat[[#This Row],[Meta]]-tbMat[[#This Row],[Nível]]))</f>
        <v>0</v>
      </c>
      <c r="T8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8" s="54">
        <f>IF(tbMat[[#This Row],[Lacuna]]="","",tbMat[[#This Row],[Peso]]*tbMat[[#This Row],[Lacuna]])</f>
        <v>0</v>
      </c>
      <c r="V8" s="13" t="s">
        <v>1902</v>
      </c>
      <c r="W8" s="13" t="s">
        <v>626</v>
      </c>
      <c r="X8" s="12"/>
      <c r="Y8" s="101" t="s">
        <v>390</v>
      </c>
      <c r="Z8" s="16">
        <v>46741</v>
      </c>
      <c r="AA8" s="106">
        <f>IF(tbMat[[#This Row],[Índice]]="","",tbMat[[#This Row],[Peso]]*tbMat[[#This Row],[Índice]])</f>
        <v>1.4</v>
      </c>
      <c r="AB8" s="107">
        <f>IF(tbMat[[#This Row],[Índice]]="","",tbMat[[#This Row],[Peso]])</f>
        <v>2</v>
      </c>
      <c r="AC8" s="106" t="str">
        <f>IF(AND(tbMat[[#This Row],[Ciclo]]=Ciclo_Atual,N(tbMat[[#This Row],[Prioridade]])&gt;0),tbMat[[#This Row],[Prioridade]]+1/ROW(),"")</f>
        <v/>
      </c>
    </row>
    <row r="9" spans="1:29" ht="34.200000000000003">
      <c r="A9" s="12" t="s">
        <v>1772</v>
      </c>
      <c r="B9" s="102" t="s">
        <v>1790</v>
      </c>
      <c r="C9" s="101" t="s">
        <v>1774</v>
      </c>
      <c r="D9" s="43" t="s">
        <v>1791</v>
      </c>
      <c r="E9" s="13" t="s">
        <v>1792</v>
      </c>
      <c r="F9" s="13" t="s">
        <v>1793</v>
      </c>
      <c r="G9" s="12" t="s">
        <v>82</v>
      </c>
      <c r="H9" s="54">
        <f>IF(tbMat[[#This Row],[Criticidade]]="Crítica",3,IF(tbMat[[#This Row],[Criticidade]]="Alta",2,IF(tbMat[[#This Row],[Criticidade]]="Média",1,"")))</f>
        <v>2</v>
      </c>
      <c r="I9" s="12">
        <v>4</v>
      </c>
      <c r="J9" s="53" t="str">
        <f>COUNT(ApetIdx)&amp;" de "&amp;ROWS(ApetIdx)&amp;" categorias com apetite"&amp;IF(Politica_Apetite!$B$8&lt;&gt;""," • declaração registrada"," • declaração ausente")</f>
        <v>7 de 7 categorias com apetite • declaração registrada</v>
      </c>
      <c r="K9" s="12" t="s">
        <v>418</v>
      </c>
      <c r="L9" s="12" t="s">
        <v>418</v>
      </c>
      <c r="M9" s="12" t="s">
        <v>1708</v>
      </c>
      <c r="N9" s="12" t="s">
        <v>419</v>
      </c>
      <c r="O9" s="13" t="s">
        <v>1878</v>
      </c>
      <c r="P9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9" s="54">
        <f>IF(tbMat[[#This Row],[Índice]]="","",1+(tbMat[[#This Row],[Índice]]&gt;=0.125)+(tbMat[[#This Row],[Índice]]&gt;=0.375)+(tbMat[[#This Row],[Índice]]&gt;=0.625)+(tbMat[[#This Row],[Índice]]&gt;=0.95))</f>
        <v>4</v>
      </c>
      <c r="R9" s="60" t="str">
        <f>IF(tbMat[[#This Row],[Nível]]="","",tbMat[[#This Row],[Nível]]&amp;" – "&amp;INDEX(GrauNome,tbMat[[#This Row],[Nível]]))</f>
        <v>4 – Gerenciado</v>
      </c>
      <c r="S9" s="54">
        <f>IF(tbMat[[#This Row],[Nível]]="","",MAX(0,tbMat[[#This Row],[Meta]]-tbMat[[#This Row],[Nível]]))</f>
        <v>0</v>
      </c>
      <c r="T9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9" s="54">
        <f>IF(tbMat[[#This Row],[Lacuna]]="","",tbMat[[#This Row],[Peso]]*tbMat[[#This Row],[Lacuna]])</f>
        <v>0</v>
      </c>
      <c r="V9" s="13" t="s">
        <v>1903</v>
      </c>
      <c r="W9" s="13" t="s">
        <v>627</v>
      </c>
      <c r="X9" s="12"/>
      <c r="Y9" s="101" t="s">
        <v>1047</v>
      </c>
      <c r="Z9" s="16">
        <v>46477</v>
      </c>
      <c r="AA9" s="106">
        <f>IF(tbMat[[#This Row],[Índice]]="","",tbMat[[#This Row],[Peso]]*tbMat[[#This Row],[Índice]])</f>
        <v>1.4</v>
      </c>
      <c r="AB9" s="107">
        <f>IF(tbMat[[#This Row],[Índice]]="","",tbMat[[#This Row],[Peso]])</f>
        <v>2</v>
      </c>
      <c r="AC9" s="106" t="str">
        <f>IF(AND(tbMat[[#This Row],[Ciclo]]=Ciclo_Atual,N(tbMat[[#This Row],[Prioridade]])&gt;0),tbMat[[#This Row],[Prioridade]]+1/ROW(),"")</f>
        <v/>
      </c>
    </row>
    <row r="10" spans="1:29" ht="34.200000000000003">
      <c r="A10" s="12" t="s">
        <v>1772</v>
      </c>
      <c r="B10" s="102" t="s">
        <v>1794</v>
      </c>
      <c r="C10" s="101" t="s">
        <v>1774</v>
      </c>
      <c r="D10" s="43" t="s">
        <v>1795</v>
      </c>
      <c r="E10" s="13" t="s">
        <v>1796</v>
      </c>
      <c r="F10" s="13" t="s">
        <v>1797</v>
      </c>
      <c r="G10" s="12" t="s">
        <v>82</v>
      </c>
      <c r="H10" s="54">
        <f>IF(tbMat[[#This Row],[Criticidade]]="Crítica",3,IF(tbMat[[#This Row],[Criticidade]]="Alta",2,IF(tbMat[[#This Row],[Criticidade]]="Média",1,"")))</f>
        <v>2</v>
      </c>
      <c r="I10" s="12">
        <v>4</v>
      </c>
      <c r="J10" s="53" t="str">
        <f>COUNTIF(Riscos!$D$5:$D$154,"Alteração*")&amp;" risco(s) e "&amp;COUNTIF(Oportunidades!$D$5:$D$154,"Alteração*")&amp;" oportunidade(s) vindos de gestão de mudança"</f>
        <v>1 risco(s) e 0 oportunidade(s) vindos de gestão de mudança</v>
      </c>
      <c r="K10" s="12" t="s">
        <v>1708</v>
      </c>
      <c r="L10" s="12" t="s">
        <v>1708</v>
      </c>
      <c r="M10" s="12" t="s">
        <v>419</v>
      </c>
      <c r="N10" s="12" t="s">
        <v>419</v>
      </c>
      <c r="O10" s="13" t="s">
        <v>1879</v>
      </c>
      <c r="P10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0.27500000000000002</v>
      </c>
      <c r="Q10" s="54">
        <f>IF(tbMat[[#This Row],[Índice]]="","",1+(tbMat[[#This Row],[Índice]]&gt;=0.125)+(tbMat[[#This Row],[Índice]]&gt;=0.375)+(tbMat[[#This Row],[Índice]]&gt;=0.625)+(tbMat[[#This Row],[Índice]]&gt;=0.95))</f>
        <v>2</v>
      </c>
      <c r="R10" s="60" t="str">
        <f>IF(tbMat[[#This Row],[Nível]]="","",tbMat[[#This Row],[Nível]]&amp;" – "&amp;INDEX(GrauNome,tbMat[[#This Row],[Nível]]))</f>
        <v>2 – Consciente</v>
      </c>
      <c r="S10" s="54">
        <f>IF(tbMat[[#This Row],[Nível]]="","",MAX(0,tbMat[[#This Row],[Meta]]-tbMat[[#This Row],[Nível]]))</f>
        <v>2</v>
      </c>
      <c r="T10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10" s="54">
        <f>IF(tbMat[[#This Row],[Lacuna]]="","",tbMat[[#This Row],[Peso]]*tbMat[[#This Row],[Lacuna]])</f>
        <v>4</v>
      </c>
      <c r="V10" s="13" t="s">
        <v>1904</v>
      </c>
      <c r="W10" s="13" t="s">
        <v>1905</v>
      </c>
      <c r="X10" s="12"/>
      <c r="Y10" s="101" t="s">
        <v>688</v>
      </c>
      <c r="Z10" s="16">
        <v>46568</v>
      </c>
      <c r="AA10" s="106">
        <f>IF(tbMat[[#This Row],[Índice]]="","",tbMat[[#This Row],[Peso]]*tbMat[[#This Row],[Índice]])</f>
        <v>0.55000000000000004</v>
      </c>
      <c r="AB10" s="107">
        <f>IF(tbMat[[#This Row],[Índice]]="","",tbMat[[#This Row],[Peso]])</f>
        <v>2</v>
      </c>
      <c r="AC10" s="106">
        <f>IF(AND(tbMat[[#This Row],[Ciclo]]=Ciclo_Atual,N(tbMat[[#This Row],[Prioridade]])&gt;0),tbMat[[#This Row],[Prioridade]]+1/ROW(),"")</f>
        <v>4.0999999999999996</v>
      </c>
    </row>
    <row r="11" spans="1:29" ht="45.6">
      <c r="A11" s="12" t="s">
        <v>1772</v>
      </c>
      <c r="B11" s="102" t="s">
        <v>1798</v>
      </c>
      <c r="C11" s="101" t="s">
        <v>1799</v>
      </c>
      <c r="D11" s="43" t="s">
        <v>1800</v>
      </c>
      <c r="E11" s="13" t="s">
        <v>1801</v>
      </c>
      <c r="F11" s="13" t="s">
        <v>2798</v>
      </c>
      <c r="G11" s="12" t="s">
        <v>82</v>
      </c>
      <c r="H11" s="54">
        <f>IF(tbMat[[#This Row],[Criticidade]]="Crítica",3,IF(tbMat[[#This Row],[Criticidade]]="Alta",2,IF(tbMat[[#This Row],[Criticidade]]="Média",1,"")))</f>
        <v>2</v>
      </c>
      <c r="I11" s="12">
        <v>4</v>
      </c>
      <c r="J11" s="53" t="s">
        <v>2799</v>
      </c>
      <c r="K11" s="12" t="s">
        <v>418</v>
      </c>
      <c r="L11" s="12" t="s">
        <v>418</v>
      </c>
      <c r="M11" s="12" t="s">
        <v>1708</v>
      </c>
      <c r="N11" s="12" t="s">
        <v>419</v>
      </c>
      <c r="O11" s="13" t="s">
        <v>1880</v>
      </c>
      <c r="P11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11" s="54">
        <f>IF(tbMat[[#This Row],[Índice]]="","",1+(tbMat[[#This Row],[Índice]]&gt;=0.125)+(tbMat[[#This Row],[Índice]]&gt;=0.375)+(tbMat[[#This Row],[Índice]]&gt;=0.625)+(tbMat[[#This Row],[Índice]]&gt;=0.95))</f>
        <v>4</v>
      </c>
      <c r="R11" s="60" t="str">
        <f>IF(tbMat[[#This Row],[Nível]]="","",tbMat[[#This Row],[Nível]]&amp;" – "&amp;INDEX(GrauNome,tbMat[[#This Row],[Nível]]))</f>
        <v>4 – Gerenciado</v>
      </c>
      <c r="S11" s="54">
        <f>IF(tbMat[[#This Row],[Nível]]="","",MAX(0,tbMat[[#This Row],[Meta]]-tbMat[[#This Row],[Nível]]))</f>
        <v>0</v>
      </c>
      <c r="T11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11" s="54">
        <f>IF(tbMat[[#This Row],[Lacuna]]="","",tbMat[[#This Row],[Peso]]*tbMat[[#This Row],[Lacuna]])</f>
        <v>0</v>
      </c>
      <c r="V11" s="13" t="s">
        <v>1906</v>
      </c>
      <c r="W11" s="13" t="s">
        <v>628</v>
      </c>
      <c r="X11" s="12"/>
      <c r="Y11" s="101" t="s">
        <v>390</v>
      </c>
      <c r="Z11" s="16">
        <v>46568</v>
      </c>
      <c r="AA11" s="106">
        <f>IF(tbMat[[#This Row],[Índice]]="","",tbMat[[#This Row],[Peso]]*tbMat[[#This Row],[Índice]])</f>
        <v>1.4</v>
      </c>
      <c r="AB11" s="107">
        <f>IF(tbMat[[#This Row],[Índice]]="","",tbMat[[#This Row],[Peso]])</f>
        <v>2</v>
      </c>
      <c r="AC11" s="106" t="str">
        <f>IF(AND(tbMat[[#This Row],[Ciclo]]=Ciclo_Atual,N(tbMat[[#This Row],[Prioridade]])&gt;0),tbMat[[#This Row],[Prioridade]]+1/ROW(),"")</f>
        <v/>
      </c>
    </row>
    <row r="12" spans="1:29" ht="34.200000000000003">
      <c r="A12" s="12" t="s">
        <v>1772</v>
      </c>
      <c r="B12" s="102" t="s">
        <v>1802</v>
      </c>
      <c r="C12" s="101" t="s">
        <v>1799</v>
      </c>
      <c r="D12" s="43" t="s">
        <v>1803</v>
      </c>
      <c r="E12" s="13" t="s">
        <v>1804</v>
      </c>
      <c r="F12" s="13" t="s">
        <v>2111</v>
      </c>
      <c r="G12" s="12" t="s">
        <v>82</v>
      </c>
      <c r="H12" s="54">
        <f>IF(tbMat[[#This Row],[Criticidade]]="Crítica",3,IF(tbMat[[#This Row],[Criticidade]]="Alta",2,IF(tbMat[[#This Row],[Criticidade]]="Média",1,"")))</f>
        <v>2</v>
      </c>
      <c r="I12" s="12">
        <v>4</v>
      </c>
      <c r="J12" s="53" t="str">
        <f>IFERROR(TEXT(COUNTA(Riscos!$D$5:$D$154)/COUNTA(Riscos!$C$5:$C$154),"0%")&amp;" com origem • "&amp;TEXT(COUNTA(Riscos!$J$5:$J$154)/COUNTA(Riscos!$C$5:$C$154),"0%")&amp;" com causa","Sem registros")</f>
        <v>100% com origem • 100% com causa</v>
      </c>
      <c r="K12" s="12" t="s">
        <v>418</v>
      </c>
      <c r="L12" s="12" t="s">
        <v>418</v>
      </c>
      <c r="M12" s="12" t="s">
        <v>1708</v>
      </c>
      <c r="N12" s="12" t="s">
        <v>419</v>
      </c>
      <c r="O12" s="13" t="s">
        <v>1881</v>
      </c>
      <c r="P12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12" s="54">
        <f>IF(tbMat[[#This Row],[Índice]]="","",1+(tbMat[[#This Row],[Índice]]&gt;=0.125)+(tbMat[[#This Row],[Índice]]&gt;=0.375)+(tbMat[[#This Row],[Índice]]&gt;=0.625)+(tbMat[[#This Row],[Índice]]&gt;=0.95))</f>
        <v>4</v>
      </c>
      <c r="R12" s="60" t="str">
        <f>IF(tbMat[[#This Row],[Nível]]="","",tbMat[[#This Row],[Nível]]&amp;" – "&amp;INDEX(GrauNome,tbMat[[#This Row],[Nível]]))</f>
        <v>4 – Gerenciado</v>
      </c>
      <c r="S12" s="54">
        <f>IF(tbMat[[#This Row],[Nível]]="","",MAX(0,tbMat[[#This Row],[Meta]]-tbMat[[#This Row],[Nível]]))</f>
        <v>0</v>
      </c>
      <c r="T12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12" s="54">
        <f>IF(tbMat[[#This Row],[Lacuna]]="","",tbMat[[#This Row],[Peso]]*tbMat[[#This Row],[Lacuna]])</f>
        <v>0</v>
      </c>
      <c r="V12" s="13" t="s">
        <v>1907</v>
      </c>
      <c r="W12" s="13" t="s">
        <v>629</v>
      </c>
      <c r="X12" s="12"/>
      <c r="Y12" s="101" t="s">
        <v>390</v>
      </c>
      <c r="Z12" s="16">
        <v>46568</v>
      </c>
      <c r="AA12" s="106">
        <f>IF(tbMat[[#This Row],[Índice]]="","",tbMat[[#This Row],[Peso]]*tbMat[[#This Row],[Índice]])</f>
        <v>1.4</v>
      </c>
      <c r="AB12" s="107">
        <f>IF(tbMat[[#This Row],[Índice]]="","",tbMat[[#This Row],[Peso]])</f>
        <v>2</v>
      </c>
      <c r="AC12" s="106" t="str">
        <f>IF(AND(tbMat[[#This Row],[Ciclo]]=Ciclo_Atual,N(tbMat[[#This Row],[Prioridade]])&gt;0),tbMat[[#This Row],[Prioridade]]+1/ROW(),"")</f>
        <v/>
      </c>
    </row>
    <row r="13" spans="1:29" ht="34.200000000000003">
      <c r="A13" s="12" t="s">
        <v>1772</v>
      </c>
      <c r="B13" s="102" t="s">
        <v>1805</v>
      </c>
      <c r="C13" s="101" t="s">
        <v>1799</v>
      </c>
      <c r="D13" s="43" t="s">
        <v>1806</v>
      </c>
      <c r="E13" s="13" t="s">
        <v>1807</v>
      </c>
      <c r="F13" s="13" t="s">
        <v>1808</v>
      </c>
      <c r="G13" s="12" t="s">
        <v>82</v>
      </c>
      <c r="H13" s="54">
        <f>IF(tbMat[[#This Row],[Criticidade]]="Crítica",3,IF(tbMat[[#This Row],[Criticidade]]="Alta",2,IF(tbMat[[#This Row],[Criticidade]]="Média",1,"")))</f>
        <v>2</v>
      </c>
      <c r="I13" s="12">
        <v>4</v>
      </c>
      <c r="J13" s="53" t="str">
        <f>IFERROR(TEXT(COUNTA(Riscos!$L$5:$L$154)/COUNTA(Riscos!$C$5:$C$154),"0%")&amp;" com consequência • "&amp;TEXT(COUNTA(Riscos!$K$5:$K$154)/COUNTA(Riscos!$C$5:$C$154),"0%")&amp;" com categoria de causa (6M) • "&amp;TEXT(COUNTA(Riscos!$BB$5:$BB$154)/COUNTA(Riscos!$C$5:$C$154),"0%")&amp;" com IDs relacionados","Sem registros")</f>
        <v>100% com consequência • 87% com categoria de causa (6M) • 90% com IDs relacionados</v>
      </c>
      <c r="K13" s="12" t="s">
        <v>418</v>
      </c>
      <c r="L13" s="12" t="s">
        <v>418</v>
      </c>
      <c r="M13" s="12" t="s">
        <v>1708</v>
      </c>
      <c r="N13" s="12" t="s">
        <v>419</v>
      </c>
      <c r="O13" s="13" t="s">
        <v>1882</v>
      </c>
      <c r="P13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13" s="54">
        <f>IF(tbMat[[#This Row],[Índice]]="","",1+(tbMat[[#This Row],[Índice]]&gt;=0.125)+(tbMat[[#This Row],[Índice]]&gt;=0.375)+(tbMat[[#This Row],[Índice]]&gt;=0.625)+(tbMat[[#This Row],[Índice]]&gt;=0.95))</f>
        <v>4</v>
      </c>
      <c r="R13" s="60" t="str">
        <f>IF(tbMat[[#This Row],[Nível]]="","",tbMat[[#This Row],[Nível]]&amp;" – "&amp;INDEX(GrauNome,tbMat[[#This Row],[Nível]]))</f>
        <v>4 – Gerenciado</v>
      </c>
      <c r="S13" s="54">
        <f>IF(tbMat[[#This Row],[Nível]]="","",MAX(0,tbMat[[#This Row],[Meta]]-tbMat[[#This Row],[Nível]]))</f>
        <v>0</v>
      </c>
      <c r="T13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13" s="54">
        <f>IF(tbMat[[#This Row],[Lacuna]]="","",tbMat[[#This Row],[Peso]]*tbMat[[#This Row],[Lacuna]])</f>
        <v>0</v>
      </c>
      <c r="V13" s="13" t="s">
        <v>1908</v>
      </c>
      <c r="W13" s="13" t="s">
        <v>1909</v>
      </c>
      <c r="X13" s="12"/>
      <c r="Y13" s="101" t="s">
        <v>390</v>
      </c>
      <c r="Z13" s="16">
        <v>46507</v>
      </c>
      <c r="AA13" s="106">
        <f>IF(tbMat[[#This Row],[Índice]]="","",tbMat[[#This Row],[Peso]]*tbMat[[#This Row],[Índice]])</f>
        <v>1.4</v>
      </c>
      <c r="AB13" s="107">
        <f>IF(tbMat[[#This Row],[Índice]]="","",tbMat[[#This Row],[Peso]])</f>
        <v>2</v>
      </c>
      <c r="AC13" s="106" t="str">
        <f>IF(AND(tbMat[[#This Row],[Ciclo]]=Ciclo_Atual,N(tbMat[[#This Row],[Prioridade]])&gt;0),tbMat[[#This Row],[Prioridade]]+1/ROW(),"")</f>
        <v/>
      </c>
    </row>
    <row r="14" spans="1:29" ht="34.200000000000003">
      <c r="A14" s="12" t="s">
        <v>1772</v>
      </c>
      <c r="B14" s="102" t="s">
        <v>1809</v>
      </c>
      <c r="C14" s="101" t="s">
        <v>1799</v>
      </c>
      <c r="D14" s="43" t="s">
        <v>1810</v>
      </c>
      <c r="E14" s="13" t="s">
        <v>1811</v>
      </c>
      <c r="F14" s="13" t="s">
        <v>1812</v>
      </c>
      <c r="G14" s="12" t="s">
        <v>71</v>
      </c>
      <c r="H14" s="54">
        <f>IF(tbMat[[#This Row],[Criticidade]]="Crítica",3,IF(tbMat[[#This Row],[Criticidade]]="Alta",2,IF(tbMat[[#This Row],[Criticidade]]="Média",1,"")))</f>
        <v>1</v>
      </c>
      <c r="I14" s="12">
        <v>3</v>
      </c>
      <c r="J14" s="53" t="str">
        <f>(COUNTIF(Riscos!$D$5:$D$154,"RNC*")+COUNTIF(Riscos!$D$5:$D$154,"Incidente*")+COUNTIF(Riscos!$D$5:$D$154,"Auditoria*"))&amp;" risco(s) vindos de RNC, incidente ou auditoria • "&amp;COUNTIF(Riscos!$D$5:$D$154,"Análise de dados*")&amp;" da análise de dados"</f>
        <v>6 risco(s) vindos de RNC, incidente ou auditoria • 13 da análise de dados</v>
      </c>
      <c r="K14" s="12" t="s">
        <v>418</v>
      </c>
      <c r="L14" s="12" t="s">
        <v>418</v>
      </c>
      <c r="M14" s="12" t="s">
        <v>1708</v>
      </c>
      <c r="N14" s="12" t="s">
        <v>1708</v>
      </c>
      <c r="O14" s="13" t="s">
        <v>1883</v>
      </c>
      <c r="P14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0.77499999999999991</v>
      </c>
      <c r="Q14" s="54">
        <f>IF(tbMat[[#This Row],[Índice]]="","",1+(tbMat[[#This Row],[Índice]]&gt;=0.125)+(tbMat[[#This Row],[Índice]]&gt;=0.375)+(tbMat[[#This Row],[Índice]]&gt;=0.625)+(tbMat[[#This Row],[Índice]]&gt;=0.95))</f>
        <v>4</v>
      </c>
      <c r="R14" s="60" t="str">
        <f>IF(tbMat[[#This Row],[Nível]]="","",tbMat[[#This Row],[Nível]]&amp;" – "&amp;INDEX(GrauNome,tbMat[[#This Row],[Nível]]))</f>
        <v>4 – Gerenciado</v>
      </c>
      <c r="S14" s="54">
        <f>IF(tbMat[[#This Row],[Nível]]="","",MAX(0,tbMat[[#This Row],[Meta]]-tbMat[[#This Row],[Nível]]))</f>
        <v>0</v>
      </c>
      <c r="T14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14" s="54">
        <f>IF(tbMat[[#This Row],[Lacuna]]="","",tbMat[[#This Row],[Peso]]*tbMat[[#This Row],[Lacuna]])</f>
        <v>0</v>
      </c>
      <c r="V14" s="13" t="s">
        <v>1910</v>
      </c>
      <c r="W14" s="13" t="s">
        <v>1911</v>
      </c>
      <c r="X14" s="12" t="s">
        <v>1003</v>
      </c>
      <c r="Y14" s="101" t="s">
        <v>1001</v>
      </c>
      <c r="Z14" s="16">
        <v>46507</v>
      </c>
      <c r="AA14" s="106">
        <f>IF(tbMat[[#This Row],[Índice]]="","",tbMat[[#This Row],[Peso]]*tbMat[[#This Row],[Índice]])</f>
        <v>0.77499999999999991</v>
      </c>
      <c r="AB14" s="107">
        <f>IF(tbMat[[#This Row],[Índice]]="","",tbMat[[#This Row],[Peso]])</f>
        <v>1</v>
      </c>
      <c r="AC14" s="106" t="str">
        <f>IF(AND(tbMat[[#This Row],[Ciclo]]=Ciclo_Atual,N(tbMat[[#This Row],[Prioridade]])&gt;0),tbMat[[#This Row],[Prioridade]]+1/ROW(),"")</f>
        <v/>
      </c>
    </row>
    <row r="15" spans="1:29" ht="34.200000000000003">
      <c r="A15" s="12" t="s">
        <v>1772</v>
      </c>
      <c r="B15" s="102" t="s">
        <v>1813</v>
      </c>
      <c r="C15" s="101" t="s">
        <v>1799</v>
      </c>
      <c r="D15" s="43" t="s">
        <v>1814</v>
      </c>
      <c r="E15" s="13" t="s">
        <v>1815</v>
      </c>
      <c r="F15" s="13" t="s">
        <v>1816</v>
      </c>
      <c r="G15" s="12" t="s">
        <v>71</v>
      </c>
      <c r="H15" s="54">
        <f>IF(tbMat[[#This Row],[Criticidade]]="Crítica",3,IF(tbMat[[#This Row],[Criticidade]]="Alta",2,IF(tbMat[[#This Row],[Criticidade]]="Média",1,"")))</f>
        <v>1</v>
      </c>
      <c r="I15" s="12">
        <v>3</v>
      </c>
      <c r="J15" s="53" t="str">
        <f>COUNT(Oportunidades!$U$5:$U$154)&amp;" com índice de portfólio • "&amp;COUNT(Oportunidades!$AS$5:$AS$154)&amp;" com investimento • "&amp;COUNTA(Oportunidades!$AK$5:$AK$154)&amp;" com KPI"</f>
        <v>14 com índice de portfólio • 14 com investimento • 15 com KPI</v>
      </c>
      <c r="K15" s="12" t="s">
        <v>418</v>
      </c>
      <c r="L15" s="12" t="s">
        <v>418</v>
      </c>
      <c r="M15" s="12" t="s">
        <v>1708</v>
      </c>
      <c r="N15" s="12" t="s">
        <v>419</v>
      </c>
      <c r="O15" s="13" t="s">
        <v>1884</v>
      </c>
      <c r="P15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15" s="54">
        <f>IF(tbMat[[#This Row],[Índice]]="","",1+(tbMat[[#This Row],[Índice]]&gt;=0.125)+(tbMat[[#This Row],[Índice]]&gt;=0.375)+(tbMat[[#This Row],[Índice]]&gt;=0.625)+(tbMat[[#This Row],[Índice]]&gt;=0.95))</f>
        <v>4</v>
      </c>
      <c r="R15" s="60" t="str">
        <f>IF(tbMat[[#This Row],[Nível]]="","",tbMat[[#This Row],[Nível]]&amp;" – "&amp;INDEX(GrauNome,tbMat[[#This Row],[Nível]]))</f>
        <v>4 – Gerenciado</v>
      </c>
      <c r="S15" s="54">
        <f>IF(tbMat[[#This Row],[Nível]]="","",MAX(0,tbMat[[#This Row],[Meta]]-tbMat[[#This Row],[Nível]]))</f>
        <v>0</v>
      </c>
      <c r="T15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15" s="54">
        <f>IF(tbMat[[#This Row],[Lacuna]]="","",tbMat[[#This Row],[Peso]]*tbMat[[#This Row],[Lacuna]])</f>
        <v>0</v>
      </c>
      <c r="V15" s="13" t="s">
        <v>1912</v>
      </c>
      <c r="W15" s="13" t="s">
        <v>635</v>
      </c>
      <c r="X15" s="12"/>
      <c r="Y15" s="101" t="s">
        <v>898</v>
      </c>
      <c r="Z15" s="16">
        <v>46568</v>
      </c>
      <c r="AA15" s="106">
        <f>IF(tbMat[[#This Row],[Índice]]="","",tbMat[[#This Row],[Peso]]*tbMat[[#This Row],[Índice]])</f>
        <v>0.7</v>
      </c>
      <c r="AB15" s="107">
        <f>IF(tbMat[[#This Row],[Índice]]="","",tbMat[[#This Row],[Peso]])</f>
        <v>1</v>
      </c>
      <c r="AC15" s="106" t="str">
        <f>IF(AND(tbMat[[#This Row],[Ciclo]]=Ciclo_Atual,N(tbMat[[#This Row],[Prioridade]])&gt;0),tbMat[[#This Row],[Prioridade]]+1/ROW(),"")</f>
        <v/>
      </c>
    </row>
    <row r="16" spans="1:29" ht="34.200000000000003">
      <c r="A16" s="12" t="s">
        <v>1772</v>
      </c>
      <c r="B16" s="102" t="s">
        <v>1817</v>
      </c>
      <c r="C16" s="101" t="s">
        <v>1818</v>
      </c>
      <c r="D16" s="43" t="s">
        <v>1819</v>
      </c>
      <c r="E16" s="13" t="s">
        <v>1820</v>
      </c>
      <c r="F16" s="13" t="s">
        <v>1821</v>
      </c>
      <c r="G16" s="12" t="s">
        <v>1728</v>
      </c>
      <c r="H16" s="54">
        <f>IF(tbMat[[#This Row],[Criticidade]]="Crítica",3,IF(tbMat[[#This Row],[Criticidade]]="Alta",2,IF(tbMat[[#This Row],[Criticidade]]="Média",1,"")))</f>
        <v>3</v>
      </c>
      <c r="I16" s="12">
        <v>4</v>
      </c>
      <c r="J16" s="53" t="str">
        <f>IFERROR(TEXT(SUMPRODUCT(--(Riscos!$T$5:$T$154&lt;&gt;""),--(Riscos!$U$5:$U$154&lt;&gt;""))/COUNTA(Riscos!$C$5:$C$154),"0%")&amp;" com risco atual avaliado • "&amp;TEXT(COUNTA(Riscos!$X$5:$X$154)/COUNTA(Riscos!$C$5:$C$154),"0%")&amp;" com confiança","Sem registros")</f>
        <v>100% com risco atual avaliado • 100% com confiança</v>
      </c>
      <c r="K16" s="12" t="s">
        <v>418</v>
      </c>
      <c r="L16" s="12" t="s">
        <v>418</v>
      </c>
      <c r="M16" s="12" t="s">
        <v>419</v>
      </c>
      <c r="N16" s="12" t="s">
        <v>419</v>
      </c>
      <c r="O16" s="13" t="s">
        <v>1885</v>
      </c>
      <c r="P16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0.55000000000000004</v>
      </c>
      <c r="Q16" s="54">
        <f>IF(tbMat[[#This Row],[Índice]]="","",1+(tbMat[[#This Row],[Índice]]&gt;=0.125)+(tbMat[[#This Row],[Índice]]&gt;=0.375)+(tbMat[[#This Row],[Índice]]&gt;=0.625)+(tbMat[[#This Row],[Índice]]&gt;=0.95))</f>
        <v>3</v>
      </c>
      <c r="R16" s="60" t="str">
        <f>IF(tbMat[[#This Row],[Nível]]="","",tbMat[[#This Row],[Nível]]&amp;" – "&amp;INDEX(GrauNome,tbMat[[#This Row],[Nível]]))</f>
        <v>3 – Definido</v>
      </c>
      <c r="S16" s="54">
        <f>IF(tbMat[[#This Row],[Nível]]="","",MAX(0,tbMat[[#This Row],[Meta]]-tbMat[[#This Row],[Nível]]))</f>
        <v>1</v>
      </c>
      <c r="T16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Crítico abaixo da meta</v>
      </c>
      <c r="U16" s="54">
        <f>IF(tbMat[[#This Row],[Lacuna]]="","",tbMat[[#This Row],[Peso]]*tbMat[[#This Row],[Lacuna]])</f>
        <v>3</v>
      </c>
      <c r="V16" s="13" t="s">
        <v>1913</v>
      </c>
      <c r="W16" s="13" t="s">
        <v>630</v>
      </c>
      <c r="X16" s="12" t="s">
        <v>913</v>
      </c>
      <c r="Y16" s="101" t="s">
        <v>103</v>
      </c>
      <c r="Z16" s="16">
        <v>46568</v>
      </c>
      <c r="AA16" s="106">
        <f>IF(tbMat[[#This Row],[Índice]]="","",tbMat[[#This Row],[Peso]]*tbMat[[#This Row],[Índice]])</f>
        <v>1.6500000000000001</v>
      </c>
      <c r="AB16" s="107">
        <f>IF(tbMat[[#This Row],[Índice]]="","",tbMat[[#This Row],[Peso]])</f>
        <v>3</v>
      </c>
      <c r="AC16" s="106">
        <f>IF(AND(tbMat[[#This Row],[Ciclo]]=Ciclo_Atual,N(tbMat[[#This Row],[Prioridade]])&gt;0),tbMat[[#This Row],[Prioridade]]+1/ROW(),"")</f>
        <v>3.0625</v>
      </c>
    </row>
    <row r="17" spans="1:29" ht="34.200000000000003">
      <c r="A17" s="12" t="s">
        <v>1772</v>
      </c>
      <c r="B17" s="102" t="s">
        <v>1822</v>
      </c>
      <c r="C17" s="101" t="s">
        <v>1818</v>
      </c>
      <c r="D17" s="43" t="s">
        <v>1823</v>
      </c>
      <c r="E17" s="13" t="s">
        <v>1824</v>
      </c>
      <c r="F17" s="13" t="s">
        <v>1825</v>
      </c>
      <c r="G17" s="12" t="s">
        <v>82</v>
      </c>
      <c r="H17" s="54">
        <f>IF(tbMat[[#This Row],[Criticidade]]="Crítica",3,IF(tbMat[[#This Row],[Criticidade]]="Alta",2,IF(tbMat[[#This Row],[Criticidade]]="Média",1,"")))</f>
        <v>2</v>
      </c>
      <c r="I17" s="12">
        <v>4</v>
      </c>
      <c r="J17" s="53" t="str">
        <f>IFERROR(TEXT(COUNTA(Riscos!$X$5:$X$154)/COUNTA(Riscos!$C$5:$C$154),"0%")&amp;" com confiança da estimativa • "&amp;COUNTIF(Riscos!$X$5:$X$154,"Baixa")&amp;" com confiança baixa","Sem registros")</f>
        <v>100% com confiança da estimativa • 5 com confiança baixa</v>
      </c>
      <c r="K17" s="12" t="s">
        <v>418</v>
      </c>
      <c r="L17" s="12" t="s">
        <v>1708</v>
      </c>
      <c r="M17" s="12" t="s">
        <v>419</v>
      </c>
      <c r="N17" s="12" t="s">
        <v>419</v>
      </c>
      <c r="O17" s="13" t="s">
        <v>1886</v>
      </c>
      <c r="P17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0.4</v>
      </c>
      <c r="Q17" s="54">
        <f>IF(tbMat[[#This Row],[Índice]]="","",1+(tbMat[[#This Row],[Índice]]&gt;=0.125)+(tbMat[[#This Row],[Índice]]&gt;=0.375)+(tbMat[[#This Row],[Índice]]&gt;=0.625)+(tbMat[[#This Row],[Índice]]&gt;=0.95))</f>
        <v>3</v>
      </c>
      <c r="R17" s="60" t="str">
        <f>IF(tbMat[[#This Row],[Nível]]="","",tbMat[[#This Row],[Nível]]&amp;" – "&amp;INDEX(GrauNome,tbMat[[#This Row],[Nível]]))</f>
        <v>3 – Definido</v>
      </c>
      <c r="S17" s="54">
        <f>IF(tbMat[[#This Row],[Nível]]="","",MAX(0,tbMat[[#This Row],[Meta]]-tbMat[[#This Row],[Nível]]))</f>
        <v>1</v>
      </c>
      <c r="T17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17" s="54">
        <f>IF(tbMat[[#This Row],[Lacuna]]="","",tbMat[[#This Row],[Peso]]*tbMat[[#This Row],[Lacuna]])</f>
        <v>2</v>
      </c>
      <c r="V17" s="13" t="s">
        <v>1914</v>
      </c>
      <c r="W17" s="13" t="s">
        <v>1915</v>
      </c>
      <c r="X17" s="12"/>
      <c r="Y17" s="101" t="s">
        <v>390</v>
      </c>
      <c r="Z17" s="16">
        <v>46507</v>
      </c>
      <c r="AA17" s="106">
        <f>IF(tbMat[[#This Row],[Índice]]="","",tbMat[[#This Row],[Peso]]*tbMat[[#This Row],[Índice]])</f>
        <v>0.8</v>
      </c>
      <c r="AB17" s="107">
        <f>IF(tbMat[[#This Row],[Índice]]="","",tbMat[[#This Row],[Peso]])</f>
        <v>2</v>
      </c>
      <c r="AC17" s="106">
        <f>IF(AND(tbMat[[#This Row],[Ciclo]]=Ciclo_Atual,N(tbMat[[#This Row],[Prioridade]])&gt;0),tbMat[[#This Row],[Prioridade]]+1/ROW(),"")</f>
        <v>2.0588235294117645</v>
      </c>
    </row>
    <row r="18" spans="1:29" ht="34.200000000000003">
      <c r="A18" s="12" t="s">
        <v>1772</v>
      </c>
      <c r="B18" s="102" t="s">
        <v>1826</v>
      </c>
      <c r="C18" s="101" t="s">
        <v>1818</v>
      </c>
      <c r="D18" s="43" t="s">
        <v>1827</v>
      </c>
      <c r="E18" s="13" t="s">
        <v>1828</v>
      </c>
      <c r="F18" s="13" t="s">
        <v>1829</v>
      </c>
      <c r="G18" s="12" t="s">
        <v>82</v>
      </c>
      <c r="H18" s="54">
        <f>IF(tbMat[[#This Row],[Criticidade]]="Crítica",3,IF(tbMat[[#This Row],[Criticidade]]="Alta",2,IF(tbMat[[#This Row],[Criticidade]]="Média",1,"")))</f>
        <v>2</v>
      </c>
      <c r="I18" s="12">
        <v>4</v>
      </c>
      <c r="J18" s="53" t="str">
        <f ca="1">COUNTA(BtId)&amp;" linhas de barreiras no BowTie • alertas 'Sem BowTie': "&amp;COUNTIF(Riscos!$AZ$5:$AZ$154,"Sem BowTie")</f>
        <v>47 linhas de barreiras no BowTie • alertas 'Sem BowTie': 0</v>
      </c>
      <c r="K18" s="12" t="s">
        <v>418</v>
      </c>
      <c r="L18" s="12" t="s">
        <v>418</v>
      </c>
      <c r="M18" s="12" t="s">
        <v>1708</v>
      </c>
      <c r="N18" s="12" t="s">
        <v>419</v>
      </c>
      <c r="O18" s="13" t="s">
        <v>1887</v>
      </c>
      <c r="P18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18" s="54">
        <f>IF(tbMat[[#This Row],[Índice]]="","",1+(tbMat[[#This Row],[Índice]]&gt;=0.125)+(tbMat[[#This Row],[Índice]]&gt;=0.375)+(tbMat[[#This Row],[Índice]]&gt;=0.625)+(tbMat[[#This Row],[Índice]]&gt;=0.95))</f>
        <v>4</v>
      </c>
      <c r="R18" s="60" t="str">
        <f>IF(tbMat[[#This Row],[Nível]]="","",tbMat[[#This Row],[Nível]]&amp;" – "&amp;INDEX(GrauNome,tbMat[[#This Row],[Nível]]))</f>
        <v>4 – Gerenciado</v>
      </c>
      <c r="S18" s="54">
        <f>IF(tbMat[[#This Row],[Nível]]="","",MAX(0,tbMat[[#This Row],[Meta]]-tbMat[[#This Row],[Nível]]))</f>
        <v>0</v>
      </c>
      <c r="T18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18" s="54">
        <f>IF(tbMat[[#This Row],[Lacuna]]="","",tbMat[[#This Row],[Peso]]*tbMat[[#This Row],[Lacuna]])</f>
        <v>0</v>
      </c>
      <c r="V18" s="13" t="s">
        <v>1916</v>
      </c>
      <c r="W18" s="13" t="s">
        <v>631</v>
      </c>
      <c r="X18" s="12"/>
      <c r="Y18" s="101" t="s">
        <v>103</v>
      </c>
      <c r="Z18" s="16">
        <v>46568</v>
      </c>
      <c r="AA18" s="106">
        <f>IF(tbMat[[#This Row],[Índice]]="","",tbMat[[#This Row],[Peso]]*tbMat[[#This Row],[Índice]])</f>
        <v>1.4</v>
      </c>
      <c r="AB18" s="107">
        <f>IF(tbMat[[#This Row],[Índice]]="","",tbMat[[#This Row],[Peso]])</f>
        <v>2</v>
      </c>
      <c r="AC18" s="106" t="str">
        <f>IF(AND(tbMat[[#This Row],[Ciclo]]=Ciclo_Atual,N(tbMat[[#This Row],[Prioridade]])&gt;0),tbMat[[#This Row],[Prioridade]]+1/ROW(),"")</f>
        <v/>
      </c>
    </row>
    <row r="19" spans="1:29" ht="22.8">
      <c r="A19" s="12" t="s">
        <v>1772</v>
      </c>
      <c r="B19" s="102" t="s">
        <v>1830</v>
      </c>
      <c r="C19" s="101" t="s">
        <v>1818</v>
      </c>
      <c r="D19" s="43" t="s">
        <v>1831</v>
      </c>
      <c r="E19" s="13" t="s">
        <v>1832</v>
      </c>
      <c r="F19" s="13" t="s">
        <v>1833</v>
      </c>
      <c r="G19" s="12" t="s">
        <v>82</v>
      </c>
      <c r="H19" s="54">
        <f>IF(tbMat[[#This Row],[Criticidade]]="Crítica",3,IF(tbMat[[#This Row],[Criticidade]]="Alta",2,IF(tbMat[[#This Row],[Criticidade]]="Média",1,"")))</f>
        <v>2</v>
      </c>
      <c r="I19" s="12">
        <v>4</v>
      </c>
      <c r="J19" s="53" t="str">
        <f ca="1">COUNTIF(Riscos!$AZ$5:$AZ$154,"Revisão vencida")&amp;" revisões vencidas • recalibrar probabilidade: "&amp;COUNTIF(Riscos!$AZ$5:$AZ$154,"Recalibrar probabilidade")</f>
        <v>0 revisões vencidas • recalibrar probabilidade: 0</v>
      </c>
      <c r="K19" s="12" t="s">
        <v>1708</v>
      </c>
      <c r="L19" s="12" t="s">
        <v>1708</v>
      </c>
      <c r="M19" s="12" t="s">
        <v>419</v>
      </c>
      <c r="N19" s="12" t="s">
        <v>419</v>
      </c>
      <c r="O19" s="13" t="s">
        <v>1888</v>
      </c>
      <c r="P19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0.27500000000000002</v>
      </c>
      <c r="Q19" s="54">
        <f>IF(tbMat[[#This Row],[Índice]]="","",1+(tbMat[[#This Row],[Índice]]&gt;=0.125)+(tbMat[[#This Row],[Índice]]&gt;=0.375)+(tbMat[[#This Row],[Índice]]&gt;=0.625)+(tbMat[[#This Row],[Índice]]&gt;=0.95))</f>
        <v>2</v>
      </c>
      <c r="R19" s="60" t="str">
        <f>IF(tbMat[[#This Row],[Nível]]="","",tbMat[[#This Row],[Nível]]&amp;" – "&amp;INDEX(GrauNome,tbMat[[#This Row],[Nível]]))</f>
        <v>2 – Consciente</v>
      </c>
      <c r="S19" s="54">
        <f>IF(tbMat[[#This Row],[Nível]]="","",MAX(0,tbMat[[#This Row],[Meta]]-tbMat[[#This Row],[Nível]]))</f>
        <v>2</v>
      </c>
      <c r="T19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19" s="54">
        <f>IF(tbMat[[#This Row],[Lacuna]]="","",tbMat[[#This Row],[Peso]]*tbMat[[#This Row],[Lacuna]])</f>
        <v>4</v>
      </c>
      <c r="V19" s="13" t="s">
        <v>1917</v>
      </c>
      <c r="W19" s="13" t="s">
        <v>1918</v>
      </c>
      <c r="X19" s="12"/>
      <c r="Y19" s="101" t="s">
        <v>390</v>
      </c>
      <c r="Z19" s="16">
        <v>46477</v>
      </c>
      <c r="AA19" s="106">
        <f>IF(tbMat[[#This Row],[Índice]]="","",tbMat[[#This Row],[Peso]]*tbMat[[#This Row],[Índice]])</f>
        <v>0.55000000000000004</v>
      </c>
      <c r="AB19" s="107">
        <f>IF(tbMat[[#This Row],[Índice]]="","",tbMat[[#This Row],[Peso]])</f>
        <v>2</v>
      </c>
      <c r="AC19" s="106">
        <f>IF(AND(tbMat[[#This Row],[Ciclo]]=Ciclo_Atual,N(tbMat[[#This Row],[Prioridade]])&gt;0),tbMat[[#This Row],[Prioridade]]+1/ROW(),"")</f>
        <v>4.0526315789473681</v>
      </c>
    </row>
    <row r="20" spans="1:29" ht="34.200000000000003">
      <c r="A20" s="12" t="s">
        <v>1772</v>
      </c>
      <c r="B20" s="102" t="s">
        <v>1834</v>
      </c>
      <c r="C20" s="101" t="s">
        <v>1835</v>
      </c>
      <c r="D20" s="43" t="s">
        <v>1836</v>
      </c>
      <c r="E20" s="13" t="s">
        <v>1837</v>
      </c>
      <c r="F20" s="13" t="s">
        <v>1838</v>
      </c>
      <c r="G20" s="12" t="s">
        <v>82</v>
      </c>
      <c r="H20" s="54">
        <f>IF(tbMat[[#This Row],[Criticidade]]="Crítica",3,IF(tbMat[[#This Row],[Criticidade]]="Alta",2,IF(tbMat[[#This Row],[Criticidade]]="Média",1,"")))</f>
        <v>2</v>
      </c>
      <c r="I20" s="12">
        <v>4</v>
      </c>
      <c r="J20" s="53" t="str">
        <f>IFERROR(TEXT(COUNTA(Riscos!$Z$5:$Z$154)/COUNTA(Riscos!$C$5:$C$154),"0%")&amp;" com ação adotada • "&amp;COUNT(Riscos!$BG$5:$BG$154)&amp;" com custo estimado","Sem registros")</f>
        <v>100% com ação adotada • 31 com custo estimado</v>
      </c>
      <c r="K20" s="12" t="s">
        <v>418</v>
      </c>
      <c r="L20" s="12" t="s">
        <v>418</v>
      </c>
      <c r="M20" s="12" t="s">
        <v>1708</v>
      </c>
      <c r="N20" s="12" t="s">
        <v>419</v>
      </c>
      <c r="O20" s="13" t="s">
        <v>1889</v>
      </c>
      <c r="P20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20" s="54">
        <f>IF(tbMat[[#This Row],[Índice]]="","",1+(tbMat[[#This Row],[Índice]]&gt;=0.125)+(tbMat[[#This Row],[Índice]]&gt;=0.375)+(tbMat[[#This Row],[Índice]]&gt;=0.625)+(tbMat[[#This Row],[Índice]]&gt;=0.95))</f>
        <v>4</v>
      </c>
      <c r="R20" s="60" t="str">
        <f>IF(tbMat[[#This Row],[Nível]]="","",tbMat[[#This Row],[Nível]]&amp;" – "&amp;INDEX(GrauNome,tbMat[[#This Row],[Nível]]))</f>
        <v>4 – Gerenciado</v>
      </c>
      <c r="S20" s="54">
        <f>IF(tbMat[[#This Row],[Nível]]="","",MAX(0,tbMat[[#This Row],[Meta]]-tbMat[[#This Row],[Nível]]))</f>
        <v>0</v>
      </c>
      <c r="T20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20" s="54">
        <f>IF(tbMat[[#This Row],[Lacuna]]="","",tbMat[[#This Row],[Peso]]*tbMat[[#This Row],[Lacuna]])</f>
        <v>0</v>
      </c>
      <c r="V20" s="13" t="s">
        <v>1919</v>
      </c>
      <c r="W20" s="13" t="s">
        <v>632</v>
      </c>
      <c r="X20" s="12"/>
      <c r="Y20" s="101" t="s">
        <v>103</v>
      </c>
      <c r="Z20" s="16">
        <v>46507</v>
      </c>
      <c r="AA20" s="106">
        <f>IF(tbMat[[#This Row],[Índice]]="","",tbMat[[#This Row],[Peso]]*tbMat[[#This Row],[Índice]])</f>
        <v>1.4</v>
      </c>
      <c r="AB20" s="107">
        <f>IF(tbMat[[#This Row],[Índice]]="","",tbMat[[#This Row],[Peso]])</f>
        <v>2</v>
      </c>
      <c r="AC20" s="106" t="str">
        <f>IF(AND(tbMat[[#This Row],[Ciclo]]=Ciclo_Atual,N(tbMat[[#This Row],[Prioridade]])&gt;0),tbMat[[#This Row],[Prioridade]]+1/ROW(),"")</f>
        <v/>
      </c>
    </row>
    <row r="21" spans="1:29" ht="34.200000000000003">
      <c r="A21" s="12" t="s">
        <v>1772</v>
      </c>
      <c r="B21" s="102" t="s">
        <v>1839</v>
      </c>
      <c r="C21" s="101" t="s">
        <v>1835</v>
      </c>
      <c r="D21" s="43" t="s">
        <v>1840</v>
      </c>
      <c r="E21" s="13" t="s">
        <v>1841</v>
      </c>
      <c r="F21" s="13" t="s">
        <v>1842</v>
      </c>
      <c r="G21" s="12" t="s">
        <v>82</v>
      </c>
      <c r="H21" s="54">
        <f>IF(tbMat[[#This Row],[Criticidade]]="Crítica",3,IF(tbMat[[#This Row],[Criticidade]]="Alta",2,IF(tbMat[[#This Row],[Criticidade]]="Média",1,"")))</f>
        <v>2</v>
      </c>
      <c r="I21" s="12">
        <v>4</v>
      </c>
      <c r="J21" s="53" t="str">
        <f ca="1">IFERROR(TEXT(COUNTIFS(Planos!$E$7:$E$296,"&lt;&gt;",Planos!$F$7:$F$296,"&lt;&gt;")/COUNTA(Planos!$A$7:$A$296),"0%")&amp;" dos planos com responsável e prazo • ações vencidas: "&amp;Painel!$L$5,"Sem planos")</f>
        <v>100% dos planos com responsável e prazo • ações vencidas: 0</v>
      </c>
      <c r="K21" s="12" t="s">
        <v>418</v>
      </c>
      <c r="L21" s="12" t="s">
        <v>418</v>
      </c>
      <c r="M21" s="12" t="s">
        <v>1708</v>
      </c>
      <c r="N21" s="12" t="s">
        <v>419</v>
      </c>
      <c r="O21" s="13" t="s">
        <v>1890</v>
      </c>
      <c r="P21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21" s="54">
        <f>IF(tbMat[[#This Row],[Índice]]="","",1+(tbMat[[#This Row],[Índice]]&gt;=0.125)+(tbMat[[#This Row],[Índice]]&gt;=0.375)+(tbMat[[#This Row],[Índice]]&gt;=0.625)+(tbMat[[#This Row],[Índice]]&gt;=0.95))</f>
        <v>4</v>
      </c>
      <c r="R21" s="60" t="str">
        <f>IF(tbMat[[#This Row],[Nível]]="","",tbMat[[#This Row],[Nível]]&amp;" – "&amp;INDEX(GrauNome,tbMat[[#This Row],[Nível]]))</f>
        <v>4 – Gerenciado</v>
      </c>
      <c r="S21" s="54">
        <f>IF(tbMat[[#This Row],[Nível]]="","",MAX(0,tbMat[[#This Row],[Meta]]-tbMat[[#This Row],[Nível]]))</f>
        <v>0</v>
      </c>
      <c r="T21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21" s="54">
        <f>IF(tbMat[[#This Row],[Lacuna]]="","",tbMat[[#This Row],[Peso]]*tbMat[[#This Row],[Lacuna]])</f>
        <v>0</v>
      </c>
      <c r="V21" s="13" t="s">
        <v>1920</v>
      </c>
      <c r="W21" s="13"/>
      <c r="X21" s="12" t="s">
        <v>913</v>
      </c>
      <c r="Y21" s="101" t="s">
        <v>390</v>
      </c>
      <c r="Z21" s="16">
        <v>46477</v>
      </c>
      <c r="AA21" s="106">
        <f>IF(tbMat[[#This Row],[Índice]]="","",tbMat[[#This Row],[Peso]]*tbMat[[#This Row],[Índice]])</f>
        <v>1.4</v>
      </c>
      <c r="AB21" s="107">
        <f>IF(tbMat[[#This Row],[Índice]]="","",tbMat[[#This Row],[Peso]])</f>
        <v>2</v>
      </c>
      <c r="AC21" s="106" t="str">
        <f>IF(AND(tbMat[[#This Row],[Ciclo]]=Ciclo_Atual,N(tbMat[[#This Row],[Prioridade]])&gt;0),tbMat[[#This Row],[Prioridade]]+1/ROW(),"")</f>
        <v/>
      </c>
    </row>
    <row r="22" spans="1:29" ht="34.200000000000003">
      <c r="A22" s="12" t="s">
        <v>1772</v>
      </c>
      <c r="B22" s="102" t="s">
        <v>1843</v>
      </c>
      <c r="C22" s="101" t="s">
        <v>1835</v>
      </c>
      <c r="D22" s="43" t="s">
        <v>1844</v>
      </c>
      <c r="E22" s="13" t="s">
        <v>1845</v>
      </c>
      <c r="F22" s="13" t="s">
        <v>1846</v>
      </c>
      <c r="G22" s="12" t="s">
        <v>1728</v>
      </c>
      <c r="H22" s="54">
        <f>IF(tbMat[[#This Row],[Criticidade]]="Crítica",3,IF(tbMat[[#This Row],[Criticidade]]="Alta",2,IF(tbMat[[#This Row],[Criticidade]]="Média",1,"")))</f>
        <v>3</v>
      </c>
      <c r="I22" s="12">
        <v>4</v>
      </c>
      <c r="J22" s="53" t="str">
        <f ca="1">"Sem ação: "&amp;Painel!$E$40&amp;" • Aceite fora do apetite: "&amp;COUNTIF(Riscos!$AZ$5:$AZ$154,"Aceite fora do apetite")&amp;" • Aceites vencidos: "&amp;COUNTIF(Riscos!$AZ$5:$AZ$154,"Aceite vencido")</f>
        <v>Sem ação: 0 • Aceite fora do apetite: 0 • Aceites vencidos: 0</v>
      </c>
      <c r="K22" s="12" t="s">
        <v>1708</v>
      </c>
      <c r="L22" s="12" t="s">
        <v>1708</v>
      </c>
      <c r="M22" s="12" t="s">
        <v>419</v>
      </c>
      <c r="N22" s="12" t="s">
        <v>419</v>
      </c>
      <c r="O22" s="13" t="s">
        <v>1891</v>
      </c>
      <c r="P22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0.27500000000000002</v>
      </c>
      <c r="Q22" s="54">
        <f>IF(tbMat[[#This Row],[Índice]]="","",1+(tbMat[[#This Row],[Índice]]&gt;=0.125)+(tbMat[[#This Row],[Índice]]&gt;=0.375)+(tbMat[[#This Row],[Índice]]&gt;=0.625)+(tbMat[[#This Row],[Índice]]&gt;=0.95))</f>
        <v>2</v>
      </c>
      <c r="R22" s="60" t="str">
        <f>IF(tbMat[[#This Row],[Nível]]="","",tbMat[[#This Row],[Nível]]&amp;" – "&amp;INDEX(GrauNome,tbMat[[#This Row],[Nível]]))</f>
        <v>2 – Consciente</v>
      </c>
      <c r="S22" s="54">
        <f>IF(tbMat[[#This Row],[Nível]]="","",MAX(0,tbMat[[#This Row],[Meta]]-tbMat[[#This Row],[Nível]]))</f>
        <v>2</v>
      </c>
      <c r="T22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Crítico abaixo da meta</v>
      </c>
      <c r="U22" s="54">
        <f>IF(tbMat[[#This Row],[Lacuna]]="","",tbMat[[#This Row],[Peso]]*tbMat[[#This Row],[Lacuna]])</f>
        <v>6</v>
      </c>
      <c r="V22" s="13" t="s">
        <v>1921</v>
      </c>
      <c r="W22" s="13" t="s">
        <v>634</v>
      </c>
      <c r="X22" s="12"/>
      <c r="Y22" s="101" t="s">
        <v>1047</v>
      </c>
      <c r="Z22" s="16">
        <v>46477</v>
      </c>
      <c r="AA22" s="106">
        <f>IF(tbMat[[#This Row],[Índice]]="","",tbMat[[#This Row],[Peso]]*tbMat[[#This Row],[Índice]])</f>
        <v>0.82500000000000007</v>
      </c>
      <c r="AB22" s="107">
        <f>IF(tbMat[[#This Row],[Índice]]="","",tbMat[[#This Row],[Peso]])</f>
        <v>3</v>
      </c>
      <c r="AC22" s="106">
        <f>IF(AND(tbMat[[#This Row],[Ciclo]]=Ciclo_Atual,N(tbMat[[#This Row],[Prioridade]])&gt;0),tbMat[[#This Row],[Prioridade]]+1/ROW(),"")</f>
        <v>6.0454545454545459</v>
      </c>
    </row>
    <row r="23" spans="1:29" ht="34.200000000000003">
      <c r="A23" s="12" t="s">
        <v>1772</v>
      </c>
      <c r="B23" s="102" t="s">
        <v>1847</v>
      </c>
      <c r="C23" s="101" t="s">
        <v>1835</v>
      </c>
      <c r="D23" s="43" t="s">
        <v>1848</v>
      </c>
      <c r="E23" s="13" t="s">
        <v>1849</v>
      </c>
      <c r="F23" s="13" t="s">
        <v>1850</v>
      </c>
      <c r="G23" s="12" t="s">
        <v>1728</v>
      </c>
      <c r="H23" s="54">
        <f>IF(tbMat[[#This Row],[Criticidade]]="Crítica",3,IF(tbMat[[#This Row],[Criticidade]]="Alta",2,IF(tbMat[[#This Row],[Criticidade]]="Média",1,"")))</f>
        <v>3</v>
      </c>
      <c r="I23" s="12">
        <v>4</v>
      </c>
      <c r="J23" s="53" t="str">
        <f>IFERROR(TEXT(COUNTA(Riscos!$AH$5:$AH$154)/COUNTA(Riscos!$C$5:$C$154),"0%")&amp;" com critério de eficácia • "&amp;COUNTA(Riscos!$AN$5:$AN$154)&amp;" tratamentos avaliados","Sem registros")</f>
        <v>92% com critério de eficácia • 1 tratamentos avaliados</v>
      </c>
      <c r="K23" s="12" t="s">
        <v>1708</v>
      </c>
      <c r="L23" s="12" t="s">
        <v>1708</v>
      </c>
      <c r="M23" s="12" t="s">
        <v>419</v>
      </c>
      <c r="N23" s="12" t="s">
        <v>419</v>
      </c>
      <c r="O23" s="13" t="s">
        <v>1892</v>
      </c>
      <c r="P23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0.27500000000000002</v>
      </c>
      <c r="Q23" s="54">
        <f>IF(tbMat[[#This Row],[Índice]]="","",1+(tbMat[[#This Row],[Índice]]&gt;=0.125)+(tbMat[[#This Row],[Índice]]&gt;=0.375)+(tbMat[[#This Row],[Índice]]&gt;=0.625)+(tbMat[[#This Row],[Índice]]&gt;=0.95))</f>
        <v>2</v>
      </c>
      <c r="R23" s="60" t="str">
        <f>IF(tbMat[[#This Row],[Nível]]="","",tbMat[[#This Row],[Nível]]&amp;" – "&amp;INDEX(GrauNome,tbMat[[#This Row],[Nível]]))</f>
        <v>2 – Consciente</v>
      </c>
      <c r="S23" s="54">
        <f>IF(tbMat[[#This Row],[Nível]]="","",MAX(0,tbMat[[#This Row],[Meta]]-tbMat[[#This Row],[Nível]]))</f>
        <v>2</v>
      </c>
      <c r="T23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Crítico abaixo da meta</v>
      </c>
      <c r="U23" s="54">
        <f>IF(tbMat[[#This Row],[Lacuna]]="","",tbMat[[#This Row],[Peso]]*tbMat[[#This Row],[Lacuna]])</f>
        <v>6</v>
      </c>
      <c r="V23" s="13" t="s">
        <v>1922</v>
      </c>
      <c r="W23" s="13" t="s">
        <v>633</v>
      </c>
      <c r="X23" s="12" t="s">
        <v>913</v>
      </c>
      <c r="Y23" s="101" t="s">
        <v>103</v>
      </c>
      <c r="Z23" s="16">
        <v>46477</v>
      </c>
      <c r="AA23" s="106">
        <f>IF(tbMat[[#This Row],[Índice]]="","",tbMat[[#This Row],[Peso]]*tbMat[[#This Row],[Índice]])</f>
        <v>0.82500000000000007</v>
      </c>
      <c r="AB23" s="107">
        <f>IF(tbMat[[#This Row],[Índice]]="","",tbMat[[#This Row],[Peso]])</f>
        <v>3</v>
      </c>
      <c r="AC23" s="106">
        <f>IF(AND(tbMat[[#This Row],[Ciclo]]=Ciclo_Atual,N(tbMat[[#This Row],[Prioridade]])&gt;0),tbMat[[#This Row],[Prioridade]]+1/ROW(),"")</f>
        <v>6.0434782608695654</v>
      </c>
    </row>
    <row r="24" spans="1:29" ht="34.200000000000003">
      <c r="A24" s="12" t="s">
        <v>1772</v>
      </c>
      <c r="B24" s="102" t="s">
        <v>1851</v>
      </c>
      <c r="C24" s="101" t="s">
        <v>1852</v>
      </c>
      <c r="D24" s="43" t="s">
        <v>1853</v>
      </c>
      <c r="E24" s="13" t="s">
        <v>1854</v>
      </c>
      <c r="F24" s="13" t="s">
        <v>1855</v>
      </c>
      <c r="G24" s="12" t="s">
        <v>82</v>
      </c>
      <c r="H24" s="54">
        <f>IF(tbMat[[#This Row],[Criticidade]]="Crítica",3,IF(tbMat[[#This Row],[Criticidade]]="Alta",2,IF(tbMat[[#This Row],[Criticidade]]="Média",1,"")))</f>
        <v>2</v>
      </c>
      <c r="I24" s="12">
        <v>4</v>
      </c>
      <c r="J24" s="53" t="str">
        <f ca="1">COUNTA(KriId)&amp;" KRI • KRI que estouraram: "&amp;COUNTIF(KriSit,"Estourou")&amp;" • revisões em dia: "&amp;IFERROR(TEXT(Painel!$P$5,"0%"),"—")</f>
        <v>30 KRI • KRI que estouraram: 17 • revisões em dia: 93%</v>
      </c>
      <c r="K24" s="12" t="s">
        <v>418</v>
      </c>
      <c r="L24" s="12" t="s">
        <v>1708</v>
      </c>
      <c r="M24" s="12" t="s">
        <v>1708</v>
      </c>
      <c r="N24" s="12" t="s">
        <v>419</v>
      </c>
      <c r="O24" s="13" t="s">
        <v>1893</v>
      </c>
      <c r="P24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0.55000000000000004</v>
      </c>
      <c r="Q24" s="54">
        <f>IF(tbMat[[#This Row],[Índice]]="","",1+(tbMat[[#This Row],[Índice]]&gt;=0.125)+(tbMat[[#This Row],[Índice]]&gt;=0.375)+(tbMat[[#This Row],[Índice]]&gt;=0.625)+(tbMat[[#This Row],[Índice]]&gt;=0.95))</f>
        <v>3</v>
      </c>
      <c r="R24" s="60" t="str">
        <f>IF(tbMat[[#This Row],[Nível]]="","",tbMat[[#This Row],[Nível]]&amp;" – "&amp;INDEX(GrauNome,tbMat[[#This Row],[Nível]]))</f>
        <v>3 – Definido</v>
      </c>
      <c r="S24" s="54">
        <f>IF(tbMat[[#This Row],[Nível]]="","",MAX(0,tbMat[[#This Row],[Meta]]-tbMat[[#This Row],[Nível]]))</f>
        <v>1</v>
      </c>
      <c r="T24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24" s="54">
        <f>IF(tbMat[[#This Row],[Lacuna]]="","",tbMat[[#This Row],[Peso]]*tbMat[[#This Row],[Lacuna]])</f>
        <v>2</v>
      </c>
      <c r="V24" s="13" t="s">
        <v>1923</v>
      </c>
      <c r="W24" s="13" t="s">
        <v>636</v>
      </c>
      <c r="X24" s="12" t="s">
        <v>865</v>
      </c>
      <c r="Y24" s="101" t="s">
        <v>390</v>
      </c>
      <c r="Z24" s="16">
        <v>46477</v>
      </c>
      <c r="AA24" s="106">
        <f>IF(tbMat[[#This Row],[Índice]]="","",tbMat[[#This Row],[Peso]]*tbMat[[#This Row],[Índice]])</f>
        <v>1.1000000000000001</v>
      </c>
      <c r="AB24" s="107">
        <f>IF(tbMat[[#This Row],[Índice]]="","",tbMat[[#This Row],[Peso]])</f>
        <v>2</v>
      </c>
      <c r="AC24" s="106">
        <f>IF(AND(tbMat[[#This Row],[Ciclo]]=Ciclo_Atual,N(tbMat[[#This Row],[Prioridade]])&gt;0),tbMat[[#This Row],[Prioridade]]+1/ROW(),"")</f>
        <v>2.0416666666666665</v>
      </c>
    </row>
    <row r="25" spans="1:29" ht="22.8">
      <c r="A25" s="12" t="s">
        <v>1772</v>
      </c>
      <c r="B25" s="102" t="s">
        <v>1856</v>
      </c>
      <c r="C25" s="101" t="s">
        <v>1852</v>
      </c>
      <c r="D25" s="43" t="s">
        <v>1857</v>
      </c>
      <c r="E25" s="13" t="s">
        <v>1858</v>
      </c>
      <c r="F25" s="13" t="s">
        <v>1859</v>
      </c>
      <c r="G25" s="12" t="s">
        <v>82</v>
      </c>
      <c r="H25" s="54">
        <f>IF(tbMat[[#This Row],[Criticidade]]="Crítica",3,IF(tbMat[[#This Row],[Criticidade]]="Alta",2,IF(tbMat[[#This Row],[Criticidade]]="Média",1,"")))</f>
        <v>2</v>
      </c>
      <c r="I25" s="12">
        <v>4</v>
      </c>
      <c r="J25" s="53" t="str">
        <f ca="1">IFERROR("Revisões em dia: "&amp;TEXT(Painel!$P$5,"0%")&amp;" • rotinas atrasadas: "&amp;COUNTIF(MonSit,"Atrasado"),"—")</f>
        <v>Revisões em dia: 93% • rotinas atrasadas: 0</v>
      </c>
      <c r="K25" s="12" t="s">
        <v>418</v>
      </c>
      <c r="L25" s="12" t="s">
        <v>1708</v>
      </c>
      <c r="M25" s="12" t="s">
        <v>419</v>
      </c>
      <c r="N25" s="12" t="s">
        <v>419</v>
      </c>
      <c r="O25" s="13" t="s">
        <v>1894</v>
      </c>
      <c r="P25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0.4</v>
      </c>
      <c r="Q25" s="54">
        <f>IF(tbMat[[#This Row],[Índice]]="","",1+(tbMat[[#This Row],[Índice]]&gt;=0.125)+(tbMat[[#This Row],[Índice]]&gt;=0.375)+(tbMat[[#This Row],[Índice]]&gt;=0.625)+(tbMat[[#This Row],[Índice]]&gt;=0.95))</f>
        <v>3</v>
      </c>
      <c r="R25" s="60" t="str">
        <f>IF(tbMat[[#This Row],[Nível]]="","",tbMat[[#This Row],[Nível]]&amp;" – "&amp;INDEX(GrauNome,tbMat[[#This Row],[Nível]]))</f>
        <v>3 – Definido</v>
      </c>
      <c r="S25" s="54">
        <f>IF(tbMat[[#This Row],[Nível]]="","",MAX(0,tbMat[[#This Row],[Meta]]-tbMat[[#This Row],[Nível]]))</f>
        <v>1</v>
      </c>
      <c r="T25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25" s="54">
        <f>IF(tbMat[[#This Row],[Lacuna]]="","",tbMat[[#This Row],[Peso]]*tbMat[[#This Row],[Lacuna]])</f>
        <v>2</v>
      </c>
      <c r="V25" s="13" t="s">
        <v>1924</v>
      </c>
      <c r="W25" s="13" t="s">
        <v>1925</v>
      </c>
      <c r="X25" s="12"/>
      <c r="Y25" s="101" t="s">
        <v>390</v>
      </c>
      <c r="Z25" s="16">
        <v>46477</v>
      </c>
      <c r="AA25" s="106">
        <f>IF(tbMat[[#This Row],[Índice]]="","",tbMat[[#This Row],[Peso]]*tbMat[[#This Row],[Índice]])</f>
        <v>0.8</v>
      </c>
      <c r="AB25" s="107">
        <f>IF(tbMat[[#This Row],[Índice]]="","",tbMat[[#This Row],[Peso]])</f>
        <v>2</v>
      </c>
      <c r="AC25" s="106">
        <f>IF(AND(tbMat[[#This Row],[Ciclo]]=Ciclo_Atual,N(tbMat[[#This Row],[Prioridade]])&gt;0),tbMat[[#This Row],[Prioridade]]+1/ROW(),"")</f>
        <v>2.04</v>
      </c>
    </row>
    <row r="26" spans="1:29" ht="34.200000000000003">
      <c r="A26" s="12" t="s">
        <v>1772</v>
      </c>
      <c r="B26" s="102" t="s">
        <v>1860</v>
      </c>
      <c r="C26" s="101" t="s">
        <v>1852</v>
      </c>
      <c r="D26" s="43" t="s">
        <v>1861</v>
      </c>
      <c r="E26" s="13" t="s">
        <v>1862</v>
      </c>
      <c r="F26" s="13" t="s">
        <v>1863</v>
      </c>
      <c r="G26" s="12" t="s">
        <v>82</v>
      </c>
      <c r="H26" s="54">
        <f>IF(tbMat[[#This Row],[Criticidade]]="Crítica",3,IF(tbMat[[#This Row],[Criticidade]]="Alta",2,IF(tbMat[[#This Row],[Criticidade]]="Média",1,"")))</f>
        <v>2</v>
      </c>
      <c r="I26" s="12">
        <v>4</v>
      </c>
      <c r="J26" s="53" t="str">
        <f ca="1">(COUNTIF(Monitoramento!$B$5:$B$64,"Comunicação")+COUNTIF(Monitoramento!$B$5:$B$64,"Consulta"))&amp;" rotinas de comunicação/consulta • rotinas atrasadas: "&amp;COUNTIF(MonSit,"Atrasado")</f>
        <v>2 rotinas de comunicação/consulta • rotinas atrasadas: 0</v>
      </c>
      <c r="K26" s="12" t="s">
        <v>418</v>
      </c>
      <c r="L26" s="12" t="s">
        <v>1708</v>
      </c>
      <c r="M26" s="12" t="s">
        <v>419</v>
      </c>
      <c r="N26" s="12" t="s">
        <v>419</v>
      </c>
      <c r="O26" s="13" t="s">
        <v>1895</v>
      </c>
      <c r="P26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0.4</v>
      </c>
      <c r="Q26" s="54">
        <f>IF(tbMat[[#This Row],[Índice]]="","",1+(tbMat[[#This Row],[Índice]]&gt;=0.125)+(tbMat[[#This Row],[Índice]]&gt;=0.375)+(tbMat[[#This Row],[Índice]]&gt;=0.625)+(tbMat[[#This Row],[Índice]]&gt;=0.95))</f>
        <v>3</v>
      </c>
      <c r="R26" s="60" t="str">
        <f>IF(tbMat[[#This Row],[Nível]]="","",tbMat[[#This Row],[Nível]]&amp;" – "&amp;INDEX(GrauNome,tbMat[[#This Row],[Nível]]))</f>
        <v>3 – Definido</v>
      </c>
      <c r="S26" s="54">
        <f>IF(tbMat[[#This Row],[Nível]]="","",MAX(0,tbMat[[#This Row],[Meta]]-tbMat[[#This Row],[Nível]]))</f>
        <v>1</v>
      </c>
      <c r="T26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26" s="54">
        <f>IF(tbMat[[#This Row],[Lacuna]]="","",tbMat[[#This Row],[Peso]]*tbMat[[#This Row],[Lacuna]])</f>
        <v>2</v>
      </c>
      <c r="V26" s="13" t="s">
        <v>1926</v>
      </c>
      <c r="W26" s="13" t="s">
        <v>637</v>
      </c>
      <c r="X26" s="12"/>
      <c r="Y26" s="101" t="s">
        <v>390</v>
      </c>
      <c r="Z26" s="16">
        <v>46568</v>
      </c>
      <c r="AA26" s="106">
        <f>IF(tbMat[[#This Row],[Índice]]="","",tbMat[[#This Row],[Peso]]*tbMat[[#This Row],[Índice]])</f>
        <v>0.8</v>
      </c>
      <c r="AB26" s="107">
        <f>IF(tbMat[[#This Row],[Índice]]="","",tbMat[[#This Row],[Peso]])</f>
        <v>2</v>
      </c>
      <c r="AC26" s="106">
        <f>IF(AND(tbMat[[#This Row],[Ciclo]]=Ciclo_Atual,N(tbMat[[#This Row],[Prioridade]])&gt;0),tbMat[[#This Row],[Prioridade]]+1/ROW(),"")</f>
        <v>2.0384615384615383</v>
      </c>
    </row>
    <row r="27" spans="1:29" ht="34.200000000000003">
      <c r="A27" s="12" t="s">
        <v>1772</v>
      </c>
      <c r="B27" s="102" t="s">
        <v>1864</v>
      </c>
      <c r="C27" s="101" t="s">
        <v>1852</v>
      </c>
      <c r="D27" s="43" t="s">
        <v>1865</v>
      </c>
      <c r="E27" s="13" t="s">
        <v>1866</v>
      </c>
      <c r="F27" s="13" t="s">
        <v>2618</v>
      </c>
      <c r="G27" s="12" t="s">
        <v>82</v>
      </c>
      <c r="H27" s="54">
        <f>IF(tbMat[[#This Row],[Criticidade]]="Crítica",3,IF(tbMat[[#This Row],[Criticidade]]="Alta",2,IF(tbMat[[#This Row],[Criticidade]]="Média",1,"")))</f>
        <v>2</v>
      </c>
      <c r="I27" s="12">
        <v>4</v>
      </c>
      <c r="J27" s="53" t="str">
        <f>COUNT(AudPct)&amp;" auditoria(s) registrada(s) • conformidade média: "&amp;IFERROR(TEXT(AVERAGE(AudPct),"0%"),"—")</f>
        <v>3 auditoria(s) registrada(s) • conformidade média: 75%</v>
      </c>
      <c r="K27" s="12" t="s">
        <v>418</v>
      </c>
      <c r="L27" s="12" t="s">
        <v>418</v>
      </c>
      <c r="M27" s="12" t="s">
        <v>1708</v>
      </c>
      <c r="N27" s="12" t="s">
        <v>419</v>
      </c>
      <c r="O27" s="13" t="s">
        <v>1896</v>
      </c>
      <c r="P27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0.7</v>
      </c>
      <c r="Q27" s="54">
        <f>IF(tbMat[[#This Row],[Índice]]="","",1+(tbMat[[#This Row],[Índice]]&gt;=0.125)+(tbMat[[#This Row],[Índice]]&gt;=0.375)+(tbMat[[#This Row],[Índice]]&gt;=0.625)+(tbMat[[#This Row],[Índice]]&gt;=0.95))</f>
        <v>4</v>
      </c>
      <c r="R27" s="60" t="str">
        <f>IF(tbMat[[#This Row],[Nível]]="","",tbMat[[#This Row],[Nível]]&amp;" – "&amp;INDEX(GrauNome,tbMat[[#This Row],[Nível]]))</f>
        <v>4 – Gerenciado</v>
      </c>
      <c r="S27" s="54">
        <f>IF(tbMat[[#This Row],[Nível]]="","",MAX(0,tbMat[[#This Row],[Meta]]-tbMat[[#This Row],[Nível]]))</f>
        <v>0</v>
      </c>
      <c r="T27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Atinge a meta</v>
      </c>
      <c r="U27" s="54">
        <f>IF(tbMat[[#This Row],[Lacuna]]="","",tbMat[[#This Row],[Peso]]*tbMat[[#This Row],[Lacuna]])</f>
        <v>0</v>
      </c>
      <c r="V27" s="13" t="s">
        <v>1927</v>
      </c>
      <c r="W27" s="13" t="s">
        <v>2619</v>
      </c>
      <c r="X27" s="12"/>
      <c r="Y27" s="101" t="s">
        <v>390</v>
      </c>
      <c r="Z27" s="16">
        <v>46568</v>
      </c>
      <c r="AA27" s="106">
        <f>IF(tbMat[[#This Row],[Índice]]="","",tbMat[[#This Row],[Peso]]*tbMat[[#This Row],[Índice]])</f>
        <v>1.4</v>
      </c>
      <c r="AB27" s="107">
        <f>IF(tbMat[[#This Row],[Índice]]="","",tbMat[[#This Row],[Peso]])</f>
        <v>2</v>
      </c>
      <c r="AC27" s="106" t="str">
        <f>IF(AND(tbMat[[#This Row],[Ciclo]]=Ciclo_Atual,N(tbMat[[#This Row],[Prioridade]])&gt;0),tbMat[[#This Row],[Prioridade]]+1/ROW(),"")</f>
        <v/>
      </c>
    </row>
    <row r="28" spans="1:29" ht="34.200000000000003">
      <c r="A28" s="12" t="s">
        <v>1772</v>
      </c>
      <c r="B28" s="102" t="s">
        <v>1867</v>
      </c>
      <c r="C28" s="101" t="s">
        <v>1868</v>
      </c>
      <c r="D28" s="43" t="s">
        <v>570</v>
      </c>
      <c r="E28" s="13" t="s">
        <v>1869</v>
      </c>
      <c r="F28" s="13" t="s">
        <v>1870</v>
      </c>
      <c r="G28" s="12" t="s">
        <v>71</v>
      </c>
      <c r="H28" s="54">
        <f>IF(tbMat[[#This Row],[Criticidade]]="Crítica",3,IF(tbMat[[#This Row],[Criticidade]]="Alta",2,IF(tbMat[[#This Row],[Criticidade]]="Média",1,"")))</f>
        <v>1</v>
      </c>
      <c r="I28" s="12">
        <v>3</v>
      </c>
      <c r="J28" s="53" t="str">
        <f>COUNTA(Histórico!$I$5:$I$64)&amp;" lições registradas • "&amp;(COUNTIF(Riscos!$D$5:$D$154,"Alteração*")+COUNTIF(Riscos!$D$5:$D$154,"Lições*"))&amp;" riscos vindos de mudança ou de lições"</f>
        <v>13 lições registradas • 1 riscos vindos de mudança ou de lições</v>
      </c>
      <c r="K28" s="12" t="s">
        <v>1708</v>
      </c>
      <c r="L28" s="12" t="s">
        <v>1708</v>
      </c>
      <c r="M28" s="12" t="s">
        <v>419</v>
      </c>
      <c r="N28" s="12" t="s">
        <v>419</v>
      </c>
      <c r="O28" s="13" t="s">
        <v>1897</v>
      </c>
      <c r="P28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0.27500000000000002</v>
      </c>
      <c r="Q28" s="54">
        <f>IF(tbMat[[#This Row],[Índice]]="","",1+(tbMat[[#This Row],[Índice]]&gt;=0.125)+(tbMat[[#This Row],[Índice]]&gt;=0.375)+(tbMat[[#This Row],[Índice]]&gt;=0.625)+(tbMat[[#This Row],[Índice]]&gt;=0.95))</f>
        <v>2</v>
      </c>
      <c r="R28" s="60" t="str">
        <f>IF(tbMat[[#This Row],[Nível]]="","",tbMat[[#This Row],[Nível]]&amp;" – "&amp;INDEX(GrauNome,tbMat[[#This Row],[Nível]]))</f>
        <v>2 – Consciente</v>
      </c>
      <c r="S28" s="54">
        <f>IF(tbMat[[#This Row],[Nível]]="","",MAX(0,tbMat[[#This Row],[Meta]]-tbMat[[#This Row],[Nível]]))</f>
        <v>1</v>
      </c>
      <c r="T28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28" s="54">
        <f>IF(tbMat[[#This Row],[Lacuna]]="","",tbMat[[#This Row],[Peso]]*tbMat[[#This Row],[Lacuna]])</f>
        <v>1</v>
      </c>
      <c r="V28" s="13" t="s">
        <v>1928</v>
      </c>
      <c r="W28" s="13" t="s">
        <v>638</v>
      </c>
      <c r="X28" s="12"/>
      <c r="Y28" s="101" t="s">
        <v>945</v>
      </c>
      <c r="Z28" s="16">
        <v>46568</v>
      </c>
      <c r="AA28" s="106">
        <f>IF(tbMat[[#This Row],[Índice]]="","",tbMat[[#This Row],[Peso]]*tbMat[[#This Row],[Índice]])</f>
        <v>0.27500000000000002</v>
      </c>
      <c r="AB28" s="107">
        <f>IF(tbMat[[#This Row],[Índice]]="","",tbMat[[#This Row],[Peso]])</f>
        <v>1</v>
      </c>
      <c r="AC28" s="106">
        <f>IF(AND(tbMat[[#This Row],[Ciclo]]=Ciclo_Atual,N(tbMat[[#This Row],[Prioridade]])&gt;0),tbMat[[#This Row],[Prioridade]]+1/ROW(),"")</f>
        <v>1.0357142857142858</v>
      </c>
    </row>
    <row r="29" spans="1:29" ht="34.200000000000003">
      <c r="A29" s="12" t="s">
        <v>1772</v>
      </c>
      <c r="B29" s="102" t="s">
        <v>1871</v>
      </c>
      <c r="C29" s="101" t="s">
        <v>1868</v>
      </c>
      <c r="D29" s="43" t="s">
        <v>1872</v>
      </c>
      <c r="E29" s="13" t="s">
        <v>1873</v>
      </c>
      <c r="F29" s="13" t="s">
        <v>1874</v>
      </c>
      <c r="G29" s="12" t="s">
        <v>82</v>
      </c>
      <c r="H29" s="54">
        <f>IF(tbMat[[#This Row],[Criticidade]]="Crítica",3,IF(tbMat[[#This Row],[Criticidade]]="Alta",2,IF(tbMat[[#This Row],[Criticidade]]="Média",1,"")))</f>
        <v>2</v>
      </c>
      <c r="I29" s="12">
        <v>4</v>
      </c>
      <c r="J29" s="53" t="str">
        <f ca="1">COUNTIF(Riscos!$AZ$5:$AZ$154,"OK")&amp;" de "&amp;COUNTA(Riscos!$C$5:$C$154)&amp;" riscos sem alerta no Painel"</f>
        <v>13 de 39 riscos sem alerta no Painel</v>
      </c>
      <c r="K29" s="12" t="s">
        <v>1708</v>
      </c>
      <c r="L29" s="12" t="s">
        <v>419</v>
      </c>
      <c r="M29" s="12" t="s">
        <v>419</v>
      </c>
      <c r="N29" s="12" t="s">
        <v>419</v>
      </c>
      <c r="O29" s="13"/>
      <c r="P29" s="103">
        <f>IF(tbMat[[#This Row],[Definido]]="","",0.25*((tbMat[[#This Row],[Definido]]="Sim")+0.5*(tbMat[[#This Row],[Definido]]="Parcial"))+IF(AND(((tbMat[[#This Row],[Definido]]="Sim")+0.5*(tbMat[[#This Row],[Definido]]="Parcial"))&gt;0,tbMat[[#This Row],[Evidência observada]]&lt;&gt;""),0.3*((tbMat[[#This Row],[Aplicado]]="Sim")+0.5*(tbMat[[#This Row],[Aplicado]]="Parcial"))+IF(((tbMat[[#This Row],[Aplicado]]="Sim")+0.5*(tbMat[[#This Row],[Aplicado]]="Parcial"))&gt;0,0.3*((tbMat[[#This Row],[Eficaz]]="Sim")+0.5*(tbMat[[#This Row],[Eficaz]]="Parcial"))+IF(((tbMat[[#This Row],[Eficaz]]="Sim")+0.5*(tbMat[[#This Row],[Eficaz]]="Parcial"))&gt;0,0.15*((tbMat[[#This Row],[Melhorado]]="Sim")+0.5*(tbMat[[#This Row],[Melhorado]]="Parcial")),0),0),0))</f>
        <v>0.125</v>
      </c>
      <c r="Q29" s="54">
        <f>IF(tbMat[[#This Row],[Índice]]="","",1+(tbMat[[#This Row],[Índice]]&gt;=0.125)+(tbMat[[#This Row],[Índice]]&gt;=0.375)+(tbMat[[#This Row],[Índice]]&gt;=0.625)+(tbMat[[#This Row],[Índice]]&gt;=0.95))</f>
        <v>2</v>
      </c>
      <c r="R29" s="60" t="str">
        <f>IF(tbMat[[#This Row],[Nível]]="","",tbMat[[#This Row],[Nível]]&amp;" – "&amp;INDEX(GrauNome,tbMat[[#This Row],[Nível]]))</f>
        <v>2 – Consciente</v>
      </c>
      <c r="S29" s="54">
        <f>IF(tbMat[[#This Row],[Nível]]="","",MAX(0,tbMat[[#This Row],[Meta]]-tbMat[[#This Row],[Nível]]))</f>
        <v>2</v>
      </c>
      <c r="T29" s="54" t="str">
        <f>IF(tbMat[[#This Row],[Nível]]="","Não avaliado",IF(AND(tbMat[[#This Row],[Evidência observada]]="",COUNTIF(tbMat[[#This Row],[Aplicado]:[Melhorado]],"Sim")+COUNTIF(tbMat[[#This Row],[Aplicado]:[Melhorado]],"Parcial")&gt;0),"Sem evidência",IF(tbMat[[#This Row],[Lacuna]]=0,"Atinge a meta",IF(tbMat[[#This Row],[Criticidade]]="Crítica","Crítico abaixo da meta","Abaixo da meta"))))</f>
        <v>Abaixo da meta</v>
      </c>
      <c r="U29" s="54">
        <f>IF(tbMat[[#This Row],[Lacuna]]="","",tbMat[[#This Row],[Peso]]*tbMat[[#This Row],[Lacuna]])</f>
        <v>4</v>
      </c>
      <c r="V29" s="13" t="s">
        <v>1929</v>
      </c>
      <c r="W29" s="13" t="s">
        <v>1930</v>
      </c>
      <c r="X29" s="12"/>
      <c r="Y29" s="101" t="s">
        <v>390</v>
      </c>
      <c r="Z29" s="16">
        <v>46568</v>
      </c>
      <c r="AA29" s="106">
        <f>IF(tbMat[[#This Row],[Índice]]="","",tbMat[[#This Row],[Peso]]*tbMat[[#This Row],[Índice]])</f>
        <v>0.25</v>
      </c>
      <c r="AB29" s="107">
        <f>IF(tbMat[[#This Row],[Índice]]="","",tbMat[[#This Row],[Peso]])</f>
        <v>2</v>
      </c>
      <c r="AC29" s="106">
        <f>IF(AND(tbMat[[#This Row],[Ciclo]]=Ciclo_Atual,N(tbMat[[#This Row],[Prioridade]])&gt;0),tbMat[[#This Row],[Prioridade]]+1/ROW(),"")</f>
        <v>4.0344827586206895</v>
      </c>
    </row>
  </sheetData>
  <mergeCells count="2">
    <mergeCell ref="A1:P1"/>
    <mergeCell ref="A2:P2"/>
  </mergeCells>
  <conditionalFormatting sqref="K5:N29">
    <cfRule type="cellIs" dxfId="25" priority="1" stopIfTrue="1" operator="equal">
      <formula>"Sim"</formula>
    </cfRule>
    <cfRule type="cellIs" dxfId="24" priority="2" stopIfTrue="1" operator="equal">
      <formula>"Parcial"</formula>
    </cfRule>
    <cfRule type="cellIs" dxfId="23" priority="3" stopIfTrue="1" operator="equal">
      <formula>"Não"</formula>
    </cfRule>
  </conditionalFormatting>
  <conditionalFormatting sqref="T5:T29">
    <cfRule type="cellIs" dxfId="22" priority="4" stopIfTrue="1" operator="equal">
      <formula>"Atinge a meta"</formula>
    </cfRule>
    <cfRule type="cellIs" dxfId="21" priority="5" stopIfTrue="1" operator="equal">
      <formula>"Abaixo da meta"</formula>
    </cfRule>
    <cfRule type="cellIs" dxfId="20" priority="6" stopIfTrue="1" operator="equal">
      <formula>"Crítico abaixo da meta"</formula>
    </cfRule>
    <cfRule type="cellIs" dxfId="19" priority="7" stopIfTrue="1" operator="equal">
      <formula>"Sem evidência"</formula>
    </cfRule>
  </conditionalFormatting>
  <dataValidations count="3">
    <dataValidation type="list" allowBlank="1" showInputMessage="1" showErrorMessage="1" sqref="K5:K29 L5:L29 M5:M29 N5:N29" xr:uid="{55FF8D63-825F-48AA-9159-5EB7541531C7}">
      <formula1>LstTeste</formula1>
    </dataValidation>
    <dataValidation type="list" allowBlank="1" showInputMessage="1" showErrorMessage="1" sqref="G5:G29" xr:uid="{E69A2D2D-EE31-4A20-8578-FB919544F18B}">
      <formula1>LstCrit</formula1>
    </dataValidation>
    <dataValidation type="whole" allowBlank="1" showInputMessage="1" showErrorMessage="1" sqref="I5:I29" xr:uid="{AC89E901-9BDB-48D6-8C36-33E1B56BD734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D2C0-DEC4-4E27-92E1-49B01EE8E66E}">
  <sheetPr>
    <tabColor rgb="FFBF9000"/>
  </sheetPr>
  <dimension ref="A1:V70"/>
  <sheetViews>
    <sheetView showGridLines="0" tabSelected="1" workbookViewId="0">
      <pane xSplit="4" ySplit="4" topLeftCell="E5" activePane="bottomRight" state="frozen"/>
      <selection activeCell="E8" sqref="E8:H8"/>
      <selection pane="topRight" activeCell="E8" sqref="E8:H8"/>
      <selection pane="bottomLeft" activeCell="E8" sqref="E8:H8"/>
      <selection pane="bottomRight" activeCell="E8" sqref="E8:H8"/>
    </sheetView>
  </sheetViews>
  <sheetFormatPr defaultRowHeight="11.4"/>
  <cols>
    <col min="1" max="1" width="13.77734375" style="49" customWidth="1"/>
    <col min="2" max="2" width="8.77734375" style="49" customWidth="1"/>
    <col min="3" max="3" width="22.77734375" style="49" customWidth="1"/>
    <col min="4" max="4" width="46.77734375" style="49" customWidth="1"/>
    <col min="5" max="5" width="26.77734375" style="49" customWidth="1"/>
    <col min="6" max="6" width="10.77734375" style="49" customWidth="1"/>
    <col min="7" max="7" width="13.77734375" style="49" customWidth="1"/>
    <col min="8" max="8" width="11.77734375" style="49" customWidth="1"/>
    <col min="9" max="9" width="48.77734375" style="49" customWidth="1"/>
    <col min="10" max="10" width="8.77734375" style="49" customWidth="1"/>
    <col min="11" max="11" width="6.77734375" style="49" customWidth="1"/>
    <col min="12" max="12" width="13.77734375" style="49" customWidth="1"/>
    <col min="13" max="13" width="20.77734375" style="49" customWidth="1"/>
    <col min="14" max="14" width="11.77734375" style="49" customWidth="1"/>
    <col min="15" max="15" width="12.77734375" style="49" customWidth="1"/>
    <col min="16" max="16" width="9.77734375" style="49" customWidth="1"/>
    <col min="17" max="17" width="12.77734375" style="49" customWidth="1"/>
    <col min="18" max="18" width="20.77734375" style="49" customWidth="1"/>
    <col min="19" max="19" width="11.77734375" style="49" customWidth="1"/>
    <col min="20" max="20" width="10.77734375" style="49" customWidth="1"/>
    <col min="21" max="21" width="17.77734375" style="49" customWidth="1"/>
    <col min="22" max="22" width="9.77734375" style="49" customWidth="1"/>
    <col min="23" max="16384" width="8.88671875" style="49"/>
  </cols>
  <sheetData>
    <row r="1" spans="1:22" ht="24" customHeight="1">
      <c r="A1" s="182" t="s">
        <v>1757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22" ht="37.950000000000003" customHeight="1">
      <c r="A2" s="183" t="s">
        <v>2617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</row>
    <row r="4" spans="1:22" ht="30" customHeight="1">
      <c r="A4" s="82" t="s">
        <v>79</v>
      </c>
      <c r="B4" s="82" t="s">
        <v>20</v>
      </c>
      <c r="C4" s="82" t="s">
        <v>1742</v>
      </c>
      <c r="D4" s="82" t="s">
        <v>1727</v>
      </c>
      <c r="E4" s="82" t="s">
        <v>416</v>
      </c>
      <c r="F4" s="82" t="s">
        <v>1746</v>
      </c>
      <c r="G4" s="82" t="s">
        <v>1700</v>
      </c>
      <c r="H4" s="82" t="s">
        <v>69</v>
      </c>
      <c r="I4" s="82" t="s">
        <v>1758</v>
      </c>
      <c r="J4" s="82" t="s">
        <v>1702</v>
      </c>
      <c r="K4" s="82" t="s">
        <v>1747</v>
      </c>
      <c r="L4" s="82" t="s">
        <v>414</v>
      </c>
      <c r="M4" s="82" t="s">
        <v>276</v>
      </c>
      <c r="N4" s="82" t="s">
        <v>417</v>
      </c>
      <c r="O4" s="82" t="s">
        <v>1759</v>
      </c>
      <c r="P4" s="82" t="s">
        <v>1760</v>
      </c>
      <c r="Q4" s="82" t="s">
        <v>1761</v>
      </c>
      <c r="R4" s="82" t="s">
        <v>3</v>
      </c>
      <c r="S4" s="82" t="s">
        <v>291</v>
      </c>
      <c r="T4" s="82" t="s">
        <v>339</v>
      </c>
      <c r="U4" s="82" t="s">
        <v>57</v>
      </c>
      <c r="V4" s="105" t="s">
        <v>1755</v>
      </c>
    </row>
    <row r="5" spans="1:22" ht="22.8">
      <c r="A5" s="12" t="s">
        <v>2821</v>
      </c>
      <c r="B5" s="102" t="s">
        <v>1931</v>
      </c>
      <c r="C5" s="13" t="s">
        <v>1774</v>
      </c>
      <c r="D5" s="13" t="s">
        <v>1932</v>
      </c>
      <c r="E5" s="13" t="s">
        <v>1933</v>
      </c>
      <c r="F5" s="12" t="s">
        <v>82</v>
      </c>
      <c r="G5" s="12" t="s">
        <v>1705</v>
      </c>
      <c r="H5" s="12" t="s">
        <v>1735</v>
      </c>
      <c r="I5" s="13" t="s">
        <v>1934</v>
      </c>
      <c r="J5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5" s="54">
        <f>IF(OR(tbAud[[#This Row],[Resultado]]="",tbAud[[#This Row],[Resultado]]="N/A"),"",IF(tbAud[[#This Row],[Criticidade]]="Crítica",3,IF(tbAud[[#This Row],[Criticidade]]="Alta",2,1)))</f>
        <v>2</v>
      </c>
      <c r="L5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5" s="54" t="str">
        <f>IFERROR(INDEX(tbAuditorias[Área],MATCH(tbAud[[#This Row],[Auditoria]],tbAuditorias[Auditoria],0)),"")</f>
        <v>Qualidade</v>
      </c>
      <c r="N5" s="109">
        <f>IFERROR(INDEX(tbAuditorias[Data],MATCH(tbAud[[#This Row],[Auditoria]],tbAuditorias[Auditoria],0)),"")</f>
        <v>46350</v>
      </c>
      <c r="O5" s="12" t="s">
        <v>1778</v>
      </c>
      <c r="P5" s="12"/>
      <c r="Q5" s="12"/>
      <c r="R5" s="13"/>
      <c r="S5" s="16"/>
      <c r="T5" s="12"/>
      <c r="U5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" s="106">
        <f>IF(tbAud[[#This Row],[Peso]]="","",tbAud[[#This Row],[Peso]]*tbAud[[#This Row],[Pontos]])</f>
        <v>2</v>
      </c>
    </row>
    <row r="6" spans="1:22" ht="22.8">
      <c r="A6" s="12" t="s">
        <v>2821</v>
      </c>
      <c r="B6" s="102" t="s">
        <v>1935</v>
      </c>
      <c r="C6" s="13" t="s">
        <v>1774</v>
      </c>
      <c r="D6" s="13" t="s">
        <v>1936</v>
      </c>
      <c r="E6" s="13" t="s">
        <v>1937</v>
      </c>
      <c r="F6" s="12" t="s">
        <v>82</v>
      </c>
      <c r="G6" s="12" t="s">
        <v>1705</v>
      </c>
      <c r="H6" s="12" t="s">
        <v>1733</v>
      </c>
      <c r="I6" s="13" t="s">
        <v>1938</v>
      </c>
      <c r="J6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6" s="54">
        <f>IF(OR(tbAud[[#This Row],[Resultado]]="",tbAud[[#This Row],[Resultado]]="N/A"),"",IF(tbAud[[#This Row],[Criticidade]]="Crítica",3,IF(tbAud[[#This Row],[Criticidade]]="Alta",2,1)))</f>
        <v>2</v>
      </c>
      <c r="L6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6" s="54" t="str">
        <f>IFERROR(INDEX(tbAuditorias[Área],MATCH(tbAud[[#This Row],[Auditoria]],tbAuditorias[Auditoria],0)),"")</f>
        <v>Qualidade</v>
      </c>
      <c r="N6" s="109">
        <f>IFERROR(INDEX(tbAuditorias[Data],MATCH(tbAud[[#This Row],[Auditoria]],tbAuditorias[Auditoria],0)),"")</f>
        <v>46350</v>
      </c>
      <c r="O6" s="12" t="s">
        <v>1778</v>
      </c>
      <c r="P6" s="12"/>
      <c r="Q6" s="12"/>
      <c r="R6" s="13"/>
      <c r="S6" s="16"/>
      <c r="T6" s="12"/>
      <c r="U6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" s="106">
        <f>IF(tbAud[[#This Row],[Peso]]="","",tbAud[[#This Row],[Peso]]*tbAud[[#This Row],[Pontos]])</f>
        <v>2</v>
      </c>
    </row>
    <row r="7" spans="1:22" ht="22.8">
      <c r="A7" s="12" t="s">
        <v>2821</v>
      </c>
      <c r="B7" s="102" t="s">
        <v>1939</v>
      </c>
      <c r="C7" s="13" t="s">
        <v>1774</v>
      </c>
      <c r="D7" s="13" t="s">
        <v>1940</v>
      </c>
      <c r="E7" s="13" t="s">
        <v>1941</v>
      </c>
      <c r="F7" s="12" t="s">
        <v>82</v>
      </c>
      <c r="G7" s="12" t="s">
        <v>1705</v>
      </c>
      <c r="H7" s="12" t="s">
        <v>1734</v>
      </c>
      <c r="I7" s="13" t="s">
        <v>1942</v>
      </c>
      <c r="J7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7" s="54">
        <f>IF(OR(tbAud[[#This Row],[Resultado]]="",tbAud[[#This Row],[Resultado]]="N/A"),"",IF(tbAud[[#This Row],[Criticidade]]="Crítica",3,IF(tbAud[[#This Row],[Criticidade]]="Alta",2,1)))</f>
        <v>2</v>
      </c>
      <c r="L7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7" s="54" t="str">
        <f>IFERROR(INDEX(tbAuditorias[Área],MATCH(tbAud[[#This Row],[Auditoria]],tbAuditorias[Auditoria],0)),"")</f>
        <v>Qualidade</v>
      </c>
      <c r="N7" s="109">
        <f>IFERROR(INDEX(tbAuditorias[Data],MATCH(tbAud[[#This Row],[Auditoria]],tbAuditorias[Auditoria],0)),"")</f>
        <v>46350</v>
      </c>
      <c r="O7" s="12" t="s">
        <v>1773</v>
      </c>
      <c r="P7" s="12"/>
      <c r="Q7" s="12"/>
      <c r="R7" s="13"/>
      <c r="S7" s="16"/>
      <c r="T7" s="12"/>
      <c r="U7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7" s="106">
        <f>IF(tbAud[[#This Row],[Peso]]="","",tbAud[[#This Row],[Peso]]*tbAud[[#This Row],[Pontos]])</f>
        <v>2</v>
      </c>
    </row>
    <row r="8" spans="1:22" ht="22.8">
      <c r="A8" s="12" t="s">
        <v>2821</v>
      </c>
      <c r="B8" s="102" t="s">
        <v>1943</v>
      </c>
      <c r="C8" s="13" t="s">
        <v>1799</v>
      </c>
      <c r="D8" s="13" t="s">
        <v>1944</v>
      </c>
      <c r="E8" s="13" t="s">
        <v>1945</v>
      </c>
      <c r="F8" s="12" t="s">
        <v>82</v>
      </c>
      <c r="G8" s="12" t="s">
        <v>1708</v>
      </c>
      <c r="H8" s="12" t="s">
        <v>1734</v>
      </c>
      <c r="I8" s="13" t="s">
        <v>1946</v>
      </c>
      <c r="J8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8" s="54">
        <f>IF(OR(tbAud[[#This Row],[Resultado]]="",tbAud[[#This Row],[Resultado]]="N/A"),"",IF(tbAud[[#This Row],[Criticidade]]="Crítica",3,IF(tbAud[[#This Row],[Criticidade]]="Alta",2,1)))</f>
        <v>2</v>
      </c>
      <c r="L8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8" s="54" t="str">
        <f>IFERROR(INDEX(tbAuditorias[Área],MATCH(tbAud[[#This Row],[Auditoria]],tbAuditorias[Auditoria],0)),"")</f>
        <v>Qualidade</v>
      </c>
      <c r="N8" s="109">
        <f>IFERROR(INDEX(tbAuditorias[Data],MATCH(tbAud[[#This Row],[Auditoria]],tbAuditorias[Auditoria],0)),"")</f>
        <v>46350</v>
      </c>
      <c r="O8" s="12" t="s">
        <v>1805</v>
      </c>
      <c r="P8" s="12" t="s">
        <v>858</v>
      </c>
      <c r="Q8" s="12"/>
      <c r="R8" s="13"/>
      <c r="S8" s="16"/>
      <c r="T8" s="12"/>
      <c r="U8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8" s="106">
        <f>IF(tbAud[[#This Row],[Peso]]="","",tbAud[[#This Row],[Peso]]*tbAud[[#This Row],[Pontos]])</f>
        <v>1</v>
      </c>
    </row>
    <row r="9" spans="1:22" ht="22.8">
      <c r="A9" s="12" t="s">
        <v>2821</v>
      </c>
      <c r="B9" s="102" t="s">
        <v>1947</v>
      </c>
      <c r="C9" s="13" t="s">
        <v>1799</v>
      </c>
      <c r="D9" s="13" t="s">
        <v>1948</v>
      </c>
      <c r="E9" s="13" t="s">
        <v>1949</v>
      </c>
      <c r="F9" s="12" t="s">
        <v>71</v>
      </c>
      <c r="G9" s="12" t="s">
        <v>1705</v>
      </c>
      <c r="H9" s="12" t="s">
        <v>1735</v>
      </c>
      <c r="I9" s="13" t="s">
        <v>1950</v>
      </c>
      <c r="J9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9" s="54">
        <f>IF(OR(tbAud[[#This Row],[Resultado]]="",tbAud[[#This Row],[Resultado]]="N/A"),"",IF(tbAud[[#This Row],[Criticidade]]="Crítica",3,IF(tbAud[[#This Row],[Criticidade]]="Alta",2,1)))</f>
        <v>1</v>
      </c>
      <c r="L9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9" s="54" t="str">
        <f>IFERROR(INDEX(tbAuditorias[Área],MATCH(tbAud[[#This Row],[Auditoria]],tbAuditorias[Auditoria],0)),"")</f>
        <v>Qualidade</v>
      </c>
      <c r="N9" s="109">
        <f>IFERROR(INDEX(tbAuditorias[Data],MATCH(tbAud[[#This Row],[Auditoria]],tbAuditorias[Auditoria],0)),"")</f>
        <v>46350</v>
      </c>
      <c r="O9" s="12" t="s">
        <v>1802</v>
      </c>
      <c r="P9" s="12"/>
      <c r="Q9" s="12"/>
      <c r="R9" s="13"/>
      <c r="S9" s="16"/>
      <c r="T9" s="12"/>
      <c r="U9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9" s="106">
        <f>IF(tbAud[[#This Row],[Peso]]="","",tbAud[[#This Row],[Peso]]*tbAud[[#This Row],[Pontos]])</f>
        <v>1</v>
      </c>
    </row>
    <row r="10" spans="1:22" ht="22.8">
      <c r="A10" s="12" t="s">
        <v>2821</v>
      </c>
      <c r="B10" s="102" t="s">
        <v>1951</v>
      </c>
      <c r="C10" s="13" t="s">
        <v>1818</v>
      </c>
      <c r="D10" s="13" t="s">
        <v>1952</v>
      </c>
      <c r="E10" s="13" t="s">
        <v>1953</v>
      </c>
      <c r="F10" s="12" t="s">
        <v>1728</v>
      </c>
      <c r="G10" s="12" t="s">
        <v>1705</v>
      </c>
      <c r="H10" s="12" t="s">
        <v>1734</v>
      </c>
      <c r="I10" s="13" t="s">
        <v>1954</v>
      </c>
      <c r="J10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10" s="54">
        <f>IF(OR(tbAud[[#This Row],[Resultado]]="",tbAud[[#This Row],[Resultado]]="N/A"),"",IF(tbAud[[#This Row],[Criticidade]]="Crítica",3,IF(tbAud[[#This Row],[Criticidade]]="Alta",2,1)))</f>
        <v>3</v>
      </c>
      <c r="L10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10" s="54" t="str">
        <f>IFERROR(INDEX(tbAuditorias[Área],MATCH(tbAud[[#This Row],[Auditoria]],tbAuditorias[Auditoria],0)),"")</f>
        <v>Qualidade</v>
      </c>
      <c r="N10" s="109">
        <f>IFERROR(INDEX(tbAuditorias[Data],MATCH(tbAud[[#This Row],[Auditoria]],tbAuditorias[Auditoria],0)),"")</f>
        <v>46350</v>
      </c>
      <c r="O10" s="12" t="s">
        <v>1822</v>
      </c>
      <c r="P10" s="12"/>
      <c r="Q10" s="12"/>
      <c r="R10" s="13"/>
      <c r="S10" s="16"/>
      <c r="T10" s="12"/>
      <c r="U10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0" s="106">
        <f>IF(tbAud[[#This Row],[Peso]]="","",tbAud[[#This Row],[Peso]]*tbAud[[#This Row],[Pontos]])</f>
        <v>3</v>
      </c>
    </row>
    <row r="11" spans="1:22" ht="22.8">
      <c r="A11" s="12" t="s">
        <v>2821</v>
      </c>
      <c r="B11" s="102" t="s">
        <v>1955</v>
      </c>
      <c r="C11" s="13" t="s">
        <v>1818</v>
      </c>
      <c r="D11" s="13" t="s">
        <v>1956</v>
      </c>
      <c r="E11" s="13" t="s">
        <v>1957</v>
      </c>
      <c r="F11" s="12" t="s">
        <v>1728</v>
      </c>
      <c r="G11" s="12" t="s">
        <v>1705</v>
      </c>
      <c r="H11" s="12" t="s">
        <v>1733</v>
      </c>
      <c r="I11" s="13" t="s">
        <v>1958</v>
      </c>
      <c r="J11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11" s="54">
        <f>IF(OR(tbAud[[#This Row],[Resultado]]="",tbAud[[#This Row],[Resultado]]="N/A"),"",IF(tbAud[[#This Row],[Criticidade]]="Crítica",3,IF(tbAud[[#This Row],[Criticidade]]="Alta",2,1)))</f>
        <v>3</v>
      </c>
      <c r="L11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11" s="54" t="str">
        <f>IFERROR(INDEX(tbAuditorias[Área],MATCH(tbAud[[#This Row],[Auditoria]],tbAuditorias[Auditoria],0)),"")</f>
        <v>Qualidade</v>
      </c>
      <c r="N11" s="109">
        <f>IFERROR(INDEX(tbAuditorias[Data],MATCH(tbAud[[#This Row],[Auditoria]],tbAuditorias[Auditoria],0)),"")</f>
        <v>46350</v>
      </c>
      <c r="O11" s="12" t="s">
        <v>1817</v>
      </c>
      <c r="P11" s="12"/>
      <c r="Q11" s="12"/>
      <c r="R11" s="13"/>
      <c r="S11" s="16"/>
      <c r="T11" s="12"/>
      <c r="U11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1" s="106">
        <f>IF(tbAud[[#This Row],[Peso]]="","",tbAud[[#This Row],[Peso]]*tbAud[[#This Row],[Pontos]])</f>
        <v>3</v>
      </c>
    </row>
    <row r="12" spans="1:22" ht="22.8">
      <c r="A12" s="12" t="s">
        <v>2821</v>
      </c>
      <c r="B12" s="102" t="s">
        <v>1959</v>
      </c>
      <c r="C12" s="13" t="s">
        <v>1818</v>
      </c>
      <c r="D12" s="13" t="s">
        <v>1960</v>
      </c>
      <c r="E12" s="13" t="s">
        <v>1961</v>
      </c>
      <c r="F12" s="12" t="s">
        <v>82</v>
      </c>
      <c r="G12" s="12" t="s">
        <v>1705</v>
      </c>
      <c r="H12" s="12" t="s">
        <v>1733</v>
      </c>
      <c r="I12" s="13" t="s">
        <v>1962</v>
      </c>
      <c r="J12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12" s="54">
        <f>IF(OR(tbAud[[#This Row],[Resultado]]="",tbAud[[#This Row],[Resultado]]="N/A"),"",IF(tbAud[[#This Row],[Criticidade]]="Crítica",3,IF(tbAud[[#This Row],[Criticidade]]="Alta",2,1)))</f>
        <v>2</v>
      </c>
      <c r="L12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12" s="54" t="str">
        <f>IFERROR(INDEX(tbAuditorias[Área],MATCH(tbAud[[#This Row],[Auditoria]],tbAuditorias[Auditoria],0)),"")</f>
        <v>Qualidade</v>
      </c>
      <c r="N12" s="109">
        <f>IFERROR(INDEX(tbAuditorias[Data],MATCH(tbAud[[#This Row],[Auditoria]],tbAuditorias[Auditoria],0)),"")</f>
        <v>46350</v>
      </c>
      <c r="O12" s="12" t="s">
        <v>1826</v>
      </c>
      <c r="P12" s="12"/>
      <c r="Q12" s="12"/>
      <c r="R12" s="13"/>
      <c r="S12" s="16"/>
      <c r="T12" s="12"/>
      <c r="U12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2" s="106">
        <f>IF(tbAud[[#This Row],[Peso]]="","",tbAud[[#This Row],[Peso]]*tbAud[[#This Row],[Pontos]])</f>
        <v>2</v>
      </c>
    </row>
    <row r="13" spans="1:22" ht="22.8">
      <c r="A13" s="12" t="s">
        <v>2821</v>
      </c>
      <c r="B13" s="102" t="s">
        <v>1963</v>
      </c>
      <c r="C13" s="13" t="s">
        <v>1835</v>
      </c>
      <c r="D13" s="13" t="s">
        <v>1964</v>
      </c>
      <c r="E13" s="13" t="s">
        <v>1965</v>
      </c>
      <c r="F13" s="12" t="s">
        <v>82</v>
      </c>
      <c r="G13" s="12" t="s">
        <v>1705</v>
      </c>
      <c r="H13" s="12" t="s">
        <v>1734</v>
      </c>
      <c r="I13" s="13" t="s">
        <v>1966</v>
      </c>
      <c r="J13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13" s="54">
        <f>IF(OR(tbAud[[#This Row],[Resultado]]="",tbAud[[#This Row],[Resultado]]="N/A"),"",IF(tbAud[[#This Row],[Criticidade]]="Crítica",3,IF(tbAud[[#This Row],[Criticidade]]="Alta",2,1)))</f>
        <v>2</v>
      </c>
      <c r="L13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13" s="54" t="str">
        <f>IFERROR(INDEX(tbAuditorias[Área],MATCH(tbAud[[#This Row],[Auditoria]],tbAuditorias[Auditoria],0)),"")</f>
        <v>Qualidade</v>
      </c>
      <c r="N13" s="109">
        <f>IFERROR(INDEX(tbAuditorias[Data],MATCH(tbAud[[#This Row],[Auditoria]],tbAuditorias[Auditoria],0)),"")</f>
        <v>46350</v>
      </c>
      <c r="O13" s="12" t="s">
        <v>1834</v>
      </c>
      <c r="P13" s="12"/>
      <c r="Q13" s="12"/>
      <c r="R13" s="13"/>
      <c r="S13" s="16"/>
      <c r="T13" s="12"/>
      <c r="U13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3" s="106">
        <f>IF(tbAud[[#This Row],[Peso]]="","",tbAud[[#This Row],[Peso]]*tbAud[[#This Row],[Pontos]])</f>
        <v>2</v>
      </c>
    </row>
    <row r="14" spans="1:22" ht="22.8">
      <c r="A14" s="12" t="s">
        <v>2821</v>
      </c>
      <c r="B14" s="102" t="s">
        <v>1967</v>
      </c>
      <c r="C14" s="13" t="s">
        <v>1835</v>
      </c>
      <c r="D14" s="13" t="s">
        <v>1968</v>
      </c>
      <c r="E14" s="13" t="s">
        <v>1969</v>
      </c>
      <c r="F14" s="12" t="s">
        <v>82</v>
      </c>
      <c r="G14" s="12" t="s">
        <v>1708</v>
      </c>
      <c r="H14" s="12" t="s">
        <v>1734</v>
      </c>
      <c r="I14" s="13" t="s">
        <v>1970</v>
      </c>
      <c r="J14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14" s="54">
        <f>IF(OR(tbAud[[#This Row],[Resultado]]="",tbAud[[#This Row],[Resultado]]="N/A"),"",IF(tbAud[[#This Row],[Criticidade]]="Crítica",3,IF(tbAud[[#This Row],[Criticidade]]="Alta",2,1)))</f>
        <v>2</v>
      </c>
      <c r="L14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14" s="54" t="str">
        <f>IFERROR(INDEX(tbAuditorias[Área],MATCH(tbAud[[#This Row],[Auditoria]],tbAuditorias[Auditoria],0)),"")</f>
        <v>Qualidade</v>
      </c>
      <c r="N14" s="109">
        <f>IFERROR(INDEX(tbAuditorias[Data],MATCH(tbAud[[#This Row],[Auditoria]],tbAuditorias[Auditoria],0)),"")</f>
        <v>46350</v>
      </c>
      <c r="O14" s="12" t="s">
        <v>1839</v>
      </c>
      <c r="P14" s="12" t="s">
        <v>905</v>
      </c>
      <c r="Q14" s="12" t="s">
        <v>913</v>
      </c>
      <c r="R14" s="13" t="s">
        <v>390</v>
      </c>
      <c r="S14" s="16">
        <v>46477</v>
      </c>
      <c r="T14" s="12" t="s">
        <v>1737</v>
      </c>
      <c r="U14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4" s="106">
        <f>IF(tbAud[[#This Row],[Peso]]="","",tbAud[[#This Row],[Peso]]*tbAud[[#This Row],[Pontos]])</f>
        <v>1</v>
      </c>
    </row>
    <row r="15" spans="1:22" ht="22.8">
      <c r="A15" s="12" t="s">
        <v>2821</v>
      </c>
      <c r="B15" s="102" t="s">
        <v>1971</v>
      </c>
      <c r="C15" s="13" t="s">
        <v>1835</v>
      </c>
      <c r="D15" s="13" t="s">
        <v>1972</v>
      </c>
      <c r="E15" s="13" t="s">
        <v>1965</v>
      </c>
      <c r="F15" s="12" t="s">
        <v>1728</v>
      </c>
      <c r="G15" s="12" t="s">
        <v>1705</v>
      </c>
      <c r="H15" s="12" t="s">
        <v>1733</v>
      </c>
      <c r="I15" s="13" t="s">
        <v>1973</v>
      </c>
      <c r="J15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15" s="54">
        <f>IF(OR(tbAud[[#This Row],[Resultado]]="",tbAud[[#This Row],[Resultado]]="N/A"),"",IF(tbAud[[#This Row],[Criticidade]]="Crítica",3,IF(tbAud[[#This Row],[Criticidade]]="Alta",2,1)))</f>
        <v>3</v>
      </c>
      <c r="L15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15" s="54" t="str">
        <f>IFERROR(INDEX(tbAuditorias[Área],MATCH(tbAud[[#This Row],[Auditoria]],tbAuditorias[Auditoria],0)),"")</f>
        <v>Qualidade</v>
      </c>
      <c r="N15" s="109">
        <f>IFERROR(INDEX(tbAuditorias[Data],MATCH(tbAud[[#This Row],[Auditoria]],tbAuditorias[Auditoria],0)),"")</f>
        <v>46350</v>
      </c>
      <c r="O15" s="12" t="s">
        <v>1817</v>
      </c>
      <c r="P15" s="12"/>
      <c r="Q15" s="12"/>
      <c r="R15" s="13"/>
      <c r="S15" s="16"/>
      <c r="T15" s="12"/>
      <c r="U15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5" s="106">
        <f>IF(tbAud[[#This Row],[Peso]]="","",tbAud[[#This Row],[Peso]]*tbAud[[#This Row],[Pontos]])</f>
        <v>3</v>
      </c>
    </row>
    <row r="16" spans="1:22" ht="22.8">
      <c r="A16" s="12" t="s">
        <v>2821</v>
      </c>
      <c r="B16" s="102" t="s">
        <v>1974</v>
      </c>
      <c r="C16" s="13" t="s">
        <v>1835</v>
      </c>
      <c r="D16" s="13" t="s">
        <v>1975</v>
      </c>
      <c r="E16" s="13" t="s">
        <v>1976</v>
      </c>
      <c r="F16" s="12" t="s">
        <v>1728</v>
      </c>
      <c r="G16" s="12" t="s">
        <v>1705</v>
      </c>
      <c r="H16" s="12" t="s">
        <v>1734</v>
      </c>
      <c r="I16" s="13" t="s">
        <v>1977</v>
      </c>
      <c r="J16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16" s="54">
        <f>IF(OR(tbAud[[#This Row],[Resultado]]="",tbAud[[#This Row],[Resultado]]="N/A"),"",IF(tbAud[[#This Row],[Criticidade]]="Crítica",3,IF(tbAud[[#This Row],[Criticidade]]="Alta",2,1)))</f>
        <v>3</v>
      </c>
      <c r="L16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16" s="54" t="str">
        <f>IFERROR(INDEX(tbAuditorias[Área],MATCH(tbAud[[#This Row],[Auditoria]],tbAuditorias[Auditoria],0)),"")</f>
        <v>Qualidade</v>
      </c>
      <c r="N16" s="109">
        <f>IFERROR(INDEX(tbAuditorias[Data],MATCH(tbAud[[#This Row],[Auditoria]],tbAuditorias[Auditoria],0)),"")</f>
        <v>46350</v>
      </c>
      <c r="O16" s="12" t="s">
        <v>1843</v>
      </c>
      <c r="P16" s="12"/>
      <c r="Q16" s="12"/>
      <c r="R16" s="13"/>
      <c r="S16" s="16"/>
      <c r="T16" s="12"/>
      <c r="U16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6" s="106">
        <f>IF(tbAud[[#This Row],[Peso]]="","",tbAud[[#This Row],[Peso]]*tbAud[[#This Row],[Pontos]])</f>
        <v>3</v>
      </c>
    </row>
    <row r="17" spans="1:22" ht="22.8">
      <c r="A17" s="12" t="s">
        <v>2821</v>
      </c>
      <c r="B17" s="102" t="s">
        <v>1978</v>
      </c>
      <c r="C17" s="13" t="s">
        <v>1835</v>
      </c>
      <c r="D17" s="13" t="s">
        <v>1979</v>
      </c>
      <c r="E17" s="13" t="s">
        <v>1980</v>
      </c>
      <c r="F17" s="12" t="s">
        <v>1728</v>
      </c>
      <c r="G17" s="12" t="s">
        <v>1705</v>
      </c>
      <c r="H17" s="12" t="s">
        <v>1711</v>
      </c>
      <c r="I17" s="13" t="s">
        <v>1981</v>
      </c>
      <c r="J17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17" s="54">
        <f>IF(OR(tbAud[[#This Row],[Resultado]]="",tbAud[[#This Row],[Resultado]]="N/A"),"",IF(tbAud[[#This Row],[Criticidade]]="Crítica",3,IF(tbAud[[#This Row],[Criticidade]]="Alta",2,1)))</f>
        <v>3</v>
      </c>
      <c r="L17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17" s="54" t="str">
        <f>IFERROR(INDEX(tbAuditorias[Área],MATCH(tbAud[[#This Row],[Auditoria]],tbAuditorias[Auditoria],0)),"")</f>
        <v>Qualidade</v>
      </c>
      <c r="N17" s="109">
        <f>IFERROR(INDEX(tbAuditorias[Data],MATCH(tbAud[[#This Row],[Auditoria]],tbAuditorias[Auditoria],0)),"")</f>
        <v>46350</v>
      </c>
      <c r="O17" s="12" t="s">
        <v>1847</v>
      </c>
      <c r="P17" s="12"/>
      <c r="Q17" s="12"/>
      <c r="R17" s="13"/>
      <c r="S17" s="16"/>
      <c r="T17" s="12"/>
      <c r="U17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7" s="106">
        <f>IF(tbAud[[#This Row],[Peso]]="","",tbAud[[#This Row],[Peso]]*tbAud[[#This Row],[Pontos]])</f>
        <v>3</v>
      </c>
    </row>
    <row r="18" spans="1:22" ht="22.8">
      <c r="A18" s="12" t="s">
        <v>2821</v>
      </c>
      <c r="B18" s="102" t="s">
        <v>1982</v>
      </c>
      <c r="C18" s="13" t="s">
        <v>1835</v>
      </c>
      <c r="D18" s="13" t="s">
        <v>1983</v>
      </c>
      <c r="E18" s="13" t="s">
        <v>1984</v>
      </c>
      <c r="F18" s="12" t="s">
        <v>1728</v>
      </c>
      <c r="G18" s="12" t="s">
        <v>1713</v>
      </c>
      <c r="H18" s="12" t="s">
        <v>1665</v>
      </c>
      <c r="I18" s="13" t="s">
        <v>1985</v>
      </c>
      <c r="J18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</v>
      </c>
      <c r="K18" s="54">
        <f>IF(OR(tbAud[[#This Row],[Resultado]]="",tbAud[[#This Row],[Resultado]]="N/A"),"",IF(tbAud[[#This Row],[Criticidade]]="Crítica",3,IF(tbAud[[#This Row],[Criticidade]]="Alta",2,1)))</f>
        <v>3</v>
      </c>
      <c r="L18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NC maior</v>
      </c>
      <c r="M18" s="54" t="str">
        <f>IFERROR(INDEX(tbAuditorias[Área],MATCH(tbAud[[#This Row],[Auditoria]],tbAuditorias[Auditoria],0)),"")</f>
        <v>Qualidade</v>
      </c>
      <c r="N18" s="109">
        <f>IFERROR(INDEX(tbAuditorias[Data],MATCH(tbAud[[#This Row],[Auditoria]],tbAuditorias[Auditoria],0)),"")</f>
        <v>46350</v>
      </c>
      <c r="O18" s="12" t="s">
        <v>1847</v>
      </c>
      <c r="P18" s="12" t="s">
        <v>905</v>
      </c>
      <c r="Q18" s="12" t="s">
        <v>913</v>
      </c>
      <c r="R18" s="13" t="s">
        <v>103</v>
      </c>
      <c r="S18" s="16">
        <v>46477</v>
      </c>
      <c r="T18" s="12" t="s">
        <v>1737</v>
      </c>
      <c r="U18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8" s="106">
        <f>IF(tbAud[[#This Row],[Peso]]="","",tbAud[[#This Row],[Peso]]*tbAud[[#This Row],[Pontos]])</f>
        <v>0</v>
      </c>
    </row>
    <row r="19" spans="1:22" ht="22.8">
      <c r="A19" s="12" t="s">
        <v>2821</v>
      </c>
      <c r="B19" s="102" t="s">
        <v>1986</v>
      </c>
      <c r="C19" s="13" t="s">
        <v>1852</v>
      </c>
      <c r="D19" s="13" t="s">
        <v>1987</v>
      </c>
      <c r="E19" s="13" t="s">
        <v>1988</v>
      </c>
      <c r="F19" s="12" t="s">
        <v>82</v>
      </c>
      <c r="G19" s="12" t="s">
        <v>1708</v>
      </c>
      <c r="H19" s="12" t="s">
        <v>1734</v>
      </c>
      <c r="I19" s="13" t="s">
        <v>1989</v>
      </c>
      <c r="J19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19" s="54">
        <f>IF(OR(tbAud[[#This Row],[Resultado]]="",tbAud[[#This Row],[Resultado]]="N/A"),"",IF(tbAud[[#This Row],[Criticidade]]="Crítica",3,IF(tbAud[[#This Row],[Criticidade]]="Alta",2,1)))</f>
        <v>2</v>
      </c>
      <c r="L19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19" s="54" t="str">
        <f>IFERROR(INDEX(tbAuditorias[Área],MATCH(tbAud[[#This Row],[Auditoria]],tbAuditorias[Auditoria],0)),"")</f>
        <v>Qualidade</v>
      </c>
      <c r="N19" s="109">
        <f>IFERROR(INDEX(tbAuditorias[Data],MATCH(tbAud[[#This Row],[Auditoria]],tbAuditorias[Auditoria],0)),"")</f>
        <v>46350</v>
      </c>
      <c r="O19" s="12" t="s">
        <v>1851</v>
      </c>
      <c r="P19" s="12" t="s">
        <v>858</v>
      </c>
      <c r="Q19" s="12" t="s">
        <v>865</v>
      </c>
      <c r="R19" s="13" t="s">
        <v>104</v>
      </c>
      <c r="S19" s="16">
        <v>46477</v>
      </c>
      <c r="T19" s="12" t="s">
        <v>1737</v>
      </c>
      <c r="U19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19" s="106">
        <f>IF(tbAud[[#This Row],[Peso]]="","",tbAud[[#This Row],[Peso]]*tbAud[[#This Row],[Pontos]])</f>
        <v>1</v>
      </c>
    </row>
    <row r="20" spans="1:22" ht="22.8">
      <c r="A20" s="12" t="s">
        <v>2821</v>
      </c>
      <c r="B20" s="102" t="s">
        <v>1990</v>
      </c>
      <c r="C20" s="13" t="s">
        <v>1852</v>
      </c>
      <c r="D20" s="13" t="s">
        <v>1991</v>
      </c>
      <c r="E20" s="13" t="s">
        <v>1992</v>
      </c>
      <c r="F20" s="12" t="s">
        <v>82</v>
      </c>
      <c r="G20" s="12" t="s">
        <v>1705</v>
      </c>
      <c r="H20" s="12" t="s">
        <v>1733</v>
      </c>
      <c r="I20" s="13" t="s">
        <v>1993</v>
      </c>
      <c r="J20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0" s="54">
        <f>IF(OR(tbAud[[#This Row],[Resultado]]="",tbAud[[#This Row],[Resultado]]="N/A"),"",IF(tbAud[[#This Row],[Criticidade]]="Crítica",3,IF(tbAud[[#This Row],[Criticidade]]="Alta",2,1)))</f>
        <v>2</v>
      </c>
      <c r="L20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0" s="54" t="str">
        <f>IFERROR(INDEX(tbAuditorias[Área],MATCH(tbAud[[#This Row],[Auditoria]],tbAuditorias[Auditoria],0)),"")</f>
        <v>Qualidade</v>
      </c>
      <c r="N20" s="109">
        <f>IFERROR(INDEX(tbAuditorias[Data],MATCH(tbAud[[#This Row],[Auditoria]],tbAuditorias[Auditoria],0)),"")</f>
        <v>46350</v>
      </c>
      <c r="O20" s="12" t="s">
        <v>1856</v>
      </c>
      <c r="P20" s="12"/>
      <c r="Q20" s="12"/>
      <c r="R20" s="13"/>
      <c r="S20" s="16"/>
      <c r="T20" s="12"/>
      <c r="U20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0" s="106">
        <f>IF(tbAud[[#This Row],[Peso]]="","",tbAud[[#This Row],[Peso]]*tbAud[[#This Row],[Pontos]])</f>
        <v>2</v>
      </c>
    </row>
    <row r="21" spans="1:22" ht="22.8">
      <c r="A21" s="12" t="s">
        <v>2821</v>
      </c>
      <c r="B21" s="102" t="s">
        <v>1994</v>
      </c>
      <c r="C21" s="13" t="s">
        <v>1852</v>
      </c>
      <c r="D21" s="13" t="s">
        <v>1995</v>
      </c>
      <c r="E21" s="13" t="s">
        <v>1996</v>
      </c>
      <c r="F21" s="12" t="s">
        <v>82</v>
      </c>
      <c r="G21" s="12" t="s">
        <v>1705</v>
      </c>
      <c r="H21" s="12" t="s">
        <v>1733</v>
      </c>
      <c r="I21" s="13" t="s">
        <v>1997</v>
      </c>
      <c r="J21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1" s="54">
        <f>IF(OR(tbAud[[#This Row],[Resultado]]="",tbAud[[#This Row],[Resultado]]="N/A"),"",IF(tbAud[[#This Row],[Criticidade]]="Crítica",3,IF(tbAud[[#This Row],[Criticidade]]="Alta",2,1)))</f>
        <v>2</v>
      </c>
      <c r="L21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1" s="54" t="str">
        <f>IFERROR(INDEX(tbAuditorias[Área],MATCH(tbAud[[#This Row],[Auditoria]],tbAuditorias[Auditoria],0)),"")</f>
        <v>Qualidade</v>
      </c>
      <c r="N21" s="109">
        <f>IFERROR(INDEX(tbAuditorias[Data],MATCH(tbAud[[#This Row],[Auditoria]],tbAuditorias[Auditoria],0)),"")</f>
        <v>46350</v>
      </c>
      <c r="O21" s="12" t="s">
        <v>1860</v>
      </c>
      <c r="P21" s="12"/>
      <c r="Q21" s="12"/>
      <c r="R21" s="13"/>
      <c r="S21" s="16"/>
      <c r="T21" s="12"/>
      <c r="U21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1" s="106">
        <f>IF(tbAud[[#This Row],[Peso]]="","",tbAud[[#This Row],[Peso]]*tbAud[[#This Row],[Pontos]])</f>
        <v>2</v>
      </c>
    </row>
    <row r="22" spans="1:22" ht="22.8">
      <c r="A22" s="12" t="s">
        <v>2821</v>
      </c>
      <c r="B22" s="102" t="s">
        <v>1998</v>
      </c>
      <c r="C22" s="13" t="s">
        <v>1852</v>
      </c>
      <c r="D22" s="13" t="s">
        <v>1999</v>
      </c>
      <c r="E22" s="13" t="s">
        <v>2000</v>
      </c>
      <c r="F22" s="12" t="s">
        <v>82</v>
      </c>
      <c r="G22" s="12" t="s">
        <v>1705</v>
      </c>
      <c r="H22" s="12" t="s">
        <v>1734</v>
      </c>
      <c r="I22" s="13" t="s">
        <v>2001</v>
      </c>
      <c r="J22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2" s="54">
        <f>IF(OR(tbAud[[#This Row],[Resultado]]="",tbAud[[#This Row],[Resultado]]="N/A"),"",IF(tbAud[[#This Row],[Criticidade]]="Crítica",3,IF(tbAud[[#This Row],[Criticidade]]="Alta",2,1)))</f>
        <v>2</v>
      </c>
      <c r="L22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2" s="54" t="str">
        <f>IFERROR(INDEX(tbAuditorias[Área],MATCH(tbAud[[#This Row],[Auditoria]],tbAuditorias[Auditoria],0)),"")</f>
        <v>Qualidade</v>
      </c>
      <c r="N22" s="109">
        <f>IFERROR(INDEX(tbAuditorias[Data],MATCH(tbAud[[#This Row],[Auditoria]],tbAuditorias[Auditoria],0)),"")</f>
        <v>46350</v>
      </c>
      <c r="O22" s="12" t="s">
        <v>1830</v>
      </c>
      <c r="P22" s="12"/>
      <c r="Q22" s="12"/>
      <c r="R22" s="13"/>
      <c r="S22" s="16"/>
      <c r="T22" s="12"/>
      <c r="U22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2" s="106">
        <f>IF(tbAud[[#This Row],[Peso]]="","",tbAud[[#This Row],[Peso]]*tbAud[[#This Row],[Pontos]])</f>
        <v>2</v>
      </c>
    </row>
    <row r="23" spans="1:22" ht="22.8">
      <c r="A23" s="12" t="s">
        <v>2821</v>
      </c>
      <c r="B23" s="102" t="s">
        <v>2002</v>
      </c>
      <c r="C23" s="13" t="s">
        <v>1868</v>
      </c>
      <c r="D23" s="13" t="s">
        <v>2003</v>
      </c>
      <c r="E23" s="13" t="s">
        <v>2004</v>
      </c>
      <c r="F23" s="12" t="s">
        <v>71</v>
      </c>
      <c r="G23" s="12" t="s">
        <v>1705</v>
      </c>
      <c r="H23" s="12" t="s">
        <v>1734</v>
      </c>
      <c r="I23" s="13" t="s">
        <v>2005</v>
      </c>
      <c r="J23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3" s="54">
        <f>IF(OR(tbAud[[#This Row],[Resultado]]="",tbAud[[#This Row],[Resultado]]="N/A"),"",IF(tbAud[[#This Row],[Criticidade]]="Crítica",3,IF(tbAud[[#This Row],[Criticidade]]="Alta",2,1)))</f>
        <v>1</v>
      </c>
      <c r="L23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3" s="54" t="str">
        <f>IFERROR(INDEX(tbAuditorias[Área],MATCH(tbAud[[#This Row],[Auditoria]],tbAuditorias[Auditoria],0)),"")</f>
        <v>Qualidade</v>
      </c>
      <c r="N23" s="109">
        <f>IFERROR(INDEX(tbAuditorias[Data],MATCH(tbAud[[#This Row],[Auditoria]],tbAuditorias[Auditoria],0)),"")</f>
        <v>46350</v>
      </c>
      <c r="O23" s="108">
        <v>46113</v>
      </c>
      <c r="P23" s="12"/>
      <c r="Q23" s="12"/>
      <c r="R23" s="13"/>
      <c r="S23" s="16"/>
      <c r="T23" s="12"/>
      <c r="U23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3" s="106">
        <f>IF(tbAud[[#This Row],[Peso]]="","",tbAud[[#This Row],[Peso]]*tbAud[[#This Row],[Pontos]])</f>
        <v>1</v>
      </c>
    </row>
    <row r="24" spans="1:22" ht="22.8">
      <c r="A24" s="12" t="s">
        <v>2821</v>
      </c>
      <c r="B24" s="102" t="s">
        <v>2006</v>
      </c>
      <c r="C24" s="13" t="s">
        <v>1868</v>
      </c>
      <c r="D24" s="13" t="s">
        <v>2007</v>
      </c>
      <c r="E24" s="13" t="s">
        <v>2008</v>
      </c>
      <c r="F24" s="12" t="s">
        <v>82</v>
      </c>
      <c r="G24" s="12" t="s">
        <v>1705</v>
      </c>
      <c r="H24" s="12" t="s">
        <v>1735</v>
      </c>
      <c r="I24" s="13" t="s">
        <v>2009</v>
      </c>
      <c r="J24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4" s="54">
        <f>IF(OR(tbAud[[#This Row],[Resultado]]="",tbAud[[#This Row],[Resultado]]="N/A"),"",IF(tbAud[[#This Row],[Criticidade]]="Crítica",3,IF(tbAud[[#This Row],[Criticidade]]="Alta",2,1)))</f>
        <v>2</v>
      </c>
      <c r="L24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4" s="54" t="str">
        <f>IFERROR(INDEX(tbAuditorias[Área],MATCH(tbAud[[#This Row],[Auditoria]],tbAuditorias[Auditoria],0)),"")</f>
        <v>Qualidade</v>
      </c>
      <c r="N24" s="109">
        <f>IFERROR(INDEX(tbAuditorias[Data],MATCH(tbAud[[#This Row],[Auditoria]],tbAuditorias[Auditoria],0)),"")</f>
        <v>46350</v>
      </c>
      <c r="O24" s="12" t="s">
        <v>1773</v>
      </c>
      <c r="P24" s="12"/>
      <c r="Q24" s="12"/>
      <c r="R24" s="13"/>
      <c r="S24" s="16"/>
      <c r="T24" s="12"/>
      <c r="U24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4" s="106">
        <f>IF(tbAud[[#This Row],[Peso]]="","",tbAud[[#This Row],[Peso]]*tbAud[[#This Row],[Pontos]])</f>
        <v>2</v>
      </c>
    </row>
    <row r="25" spans="1:22" ht="22.8">
      <c r="A25" s="12" t="s">
        <v>2821</v>
      </c>
      <c r="B25" s="102" t="s">
        <v>2010</v>
      </c>
      <c r="C25" s="13" t="s">
        <v>1868</v>
      </c>
      <c r="D25" s="13" t="s">
        <v>2011</v>
      </c>
      <c r="E25" s="13" t="s">
        <v>2012</v>
      </c>
      <c r="F25" s="12" t="s">
        <v>1728</v>
      </c>
      <c r="G25" s="12" t="s">
        <v>1708</v>
      </c>
      <c r="H25" s="12" t="s">
        <v>1734</v>
      </c>
      <c r="I25" s="13" t="s">
        <v>2013</v>
      </c>
      <c r="J25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25" s="54">
        <f>IF(OR(tbAud[[#This Row],[Resultado]]="",tbAud[[#This Row],[Resultado]]="N/A"),"",IF(tbAud[[#This Row],[Criticidade]]="Crítica",3,IF(tbAud[[#This Row],[Criticidade]]="Alta",2,1)))</f>
        <v>3</v>
      </c>
      <c r="L25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25" s="54" t="str">
        <f>IFERROR(INDEX(tbAuditorias[Área],MATCH(tbAud[[#This Row],[Auditoria]],tbAuditorias[Auditoria],0)),"")</f>
        <v>Qualidade</v>
      </c>
      <c r="N25" s="109">
        <f>IFERROR(INDEX(tbAuditorias[Data],MATCH(tbAud[[#This Row],[Auditoria]],tbAuditorias[Auditoria],0)),"")</f>
        <v>46350</v>
      </c>
      <c r="O25" s="12" t="s">
        <v>1847</v>
      </c>
      <c r="P25" s="12" t="s">
        <v>905</v>
      </c>
      <c r="Q25" s="12" t="s">
        <v>913</v>
      </c>
      <c r="R25" s="13" t="s">
        <v>103</v>
      </c>
      <c r="S25" s="16">
        <v>46477</v>
      </c>
      <c r="T25" s="12" t="s">
        <v>1737</v>
      </c>
      <c r="U25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5" s="106">
        <f>IF(tbAud[[#This Row],[Peso]]="","",tbAud[[#This Row],[Peso]]*tbAud[[#This Row],[Pontos]])</f>
        <v>1.5</v>
      </c>
    </row>
    <row r="26" spans="1:22" ht="22.8">
      <c r="A26" s="12" t="s">
        <v>2821</v>
      </c>
      <c r="B26" s="102" t="s">
        <v>2014</v>
      </c>
      <c r="C26" s="13" t="s">
        <v>1868</v>
      </c>
      <c r="D26" s="13" t="s">
        <v>2015</v>
      </c>
      <c r="E26" s="13" t="s">
        <v>2016</v>
      </c>
      <c r="F26" s="12" t="s">
        <v>82</v>
      </c>
      <c r="G26" s="12" t="s">
        <v>1705</v>
      </c>
      <c r="H26" s="12" t="s">
        <v>1733</v>
      </c>
      <c r="I26" s="13" t="s">
        <v>2017</v>
      </c>
      <c r="J26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6" s="54">
        <f>IF(OR(tbAud[[#This Row],[Resultado]]="",tbAud[[#This Row],[Resultado]]="N/A"),"",IF(tbAud[[#This Row],[Criticidade]]="Crítica",3,IF(tbAud[[#This Row],[Criticidade]]="Alta",2,1)))</f>
        <v>2</v>
      </c>
      <c r="L26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6" s="54" t="str">
        <f>IFERROR(INDEX(tbAuditorias[Área],MATCH(tbAud[[#This Row],[Auditoria]],tbAuditorias[Auditoria],0)),"")</f>
        <v>Qualidade</v>
      </c>
      <c r="N26" s="109">
        <f>IFERROR(INDEX(tbAuditorias[Data],MATCH(tbAud[[#This Row],[Auditoria]],tbAuditorias[Auditoria],0)),"")</f>
        <v>46350</v>
      </c>
      <c r="O26" s="12" t="s">
        <v>1864</v>
      </c>
      <c r="P26" s="12"/>
      <c r="Q26" s="12"/>
      <c r="R26" s="13"/>
      <c r="S26" s="16"/>
      <c r="T26" s="12"/>
      <c r="U26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6" s="106">
        <f>IF(tbAud[[#This Row],[Peso]]="","",tbAud[[#This Row],[Peso]]*tbAud[[#This Row],[Pontos]])</f>
        <v>2</v>
      </c>
    </row>
    <row r="27" spans="1:22" ht="22.8">
      <c r="A27" s="12" t="s">
        <v>2822</v>
      </c>
      <c r="B27" s="102" t="s">
        <v>1931</v>
      </c>
      <c r="C27" s="13" t="s">
        <v>1774</v>
      </c>
      <c r="D27" s="13" t="s">
        <v>1932</v>
      </c>
      <c r="E27" s="13" t="s">
        <v>1933</v>
      </c>
      <c r="F27" s="12" t="s">
        <v>82</v>
      </c>
      <c r="G27" s="12" t="s">
        <v>1705</v>
      </c>
      <c r="H27" s="12" t="s">
        <v>1735</v>
      </c>
      <c r="I27" s="13" t="s">
        <v>1934</v>
      </c>
      <c r="J27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7" s="54">
        <f>IF(OR(tbAud[[#This Row],[Resultado]]="",tbAud[[#This Row],[Resultado]]="N/A"),"",IF(tbAud[[#This Row],[Criticidade]]="Crítica",3,IF(tbAud[[#This Row],[Criticidade]]="Alta",2,1)))</f>
        <v>2</v>
      </c>
      <c r="L27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7" s="54" t="str">
        <f>IFERROR(INDEX(tbAuditorias[Área],MATCH(tbAud[[#This Row],[Auditoria]],tbAuditorias[Auditoria],0)),"")</f>
        <v>Manutenção</v>
      </c>
      <c r="N27" s="109">
        <f>IFERROR(INDEX(tbAuditorias[Data],MATCH(tbAud[[#This Row],[Auditoria]],tbAuditorias[Auditoria],0)),"")</f>
        <v>46365</v>
      </c>
      <c r="O27" s="12" t="s">
        <v>1778</v>
      </c>
      <c r="P27" s="12"/>
      <c r="Q27" s="12"/>
      <c r="R27" s="13"/>
      <c r="S27" s="16"/>
      <c r="T27" s="12"/>
      <c r="U27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7" s="106">
        <f>IF(tbAud[[#This Row],[Peso]]="","",tbAud[[#This Row],[Peso]]*tbAud[[#This Row],[Pontos]])</f>
        <v>2</v>
      </c>
    </row>
    <row r="28" spans="1:22" ht="22.8">
      <c r="A28" s="12" t="s">
        <v>2822</v>
      </c>
      <c r="B28" s="102" t="s">
        <v>1935</v>
      </c>
      <c r="C28" s="13" t="s">
        <v>1774</v>
      </c>
      <c r="D28" s="13" t="s">
        <v>1936</v>
      </c>
      <c r="E28" s="13" t="s">
        <v>1937</v>
      </c>
      <c r="F28" s="12" t="s">
        <v>82</v>
      </c>
      <c r="G28" s="12" t="s">
        <v>1705</v>
      </c>
      <c r="H28" s="12" t="s">
        <v>1733</v>
      </c>
      <c r="I28" s="13" t="s">
        <v>1938</v>
      </c>
      <c r="J28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8" s="54">
        <f>IF(OR(tbAud[[#This Row],[Resultado]]="",tbAud[[#This Row],[Resultado]]="N/A"),"",IF(tbAud[[#This Row],[Criticidade]]="Crítica",3,IF(tbAud[[#This Row],[Criticidade]]="Alta",2,1)))</f>
        <v>2</v>
      </c>
      <c r="L28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8" s="54" t="str">
        <f>IFERROR(INDEX(tbAuditorias[Área],MATCH(tbAud[[#This Row],[Auditoria]],tbAuditorias[Auditoria],0)),"")</f>
        <v>Manutenção</v>
      </c>
      <c r="N28" s="109">
        <f>IFERROR(INDEX(tbAuditorias[Data],MATCH(tbAud[[#This Row],[Auditoria]],tbAuditorias[Auditoria],0)),"")</f>
        <v>46365</v>
      </c>
      <c r="O28" s="12" t="s">
        <v>1778</v>
      </c>
      <c r="P28" s="12"/>
      <c r="Q28" s="12"/>
      <c r="R28" s="13"/>
      <c r="S28" s="16"/>
      <c r="T28" s="12"/>
      <c r="U28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8" s="106">
        <f>IF(tbAud[[#This Row],[Peso]]="","",tbAud[[#This Row],[Peso]]*tbAud[[#This Row],[Pontos]])</f>
        <v>2</v>
      </c>
    </row>
    <row r="29" spans="1:22" ht="22.8">
      <c r="A29" s="12" t="s">
        <v>2822</v>
      </c>
      <c r="B29" s="102" t="s">
        <v>1939</v>
      </c>
      <c r="C29" s="13" t="s">
        <v>1774</v>
      </c>
      <c r="D29" s="13" t="s">
        <v>1940</v>
      </c>
      <c r="E29" s="13" t="s">
        <v>1941</v>
      </c>
      <c r="F29" s="12" t="s">
        <v>82</v>
      </c>
      <c r="G29" s="12" t="s">
        <v>1705</v>
      </c>
      <c r="H29" s="12" t="s">
        <v>1734</v>
      </c>
      <c r="I29" s="13" t="s">
        <v>1942</v>
      </c>
      <c r="J29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29" s="54">
        <f>IF(OR(tbAud[[#This Row],[Resultado]]="",tbAud[[#This Row],[Resultado]]="N/A"),"",IF(tbAud[[#This Row],[Criticidade]]="Crítica",3,IF(tbAud[[#This Row],[Criticidade]]="Alta",2,1)))</f>
        <v>2</v>
      </c>
      <c r="L29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29" s="54" t="str">
        <f>IFERROR(INDEX(tbAuditorias[Área],MATCH(tbAud[[#This Row],[Auditoria]],tbAuditorias[Auditoria],0)),"")</f>
        <v>Manutenção</v>
      </c>
      <c r="N29" s="109">
        <f>IFERROR(INDEX(tbAuditorias[Data],MATCH(tbAud[[#This Row],[Auditoria]],tbAuditorias[Auditoria],0)),"")</f>
        <v>46365</v>
      </c>
      <c r="O29" s="12" t="s">
        <v>1773</v>
      </c>
      <c r="P29" s="12"/>
      <c r="Q29" s="12"/>
      <c r="R29" s="13"/>
      <c r="S29" s="16"/>
      <c r="T29" s="12"/>
      <c r="U29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29" s="106">
        <f>IF(tbAud[[#This Row],[Peso]]="","",tbAud[[#This Row],[Peso]]*tbAud[[#This Row],[Pontos]])</f>
        <v>2</v>
      </c>
    </row>
    <row r="30" spans="1:22" ht="22.8">
      <c r="A30" s="12" t="s">
        <v>2822</v>
      </c>
      <c r="B30" s="102" t="s">
        <v>1943</v>
      </c>
      <c r="C30" s="13" t="s">
        <v>1799</v>
      </c>
      <c r="D30" s="13" t="s">
        <v>1944</v>
      </c>
      <c r="E30" s="13" t="s">
        <v>1945</v>
      </c>
      <c r="F30" s="12" t="s">
        <v>82</v>
      </c>
      <c r="G30" s="12" t="s">
        <v>1705</v>
      </c>
      <c r="H30" s="12" t="s">
        <v>1734</v>
      </c>
      <c r="I30" s="13" t="s">
        <v>2018</v>
      </c>
      <c r="J30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30" s="54">
        <f>IF(OR(tbAud[[#This Row],[Resultado]]="",tbAud[[#This Row],[Resultado]]="N/A"),"",IF(tbAud[[#This Row],[Criticidade]]="Crítica",3,IF(tbAud[[#This Row],[Criticidade]]="Alta",2,1)))</f>
        <v>2</v>
      </c>
      <c r="L30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30" s="54" t="str">
        <f>IFERROR(INDEX(tbAuditorias[Área],MATCH(tbAud[[#This Row],[Auditoria]],tbAuditorias[Auditoria],0)),"")</f>
        <v>Manutenção</v>
      </c>
      <c r="N30" s="109">
        <f>IFERROR(INDEX(tbAuditorias[Data],MATCH(tbAud[[#This Row],[Auditoria]],tbAuditorias[Auditoria],0)),"")</f>
        <v>46365</v>
      </c>
      <c r="O30" s="12" t="s">
        <v>1805</v>
      </c>
      <c r="P30" s="12"/>
      <c r="Q30" s="12"/>
      <c r="R30" s="13"/>
      <c r="S30" s="16"/>
      <c r="T30" s="12"/>
      <c r="U30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0" s="106">
        <f>IF(tbAud[[#This Row],[Peso]]="","",tbAud[[#This Row],[Peso]]*tbAud[[#This Row],[Pontos]])</f>
        <v>2</v>
      </c>
    </row>
    <row r="31" spans="1:22" ht="22.8">
      <c r="A31" s="12" t="s">
        <v>2822</v>
      </c>
      <c r="B31" s="102" t="s">
        <v>1947</v>
      </c>
      <c r="C31" s="13" t="s">
        <v>1799</v>
      </c>
      <c r="D31" s="13" t="s">
        <v>1948</v>
      </c>
      <c r="E31" s="13" t="s">
        <v>1949</v>
      </c>
      <c r="F31" s="12" t="s">
        <v>71</v>
      </c>
      <c r="G31" s="12" t="s">
        <v>1708</v>
      </c>
      <c r="H31" s="12" t="s">
        <v>1735</v>
      </c>
      <c r="I31" s="13" t="s">
        <v>2019</v>
      </c>
      <c r="J31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31" s="54">
        <f>IF(OR(tbAud[[#This Row],[Resultado]]="",tbAud[[#This Row],[Resultado]]="N/A"),"",IF(tbAud[[#This Row],[Criticidade]]="Crítica",3,IF(tbAud[[#This Row],[Criticidade]]="Alta",2,1)))</f>
        <v>1</v>
      </c>
      <c r="L31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31" s="54" t="str">
        <f>IFERROR(INDEX(tbAuditorias[Área],MATCH(tbAud[[#This Row],[Auditoria]],tbAuditorias[Auditoria],0)),"")</f>
        <v>Manutenção</v>
      </c>
      <c r="N31" s="109">
        <f>IFERROR(INDEX(tbAuditorias[Data],MATCH(tbAud[[#This Row],[Auditoria]],tbAuditorias[Auditoria],0)),"")</f>
        <v>46365</v>
      </c>
      <c r="O31" s="12" t="s">
        <v>1802</v>
      </c>
      <c r="P31" s="12" t="s">
        <v>88</v>
      </c>
      <c r="Q31" s="12"/>
      <c r="R31" s="13"/>
      <c r="S31" s="16"/>
      <c r="T31" s="12"/>
      <c r="U31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1" s="106">
        <f>IF(tbAud[[#This Row],[Peso]]="","",tbAud[[#This Row],[Peso]]*tbAud[[#This Row],[Pontos]])</f>
        <v>0.5</v>
      </c>
    </row>
    <row r="32" spans="1:22" ht="22.8">
      <c r="A32" s="12" t="s">
        <v>2822</v>
      </c>
      <c r="B32" s="102" t="s">
        <v>1951</v>
      </c>
      <c r="C32" s="13" t="s">
        <v>1818</v>
      </c>
      <c r="D32" s="13" t="s">
        <v>1952</v>
      </c>
      <c r="E32" s="13" t="s">
        <v>1953</v>
      </c>
      <c r="F32" s="12" t="s">
        <v>1728</v>
      </c>
      <c r="G32" s="12" t="s">
        <v>1705</v>
      </c>
      <c r="H32" s="12" t="s">
        <v>1734</v>
      </c>
      <c r="I32" s="13" t="s">
        <v>1954</v>
      </c>
      <c r="J32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32" s="54">
        <f>IF(OR(tbAud[[#This Row],[Resultado]]="",tbAud[[#This Row],[Resultado]]="N/A"),"",IF(tbAud[[#This Row],[Criticidade]]="Crítica",3,IF(tbAud[[#This Row],[Criticidade]]="Alta",2,1)))</f>
        <v>3</v>
      </c>
      <c r="L32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32" s="54" t="str">
        <f>IFERROR(INDEX(tbAuditorias[Área],MATCH(tbAud[[#This Row],[Auditoria]],tbAuditorias[Auditoria],0)),"")</f>
        <v>Manutenção</v>
      </c>
      <c r="N32" s="109">
        <f>IFERROR(INDEX(tbAuditorias[Data],MATCH(tbAud[[#This Row],[Auditoria]],tbAuditorias[Auditoria],0)),"")</f>
        <v>46365</v>
      </c>
      <c r="O32" s="12" t="s">
        <v>1822</v>
      </c>
      <c r="P32" s="12"/>
      <c r="Q32" s="12"/>
      <c r="R32" s="13"/>
      <c r="S32" s="16"/>
      <c r="T32" s="12"/>
      <c r="U32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2" s="106">
        <f>IF(tbAud[[#This Row],[Peso]]="","",tbAud[[#This Row],[Peso]]*tbAud[[#This Row],[Pontos]])</f>
        <v>3</v>
      </c>
    </row>
    <row r="33" spans="1:22" ht="22.8">
      <c r="A33" s="12" t="s">
        <v>2822</v>
      </c>
      <c r="B33" s="102" t="s">
        <v>1955</v>
      </c>
      <c r="C33" s="13" t="s">
        <v>1818</v>
      </c>
      <c r="D33" s="13" t="s">
        <v>1956</v>
      </c>
      <c r="E33" s="13" t="s">
        <v>1957</v>
      </c>
      <c r="F33" s="12" t="s">
        <v>1728</v>
      </c>
      <c r="G33" s="12" t="s">
        <v>1705</v>
      </c>
      <c r="H33" s="12" t="s">
        <v>1733</v>
      </c>
      <c r="I33" s="13" t="s">
        <v>1958</v>
      </c>
      <c r="J33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33" s="54">
        <f>IF(OR(tbAud[[#This Row],[Resultado]]="",tbAud[[#This Row],[Resultado]]="N/A"),"",IF(tbAud[[#This Row],[Criticidade]]="Crítica",3,IF(tbAud[[#This Row],[Criticidade]]="Alta",2,1)))</f>
        <v>3</v>
      </c>
      <c r="L33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33" s="54" t="str">
        <f>IFERROR(INDEX(tbAuditorias[Área],MATCH(tbAud[[#This Row],[Auditoria]],tbAuditorias[Auditoria],0)),"")</f>
        <v>Manutenção</v>
      </c>
      <c r="N33" s="109">
        <f>IFERROR(INDEX(tbAuditorias[Data],MATCH(tbAud[[#This Row],[Auditoria]],tbAuditorias[Auditoria],0)),"")</f>
        <v>46365</v>
      </c>
      <c r="O33" s="12" t="s">
        <v>1817</v>
      </c>
      <c r="P33" s="12"/>
      <c r="Q33" s="12"/>
      <c r="R33" s="13"/>
      <c r="S33" s="16"/>
      <c r="T33" s="12"/>
      <c r="U33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3" s="106">
        <f>IF(tbAud[[#This Row],[Peso]]="","",tbAud[[#This Row],[Peso]]*tbAud[[#This Row],[Pontos]])</f>
        <v>3</v>
      </c>
    </row>
    <row r="34" spans="1:22" ht="22.8">
      <c r="A34" s="12" t="s">
        <v>2822</v>
      </c>
      <c r="B34" s="102" t="s">
        <v>1959</v>
      </c>
      <c r="C34" s="13" t="s">
        <v>1818</v>
      </c>
      <c r="D34" s="13" t="s">
        <v>1960</v>
      </c>
      <c r="E34" s="13" t="s">
        <v>1961</v>
      </c>
      <c r="F34" s="12" t="s">
        <v>82</v>
      </c>
      <c r="G34" s="12" t="s">
        <v>1708</v>
      </c>
      <c r="H34" s="12" t="s">
        <v>1733</v>
      </c>
      <c r="I34" s="13" t="s">
        <v>2020</v>
      </c>
      <c r="J34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34" s="54">
        <f>IF(OR(tbAud[[#This Row],[Resultado]]="",tbAud[[#This Row],[Resultado]]="N/A"),"",IF(tbAud[[#This Row],[Criticidade]]="Crítica",3,IF(tbAud[[#This Row],[Criticidade]]="Alta",2,1)))</f>
        <v>2</v>
      </c>
      <c r="L34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34" s="54" t="str">
        <f>IFERROR(INDEX(tbAuditorias[Área],MATCH(tbAud[[#This Row],[Auditoria]],tbAuditorias[Auditoria],0)),"")</f>
        <v>Manutenção</v>
      </c>
      <c r="N34" s="109">
        <f>IFERROR(INDEX(tbAuditorias[Data],MATCH(tbAud[[#This Row],[Auditoria]],tbAuditorias[Auditoria],0)),"")</f>
        <v>46365</v>
      </c>
      <c r="O34" s="12" t="s">
        <v>1826</v>
      </c>
      <c r="P34" s="12" t="s">
        <v>88</v>
      </c>
      <c r="Q34" s="12" t="s">
        <v>713</v>
      </c>
      <c r="R34" s="13" t="s">
        <v>86</v>
      </c>
      <c r="S34" s="16">
        <v>46461</v>
      </c>
      <c r="T34" s="12" t="s">
        <v>1737</v>
      </c>
      <c r="U34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4" s="106">
        <f>IF(tbAud[[#This Row],[Peso]]="","",tbAud[[#This Row],[Peso]]*tbAud[[#This Row],[Pontos]])</f>
        <v>1</v>
      </c>
    </row>
    <row r="35" spans="1:22" ht="22.8">
      <c r="A35" s="12" t="s">
        <v>2822</v>
      </c>
      <c r="B35" s="102" t="s">
        <v>1963</v>
      </c>
      <c r="C35" s="13" t="s">
        <v>1835</v>
      </c>
      <c r="D35" s="13" t="s">
        <v>1964</v>
      </c>
      <c r="E35" s="13" t="s">
        <v>1965</v>
      </c>
      <c r="F35" s="12" t="s">
        <v>82</v>
      </c>
      <c r="G35" s="12" t="s">
        <v>1705</v>
      </c>
      <c r="H35" s="12" t="s">
        <v>1734</v>
      </c>
      <c r="I35" s="13" t="s">
        <v>1966</v>
      </c>
      <c r="J35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35" s="54">
        <f>IF(OR(tbAud[[#This Row],[Resultado]]="",tbAud[[#This Row],[Resultado]]="N/A"),"",IF(tbAud[[#This Row],[Criticidade]]="Crítica",3,IF(tbAud[[#This Row],[Criticidade]]="Alta",2,1)))</f>
        <v>2</v>
      </c>
      <c r="L35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35" s="54" t="str">
        <f>IFERROR(INDEX(tbAuditorias[Área],MATCH(tbAud[[#This Row],[Auditoria]],tbAuditorias[Auditoria],0)),"")</f>
        <v>Manutenção</v>
      </c>
      <c r="N35" s="109">
        <f>IFERROR(INDEX(tbAuditorias[Data],MATCH(tbAud[[#This Row],[Auditoria]],tbAuditorias[Auditoria],0)),"")</f>
        <v>46365</v>
      </c>
      <c r="O35" s="12" t="s">
        <v>1834</v>
      </c>
      <c r="P35" s="12"/>
      <c r="Q35" s="12"/>
      <c r="R35" s="13"/>
      <c r="S35" s="16"/>
      <c r="T35" s="12"/>
      <c r="U35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5" s="106">
        <f>IF(tbAud[[#This Row],[Peso]]="","",tbAud[[#This Row],[Peso]]*tbAud[[#This Row],[Pontos]])</f>
        <v>2</v>
      </c>
    </row>
    <row r="36" spans="1:22" ht="22.8">
      <c r="A36" s="12" t="s">
        <v>2822</v>
      </c>
      <c r="B36" s="102" t="s">
        <v>1967</v>
      </c>
      <c r="C36" s="13" t="s">
        <v>1835</v>
      </c>
      <c r="D36" s="13" t="s">
        <v>1968</v>
      </c>
      <c r="E36" s="13" t="s">
        <v>1969</v>
      </c>
      <c r="F36" s="12" t="s">
        <v>82</v>
      </c>
      <c r="G36" s="12" t="s">
        <v>1705</v>
      </c>
      <c r="H36" s="12" t="s">
        <v>1734</v>
      </c>
      <c r="I36" s="13" t="s">
        <v>2021</v>
      </c>
      <c r="J36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36" s="54">
        <f>IF(OR(tbAud[[#This Row],[Resultado]]="",tbAud[[#This Row],[Resultado]]="N/A"),"",IF(tbAud[[#This Row],[Criticidade]]="Crítica",3,IF(tbAud[[#This Row],[Criticidade]]="Alta",2,1)))</f>
        <v>2</v>
      </c>
      <c r="L36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36" s="54" t="str">
        <f>IFERROR(INDEX(tbAuditorias[Área],MATCH(tbAud[[#This Row],[Auditoria]],tbAuditorias[Auditoria],0)),"")</f>
        <v>Manutenção</v>
      </c>
      <c r="N36" s="109">
        <f>IFERROR(INDEX(tbAuditorias[Data],MATCH(tbAud[[#This Row],[Auditoria]],tbAuditorias[Auditoria],0)),"")</f>
        <v>46365</v>
      </c>
      <c r="O36" s="12" t="s">
        <v>1839</v>
      </c>
      <c r="P36" s="12"/>
      <c r="Q36" s="12"/>
      <c r="R36" s="13"/>
      <c r="S36" s="16"/>
      <c r="T36" s="12"/>
      <c r="U36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6" s="106">
        <f>IF(tbAud[[#This Row],[Peso]]="","",tbAud[[#This Row],[Peso]]*tbAud[[#This Row],[Pontos]])</f>
        <v>2</v>
      </c>
    </row>
    <row r="37" spans="1:22" ht="22.8">
      <c r="A37" s="12" t="s">
        <v>2822</v>
      </c>
      <c r="B37" s="102" t="s">
        <v>1971</v>
      </c>
      <c r="C37" s="13" t="s">
        <v>1835</v>
      </c>
      <c r="D37" s="13" t="s">
        <v>1972</v>
      </c>
      <c r="E37" s="13" t="s">
        <v>1965</v>
      </c>
      <c r="F37" s="12" t="s">
        <v>1728</v>
      </c>
      <c r="G37" s="12" t="s">
        <v>1705</v>
      </c>
      <c r="H37" s="12" t="s">
        <v>1733</v>
      </c>
      <c r="I37" s="13" t="s">
        <v>1973</v>
      </c>
      <c r="J37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37" s="54">
        <f>IF(OR(tbAud[[#This Row],[Resultado]]="",tbAud[[#This Row],[Resultado]]="N/A"),"",IF(tbAud[[#This Row],[Criticidade]]="Crítica",3,IF(tbAud[[#This Row],[Criticidade]]="Alta",2,1)))</f>
        <v>3</v>
      </c>
      <c r="L37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37" s="54" t="str">
        <f>IFERROR(INDEX(tbAuditorias[Área],MATCH(tbAud[[#This Row],[Auditoria]],tbAuditorias[Auditoria],0)),"")</f>
        <v>Manutenção</v>
      </c>
      <c r="N37" s="109">
        <f>IFERROR(INDEX(tbAuditorias[Data],MATCH(tbAud[[#This Row],[Auditoria]],tbAuditorias[Auditoria],0)),"")</f>
        <v>46365</v>
      </c>
      <c r="O37" s="12" t="s">
        <v>1817</v>
      </c>
      <c r="P37" s="12"/>
      <c r="Q37" s="12"/>
      <c r="R37" s="13"/>
      <c r="S37" s="16"/>
      <c r="T37" s="12"/>
      <c r="U37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7" s="106">
        <f>IF(tbAud[[#This Row],[Peso]]="","",tbAud[[#This Row],[Peso]]*tbAud[[#This Row],[Pontos]])</f>
        <v>3</v>
      </c>
    </row>
    <row r="38" spans="1:22" ht="22.8">
      <c r="A38" s="12" t="s">
        <v>2822</v>
      </c>
      <c r="B38" s="102" t="s">
        <v>1974</v>
      </c>
      <c r="C38" s="13" t="s">
        <v>1835</v>
      </c>
      <c r="D38" s="13" t="s">
        <v>1975</v>
      </c>
      <c r="E38" s="13" t="s">
        <v>1976</v>
      </c>
      <c r="F38" s="12" t="s">
        <v>1728</v>
      </c>
      <c r="G38" s="12" t="s">
        <v>1705</v>
      </c>
      <c r="H38" s="12" t="s">
        <v>1734</v>
      </c>
      <c r="I38" s="13" t="s">
        <v>1977</v>
      </c>
      <c r="J38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38" s="54">
        <f>IF(OR(tbAud[[#This Row],[Resultado]]="",tbAud[[#This Row],[Resultado]]="N/A"),"",IF(tbAud[[#This Row],[Criticidade]]="Crítica",3,IF(tbAud[[#This Row],[Criticidade]]="Alta",2,1)))</f>
        <v>3</v>
      </c>
      <c r="L38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38" s="54" t="str">
        <f>IFERROR(INDEX(tbAuditorias[Área],MATCH(tbAud[[#This Row],[Auditoria]],tbAuditorias[Auditoria],0)),"")</f>
        <v>Manutenção</v>
      </c>
      <c r="N38" s="109">
        <f>IFERROR(INDEX(tbAuditorias[Data],MATCH(tbAud[[#This Row],[Auditoria]],tbAuditorias[Auditoria],0)),"")</f>
        <v>46365</v>
      </c>
      <c r="O38" s="12" t="s">
        <v>1843</v>
      </c>
      <c r="P38" s="12"/>
      <c r="Q38" s="12"/>
      <c r="R38" s="13"/>
      <c r="S38" s="16"/>
      <c r="T38" s="12"/>
      <c r="U38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8" s="106">
        <f>IF(tbAud[[#This Row],[Peso]]="","",tbAud[[#This Row],[Peso]]*tbAud[[#This Row],[Pontos]])</f>
        <v>3</v>
      </c>
    </row>
    <row r="39" spans="1:22" ht="22.8">
      <c r="A39" s="12" t="s">
        <v>2822</v>
      </c>
      <c r="B39" s="102" t="s">
        <v>1978</v>
      </c>
      <c r="C39" s="13" t="s">
        <v>1835</v>
      </c>
      <c r="D39" s="13" t="s">
        <v>1979</v>
      </c>
      <c r="E39" s="13" t="s">
        <v>1980</v>
      </c>
      <c r="F39" s="12" t="s">
        <v>1728</v>
      </c>
      <c r="G39" s="12" t="s">
        <v>1713</v>
      </c>
      <c r="H39" s="12" t="s">
        <v>1711</v>
      </c>
      <c r="I39" s="13" t="s">
        <v>2022</v>
      </c>
      <c r="J39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</v>
      </c>
      <c r="K39" s="54">
        <f>IF(OR(tbAud[[#This Row],[Resultado]]="",tbAud[[#This Row],[Resultado]]="N/A"),"",IF(tbAud[[#This Row],[Criticidade]]="Crítica",3,IF(tbAud[[#This Row],[Criticidade]]="Alta",2,1)))</f>
        <v>3</v>
      </c>
      <c r="L39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NC maior</v>
      </c>
      <c r="M39" s="54" t="str">
        <f>IFERROR(INDEX(tbAuditorias[Área],MATCH(tbAud[[#This Row],[Auditoria]],tbAuditorias[Auditoria],0)),"")</f>
        <v>Manutenção</v>
      </c>
      <c r="N39" s="109">
        <f>IFERROR(INDEX(tbAuditorias[Data],MATCH(tbAud[[#This Row],[Auditoria]],tbAuditorias[Auditoria],0)),"")</f>
        <v>46365</v>
      </c>
      <c r="O39" s="12" t="s">
        <v>1847</v>
      </c>
      <c r="P39" s="12" t="s">
        <v>751</v>
      </c>
      <c r="Q39" s="12" t="s">
        <v>1211</v>
      </c>
      <c r="R39" s="13" t="s">
        <v>86</v>
      </c>
      <c r="S39" s="16">
        <v>46461</v>
      </c>
      <c r="T39" s="12" t="s">
        <v>1737</v>
      </c>
      <c r="U39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39" s="106">
        <f>IF(tbAud[[#This Row],[Peso]]="","",tbAud[[#This Row],[Peso]]*tbAud[[#This Row],[Pontos]])</f>
        <v>0</v>
      </c>
    </row>
    <row r="40" spans="1:22" ht="22.8">
      <c r="A40" s="12" t="s">
        <v>2822</v>
      </c>
      <c r="B40" s="102" t="s">
        <v>1982</v>
      </c>
      <c r="C40" s="13" t="s">
        <v>1835</v>
      </c>
      <c r="D40" s="13" t="s">
        <v>1983</v>
      </c>
      <c r="E40" s="13" t="s">
        <v>1984</v>
      </c>
      <c r="F40" s="12" t="s">
        <v>1728</v>
      </c>
      <c r="G40" s="12" t="s">
        <v>1708</v>
      </c>
      <c r="H40" s="12" t="s">
        <v>1665</v>
      </c>
      <c r="I40" s="13" t="s">
        <v>2023</v>
      </c>
      <c r="J40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40" s="54">
        <f>IF(OR(tbAud[[#This Row],[Resultado]]="",tbAud[[#This Row],[Resultado]]="N/A"),"",IF(tbAud[[#This Row],[Criticidade]]="Crítica",3,IF(tbAud[[#This Row],[Criticidade]]="Alta",2,1)))</f>
        <v>3</v>
      </c>
      <c r="L40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40" s="54" t="str">
        <f>IFERROR(INDEX(tbAuditorias[Área],MATCH(tbAud[[#This Row],[Auditoria]],tbAuditorias[Auditoria],0)),"")</f>
        <v>Manutenção</v>
      </c>
      <c r="N40" s="109">
        <f>IFERROR(INDEX(tbAuditorias[Data],MATCH(tbAud[[#This Row],[Auditoria]],tbAuditorias[Auditoria],0)),"")</f>
        <v>46365</v>
      </c>
      <c r="O40" s="12" t="s">
        <v>1847</v>
      </c>
      <c r="P40" s="12" t="s">
        <v>751</v>
      </c>
      <c r="Q40" s="12" t="s">
        <v>1211</v>
      </c>
      <c r="R40" s="13" t="s">
        <v>86</v>
      </c>
      <c r="S40" s="16">
        <v>46461</v>
      </c>
      <c r="T40" s="12" t="s">
        <v>1737</v>
      </c>
      <c r="U40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0" s="106">
        <f>IF(tbAud[[#This Row],[Peso]]="","",tbAud[[#This Row],[Peso]]*tbAud[[#This Row],[Pontos]])</f>
        <v>1.5</v>
      </c>
    </row>
    <row r="41" spans="1:22" ht="22.8">
      <c r="A41" s="12" t="s">
        <v>2822</v>
      </c>
      <c r="B41" s="102" t="s">
        <v>1986</v>
      </c>
      <c r="C41" s="13" t="s">
        <v>1852</v>
      </c>
      <c r="D41" s="13" t="s">
        <v>1987</v>
      </c>
      <c r="E41" s="13" t="s">
        <v>1988</v>
      </c>
      <c r="F41" s="12" t="s">
        <v>82</v>
      </c>
      <c r="G41" s="12" t="s">
        <v>1708</v>
      </c>
      <c r="H41" s="12" t="s">
        <v>1734</v>
      </c>
      <c r="I41" s="13" t="s">
        <v>2024</v>
      </c>
      <c r="J41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41" s="54">
        <f>IF(OR(tbAud[[#This Row],[Resultado]]="",tbAud[[#This Row],[Resultado]]="N/A"),"",IF(tbAud[[#This Row],[Criticidade]]="Crítica",3,IF(tbAud[[#This Row],[Criticidade]]="Alta",2,1)))</f>
        <v>2</v>
      </c>
      <c r="L41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41" s="54" t="str">
        <f>IFERROR(INDEX(tbAuditorias[Área],MATCH(tbAud[[#This Row],[Auditoria]],tbAuditorias[Auditoria],0)),"")</f>
        <v>Manutenção</v>
      </c>
      <c r="N41" s="109">
        <f>IFERROR(INDEX(tbAuditorias[Data],MATCH(tbAud[[#This Row],[Auditoria]],tbAuditorias[Auditoria],0)),"")</f>
        <v>46365</v>
      </c>
      <c r="O41" s="12" t="s">
        <v>1851</v>
      </c>
      <c r="P41" s="12" t="s">
        <v>77</v>
      </c>
      <c r="Q41" s="12" t="s">
        <v>701</v>
      </c>
      <c r="R41" s="13" t="s">
        <v>86</v>
      </c>
      <c r="S41" s="16">
        <v>46477</v>
      </c>
      <c r="T41" s="12" t="s">
        <v>1737</v>
      </c>
      <c r="U41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1" s="106">
        <f>IF(tbAud[[#This Row],[Peso]]="","",tbAud[[#This Row],[Peso]]*tbAud[[#This Row],[Pontos]])</f>
        <v>1</v>
      </c>
    </row>
    <row r="42" spans="1:22" ht="22.8">
      <c r="A42" s="12" t="s">
        <v>2822</v>
      </c>
      <c r="B42" s="102" t="s">
        <v>1990</v>
      </c>
      <c r="C42" s="13" t="s">
        <v>1852</v>
      </c>
      <c r="D42" s="13" t="s">
        <v>1991</v>
      </c>
      <c r="E42" s="13" t="s">
        <v>1992</v>
      </c>
      <c r="F42" s="12" t="s">
        <v>82</v>
      </c>
      <c r="G42" s="12" t="s">
        <v>1713</v>
      </c>
      <c r="H42" s="12" t="s">
        <v>1733</v>
      </c>
      <c r="I42" s="13" t="s">
        <v>2025</v>
      </c>
      <c r="J42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</v>
      </c>
      <c r="K42" s="54">
        <f>IF(OR(tbAud[[#This Row],[Resultado]]="",tbAud[[#This Row],[Resultado]]="N/A"),"",IF(tbAud[[#This Row],[Criticidade]]="Crítica",3,IF(tbAud[[#This Row],[Criticidade]]="Alta",2,1)))</f>
        <v>2</v>
      </c>
      <c r="L42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NC menor</v>
      </c>
      <c r="M42" s="54" t="str">
        <f>IFERROR(INDEX(tbAuditorias[Área],MATCH(tbAud[[#This Row],[Auditoria]],tbAuditorias[Auditoria],0)),"")</f>
        <v>Manutenção</v>
      </c>
      <c r="N42" s="109">
        <f>IFERROR(INDEX(tbAuditorias[Data],MATCH(tbAud[[#This Row],[Auditoria]],tbAuditorias[Auditoria],0)),"")</f>
        <v>46365</v>
      </c>
      <c r="O42" s="12" t="s">
        <v>1856</v>
      </c>
      <c r="P42" s="12" t="s">
        <v>88</v>
      </c>
      <c r="Q42" s="12" t="s">
        <v>713</v>
      </c>
      <c r="R42" s="13" t="s">
        <v>84</v>
      </c>
      <c r="S42" s="16">
        <v>46461</v>
      </c>
      <c r="T42" s="12" t="s">
        <v>1737</v>
      </c>
      <c r="U42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2" s="106">
        <f>IF(tbAud[[#This Row],[Peso]]="","",tbAud[[#This Row],[Peso]]*tbAud[[#This Row],[Pontos]])</f>
        <v>0</v>
      </c>
    </row>
    <row r="43" spans="1:22" ht="22.8">
      <c r="A43" s="12" t="s">
        <v>2822</v>
      </c>
      <c r="B43" s="102" t="s">
        <v>1994</v>
      </c>
      <c r="C43" s="13" t="s">
        <v>1852</v>
      </c>
      <c r="D43" s="13" t="s">
        <v>1995</v>
      </c>
      <c r="E43" s="13" t="s">
        <v>1996</v>
      </c>
      <c r="F43" s="12" t="s">
        <v>82</v>
      </c>
      <c r="G43" s="12" t="s">
        <v>1708</v>
      </c>
      <c r="H43" s="12" t="s">
        <v>1733</v>
      </c>
      <c r="I43" s="13" t="s">
        <v>2026</v>
      </c>
      <c r="J43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43" s="54">
        <f>IF(OR(tbAud[[#This Row],[Resultado]]="",tbAud[[#This Row],[Resultado]]="N/A"),"",IF(tbAud[[#This Row],[Criticidade]]="Crítica",3,IF(tbAud[[#This Row],[Criticidade]]="Alta",2,1)))</f>
        <v>2</v>
      </c>
      <c r="L43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43" s="54" t="str">
        <f>IFERROR(INDEX(tbAuditorias[Área],MATCH(tbAud[[#This Row],[Auditoria]],tbAuditorias[Auditoria],0)),"")</f>
        <v>Manutenção</v>
      </c>
      <c r="N43" s="109">
        <f>IFERROR(INDEX(tbAuditorias[Data],MATCH(tbAud[[#This Row],[Auditoria]],tbAuditorias[Auditoria],0)),"")</f>
        <v>46365</v>
      </c>
      <c r="O43" s="12" t="s">
        <v>1860</v>
      </c>
      <c r="P43" s="12" t="s">
        <v>751</v>
      </c>
      <c r="Q43" s="12"/>
      <c r="R43" s="13"/>
      <c r="S43" s="16"/>
      <c r="T43" s="12"/>
      <c r="U43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3" s="106">
        <f>IF(tbAud[[#This Row],[Peso]]="","",tbAud[[#This Row],[Peso]]*tbAud[[#This Row],[Pontos]])</f>
        <v>1</v>
      </c>
    </row>
    <row r="44" spans="1:22" ht="22.8">
      <c r="A44" s="12" t="s">
        <v>2822</v>
      </c>
      <c r="B44" s="102" t="s">
        <v>1998</v>
      </c>
      <c r="C44" s="13" t="s">
        <v>1852</v>
      </c>
      <c r="D44" s="13" t="s">
        <v>1999</v>
      </c>
      <c r="E44" s="13" t="s">
        <v>2000</v>
      </c>
      <c r="F44" s="12" t="s">
        <v>82</v>
      </c>
      <c r="G44" s="12" t="s">
        <v>1705</v>
      </c>
      <c r="H44" s="12" t="s">
        <v>1734</v>
      </c>
      <c r="I44" s="13" t="s">
        <v>2001</v>
      </c>
      <c r="J44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44" s="54">
        <f>IF(OR(tbAud[[#This Row],[Resultado]]="",tbAud[[#This Row],[Resultado]]="N/A"),"",IF(tbAud[[#This Row],[Criticidade]]="Crítica",3,IF(tbAud[[#This Row],[Criticidade]]="Alta",2,1)))</f>
        <v>2</v>
      </c>
      <c r="L44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44" s="54" t="str">
        <f>IFERROR(INDEX(tbAuditorias[Área],MATCH(tbAud[[#This Row],[Auditoria]],tbAuditorias[Auditoria],0)),"")</f>
        <v>Manutenção</v>
      </c>
      <c r="N44" s="109">
        <f>IFERROR(INDEX(tbAuditorias[Data],MATCH(tbAud[[#This Row],[Auditoria]],tbAuditorias[Auditoria],0)),"")</f>
        <v>46365</v>
      </c>
      <c r="O44" s="12" t="s">
        <v>1830</v>
      </c>
      <c r="P44" s="12"/>
      <c r="Q44" s="12"/>
      <c r="R44" s="13"/>
      <c r="S44" s="16"/>
      <c r="T44" s="12"/>
      <c r="U44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4" s="106">
        <f>IF(tbAud[[#This Row],[Peso]]="","",tbAud[[#This Row],[Peso]]*tbAud[[#This Row],[Pontos]])</f>
        <v>2</v>
      </c>
    </row>
    <row r="45" spans="1:22" ht="22.8">
      <c r="A45" s="12" t="s">
        <v>2822</v>
      </c>
      <c r="B45" s="102" t="s">
        <v>2002</v>
      </c>
      <c r="C45" s="13" t="s">
        <v>1868</v>
      </c>
      <c r="D45" s="13" t="s">
        <v>2003</v>
      </c>
      <c r="E45" s="13" t="s">
        <v>2004</v>
      </c>
      <c r="F45" s="12" t="s">
        <v>71</v>
      </c>
      <c r="G45" s="12" t="s">
        <v>1705</v>
      </c>
      <c r="H45" s="12" t="s">
        <v>1734</v>
      </c>
      <c r="I45" s="13" t="s">
        <v>2005</v>
      </c>
      <c r="J45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45" s="54">
        <f>IF(OR(tbAud[[#This Row],[Resultado]]="",tbAud[[#This Row],[Resultado]]="N/A"),"",IF(tbAud[[#This Row],[Criticidade]]="Crítica",3,IF(tbAud[[#This Row],[Criticidade]]="Alta",2,1)))</f>
        <v>1</v>
      </c>
      <c r="L45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45" s="54" t="str">
        <f>IFERROR(INDEX(tbAuditorias[Área],MATCH(tbAud[[#This Row],[Auditoria]],tbAuditorias[Auditoria],0)),"")</f>
        <v>Manutenção</v>
      </c>
      <c r="N45" s="109">
        <f>IFERROR(INDEX(tbAuditorias[Data],MATCH(tbAud[[#This Row],[Auditoria]],tbAuditorias[Auditoria],0)),"")</f>
        <v>46365</v>
      </c>
      <c r="O45" s="108">
        <v>46113</v>
      </c>
      <c r="P45" s="12"/>
      <c r="Q45" s="12"/>
      <c r="R45" s="13"/>
      <c r="S45" s="16"/>
      <c r="T45" s="12"/>
      <c r="U45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5" s="106">
        <f>IF(tbAud[[#This Row],[Peso]]="","",tbAud[[#This Row],[Peso]]*tbAud[[#This Row],[Pontos]])</f>
        <v>1</v>
      </c>
    </row>
    <row r="46" spans="1:22" ht="22.8">
      <c r="A46" s="12" t="s">
        <v>2822</v>
      </c>
      <c r="B46" s="102" t="s">
        <v>2006</v>
      </c>
      <c r="C46" s="13" t="s">
        <v>1868</v>
      </c>
      <c r="D46" s="13" t="s">
        <v>2007</v>
      </c>
      <c r="E46" s="13" t="s">
        <v>2008</v>
      </c>
      <c r="F46" s="12" t="s">
        <v>82</v>
      </c>
      <c r="G46" s="12" t="s">
        <v>1705</v>
      </c>
      <c r="H46" s="12" t="s">
        <v>1735</v>
      </c>
      <c r="I46" s="13" t="s">
        <v>2009</v>
      </c>
      <c r="J46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46" s="54">
        <f>IF(OR(tbAud[[#This Row],[Resultado]]="",tbAud[[#This Row],[Resultado]]="N/A"),"",IF(tbAud[[#This Row],[Criticidade]]="Crítica",3,IF(tbAud[[#This Row],[Criticidade]]="Alta",2,1)))</f>
        <v>2</v>
      </c>
      <c r="L46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46" s="54" t="str">
        <f>IFERROR(INDEX(tbAuditorias[Área],MATCH(tbAud[[#This Row],[Auditoria]],tbAuditorias[Auditoria],0)),"")</f>
        <v>Manutenção</v>
      </c>
      <c r="N46" s="109">
        <f>IFERROR(INDEX(tbAuditorias[Data],MATCH(tbAud[[#This Row],[Auditoria]],tbAuditorias[Auditoria],0)),"")</f>
        <v>46365</v>
      </c>
      <c r="O46" s="12" t="s">
        <v>1773</v>
      </c>
      <c r="P46" s="12"/>
      <c r="Q46" s="12"/>
      <c r="R46" s="13"/>
      <c r="S46" s="16"/>
      <c r="T46" s="12"/>
      <c r="U46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6" s="106">
        <f>IF(tbAud[[#This Row],[Peso]]="","",tbAud[[#This Row],[Peso]]*tbAud[[#This Row],[Pontos]])</f>
        <v>2</v>
      </c>
    </row>
    <row r="47" spans="1:22" ht="22.8">
      <c r="A47" s="12" t="s">
        <v>2822</v>
      </c>
      <c r="B47" s="102" t="s">
        <v>2010</v>
      </c>
      <c r="C47" s="13" t="s">
        <v>1868</v>
      </c>
      <c r="D47" s="13" t="s">
        <v>2011</v>
      </c>
      <c r="E47" s="13" t="s">
        <v>2012</v>
      </c>
      <c r="F47" s="12" t="s">
        <v>1728</v>
      </c>
      <c r="G47" s="12" t="s">
        <v>1705</v>
      </c>
      <c r="H47" s="12" t="s">
        <v>1734</v>
      </c>
      <c r="I47" s="13" t="s">
        <v>2027</v>
      </c>
      <c r="J47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47" s="54">
        <f>IF(OR(tbAud[[#This Row],[Resultado]]="",tbAud[[#This Row],[Resultado]]="N/A"),"",IF(tbAud[[#This Row],[Criticidade]]="Crítica",3,IF(tbAud[[#This Row],[Criticidade]]="Alta",2,1)))</f>
        <v>3</v>
      </c>
      <c r="L47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47" s="54" t="str">
        <f>IFERROR(INDEX(tbAuditorias[Área],MATCH(tbAud[[#This Row],[Auditoria]],tbAuditorias[Auditoria],0)),"")</f>
        <v>Manutenção</v>
      </c>
      <c r="N47" s="109">
        <f>IFERROR(INDEX(tbAuditorias[Data],MATCH(tbAud[[#This Row],[Auditoria]],tbAuditorias[Auditoria],0)),"")</f>
        <v>46365</v>
      </c>
      <c r="O47" s="12" t="s">
        <v>1847</v>
      </c>
      <c r="P47" s="12"/>
      <c r="Q47" s="12"/>
      <c r="R47" s="13"/>
      <c r="S47" s="16"/>
      <c r="T47" s="12"/>
      <c r="U47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7" s="106">
        <f>IF(tbAud[[#This Row],[Peso]]="","",tbAud[[#This Row],[Peso]]*tbAud[[#This Row],[Pontos]])</f>
        <v>3</v>
      </c>
    </row>
    <row r="48" spans="1:22" ht="22.8">
      <c r="A48" s="12" t="s">
        <v>2822</v>
      </c>
      <c r="B48" s="102" t="s">
        <v>2014</v>
      </c>
      <c r="C48" s="13" t="s">
        <v>1868</v>
      </c>
      <c r="D48" s="13" t="s">
        <v>2015</v>
      </c>
      <c r="E48" s="13" t="s">
        <v>2016</v>
      </c>
      <c r="F48" s="12" t="s">
        <v>82</v>
      </c>
      <c r="G48" s="12" t="s">
        <v>1705</v>
      </c>
      <c r="H48" s="12" t="s">
        <v>1733</v>
      </c>
      <c r="I48" s="13" t="s">
        <v>2017</v>
      </c>
      <c r="J48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48" s="54">
        <f>IF(OR(tbAud[[#This Row],[Resultado]]="",tbAud[[#This Row],[Resultado]]="N/A"),"",IF(tbAud[[#This Row],[Criticidade]]="Crítica",3,IF(tbAud[[#This Row],[Criticidade]]="Alta",2,1)))</f>
        <v>2</v>
      </c>
      <c r="L48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48" s="54" t="str">
        <f>IFERROR(INDEX(tbAuditorias[Área],MATCH(tbAud[[#This Row],[Auditoria]],tbAuditorias[Auditoria],0)),"")</f>
        <v>Manutenção</v>
      </c>
      <c r="N48" s="109">
        <f>IFERROR(INDEX(tbAuditorias[Data],MATCH(tbAud[[#This Row],[Auditoria]],tbAuditorias[Auditoria],0)),"")</f>
        <v>46365</v>
      </c>
      <c r="O48" s="12" t="s">
        <v>1864</v>
      </c>
      <c r="P48" s="12"/>
      <c r="Q48" s="12"/>
      <c r="R48" s="13"/>
      <c r="S48" s="16"/>
      <c r="T48" s="12"/>
      <c r="U48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8" s="106">
        <f>IF(tbAud[[#This Row],[Peso]]="","",tbAud[[#This Row],[Peso]]*tbAud[[#This Row],[Pontos]])</f>
        <v>2</v>
      </c>
    </row>
    <row r="49" spans="1:22" ht="22.8">
      <c r="A49" s="12" t="s">
        <v>2823</v>
      </c>
      <c r="B49" s="102" t="s">
        <v>1931</v>
      </c>
      <c r="C49" s="13" t="s">
        <v>1774</v>
      </c>
      <c r="D49" s="13" t="s">
        <v>1932</v>
      </c>
      <c r="E49" s="13" t="s">
        <v>1933</v>
      </c>
      <c r="F49" s="12" t="s">
        <v>82</v>
      </c>
      <c r="G49" s="12" t="s">
        <v>1705</v>
      </c>
      <c r="H49" s="12" t="s">
        <v>1735</v>
      </c>
      <c r="I49" s="13" t="s">
        <v>1934</v>
      </c>
      <c r="J49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49" s="54">
        <f>IF(OR(tbAud[[#This Row],[Resultado]]="",tbAud[[#This Row],[Resultado]]="N/A"),"",IF(tbAud[[#This Row],[Criticidade]]="Crítica",3,IF(tbAud[[#This Row],[Criticidade]]="Alta",2,1)))</f>
        <v>2</v>
      </c>
      <c r="L49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49" s="54" t="str">
        <f>IFERROR(INDEX(tbAuditorias[Área],MATCH(tbAud[[#This Row],[Auditoria]],tbAuditorias[Auditoria],0)),"")</f>
        <v>Compras / Fornecedores</v>
      </c>
      <c r="N49" s="109">
        <f>IFERROR(INDEX(tbAuditorias[Data],MATCH(tbAud[[#This Row],[Auditoria]],tbAuditorias[Auditoria],0)),"")</f>
        <v>46372</v>
      </c>
      <c r="O49" s="12" t="s">
        <v>1778</v>
      </c>
      <c r="P49" s="12"/>
      <c r="Q49" s="12"/>
      <c r="R49" s="13"/>
      <c r="S49" s="16"/>
      <c r="T49" s="12"/>
      <c r="U49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49" s="106">
        <f>IF(tbAud[[#This Row],[Peso]]="","",tbAud[[#This Row],[Peso]]*tbAud[[#This Row],[Pontos]])</f>
        <v>2</v>
      </c>
    </row>
    <row r="50" spans="1:22" ht="22.8">
      <c r="A50" s="12" t="s">
        <v>2823</v>
      </c>
      <c r="B50" s="102" t="s">
        <v>1935</v>
      </c>
      <c r="C50" s="13" t="s">
        <v>1774</v>
      </c>
      <c r="D50" s="13" t="s">
        <v>1936</v>
      </c>
      <c r="E50" s="13" t="s">
        <v>1937</v>
      </c>
      <c r="F50" s="12" t="s">
        <v>82</v>
      </c>
      <c r="G50" s="12" t="s">
        <v>1705</v>
      </c>
      <c r="H50" s="12" t="s">
        <v>1733</v>
      </c>
      <c r="I50" s="13" t="s">
        <v>1938</v>
      </c>
      <c r="J50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50" s="54">
        <f>IF(OR(tbAud[[#This Row],[Resultado]]="",tbAud[[#This Row],[Resultado]]="N/A"),"",IF(tbAud[[#This Row],[Criticidade]]="Crítica",3,IF(tbAud[[#This Row],[Criticidade]]="Alta",2,1)))</f>
        <v>2</v>
      </c>
      <c r="L50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50" s="54" t="str">
        <f>IFERROR(INDEX(tbAuditorias[Área],MATCH(tbAud[[#This Row],[Auditoria]],tbAuditorias[Auditoria],0)),"")</f>
        <v>Compras / Fornecedores</v>
      </c>
      <c r="N50" s="109">
        <f>IFERROR(INDEX(tbAuditorias[Data],MATCH(tbAud[[#This Row],[Auditoria]],tbAuditorias[Auditoria],0)),"")</f>
        <v>46372</v>
      </c>
      <c r="O50" s="12" t="s">
        <v>1778</v>
      </c>
      <c r="P50" s="12"/>
      <c r="Q50" s="12"/>
      <c r="R50" s="13"/>
      <c r="S50" s="16"/>
      <c r="T50" s="12"/>
      <c r="U50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0" s="106">
        <f>IF(tbAud[[#This Row],[Peso]]="","",tbAud[[#This Row],[Peso]]*tbAud[[#This Row],[Pontos]])</f>
        <v>2</v>
      </c>
    </row>
    <row r="51" spans="1:22" ht="22.8">
      <c r="A51" s="12" t="s">
        <v>2823</v>
      </c>
      <c r="B51" s="102" t="s">
        <v>1939</v>
      </c>
      <c r="C51" s="13" t="s">
        <v>1774</v>
      </c>
      <c r="D51" s="13" t="s">
        <v>1940</v>
      </c>
      <c r="E51" s="13" t="s">
        <v>1941</v>
      </c>
      <c r="F51" s="12" t="s">
        <v>82</v>
      </c>
      <c r="G51" s="12" t="s">
        <v>1708</v>
      </c>
      <c r="H51" s="12" t="s">
        <v>1734</v>
      </c>
      <c r="I51" s="13" t="s">
        <v>2028</v>
      </c>
      <c r="J51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51" s="54">
        <f>IF(OR(tbAud[[#This Row],[Resultado]]="",tbAud[[#This Row],[Resultado]]="N/A"),"",IF(tbAud[[#This Row],[Criticidade]]="Crítica",3,IF(tbAud[[#This Row],[Criticidade]]="Alta",2,1)))</f>
        <v>2</v>
      </c>
      <c r="L51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51" s="54" t="str">
        <f>IFERROR(INDEX(tbAuditorias[Área],MATCH(tbAud[[#This Row],[Auditoria]],tbAuditorias[Auditoria],0)),"")</f>
        <v>Compras / Fornecedores</v>
      </c>
      <c r="N51" s="109">
        <f>IFERROR(INDEX(tbAuditorias[Data],MATCH(tbAud[[#This Row],[Auditoria]],tbAuditorias[Auditoria],0)),"")</f>
        <v>46372</v>
      </c>
      <c r="O51" s="12" t="s">
        <v>1773</v>
      </c>
      <c r="P51" s="12" t="s">
        <v>818</v>
      </c>
      <c r="Q51" s="12"/>
      <c r="R51" s="13"/>
      <c r="S51" s="16"/>
      <c r="T51" s="12"/>
      <c r="U51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1" s="106">
        <f>IF(tbAud[[#This Row],[Peso]]="","",tbAud[[#This Row],[Peso]]*tbAud[[#This Row],[Pontos]])</f>
        <v>1</v>
      </c>
    </row>
    <row r="52" spans="1:22" ht="22.8">
      <c r="A52" s="12" t="s">
        <v>2823</v>
      </c>
      <c r="B52" s="102" t="s">
        <v>1943</v>
      </c>
      <c r="C52" s="13" t="s">
        <v>1799</v>
      </c>
      <c r="D52" s="13" t="s">
        <v>1944</v>
      </c>
      <c r="E52" s="13" t="s">
        <v>1945</v>
      </c>
      <c r="F52" s="12" t="s">
        <v>82</v>
      </c>
      <c r="G52" s="12" t="s">
        <v>1708</v>
      </c>
      <c r="H52" s="12" t="s">
        <v>1734</v>
      </c>
      <c r="I52" s="13" t="s">
        <v>2029</v>
      </c>
      <c r="J52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52" s="54">
        <f>IF(OR(tbAud[[#This Row],[Resultado]]="",tbAud[[#This Row],[Resultado]]="N/A"),"",IF(tbAud[[#This Row],[Criticidade]]="Crítica",3,IF(tbAud[[#This Row],[Criticidade]]="Alta",2,1)))</f>
        <v>2</v>
      </c>
      <c r="L52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52" s="54" t="str">
        <f>IFERROR(INDEX(tbAuditorias[Área],MATCH(tbAud[[#This Row],[Auditoria]],tbAuditorias[Auditoria],0)),"")</f>
        <v>Compras / Fornecedores</v>
      </c>
      <c r="N52" s="109">
        <f>IFERROR(INDEX(tbAuditorias[Data],MATCH(tbAud[[#This Row],[Auditoria]],tbAuditorias[Auditoria],0)),"")</f>
        <v>46372</v>
      </c>
      <c r="O52" s="12" t="s">
        <v>1805</v>
      </c>
      <c r="P52" s="12" t="s">
        <v>818</v>
      </c>
      <c r="Q52" s="12"/>
      <c r="R52" s="13"/>
      <c r="S52" s="16"/>
      <c r="T52" s="12"/>
      <c r="U52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2" s="106">
        <f>IF(tbAud[[#This Row],[Peso]]="","",tbAud[[#This Row],[Peso]]*tbAud[[#This Row],[Pontos]])</f>
        <v>1</v>
      </c>
    </row>
    <row r="53" spans="1:22" ht="22.8">
      <c r="A53" s="12" t="s">
        <v>2823</v>
      </c>
      <c r="B53" s="102" t="s">
        <v>1947</v>
      </c>
      <c r="C53" s="13" t="s">
        <v>1799</v>
      </c>
      <c r="D53" s="13" t="s">
        <v>1948</v>
      </c>
      <c r="E53" s="13" t="s">
        <v>1949</v>
      </c>
      <c r="F53" s="12" t="s">
        <v>71</v>
      </c>
      <c r="G53" s="12" t="s">
        <v>1705</v>
      </c>
      <c r="H53" s="12" t="s">
        <v>1735</v>
      </c>
      <c r="I53" s="13" t="s">
        <v>1950</v>
      </c>
      <c r="J53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53" s="54">
        <f>IF(OR(tbAud[[#This Row],[Resultado]]="",tbAud[[#This Row],[Resultado]]="N/A"),"",IF(tbAud[[#This Row],[Criticidade]]="Crítica",3,IF(tbAud[[#This Row],[Criticidade]]="Alta",2,1)))</f>
        <v>1</v>
      </c>
      <c r="L53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53" s="54" t="str">
        <f>IFERROR(INDEX(tbAuditorias[Área],MATCH(tbAud[[#This Row],[Auditoria]],tbAuditorias[Auditoria],0)),"")</f>
        <v>Compras / Fornecedores</v>
      </c>
      <c r="N53" s="109">
        <f>IFERROR(INDEX(tbAuditorias[Data],MATCH(tbAud[[#This Row],[Auditoria]],tbAuditorias[Auditoria],0)),"")</f>
        <v>46372</v>
      </c>
      <c r="O53" s="12" t="s">
        <v>1802</v>
      </c>
      <c r="P53" s="12"/>
      <c r="Q53" s="12"/>
      <c r="R53" s="13"/>
      <c r="S53" s="16"/>
      <c r="T53" s="12"/>
      <c r="U53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3" s="106">
        <f>IF(tbAud[[#This Row],[Peso]]="","",tbAud[[#This Row],[Peso]]*tbAud[[#This Row],[Pontos]])</f>
        <v>1</v>
      </c>
    </row>
    <row r="54" spans="1:22" ht="22.8">
      <c r="A54" s="12" t="s">
        <v>2823</v>
      </c>
      <c r="B54" s="102" t="s">
        <v>1951</v>
      </c>
      <c r="C54" s="13" t="s">
        <v>1818</v>
      </c>
      <c r="D54" s="13" t="s">
        <v>1952</v>
      </c>
      <c r="E54" s="13" t="s">
        <v>1953</v>
      </c>
      <c r="F54" s="12" t="s">
        <v>1728</v>
      </c>
      <c r="G54" s="12" t="s">
        <v>1708</v>
      </c>
      <c r="H54" s="12" t="s">
        <v>1734</v>
      </c>
      <c r="I54" s="13" t="s">
        <v>2030</v>
      </c>
      <c r="J54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54" s="54">
        <f>IF(OR(tbAud[[#This Row],[Resultado]]="",tbAud[[#This Row],[Resultado]]="N/A"),"",IF(tbAud[[#This Row],[Criticidade]]="Crítica",3,IF(tbAud[[#This Row],[Criticidade]]="Alta",2,1)))</f>
        <v>3</v>
      </c>
      <c r="L54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54" s="54" t="str">
        <f>IFERROR(INDEX(tbAuditorias[Área],MATCH(tbAud[[#This Row],[Auditoria]],tbAuditorias[Auditoria],0)),"")</f>
        <v>Compras / Fornecedores</v>
      </c>
      <c r="N54" s="109">
        <f>IFERROR(INDEX(tbAuditorias[Data],MATCH(tbAud[[#This Row],[Auditoria]],tbAuditorias[Auditoria],0)),"")</f>
        <v>46372</v>
      </c>
      <c r="O54" s="12" t="s">
        <v>1822</v>
      </c>
      <c r="P54" s="12" t="s">
        <v>818</v>
      </c>
      <c r="Q54" s="12"/>
      <c r="R54" s="13"/>
      <c r="S54" s="16"/>
      <c r="T54" s="12"/>
      <c r="U54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4" s="106">
        <f>IF(tbAud[[#This Row],[Peso]]="","",tbAud[[#This Row],[Peso]]*tbAud[[#This Row],[Pontos]])</f>
        <v>1.5</v>
      </c>
    </row>
    <row r="55" spans="1:22" ht="22.8">
      <c r="A55" s="12" t="s">
        <v>2823</v>
      </c>
      <c r="B55" s="102" t="s">
        <v>1955</v>
      </c>
      <c r="C55" s="13" t="s">
        <v>1818</v>
      </c>
      <c r="D55" s="13" t="s">
        <v>1956</v>
      </c>
      <c r="E55" s="13" t="s">
        <v>1957</v>
      </c>
      <c r="F55" s="12" t="s">
        <v>1728</v>
      </c>
      <c r="G55" s="12" t="s">
        <v>1705</v>
      </c>
      <c r="H55" s="12" t="s">
        <v>1733</v>
      </c>
      <c r="I55" s="13" t="s">
        <v>1958</v>
      </c>
      <c r="J55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55" s="54">
        <f>IF(OR(tbAud[[#This Row],[Resultado]]="",tbAud[[#This Row],[Resultado]]="N/A"),"",IF(tbAud[[#This Row],[Criticidade]]="Crítica",3,IF(tbAud[[#This Row],[Criticidade]]="Alta",2,1)))</f>
        <v>3</v>
      </c>
      <c r="L55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55" s="54" t="str">
        <f>IFERROR(INDEX(tbAuditorias[Área],MATCH(tbAud[[#This Row],[Auditoria]],tbAuditorias[Auditoria],0)),"")</f>
        <v>Compras / Fornecedores</v>
      </c>
      <c r="N55" s="109">
        <f>IFERROR(INDEX(tbAuditorias[Data],MATCH(tbAud[[#This Row],[Auditoria]],tbAuditorias[Auditoria],0)),"")</f>
        <v>46372</v>
      </c>
      <c r="O55" s="12" t="s">
        <v>1817</v>
      </c>
      <c r="P55" s="12"/>
      <c r="Q55" s="12"/>
      <c r="R55" s="13"/>
      <c r="S55" s="16"/>
      <c r="T55" s="12"/>
      <c r="U55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5" s="106">
        <f>IF(tbAud[[#This Row],[Peso]]="","",tbAud[[#This Row],[Peso]]*tbAud[[#This Row],[Pontos]])</f>
        <v>3</v>
      </c>
    </row>
    <row r="56" spans="1:22" ht="22.8">
      <c r="A56" s="12" t="s">
        <v>2823</v>
      </c>
      <c r="B56" s="102" t="s">
        <v>1959</v>
      </c>
      <c r="C56" s="13" t="s">
        <v>1818</v>
      </c>
      <c r="D56" s="13" t="s">
        <v>1960</v>
      </c>
      <c r="E56" s="13" t="s">
        <v>1961</v>
      </c>
      <c r="F56" s="12" t="s">
        <v>82</v>
      </c>
      <c r="G56" s="12" t="s">
        <v>1705</v>
      </c>
      <c r="H56" s="12" t="s">
        <v>1733</v>
      </c>
      <c r="I56" s="13" t="s">
        <v>1962</v>
      </c>
      <c r="J56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56" s="54">
        <f>IF(OR(tbAud[[#This Row],[Resultado]]="",tbAud[[#This Row],[Resultado]]="N/A"),"",IF(tbAud[[#This Row],[Criticidade]]="Crítica",3,IF(tbAud[[#This Row],[Criticidade]]="Alta",2,1)))</f>
        <v>2</v>
      </c>
      <c r="L56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56" s="54" t="str">
        <f>IFERROR(INDEX(tbAuditorias[Área],MATCH(tbAud[[#This Row],[Auditoria]],tbAuditorias[Auditoria],0)),"")</f>
        <v>Compras / Fornecedores</v>
      </c>
      <c r="N56" s="109">
        <f>IFERROR(INDEX(tbAuditorias[Data],MATCH(tbAud[[#This Row],[Auditoria]],tbAuditorias[Auditoria],0)),"")</f>
        <v>46372</v>
      </c>
      <c r="O56" s="12" t="s">
        <v>1826</v>
      </c>
      <c r="P56" s="12"/>
      <c r="Q56" s="12"/>
      <c r="R56" s="13"/>
      <c r="S56" s="16"/>
      <c r="T56" s="12"/>
      <c r="U56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6" s="106">
        <f>IF(tbAud[[#This Row],[Peso]]="","",tbAud[[#This Row],[Peso]]*tbAud[[#This Row],[Pontos]])</f>
        <v>2</v>
      </c>
    </row>
    <row r="57" spans="1:22" ht="22.8">
      <c r="A57" s="12" t="s">
        <v>2823</v>
      </c>
      <c r="B57" s="102" t="s">
        <v>1963</v>
      </c>
      <c r="C57" s="13" t="s">
        <v>1835</v>
      </c>
      <c r="D57" s="13" t="s">
        <v>1964</v>
      </c>
      <c r="E57" s="13" t="s">
        <v>1965</v>
      </c>
      <c r="F57" s="12" t="s">
        <v>82</v>
      </c>
      <c r="G57" s="12" t="s">
        <v>1708</v>
      </c>
      <c r="H57" s="12" t="s">
        <v>1734</v>
      </c>
      <c r="I57" s="13" t="s">
        <v>2031</v>
      </c>
      <c r="J57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57" s="54">
        <f>IF(OR(tbAud[[#This Row],[Resultado]]="",tbAud[[#This Row],[Resultado]]="N/A"),"",IF(tbAud[[#This Row],[Criticidade]]="Crítica",3,IF(tbAud[[#This Row],[Criticidade]]="Alta",2,1)))</f>
        <v>2</v>
      </c>
      <c r="L57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57" s="54" t="str">
        <f>IFERROR(INDEX(tbAuditorias[Área],MATCH(tbAud[[#This Row],[Auditoria]],tbAuditorias[Auditoria],0)),"")</f>
        <v>Compras / Fornecedores</v>
      </c>
      <c r="N57" s="109">
        <f>IFERROR(INDEX(tbAuditorias[Data],MATCH(tbAud[[#This Row],[Auditoria]],tbAuditorias[Auditoria],0)),"")</f>
        <v>46372</v>
      </c>
      <c r="O57" s="12" t="s">
        <v>1834</v>
      </c>
      <c r="P57" s="12" t="s">
        <v>818</v>
      </c>
      <c r="Q57" s="12" t="s">
        <v>1216</v>
      </c>
      <c r="R57" s="13" t="s">
        <v>827</v>
      </c>
      <c r="S57" s="16">
        <v>46507</v>
      </c>
      <c r="T57" s="12" t="s">
        <v>1737</v>
      </c>
      <c r="U57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7" s="106">
        <f>IF(tbAud[[#This Row],[Peso]]="","",tbAud[[#This Row],[Peso]]*tbAud[[#This Row],[Pontos]])</f>
        <v>1</v>
      </c>
    </row>
    <row r="58" spans="1:22" ht="22.8">
      <c r="A58" s="12" t="s">
        <v>2823</v>
      </c>
      <c r="B58" s="102" t="s">
        <v>1967</v>
      </c>
      <c r="C58" s="13" t="s">
        <v>1835</v>
      </c>
      <c r="D58" s="13" t="s">
        <v>1968</v>
      </c>
      <c r="E58" s="13" t="s">
        <v>1969</v>
      </c>
      <c r="F58" s="12" t="s">
        <v>82</v>
      </c>
      <c r="G58" s="12" t="s">
        <v>1705</v>
      </c>
      <c r="H58" s="12" t="s">
        <v>1734</v>
      </c>
      <c r="I58" s="13" t="s">
        <v>2021</v>
      </c>
      <c r="J58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58" s="54">
        <f>IF(OR(tbAud[[#This Row],[Resultado]]="",tbAud[[#This Row],[Resultado]]="N/A"),"",IF(tbAud[[#This Row],[Criticidade]]="Crítica",3,IF(tbAud[[#This Row],[Criticidade]]="Alta",2,1)))</f>
        <v>2</v>
      </c>
      <c r="L58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58" s="54" t="str">
        <f>IFERROR(INDEX(tbAuditorias[Área],MATCH(tbAud[[#This Row],[Auditoria]],tbAuditorias[Auditoria],0)),"")</f>
        <v>Compras / Fornecedores</v>
      </c>
      <c r="N58" s="109">
        <f>IFERROR(INDEX(tbAuditorias[Data],MATCH(tbAud[[#This Row],[Auditoria]],tbAuditorias[Auditoria],0)),"")</f>
        <v>46372</v>
      </c>
      <c r="O58" s="12" t="s">
        <v>1839</v>
      </c>
      <c r="P58" s="12"/>
      <c r="Q58" s="12"/>
      <c r="R58" s="13"/>
      <c r="S58" s="16"/>
      <c r="T58" s="12"/>
      <c r="U58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8" s="106">
        <f>IF(tbAud[[#This Row],[Peso]]="","",tbAud[[#This Row],[Peso]]*tbAud[[#This Row],[Pontos]])</f>
        <v>2</v>
      </c>
    </row>
    <row r="59" spans="1:22" ht="22.8">
      <c r="A59" s="12" t="s">
        <v>2823</v>
      </c>
      <c r="B59" s="102" t="s">
        <v>1971</v>
      </c>
      <c r="C59" s="13" t="s">
        <v>1835</v>
      </c>
      <c r="D59" s="13" t="s">
        <v>1972</v>
      </c>
      <c r="E59" s="13" t="s">
        <v>1965</v>
      </c>
      <c r="F59" s="12" t="s">
        <v>1728</v>
      </c>
      <c r="G59" s="12" t="s">
        <v>1713</v>
      </c>
      <c r="H59" s="12" t="s">
        <v>1733</v>
      </c>
      <c r="I59" s="13" t="s">
        <v>2032</v>
      </c>
      <c r="J59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</v>
      </c>
      <c r="K59" s="54">
        <f>IF(OR(tbAud[[#This Row],[Resultado]]="",tbAud[[#This Row],[Resultado]]="N/A"),"",IF(tbAud[[#This Row],[Criticidade]]="Crítica",3,IF(tbAud[[#This Row],[Criticidade]]="Alta",2,1)))</f>
        <v>3</v>
      </c>
      <c r="L59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NC maior</v>
      </c>
      <c r="M59" s="54" t="str">
        <f>IFERROR(INDEX(tbAuditorias[Área],MATCH(tbAud[[#This Row],[Auditoria]],tbAuditorias[Auditoria],0)),"")</f>
        <v>Compras / Fornecedores</v>
      </c>
      <c r="N59" s="109">
        <f>IFERROR(INDEX(tbAuditorias[Data],MATCH(tbAud[[#This Row],[Auditoria]],tbAuditorias[Auditoria],0)),"")</f>
        <v>46372</v>
      </c>
      <c r="O59" s="12" t="s">
        <v>1817</v>
      </c>
      <c r="P59" s="12" t="s">
        <v>818</v>
      </c>
      <c r="Q59" s="12" t="s">
        <v>829</v>
      </c>
      <c r="R59" s="13" t="s">
        <v>826</v>
      </c>
      <c r="S59" s="16">
        <v>46444</v>
      </c>
      <c r="T59" s="12" t="s">
        <v>1737</v>
      </c>
      <c r="U59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59" s="106">
        <f>IF(tbAud[[#This Row],[Peso]]="","",tbAud[[#This Row],[Peso]]*tbAud[[#This Row],[Pontos]])</f>
        <v>0</v>
      </c>
    </row>
    <row r="60" spans="1:22" ht="22.8">
      <c r="A60" s="12" t="s">
        <v>2823</v>
      </c>
      <c r="B60" s="102" t="s">
        <v>1974</v>
      </c>
      <c r="C60" s="13" t="s">
        <v>1835</v>
      </c>
      <c r="D60" s="13" t="s">
        <v>1975</v>
      </c>
      <c r="E60" s="13" t="s">
        <v>1976</v>
      </c>
      <c r="F60" s="12" t="s">
        <v>1728</v>
      </c>
      <c r="G60" s="12" t="s">
        <v>1713</v>
      </c>
      <c r="H60" s="12" t="s">
        <v>1734</v>
      </c>
      <c r="I60" s="13" t="s">
        <v>2033</v>
      </c>
      <c r="J60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</v>
      </c>
      <c r="K60" s="54">
        <f>IF(OR(tbAud[[#This Row],[Resultado]]="",tbAud[[#This Row],[Resultado]]="N/A"),"",IF(tbAud[[#This Row],[Criticidade]]="Crítica",3,IF(tbAud[[#This Row],[Criticidade]]="Alta",2,1)))</f>
        <v>3</v>
      </c>
      <c r="L60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NC maior</v>
      </c>
      <c r="M60" s="54" t="str">
        <f>IFERROR(INDEX(tbAuditorias[Área],MATCH(tbAud[[#This Row],[Auditoria]],tbAuditorias[Auditoria],0)),"")</f>
        <v>Compras / Fornecedores</v>
      </c>
      <c r="N60" s="109">
        <f>IFERROR(INDEX(tbAuditorias[Data],MATCH(tbAud[[#This Row],[Auditoria]],tbAuditorias[Auditoria],0)),"")</f>
        <v>46372</v>
      </c>
      <c r="O60" s="12" t="s">
        <v>1843</v>
      </c>
      <c r="P60" s="12" t="s">
        <v>818</v>
      </c>
      <c r="Q60" s="12" t="s">
        <v>829</v>
      </c>
      <c r="R60" s="13" t="s">
        <v>826</v>
      </c>
      <c r="S60" s="16">
        <v>46444</v>
      </c>
      <c r="T60" s="12" t="s">
        <v>1737</v>
      </c>
      <c r="U60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0" s="106">
        <f>IF(tbAud[[#This Row],[Peso]]="","",tbAud[[#This Row],[Peso]]*tbAud[[#This Row],[Pontos]])</f>
        <v>0</v>
      </c>
    </row>
    <row r="61" spans="1:22" ht="22.8">
      <c r="A61" s="12" t="s">
        <v>2823</v>
      </c>
      <c r="B61" s="102" t="s">
        <v>1978</v>
      </c>
      <c r="C61" s="13" t="s">
        <v>1835</v>
      </c>
      <c r="D61" s="13" t="s">
        <v>1979</v>
      </c>
      <c r="E61" s="13" t="s">
        <v>1980</v>
      </c>
      <c r="F61" s="12" t="s">
        <v>1728</v>
      </c>
      <c r="G61" s="12" t="s">
        <v>1705</v>
      </c>
      <c r="H61" s="12" t="s">
        <v>1711</v>
      </c>
      <c r="I61" s="13" t="s">
        <v>1981</v>
      </c>
      <c r="J61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61" s="54">
        <f>IF(OR(tbAud[[#This Row],[Resultado]]="",tbAud[[#This Row],[Resultado]]="N/A"),"",IF(tbAud[[#This Row],[Criticidade]]="Crítica",3,IF(tbAud[[#This Row],[Criticidade]]="Alta",2,1)))</f>
        <v>3</v>
      </c>
      <c r="L61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61" s="54" t="str">
        <f>IFERROR(INDEX(tbAuditorias[Área],MATCH(tbAud[[#This Row],[Auditoria]],tbAuditorias[Auditoria],0)),"")</f>
        <v>Compras / Fornecedores</v>
      </c>
      <c r="N61" s="109">
        <f>IFERROR(INDEX(tbAuditorias[Data],MATCH(tbAud[[#This Row],[Auditoria]],tbAuditorias[Auditoria],0)),"")</f>
        <v>46372</v>
      </c>
      <c r="O61" s="12" t="s">
        <v>1847</v>
      </c>
      <c r="P61" s="12"/>
      <c r="Q61" s="12"/>
      <c r="R61" s="13"/>
      <c r="S61" s="16"/>
      <c r="T61" s="12"/>
      <c r="U61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1" s="106">
        <f>IF(tbAud[[#This Row],[Peso]]="","",tbAud[[#This Row],[Peso]]*tbAud[[#This Row],[Pontos]])</f>
        <v>3</v>
      </c>
    </row>
    <row r="62" spans="1:22" ht="22.8">
      <c r="A62" s="12" t="s">
        <v>2823</v>
      </c>
      <c r="B62" s="102" t="s">
        <v>1982</v>
      </c>
      <c r="C62" s="13" t="s">
        <v>1835</v>
      </c>
      <c r="D62" s="13" t="s">
        <v>1983</v>
      </c>
      <c r="E62" s="13" t="s">
        <v>1984</v>
      </c>
      <c r="F62" s="12" t="s">
        <v>1728</v>
      </c>
      <c r="G62" s="12" t="s">
        <v>1705</v>
      </c>
      <c r="H62" s="12" t="s">
        <v>1665</v>
      </c>
      <c r="I62" s="13" t="s">
        <v>2034</v>
      </c>
      <c r="J62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62" s="54">
        <f>IF(OR(tbAud[[#This Row],[Resultado]]="",tbAud[[#This Row],[Resultado]]="N/A"),"",IF(tbAud[[#This Row],[Criticidade]]="Crítica",3,IF(tbAud[[#This Row],[Criticidade]]="Alta",2,1)))</f>
        <v>3</v>
      </c>
      <c r="L62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62" s="54" t="str">
        <f>IFERROR(INDEX(tbAuditorias[Área],MATCH(tbAud[[#This Row],[Auditoria]],tbAuditorias[Auditoria],0)),"")</f>
        <v>Compras / Fornecedores</v>
      </c>
      <c r="N62" s="109">
        <f>IFERROR(INDEX(tbAuditorias[Data],MATCH(tbAud[[#This Row],[Auditoria]],tbAuditorias[Auditoria],0)),"")</f>
        <v>46372</v>
      </c>
      <c r="O62" s="12" t="s">
        <v>1847</v>
      </c>
      <c r="P62" s="12"/>
      <c r="Q62" s="12"/>
      <c r="R62" s="13"/>
      <c r="S62" s="16"/>
      <c r="T62" s="12"/>
      <c r="U62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2" s="106">
        <f>IF(tbAud[[#This Row],[Peso]]="","",tbAud[[#This Row],[Peso]]*tbAud[[#This Row],[Pontos]])</f>
        <v>3</v>
      </c>
    </row>
    <row r="63" spans="1:22" ht="22.8">
      <c r="A63" s="12" t="s">
        <v>2823</v>
      </c>
      <c r="B63" s="102" t="s">
        <v>1986</v>
      </c>
      <c r="C63" s="13" t="s">
        <v>1852</v>
      </c>
      <c r="D63" s="13" t="s">
        <v>1987</v>
      </c>
      <c r="E63" s="13" t="s">
        <v>1988</v>
      </c>
      <c r="F63" s="12" t="s">
        <v>82</v>
      </c>
      <c r="G63" s="12" t="s">
        <v>1705</v>
      </c>
      <c r="H63" s="12" t="s">
        <v>1734</v>
      </c>
      <c r="I63" s="13" t="s">
        <v>2035</v>
      </c>
      <c r="J63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63" s="54">
        <f>IF(OR(tbAud[[#This Row],[Resultado]]="",tbAud[[#This Row],[Resultado]]="N/A"),"",IF(tbAud[[#This Row],[Criticidade]]="Crítica",3,IF(tbAud[[#This Row],[Criticidade]]="Alta",2,1)))</f>
        <v>2</v>
      </c>
      <c r="L63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63" s="54" t="str">
        <f>IFERROR(INDEX(tbAuditorias[Área],MATCH(tbAud[[#This Row],[Auditoria]],tbAuditorias[Auditoria],0)),"")</f>
        <v>Compras / Fornecedores</v>
      </c>
      <c r="N63" s="109">
        <f>IFERROR(INDEX(tbAuditorias[Data],MATCH(tbAud[[#This Row],[Auditoria]],tbAuditorias[Auditoria],0)),"")</f>
        <v>46372</v>
      </c>
      <c r="O63" s="12" t="s">
        <v>1851</v>
      </c>
      <c r="P63" s="12"/>
      <c r="Q63" s="12"/>
      <c r="R63" s="13"/>
      <c r="S63" s="16"/>
      <c r="T63" s="12"/>
      <c r="U63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3" s="106">
        <f>IF(tbAud[[#This Row],[Peso]]="","",tbAud[[#This Row],[Peso]]*tbAud[[#This Row],[Pontos]])</f>
        <v>2</v>
      </c>
    </row>
    <row r="64" spans="1:22" ht="22.8">
      <c r="A64" s="12" t="s">
        <v>2823</v>
      </c>
      <c r="B64" s="102" t="s">
        <v>1990</v>
      </c>
      <c r="C64" s="13" t="s">
        <v>1852</v>
      </c>
      <c r="D64" s="13" t="s">
        <v>1991</v>
      </c>
      <c r="E64" s="13" t="s">
        <v>1992</v>
      </c>
      <c r="F64" s="12" t="s">
        <v>82</v>
      </c>
      <c r="G64" s="12" t="s">
        <v>1713</v>
      </c>
      <c r="H64" s="12" t="s">
        <v>1733</v>
      </c>
      <c r="I64" s="13" t="s">
        <v>2036</v>
      </c>
      <c r="J64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</v>
      </c>
      <c r="K64" s="54">
        <f>IF(OR(tbAud[[#This Row],[Resultado]]="",tbAud[[#This Row],[Resultado]]="N/A"),"",IF(tbAud[[#This Row],[Criticidade]]="Crítica",3,IF(tbAud[[#This Row],[Criticidade]]="Alta",2,1)))</f>
        <v>2</v>
      </c>
      <c r="L64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NC menor</v>
      </c>
      <c r="M64" s="54" t="str">
        <f>IFERROR(INDEX(tbAuditorias[Área],MATCH(tbAud[[#This Row],[Auditoria]],tbAuditorias[Auditoria],0)),"")</f>
        <v>Compras / Fornecedores</v>
      </c>
      <c r="N64" s="109">
        <f>IFERROR(INDEX(tbAuditorias[Data],MATCH(tbAud[[#This Row],[Auditoria]],tbAuditorias[Auditoria],0)),"")</f>
        <v>46372</v>
      </c>
      <c r="O64" s="12" t="s">
        <v>1856</v>
      </c>
      <c r="P64" s="12" t="s">
        <v>818</v>
      </c>
      <c r="Q64" s="12" t="s">
        <v>829</v>
      </c>
      <c r="R64" s="13" t="s">
        <v>827</v>
      </c>
      <c r="S64" s="16">
        <v>46444</v>
      </c>
      <c r="T64" s="12" t="s">
        <v>1737</v>
      </c>
      <c r="U64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4" s="106">
        <f>IF(tbAud[[#This Row],[Peso]]="","",tbAud[[#This Row],[Peso]]*tbAud[[#This Row],[Pontos]])</f>
        <v>0</v>
      </c>
    </row>
    <row r="65" spans="1:22" ht="22.8">
      <c r="A65" s="12" t="s">
        <v>2823</v>
      </c>
      <c r="B65" s="102" t="s">
        <v>1994</v>
      </c>
      <c r="C65" s="13" t="s">
        <v>1852</v>
      </c>
      <c r="D65" s="13" t="s">
        <v>1995</v>
      </c>
      <c r="E65" s="13" t="s">
        <v>1996</v>
      </c>
      <c r="F65" s="12" t="s">
        <v>82</v>
      </c>
      <c r="G65" s="12" t="s">
        <v>1708</v>
      </c>
      <c r="H65" s="12" t="s">
        <v>1733</v>
      </c>
      <c r="I65" s="13" t="s">
        <v>2037</v>
      </c>
      <c r="J65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65" s="54">
        <f>IF(OR(tbAud[[#This Row],[Resultado]]="",tbAud[[#This Row],[Resultado]]="N/A"),"",IF(tbAud[[#This Row],[Criticidade]]="Crítica",3,IF(tbAud[[#This Row],[Criticidade]]="Alta",2,1)))</f>
        <v>2</v>
      </c>
      <c r="L65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65" s="54" t="str">
        <f>IFERROR(INDEX(tbAuditorias[Área],MATCH(tbAud[[#This Row],[Auditoria]],tbAuditorias[Auditoria],0)),"")</f>
        <v>Compras / Fornecedores</v>
      </c>
      <c r="N65" s="109">
        <f>IFERROR(INDEX(tbAuditorias[Data],MATCH(tbAud[[#This Row],[Auditoria]],tbAuditorias[Auditoria],0)),"")</f>
        <v>46372</v>
      </c>
      <c r="O65" s="12" t="s">
        <v>1860</v>
      </c>
      <c r="P65" s="12" t="s">
        <v>818</v>
      </c>
      <c r="Q65" s="12"/>
      <c r="R65" s="13"/>
      <c r="S65" s="16"/>
      <c r="T65" s="12"/>
      <c r="U65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5" s="106">
        <f>IF(tbAud[[#This Row],[Peso]]="","",tbAud[[#This Row],[Peso]]*tbAud[[#This Row],[Pontos]])</f>
        <v>1</v>
      </c>
    </row>
    <row r="66" spans="1:22" ht="34.200000000000003">
      <c r="A66" s="12" t="s">
        <v>2823</v>
      </c>
      <c r="B66" s="102" t="s">
        <v>1998</v>
      </c>
      <c r="C66" s="13" t="s">
        <v>1852</v>
      </c>
      <c r="D66" s="13" t="s">
        <v>1999</v>
      </c>
      <c r="E66" s="13" t="s">
        <v>2000</v>
      </c>
      <c r="F66" s="12" t="s">
        <v>82</v>
      </c>
      <c r="G66" s="12" t="s">
        <v>1717</v>
      </c>
      <c r="H66" s="12" t="s">
        <v>1734</v>
      </c>
      <c r="I66" s="13" t="s">
        <v>2038</v>
      </c>
      <c r="J66" s="104" t="str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/>
      </c>
      <c r="K66" s="54" t="str">
        <f>IF(OR(tbAud[[#This Row],[Resultado]]="",tbAud[[#This Row],[Resultado]]="N/A"),"",IF(tbAud[[#This Row],[Criticidade]]="Crítica",3,IF(tbAud[[#This Row],[Criticidade]]="Alta",2,1)))</f>
        <v/>
      </c>
      <c r="L66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N/A</v>
      </c>
      <c r="M66" s="54" t="str">
        <f>IFERROR(INDEX(tbAuditorias[Área],MATCH(tbAud[[#This Row],[Auditoria]],tbAuditorias[Auditoria],0)),"")</f>
        <v>Compras / Fornecedores</v>
      </c>
      <c r="N66" s="109">
        <f>IFERROR(INDEX(tbAuditorias[Data],MATCH(tbAud[[#This Row],[Auditoria]],tbAuditorias[Auditoria],0)),"")</f>
        <v>46372</v>
      </c>
      <c r="O66" s="12" t="s">
        <v>1830</v>
      </c>
      <c r="P66" s="12"/>
      <c r="Q66" s="12"/>
      <c r="R66" s="13"/>
      <c r="S66" s="16"/>
      <c r="T66" s="12"/>
      <c r="U66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6" s="106" t="str">
        <f>IF(tbAud[[#This Row],[Peso]]="","",tbAud[[#This Row],[Peso]]*tbAud[[#This Row],[Pontos]])</f>
        <v/>
      </c>
    </row>
    <row r="67" spans="1:22" ht="22.8">
      <c r="A67" s="12" t="s">
        <v>2823</v>
      </c>
      <c r="B67" s="102" t="s">
        <v>2002</v>
      </c>
      <c r="C67" s="13" t="s">
        <v>1868</v>
      </c>
      <c r="D67" s="13" t="s">
        <v>2003</v>
      </c>
      <c r="E67" s="13" t="s">
        <v>2004</v>
      </c>
      <c r="F67" s="12" t="s">
        <v>71</v>
      </c>
      <c r="G67" s="12" t="s">
        <v>1708</v>
      </c>
      <c r="H67" s="12" t="s">
        <v>1734</v>
      </c>
      <c r="I67" s="13" t="s">
        <v>2039</v>
      </c>
      <c r="J67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67" s="54">
        <f>IF(OR(tbAud[[#This Row],[Resultado]]="",tbAud[[#This Row],[Resultado]]="N/A"),"",IF(tbAud[[#This Row],[Criticidade]]="Crítica",3,IF(tbAud[[#This Row],[Criticidade]]="Alta",2,1)))</f>
        <v>1</v>
      </c>
      <c r="L67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67" s="54" t="str">
        <f>IFERROR(INDEX(tbAuditorias[Área],MATCH(tbAud[[#This Row],[Auditoria]],tbAuditorias[Auditoria],0)),"")</f>
        <v>Compras / Fornecedores</v>
      </c>
      <c r="N67" s="109">
        <f>IFERROR(INDEX(tbAuditorias[Data],MATCH(tbAud[[#This Row],[Auditoria]],tbAuditorias[Auditoria],0)),"")</f>
        <v>46372</v>
      </c>
      <c r="O67" s="108">
        <v>46113</v>
      </c>
      <c r="P67" s="12" t="s">
        <v>818</v>
      </c>
      <c r="Q67" s="12"/>
      <c r="R67" s="13"/>
      <c r="S67" s="16"/>
      <c r="T67" s="12"/>
      <c r="U67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7" s="106">
        <f>IF(tbAud[[#This Row],[Peso]]="","",tbAud[[#This Row],[Peso]]*tbAud[[#This Row],[Pontos]])</f>
        <v>0.5</v>
      </c>
    </row>
    <row r="68" spans="1:22" ht="22.8">
      <c r="A68" s="12" t="s">
        <v>2823</v>
      </c>
      <c r="B68" s="102" t="s">
        <v>2006</v>
      </c>
      <c r="C68" s="13" t="s">
        <v>1868</v>
      </c>
      <c r="D68" s="13" t="s">
        <v>2007</v>
      </c>
      <c r="E68" s="13" t="s">
        <v>2008</v>
      </c>
      <c r="F68" s="12" t="s">
        <v>82</v>
      </c>
      <c r="G68" s="12" t="s">
        <v>1708</v>
      </c>
      <c r="H68" s="12" t="s">
        <v>1735</v>
      </c>
      <c r="I68" s="13" t="s">
        <v>2040</v>
      </c>
      <c r="J68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0.5</v>
      </c>
      <c r="K68" s="54">
        <f>IF(OR(tbAud[[#This Row],[Resultado]]="",tbAud[[#This Row],[Resultado]]="N/A"),"",IF(tbAud[[#This Row],[Criticidade]]="Crítica",3,IF(tbAud[[#This Row],[Criticidade]]="Alta",2,1)))</f>
        <v>2</v>
      </c>
      <c r="L68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Observação</v>
      </c>
      <c r="M68" s="54" t="str">
        <f>IFERROR(INDEX(tbAuditorias[Área],MATCH(tbAud[[#This Row],[Auditoria]],tbAuditorias[Auditoria],0)),"")</f>
        <v>Compras / Fornecedores</v>
      </c>
      <c r="N68" s="109">
        <f>IFERROR(INDEX(tbAuditorias[Data],MATCH(tbAud[[#This Row],[Auditoria]],tbAuditorias[Auditoria],0)),"")</f>
        <v>46372</v>
      </c>
      <c r="O68" s="12" t="s">
        <v>1773</v>
      </c>
      <c r="P68" s="12" t="s">
        <v>818</v>
      </c>
      <c r="Q68" s="12"/>
      <c r="R68" s="13"/>
      <c r="S68" s="16"/>
      <c r="T68" s="12"/>
      <c r="U68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8" s="106">
        <f>IF(tbAud[[#This Row],[Peso]]="","",tbAud[[#This Row],[Peso]]*tbAud[[#This Row],[Pontos]])</f>
        <v>1</v>
      </c>
    </row>
    <row r="69" spans="1:22" ht="22.8">
      <c r="A69" s="12" t="s">
        <v>2823</v>
      </c>
      <c r="B69" s="102" t="s">
        <v>2010</v>
      </c>
      <c r="C69" s="13" t="s">
        <v>1868</v>
      </c>
      <c r="D69" s="13" t="s">
        <v>2011</v>
      </c>
      <c r="E69" s="13" t="s">
        <v>2012</v>
      </c>
      <c r="F69" s="12" t="s">
        <v>1728</v>
      </c>
      <c r="G69" s="12" t="s">
        <v>1713</v>
      </c>
      <c r="H69" s="12" t="s">
        <v>1734</v>
      </c>
      <c r="I69" s="13" t="s">
        <v>2041</v>
      </c>
      <c r="J69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0</v>
      </c>
      <c r="K69" s="54">
        <f>IF(OR(tbAud[[#This Row],[Resultado]]="",tbAud[[#This Row],[Resultado]]="N/A"),"",IF(tbAud[[#This Row],[Criticidade]]="Crítica",3,IF(tbAud[[#This Row],[Criticidade]]="Alta",2,1)))</f>
        <v>3</v>
      </c>
      <c r="L69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NC maior</v>
      </c>
      <c r="M69" s="54" t="str">
        <f>IFERROR(INDEX(tbAuditorias[Área],MATCH(tbAud[[#This Row],[Auditoria]],tbAuditorias[Auditoria],0)),"")</f>
        <v>Compras / Fornecedores</v>
      </c>
      <c r="N69" s="109">
        <f>IFERROR(INDEX(tbAuditorias[Data],MATCH(tbAud[[#This Row],[Auditoria]],tbAuditorias[Auditoria],0)),"")</f>
        <v>46372</v>
      </c>
      <c r="O69" s="12" t="s">
        <v>1847</v>
      </c>
      <c r="P69" s="12" t="s">
        <v>818</v>
      </c>
      <c r="Q69" s="12" t="s">
        <v>1238</v>
      </c>
      <c r="R69" s="13" t="s">
        <v>104</v>
      </c>
      <c r="S69" s="16">
        <v>46368</v>
      </c>
      <c r="T69" s="12" t="s">
        <v>1737</v>
      </c>
      <c r="U69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69" s="106">
        <f>IF(tbAud[[#This Row],[Peso]]="","",tbAud[[#This Row],[Peso]]*tbAud[[#This Row],[Pontos]])</f>
        <v>0</v>
      </c>
    </row>
    <row r="70" spans="1:22" ht="22.8">
      <c r="A70" s="12" t="s">
        <v>2823</v>
      </c>
      <c r="B70" s="102" t="s">
        <v>2014</v>
      </c>
      <c r="C70" s="13" t="s">
        <v>1868</v>
      </c>
      <c r="D70" s="13" t="s">
        <v>2015</v>
      </c>
      <c r="E70" s="13" t="s">
        <v>2016</v>
      </c>
      <c r="F70" s="12" t="s">
        <v>82</v>
      </c>
      <c r="G70" s="12" t="s">
        <v>1705</v>
      </c>
      <c r="H70" s="12" t="s">
        <v>1733</v>
      </c>
      <c r="I70" s="13" t="s">
        <v>2017</v>
      </c>
      <c r="J70" s="104">
        <f>IF(tbAud[[#This Row],[Resultado]]="Conforme",IF(tbAud[[#This Row],[Evidência objetiva]]="",0,1),IF(tbAud[[#This Row],[Resultado]]="Parcial",IF(tbAud[[#This Row],[Evidência objetiva]]="",0,0.5),IF(tbAud[[#This Row],[Resultado]]="Não conforme",0,"")))</f>
        <v>1</v>
      </c>
      <c r="K70" s="54">
        <f>IF(OR(tbAud[[#This Row],[Resultado]]="",tbAud[[#This Row],[Resultado]]="N/A"),"",IF(tbAud[[#This Row],[Criticidade]]="Crítica",3,IF(tbAud[[#This Row],[Criticidade]]="Alta",2,1)))</f>
        <v>2</v>
      </c>
      <c r="L70" s="54" t="str">
        <f>IF(tbAud[[#This Row],[Resultado]]="","",IF(tbAud[[#This Row],[Resultado]]="N/A","N/A",IF(tbAud[[#This Row],[Resultado]]="Não conforme",IF(tbAud[[#This Row],[Criticidade]]="Crítica","NC maior","NC menor"),IF(tbAud[[#This Row],[Evidência objetiva]]="","Não verificado",IF(tbAud[[#This Row],[Resultado]]="Parcial","Observação","Conforme")))))</f>
        <v>Conforme</v>
      </c>
      <c r="M70" s="54" t="str">
        <f>IFERROR(INDEX(tbAuditorias[Área],MATCH(tbAud[[#This Row],[Auditoria]],tbAuditorias[Auditoria],0)),"")</f>
        <v>Compras / Fornecedores</v>
      </c>
      <c r="N70" s="109">
        <f>IFERROR(INDEX(tbAuditorias[Data],MATCH(tbAud[[#This Row],[Auditoria]],tbAuditorias[Auditoria],0)),"")</f>
        <v>46372</v>
      </c>
      <c r="O70" s="12" t="s">
        <v>1864</v>
      </c>
      <c r="P70" s="12"/>
      <c r="Q70" s="12"/>
      <c r="R70" s="13"/>
      <c r="S70" s="16"/>
      <c r="T70" s="12"/>
      <c r="U70" s="54" t="str">
        <f ca="1">IF(tbAud[[#This Row],[Resultado]]="","",IF(AND(tbAud[[#This Row],[Resultado]]="N/A",tbAud[[#This Row],[Evidência objetiva]]=""),"Justificar N/A",IF(tbAud[[#This Row],[Classificação]]="Não verificado","Registrar evidência",IF(AND(LEFT(tbAud[[#This Row],[Classificação]],2)="NC",tbAud[[#This Row],[Ação]]=""),"Abrir PAC/RNC",IF(AND(tbAud[[#This Row],[Ação]]&lt;&gt;"",tbAud[[#This Row],[Eficácia]]="Pendente",N(tbAud[[#This Row],[Prazo]])&gt;0,N(tbAud[[#This Row],[Prazo]])&lt;TODAY()),"Ação vencida",IF(AND(tbAud[[#This Row],[Ação]]&lt;&gt;"",tbAud[[#This Row],[Eficácia]]="Não eficaz"),"Ação ineficaz","OK"))))))</f>
        <v>OK</v>
      </c>
      <c r="V70" s="106">
        <f>IF(tbAud[[#This Row],[Peso]]="","",tbAud[[#This Row],[Peso]]*tbAud[[#This Row],[Pontos]])</f>
        <v>2</v>
      </c>
    </row>
  </sheetData>
  <mergeCells count="2">
    <mergeCell ref="A1:P1"/>
    <mergeCell ref="A2:P2"/>
  </mergeCells>
  <conditionalFormatting sqref="G5:G70">
    <cfRule type="cellIs" dxfId="18" priority="1" stopIfTrue="1" operator="equal">
      <formula>"Conforme"</formula>
    </cfRule>
    <cfRule type="cellIs" dxfId="17" priority="2" stopIfTrue="1" operator="equal">
      <formula>"Parcial"</formula>
    </cfRule>
    <cfRule type="cellIs" dxfId="16" priority="3" stopIfTrue="1" operator="equal">
      <formula>"Não conforme"</formula>
    </cfRule>
    <cfRule type="cellIs" dxfId="15" priority="4" stopIfTrue="1" operator="equal">
      <formula>"N/A"</formula>
    </cfRule>
  </conditionalFormatting>
  <conditionalFormatting sqref="L5:L70">
    <cfRule type="cellIs" dxfId="14" priority="5" stopIfTrue="1" operator="equal">
      <formula>"Conforme"</formula>
    </cfRule>
    <cfRule type="cellIs" dxfId="13" priority="6" stopIfTrue="1" operator="equal">
      <formula>"Observação"</formula>
    </cfRule>
    <cfRule type="cellIs" dxfId="12" priority="7" stopIfTrue="1" operator="equal">
      <formula>"NC maior"</formula>
    </cfRule>
    <cfRule type="cellIs" dxfId="11" priority="8" stopIfTrue="1" operator="equal">
      <formula>"NC menor"</formula>
    </cfRule>
    <cfRule type="cellIs" dxfId="10" priority="9" stopIfTrue="1" operator="equal">
      <formula>"Não verificado"</formula>
    </cfRule>
  </conditionalFormatting>
  <conditionalFormatting sqref="U5:U70">
    <cfRule type="cellIs" dxfId="9" priority="10" stopIfTrue="1" operator="equal">
      <formula>"OK"</formula>
    </cfRule>
    <cfRule type="cellIs" dxfId="8" priority="11" stopIfTrue="1" operator="equal">
      <formula>"Ação vencida"</formula>
    </cfRule>
    <cfRule type="cellIs" dxfId="7" priority="12" stopIfTrue="1" operator="equal">
      <formula>"Abrir PAC/RNC"</formula>
    </cfRule>
    <cfRule type="cellIs" dxfId="6" priority="13" stopIfTrue="1" operator="equal">
      <formula>"Registrar evidência"</formula>
    </cfRule>
    <cfRule type="cellIs" dxfId="5" priority="14" stopIfTrue="1" operator="equal">
      <formula>"Justificar N/A"</formula>
    </cfRule>
    <cfRule type="cellIs" dxfId="4" priority="15" stopIfTrue="1" operator="equal">
      <formula>"Ação ineficaz"</formula>
    </cfRule>
  </conditionalFormatting>
  <dataValidations count="5">
    <dataValidation type="list" allowBlank="1" showInputMessage="1" showErrorMessage="1" sqref="G5:G70" xr:uid="{145F10AA-324D-45F0-B781-FCF1762CCB1D}">
      <formula1>LstResultado</formula1>
    </dataValidation>
    <dataValidation type="list" allowBlank="1" showInputMessage="1" showErrorMessage="1" sqref="H5:H70" xr:uid="{14927AE5-462E-4400-9865-AE62B605ED30}">
      <formula1>LstMetodo</formula1>
    </dataValidation>
    <dataValidation type="list" allowBlank="1" showInputMessage="1" showErrorMessage="1" sqref="F5:F70" xr:uid="{80611A2E-198C-4477-8618-45FA8F8891FE}">
      <formula1>LstCrit</formula1>
    </dataValidation>
    <dataValidation type="list" allowBlank="1" showInputMessage="1" showErrorMessage="1" sqref="T5:T70" xr:uid="{3A0BFD94-5C24-476A-8B3E-EAF0DD308E8C}">
      <formula1>LstEficacia</formula1>
    </dataValidation>
    <dataValidation type="list" allowBlank="1" showInputMessage="1" showErrorMessage="1" sqref="A5:A70" xr:uid="{CF4357D7-32F8-4069-BA3E-08EBE495A4B4}">
      <formula1>AudIds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  <pageSetUpPr fitToPage="1"/>
  </sheetPr>
  <dimension ref="B1:T140"/>
  <sheetViews>
    <sheetView showGridLines="0" zoomScaleNormal="100" workbookViewId="0">
      <pane ySplit="2" topLeftCell="A60" activePane="bottomLeft" state="frozen"/>
      <selection activeCell="E8" sqref="E8:H8"/>
      <selection pane="bottomLeft" activeCell="B140" sqref="B140:I140"/>
    </sheetView>
  </sheetViews>
  <sheetFormatPr defaultColWidth="8.6640625" defaultRowHeight="14.4"/>
  <cols>
    <col min="1" max="1" width="2" customWidth="1"/>
    <col min="2" max="7" width="27" customWidth="1"/>
    <col min="8" max="8" width="24" customWidth="1"/>
    <col min="9" max="9" width="15" customWidth="1"/>
    <col min="10" max="12" width="40" customWidth="1"/>
    <col min="13" max="13" width="20" customWidth="1"/>
    <col min="14" max="14" width="8" customWidth="1"/>
    <col min="15" max="16" width="22.77734375" customWidth="1"/>
    <col min="17" max="17" width="32.77734375" customWidth="1"/>
    <col min="18" max="18" width="20.77734375" customWidth="1"/>
  </cols>
  <sheetData>
    <row r="1" spans="2:9" ht="27.75" customHeight="1">
      <c r="B1" s="212" t="s">
        <v>420</v>
      </c>
      <c r="C1" s="212"/>
      <c r="D1" s="212"/>
      <c r="E1" s="212"/>
      <c r="F1" s="212"/>
      <c r="G1" s="212"/>
      <c r="H1" s="212"/>
      <c r="I1" s="212"/>
    </row>
    <row r="2" spans="2:9" ht="27.75" customHeight="1">
      <c r="B2" s="213" t="s">
        <v>421</v>
      </c>
      <c r="C2" s="213"/>
      <c r="D2" s="213"/>
      <c r="E2" s="213"/>
      <c r="F2" s="213"/>
      <c r="G2" s="213"/>
      <c r="H2" s="213"/>
      <c r="I2" s="213"/>
    </row>
    <row r="4" spans="2:9" ht="15" customHeight="1">
      <c r="B4" s="222" t="s">
        <v>422</v>
      </c>
      <c r="C4" s="222"/>
      <c r="D4" s="222"/>
      <c r="E4" s="222"/>
      <c r="F4" s="222"/>
      <c r="G4" s="222"/>
      <c r="H4" s="222"/>
      <c r="I4" s="222"/>
    </row>
    <row r="5" spans="2:9" ht="27.75" customHeight="1">
      <c r="B5" s="235" t="s">
        <v>2096</v>
      </c>
      <c r="C5" s="235"/>
      <c r="D5" s="235"/>
      <c r="E5" s="235"/>
      <c r="F5" s="235"/>
      <c r="G5" s="235"/>
      <c r="H5" s="235"/>
      <c r="I5" s="235"/>
    </row>
    <row r="6" spans="2:9" ht="27.75" customHeight="1">
      <c r="B6" s="235" t="s">
        <v>2097</v>
      </c>
      <c r="C6" s="235"/>
      <c r="D6" s="235"/>
      <c r="E6" s="235"/>
      <c r="F6" s="235"/>
      <c r="G6" s="235"/>
      <c r="H6" s="235"/>
      <c r="I6" s="235"/>
    </row>
    <row r="7" spans="2:9" ht="27.75" customHeight="1">
      <c r="B7" s="235" t="s">
        <v>2098</v>
      </c>
      <c r="C7" s="235"/>
      <c r="D7" s="235"/>
      <c r="E7" s="235"/>
      <c r="F7" s="235"/>
      <c r="G7" s="235"/>
      <c r="H7" s="235"/>
      <c r="I7" s="235"/>
    </row>
    <row r="8" spans="2:9" ht="27.75" customHeight="1">
      <c r="B8" s="235" t="s">
        <v>2099</v>
      </c>
      <c r="C8" s="235"/>
      <c r="D8" s="235"/>
      <c r="E8" s="235"/>
      <c r="F8" s="235"/>
      <c r="G8" s="235"/>
      <c r="H8" s="235"/>
      <c r="I8" s="235"/>
    </row>
    <row r="9" spans="2:9" ht="27.75" customHeight="1">
      <c r="B9" s="235" t="s">
        <v>2100</v>
      </c>
      <c r="C9" s="235"/>
      <c r="D9" s="235"/>
      <c r="E9" s="235"/>
      <c r="F9" s="235"/>
      <c r="G9" s="235"/>
      <c r="H9" s="235"/>
      <c r="I9" s="235"/>
    </row>
    <row r="10" spans="2:9" ht="27.75" customHeight="1">
      <c r="B10" s="235" t="s">
        <v>2579</v>
      </c>
      <c r="C10" s="235"/>
      <c r="D10" s="235"/>
      <c r="E10" s="235"/>
      <c r="F10" s="235"/>
      <c r="G10" s="235"/>
      <c r="H10" s="235"/>
      <c r="I10" s="235"/>
    </row>
    <row r="11" spans="2:9" ht="27.75" customHeight="1">
      <c r="B11" s="235"/>
      <c r="C11" s="235"/>
      <c r="D11" s="235"/>
      <c r="E11" s="235"/>
      <c r="F11" s="235"/>
      <c r="G11" s="235"/>
      <c r="H11" s="235"/>
      <c r="I11" s="235"/>
    </row>
    <row r="12" spans="2:9" ht="27.75" customHeight="1">
      <c r="B12" s="235"/>
      <c r="C12" s="235"/>
      <c r="D12" s="235"/>
      <c r="E12" s="235"/>
      <c r="F12" s="235"/>
      <c r="G12" s="235"/>
      <c r="H12" s="235"/>
      <c r="I12" s="235"/>
    </row>
    <row r="14" spans="2:9" ht="15" customHeight="1">
      <c r="B14" s="222" t="s">
        <v>423</v>
      </c>
      <c r="C14" s="222"/>
      <c r="D14" s="222"/>
      <c r="E14" s="222"/>
      <c r="F14" s="222"/>
      <c r="G14" s="222"/>
      <c r="H14" s="222"/>
      <c r="I14" s="222"/>
    </row>
    <row r="15" spans="2:9" ht="30" customHeight="1">
      <c r="B15" s="10" t="s">
        <v>424</v>
      </c>
      <c r="C15" s="38" t="s">
        <v>425</v>
      </c>
      <c r="D15" s="286" t="s">
        <v>426</v>
      </c>
      <c r="E15" s="286"/>
      <c r="F15" s="286"/>
      <c r="G15" s="286"/>
      <c r="H15" s="286"/>
      <c r="I15" s="286"/>
    </row>
    <row r="16" spans="2:9" ht="30" customHeight="1">
      <c r="B16" s="10" t="s">
        <v>427</v>
      </c>
      <c r="C16" s="38" t="s">
        <v>428</v>
      </c>
      <c r="D16" s="286" t="s">
        <v>429</v>
      </c>
      <c r="E16" s="286"/>
      <c r="F16" s="286"/>
      <c r="G16" s="286"/>
      <c r="H16" s="286"/>
      <c r="I16" s="286"/>
    </row>
    <row r="17" spans="2:9" ht="30" customHeight="1">
      <c r="B17" s="10" t="s">
        <v>430</v>
      </c>
      <c r="C17" s="38">
        <v>7</v>
      </c>
      <c r="D17" s="286" t="s">
        <v>431</v>
      </c>
      <c r="E17" s="286"/>
      <c r="F17" s="286"/>
      <c r="G17" s="286"/>
      <c r="H17" s="286"/>
      <c r="I17" s="286"/>
    </row>
    <row r="18" spans="2:9" ht="24" customHeight="1">
      <c r="B18" s="10" t="s">
        <v>432</v>
      </c>
      <c r="C18" s="190"/>
      <c r="D18" s="190"/>
      <c r="E18" s="190"/>
      <c r="F18" s="190"/>
      <c r="G18" s="190"/>
      <c r="H18" s="190"/>
      <c r="I18" s="190"/>
    </row>
    <row r="19" spans="2:9" ht="30" customHeight="1">
      <c r="B19" s="286" t="s">
        <v>433</v>
      </c>
      <c r="C19" s="286"/>
      <c r="D19" s="286"/>
      <c r="E19" s="286"/>
      <c r="F19" s="286"/>
      <c r="G19" s="286"/>
      <c r="H19" s="286"/>
      <c r="I19" s="286"/>
    </row>
    <row r="20" spans="2:9">
      <c r="B20" s="44" t="s">
        <v>434</v>
      </c>
      <c r="C20" s="14">
        <f>MATCH(C15,Niveis,0)</f>
        <v>3</v>
      </c>
    </row>
    <row r="21" spans="2:9" ht="20.399999999999999">
      <c r="B21" s="44" t="s">
        <v>435</v>
      </c>
      <c r="C21" s="14">
        <f>MATCH(C16,Niveis,0)</f>
        <v>2</v>
      </c>
    </row>
    <row r="23" spans="2:9" ht="15" customHeight="1">
      <c r="B23" s="222" t="s">
        <v>436</v>
      </c>
      <c r="C23" s="222"/>
      <c r="D23" s="222"/>
      <c r="E23" s="222"/>
      <c r="F23" s="222"/>
      <c r="G23" s="222"/>
      <c r="H23" s="222"/>
      <c r="I23" s="222"/>
    </row>
    <row r="24" spans="2:9" ht="30" customHeight="1">
      <c r="B24" s="1" t="s">
        <v>33</v>
      </c>
      <c r="C24" s="1" t="s">
        <v>437</v>
      </c>
      <c r="D24" s="1" t="s">
        <v>438</v>
      </c>
      <c r="E24" s="1" t="s">
        <v>439</v>
      </c>
      <c r="F24" s="1" t="s">
        <v>440</v>
      </c>
      <c r="G24" s="1" t="s">
        <v>441</v>
      </c>
      <c r="H24" s="1" t="s">
        <v>442</v>
      </c>
      <c r="I24" s="1" t="s">
        <v>443</v>
      </c>
    </row>
    <row r="25" spans="2:9" ht="31.5" customHeight="1">
      <c r="B25" s="28" t="s">
        <v>444</v>
      </c>
      <c r="C25" s="38">
        <v>1</v>
      </c>
      <c r="D25" s="15" t="s">
        <v>172</v>
      </c>
      <c r="E25" s="15" t="s">
        <v>172</v>
      </c>
      <c r="F25" s="13" t="s">
        <v>445</v>
      </c>
      <c r="G25" s="13" t="s">
        <v>446</v>
      </c>
      <c r="H25" s="38">
        <v>12</v>
      </c>
      <c r="I25" s="12" t="s">
        <v>447</v>
      </c>
    </row>
    <row r="26" spans="2:9" ht="31.5" customHeight="1">
      <c r="B26" s="31" t="s">
        <v>428</v>
      </c>
      <c r="C26" s="38">
        <v>8</v>
      </c>
      <c r="D26" s="15" t="s">
        <v>72</v>
      </c>
      <c r="E26" s="15" t="s">
        <v>139</v>
      </c>
      <c r="F26" s="13" t="s">
        <v>448</v>
      </c>
      <c r="G26" s="13" t="s">
        <v>446</v>
      </c>
      <c r="H26" s="38">
        <v>6</v>
      </c>
      <c r="I26" s="12" t="s">
        <v>449</v>
      </c>
    </row>
    <row r="27" spans="2:9" ht="31.5" customHeight="1">
      <c r="B27" s="32" t="s">
        <v>425</v>
      </c>
      <c r="C27" s="38">
        <v>12</v>
      </c>
      <c r="D27" s="15" t="s">
        <v>72</v>
      </c>
      <c r="E27" s="15" t="s">
        <v>139</v>
      </c>
      <c r="F27" s="13" t="s">
        <v>450</v>
      </c>
      <c r="G27" s="13" t="s">
        <v>451</v>
      </c>
      <c r="H27" s="38">
        <v>3</v>
      </c>
      <c r="I27" s="12" t="s">
        <v>452</v>
      </c>
    </row>
    <row r="28" spans="2:9" ht="31.5" customHeight="1">
      <c r="B28" s="33" t="s">
        <v>453</v>
      </c>
      <c r="C28" s="38">
        <v>16</v>
      </c>
      <c r="D28" s="15" t="s">
        <v>169</v>
      </c>
      <c r="E28" s="15" t="s">
        <v>176</v>
      </c>
      <c r="F28" s="13" t="s">
        <v>454</v>
      </c>
      <c r="G28" s="13" t="s">
        <v>140</v>
      </c>
      <c r="H28" s="38">
        <v>1</v>
      </c>
      <c r="I28" s="12" t="s">
        <v>455</v>
      </c>
    </row>
    <row r="29" spans="2:9" ht="25.5" customHeight="1">
      <c r="B29" s="220" t="s">
        <v>456</v>
      </c>
      <c r="C29" s="220"/>
      <c r="D29" s="220"/>
      <c r="E29" s="220"/>
      <c r="F29" s="220"/>
      <c r="G29" s="220"/>
      <c r="H29" s="220"/>
      <c r="I29" s="220"/>
    </row>
    <row r="31" spans="2:9" ht="15" customHeight="1">
      <c r="B31" s="222" t="s">
        <v>457</v>
      </c>
      <c r="C31" s="222"/>
      <c r="D31" s="222"/>
      <c r="E31" s="222"/>
      <c r="F31" s="222"/>
      <c r="G31" s="222"/>
      <c r="H31" s="222"/>
      <c r="I31" s="222"/>
    </row>
    <row r="32" spans="2:9">
      <c r="B32" s="1" t="s">
        <v>458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</row>
    <row r="33" spans="2:9" ht="15" customHeight="1">
      <c r="B33" s="1">
        <v>5</v>
      </c>
      <c r="C33" s="25" t="str">
        <f t="shared" ref="C33:G37" si="0">INDEX(Niveis,MAX(IFERROR(MATCH($B33*C$32,Limites,1),1),IF(C$32=5,MinIdx,1)))</f>
        <v>Baixo</v>
      </c>
      <c r="D33" s="25" t="str">
        <f t="shared" si="0"/>
        <v>Médio</v>
      </c>
      <c r="E33" s="25" t="str">
        <f t="shared" si="0"/>
        <v>Alto</v>
      </c>
      <c r="F33" s="25" t="str">
        <f t="shared" si="0"/>
        <v>Crítico</v>
      </c>
      <c r="G33" s="25" t="str">
        <f t="shared" si="0"/>
        <v>Crítico</v>
      </c>
      <c r="H33" s="220" t="s">
        <v>459</v>
      </c>
      <c r="I33" s="220"/>
    </row>
    <row r="34" spans="2:9">
      <c r="B34" s="1">
        <v>4</v>
      </c>
      <c r="C34" s="25" t="str">
        <f t="shared" si="0"/>
        <v>Baixo</v>
      </c>
      <c r="D34" s="25" t="str">
        <f t="shared" si="0"/>
        <v>Médio</v>
      </c>
      <c r="E34" s="25" t="str">
        <f t="shared" si="0"/>
        <v>Alto</v>
      </c>
      <c r="F34" s="25" t="str">
        <f t="shared" si="0"/>
        <v>Crítico</v>
      </c>
      <c r="G34" s="25" t="str">
        <f t="shared" si="0"/>
        <v>Crítico</v>
      </c>
      <c r="H34" s="220"/>
      <c r="I34" s="220"/>
    </row>
    <row r="35" spans="2:9">
      <c r="B35" s="1">
        <v>3</v>
      </c>
      <c r="C35" s="25" t="str">
        <f t="shared" si="0"/>
        <v>Baixo</v>
      </c>
      <c r="D35" s="25" t="str">
        <f t="shared" si="0"/>
        <v>Baixo</v>
      </c>
      <c r="E35" s="25" t="str">
        <f t="shared" si="0"/>
        <v>Médio</v>
      </c>
      <c r="F35" s="25" t="str">
        <f t="shared" si="0"/>
        <v>Alto</v>
      </c>
      <c r="G35" s="25" t="str">
        <f t="shared" si="0"/>
        <v>Alto</v>
      </c>
      <c r="H35" s="220"/>
      <c r="I35" s="220"/>
    </row>
    <row r="36" spans="2:9">
      <c r="B36" s="1">
        <v>2</v>
      </c>
      <c r="C36" s="25" t="str">
        <f t="shared" si="0"/>
        <v>Baixo</v>
      </c>
      <c r="D36" s="25" t="str">
        <f t="shared" si="0"/>
        <v>Baixo</v>
      </c>
      <c r="E36" s="25" t="str">
        <f t="shared" si="0"/>
        <v>Baixo</v>
      </c>
      <c r="F36" s="25" t="str">
        <f t="shared" si="0"/>
        <v>Médio</v>
      </c>
      <c r="G36" s="25" t="str">
        <f t="shared" si="0"/>
        <v>Alto</v>
      </c>
      <c r="H36" s="220"/>
      <c r="I36" s="220"/>
    </row>
    <row r="37" spans="2:9">
      <c r="B37" s="1">
        <v>1</v>
      </c>
      <c r="C37" s="25" t="str">
        <f t="shared" si="0"/>
        <v>Baixo</v>
      </c>
      <c r="D37" s="25" t="str">
        <f t="shared" si="0"/>
        <v>Baixo</v>
      </c>
      <c r="E37" s="25" t="str">
        <f t="shared" si="0"/>
        <v>Baixo</v>
      </c>
      <c r="F37" s="25" t="str">
        <f t="shared" si="0"/>
        <v>Baixo</v>
      </c>
      <c r="G37" s="25" t="str">
        <f t="shared" si="0"/>
        <v>Alto</v>
      </c>
      <c r="H37" s="220"/>
      <c r="I37" s="220"/>
    </row>
    <row r="39" spans="2:9" ht="15" customHeight="1">
      <c r="B39" s="222" t="s">
        <v>460</v>
      </c>
      <c r="C39" s="222"/>
      <c r="D39" s="222"/>
      <c r="E39" s="222"/>
      <c r="F39" s="222"/>
      <c r="G39" s="222"/>
      <c r="H39" s="222"/>
      <c r="I39" s="222"/>
    </row>
    <row r="40" spans="2:9" ht="15" customHeight="1">
      <c r="B40" s="1" t="s">
        <v>414</v>
      </c>
      <c r="C40" s="1" t="s">
        <v>461</v>
      </c>
      <c r="D40" s="1" t="s">
        <v>462</v>
      </c>
      <c r="E40" s="226" t="s">
        <v>277</v>
      </c>
      <c r="F40" s="226"/>
      <c r="G40" s="226"/>
      <c r="H40" s="226"/>
      <c r="I40" s="226"/>
    </row>
    <row r="41" spans="2:9" ht="21.75" customHeight="1">
      <c r="B41" s="11" t="s">
        <v>463</v>
      </c>
      <c r="C41" s="15">
        <v>1</v>
      </c>
      <c r="D41" s="12" t="s">
        <v>464</v>
      </c>
      <c r="E41" s="285" t="s">
        <v>465</v>
      </c>
      <c r="F41" s="285"/>
      <c r="G41" s="285"/>
      <c r="H41" s="285"/>
      <c r="I41" s="285"/>
    </row>
    <row r="42" spans="2:9" ht="21.75" customHeight="1">
      <c r="B42" s="11" t="s">
        <v>102</v>
      </c>
      <c r="C42" s="15">
        <v>2</v>
      </c>
      <c r="D42" s="12" t="s">
        <v>466</v>
      </c>
      <c r="E42" s="285" t="s">
        <v>467</v>
      </c>
      <c r="F42" s="285"/>
      <c r="G42" s="285"/>
      <c r="H42" s="285"/>
      <c r="I42" s="285"/>
    </row>
    <row r="43" spans="2:9" ht="21.75" customHeight="1">
      <c r="B43" s="11" t="s">
        <v>71</v>
      </c>
      <c r="C43" s="15">
        <v>3</v>
      </c>
      <c r="D43" s="12" t="s">
        <v>468</v>
      </c>
      <c r="E43" s="285" t="s">
        <v>469</v>
      </c>
      <c r="F43" s="285"/>
      <c r="G43" s="285"/>
      <c r="H43" s="285"/>
      <c r="I43" s="285"/>
    </row>
    <row r="44" spans="2:9" ht="21.75" customHeight="1">
      <c r="B44" s="11" t="s">
        <v>82</v>
      </c>
      <c r="C44" s="15">
        <v>4</v>
      </c>
      <c r="D44" s="12" t="s">
        <v>470</v>
      </c>
      <c r="E44" s="285" t="s">
        <v>471</v>
      </c>
      <c r="F44" s="285"/>
      <c r="G44" s="285"/>
      <c r="H44" s="285"/>
      <c r="I44" s="285"/>
    </row>
    <row r="45" spans="2:9" ht="21.75" customHeight="1">
      <c r="B45" s="11" t="s">
        <v>472</v>
      </c>
      <c r="C45" s="15">
        <v>5</v>
      </c>
      <c r="D45" s="12" t="s">
        <v>473</v>
      </c>
      <c r="E45" s="285" t="s">
        <v>474</v>
      </c>
      <c r="F45" s="285"/>
      <c r="G45" s="285"/>
      <c r="H45" s="285"/>
      <c r="I45" s="285"/>
    </row>
    <row r="47" spans="2:9" ht="15" customHeight="1">
      <c r="B47" s="217" t="s">
        <v>1658</v>
      </c>
      <c r="C47" s="217"/>
      <c r="D47" s="217"/>
      <c r="E47" s="217"/>
      <c r="F47" s="217"/>
      <c r="G47" s="217"/>
      <c r="H47" s="217"/>
      <c r="I47" s="217"/>
    </row>
    <row r="48" spans="2:9" ht="15" customHeight="1">
      <c r="B48" s="226" t="s">
        <v>31</v>
      </c>
      <c r="C48" s="1">
        <v>1</v>
      </c>
      <c r="D48" s="1">
        <v>2</v>
      </c>
      <c r="E48" s="1">
        <v>3</v>
      </c>
      <c r="F48" s="1">
        <v>4</v>
      </c>
      <c r="G48" s="1">
        <v>5</v>
      </c>
      <c r="H48" s="226" t="s">
        <v>475</v>
      </c>
      <c r="I48" s="287" t="s">
        <v>476</v>
      </c>
    </row>
    <row r="49" spans="2:9">
      <c r="B49" s="226"/>
      <c r="C49" s="45" t="s">
        <v>477</v>
      </c>
      <c r="D49" s="45" t="s">
        <v>444</v>
      </c>
      <c r="E49" s="45" t="s">
        <v>428</v>
      </c>
      <c r="F49" s="45" t="s">
        <v>425</v>
      </c>
      <c r="G49" s="45" t="s">
        <v>478</v>
      </c>
      <c r="H49" s="226"/>
      <c r="I49" s="287"/>
    </row>
    <row r="50" spans="2:9" ht="36" customHeight="1">
      <c r="B50" s="43" t="s">
        <v>70</v>
      </c>
      <c r="C50" s="46" t="s">
        <v>479</v>
      </c>
      <c r="D50" s="46" t="s">
        <v>480</v>
      </c>
      <c r="E50" s="46" t="s">
        <v>481</v>
      </c>
      <c r="F50" s="46" t="s">
        <v>482</v>
      </c>
      <c r="G50" s="46" t="s">
        <v>483</v>
      </c>
      <c r="H50" s="38" t="s">
        <v>444</v>
      </c>
      <c r="I50" s="14">
        <f t="shared" ref="I50:I56" si="1">IFERROR(MATCH(H50,Niveis,0),"")</f>
        <v>1</v>
      </c>
    </row>
    <row r="51" spans="2:9" ht="36" customHeight="1">
      <c r="B51" s="43" t="s">
        <v>94</v>
      </c>
      <c r="C51" s="46" t="s">
        <v>484</v>
      </c>
      <c r="D51" s="46" t="s">
        <v>485</v>
      </c>
      <c r="E51" s="46" t="s">
        <v>486</v>
      </c>
      <c r="F51" s="46" t="s">
        <v>1634</v>
      </c>
      <c r="G51" s="46" t="s">
        <v>487</v>
      </c>
      <c r="H51" s="38" t="s">
        <v>444</v>
      </c>
      <c r="I51" s="14">
        <f t="shared" si="1"/>
        <v>1</v>
      </c>
    </row>
    <row r="52" spans="2:9" ht="36" customHeight="1">
      <c r="B52" s="43" t="s">
        <v>101</v>
      </c>
      <c r="C52" s="46" t="s">
        <v>488</v>
      </c>
      <c r="D52" s="46" t="s">
        <v>1635</v>
      </c>
      <c r="E52" s="46" t="s">
        <v>1636</v>
      </c>
      <c r="F52" s="46" t="s">
        <v>1637</v>
      </c>
      <c r="G52" s="46" t="s">
        <v>1638</v>
      </c>
      <c r="H52" s="38" t="s">
        <v>428</v>
      </c>
      <c r="I52" s="14">
        <f t="shared" si="1"/>
        <v>2</v>
      </c>
    </row>
    <row r="53" spans="2:9" ht="36" customHeight="1">
      <c r="B53" s="43" t="s">
        <v>81</v>
      </c>
      <c r="C53" s="46" t="s">
        <v>489</v>
      </c>
      <c r="D53" s="46" t="s">
        <v>490</v>
      </c>
      <c r="E53" s="46" t="s">
        <v>1639</v>
      </c>
      <c r="F53" s="46" t="s">
        <v>1640</v>
      </c>
      <c r="G53" s="46" t="s">
        <v>1641</v>
      </c>
      <c r="H53" s="38" t="s">
        <v>428</v>
      </c>
      <c r="I53" s="14">
        <f t="shared" si="1"/>
        <v>2</v>
      </c>
    </row>
    <row r="54" spans="2:9" ht="36" customHeight="1">
      <c r="B54" s="43" t="s">
        <v>491</v>
      </c>
      <c r="C54" s="46" t="s">
        <v>492</v>
      </c>
      <c r="D54" s="46" t="s">
        <v>493</v>
      </c>
      <c r="E54" s="46" t="s">
        <v>1642</v>
      </c>
      <c r="F54" s="46" t="s">
        <v>1643</v>
      </c>
      <c r="G54" s="46" t="s">
        <v>494</v>
      </c>
      <c r="H54" s="38" t="s">
        <v>444</v>
      </c>
      <c r="I54" s="14">
        <f t="shared" si="1"/>
        <v>1</v>
      </c>
    </row>
    <row r="55" spans="2:9" ht="36" customHeight="1">
      <c r="B55" s="43" t="s">
        <v>367</v>
      </c>
      <c r="C55" s="46" t="s">
        <v>1644</v>
      </c>
      <c r="D55" s="46" t="s">
        <v>1645</v>
      </c>
      <c r="E55" s="46" t="s">
        <v>1646</v>
      </c>
      <c r="F55" s="46" t="s">
        <v>1647</v>
      </c>
      <c r="G55" s="46" t="s">
        <v>1648</v>
      </c>
      <c r="H55" s="38" t="s">
        <v>428</v>
      </c>
      <c r="I55" s="14">
        <f t="shared" si="1"/>
        <v>2</v>
      </c>
    </row>
    <row r="56" spans="2:9" ht="36" customHeight="1">
      <c r="B56" s="43" t="s">
        <v>495</v>
      </c>
      <c r="C56" s="46" t="s">
        <v>496</v>
      </c>
      <c r="D56" s="46" t="s">
        <v>497</v>
      </c>
      <c r="E56" s="46" t="s">
        <v>498</v>
      </c>
      <c r="F56" s="46" t="s">
        <v>499</v>
      </c>
      <c r="G56" s="46" t="s">
        <v>500</v>
      </c>
      <c r="H56" s="38" t="s">
        <v>428</v>
      </c>
      <c r="I56" s="14">
        <f t="shared" si="1"/>
        <v>2</v>
      </c>
    </row>
    <row r="58" spans="2:9" ht="15" customHeight="1">
      <c r="B58" s="221" t="s">
        <v>1659</v>
      </c>
      <c r="C58" s="221"/>
      <c r="D58" s="221"/>
      <c r="E58" s="221"/>
      <c r="F58" s="221"/>
      <c r="G58" s="221"/>
      <c r="H58" s="221"/>
      <c r="I58" s="221"/>
    </row>
    <row r="59" spans="2:9" ht="15" customHeight="1">
      <c r="B59" s="226" t="s">
        <v>119</v>
      </c>
      <c r="C59" s="1">
        <v>1</v>
      </c>
      <c r="D59" s="1">
        <v>2</v>
      </c>
      <c r="E59" s="1">
        <v>3</v>
      </c>
      <c r="F59" s="1">
        <v>4</v>
      </c>
      <c r="G59" s="1">
        <v>5</v>
      </c>
    </row>
    <row r="60" spans="2:9">
      <c r="B60" s="226"/>
      <c r="C60" s="45" t="s">
        <v>477</v>
      </c>
      <c r="D60" s="45" t="s">
        <v>444</v>
      </c>
      <c r="E60" s="45" t="s">
        <v>428</v>
      </c>
      <c r="F60" s="45" t="s">
        <v>425</v>
      </c>
      <c r="G60" s="45" t="s">
        <v>478</v>
      </c>
    </row>
    <row r="61" spans="2:9" ht="36" customHeight="1">
      <c r="B61" s="43" t="s">
        <v>101</v>
      </c>
      <c r="C61" s="46" t="s">
        <v>501</v>
      </c>
      <c r="D61" s="46" t="s">
        <v>502</v>
      </c>
      <c r="E61" s="46" t="s">
        <v>503</v>
      </c>
      <c r="F61" s="46" t="s">
        <v>504</v>
      </c>
      <c r="G61" s="46" t="s">
        <v>505</v>
      </c>
    </row>
    <row r="62" spans="2:9" ht="36" customHeight="1">
      <c r="B62" s="43" t="s">
        <v>146</v>
      </c>
      <c r="C62" s="46" t="s">
        <v>506</v>
      </c>
      <c r="D62" s="46" t="s">
        <v>1649</v>
      </c>
      <c r="E62" s="46" t="s">
        <v>1650</v>
      </c>
      <c r="F62" s="46" t="s">
        <v>1651</v>
      </c>
      <c r="G62" s="46" t="s">
        <v>1652</v>
      </c>
    </row>
    <row r="63" spans="2:9" ht="36" customHeight="1">
      <c r="B63" s="43" t="s">
        <v>135</v>
      </c>
      <c r="C63" s="46" t="s">
        <v>507</v>
      </c>
      <c r="D63" s="46" t="s">
        <v>508</v>
      </c>
      <c r="E63" s="46" t="s">
        <v>509</v>
      </c>
      <c r="F63" s="46" t="s">
        <v>510</v>
      </c>
      <c r="G63" s="46" t="s">
        <v>511</v>
      </c>
    </row>
    <row r="64" spans="2:9" ht="36" customHeight="1">
      <c r="B64" s="43" t="s">
        <v>512</v>
      </c>
      <c r="C64" s="46" t="s">
        <v>513</v>
      </c>
      <c r="D64" s="46" t="s">
        <v>514</v>
      </c>
      <c r="E64" s="46" t="s">
        <v>515</v>
      </c>
      <c r="F64" s="46" t="s">
        <v>516</v>
      </c>
      <c r="G64" s="46" t="s">
        <v>517</v>
      </c>
    </row>
    <row r="65" spans="2:20" ht="36" customHeight="1">
      <c r="B65" s="43" t="s">
        <v>367</v>
      </c>
      <c r="C65" s="46" t="s">
        <v>1653</v>
      </c>
      <c r="D65" s="46" t="s">
        <v>1654</v>
      </c>
      <c r="E65" s="46" t="s">
        <v>1655</v>
      </c>
      <c r="F65" s="46" t="s">
        <v>1656</v>
      </c>
      <c r="G65" s="46" t="s">
        <v>1657</v>
      </c>
    </row>
    <row r="66" spans="2:20" ht="36" customHeight="1">
      <c r="B66" s="43" t="s">
        <v>518</v>
      </c>
      <c r="C66" s="46" t="s">
        <v>519</v>
      </c>
      <c r="D66" s="46" t="s">
        <v>520</v>
      </c>
      <c r="E66" s="46" t="s">
        <v>521</v>
      </c>
      <c r="F66" s="46" t="s">
        <v>522</v>
      </c>
      <c r="G66" s="46" t="s">
        <v>523</v>
      </c>
    </row>
    <row r="67" spans="2:20" ht="36" customHeight="1">
      <c r="B67" s="43" t="s">
        <v>524</v>
      </c>
      <c r="C67" s="46" t="s">
        <v>525</v>
      </c>
      <c r="D67" s="46" t="s">
        <v>526</v>
      </c>
      <c r="E67" s="46" t="s">
        <v>527</v>
      </c>
      <c r="F67" s="46" t="s">
        <v>528</v>
      </c>
      <c r="G67" s="46" t="s">
        <v>529</v>
      </c>
    </row>
    <row r="69" spans="2:20" ht="15" customHeight="1">
      <c r="B69" s="288" t="s">
        <v>530</v>
      </c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90"/>
    </row>
    <row r="70" spans="2:20" ht="40.049999999999997" customHeight="1">
      <c r="B70" s="1" t="s">
        <v>531</v>
      </c>
      <c r="C70" s="1" t="s">
        <v>35</v>
      </c>
      <c r="D70" s="1" t="s">
        <v>532</v>
      </c>
      <c r="E70" s="1" t="s">
        <v>533</v>
      </c>
      <c r="F70" s="1" t="s">
        <v>23</v>
      </c>
      <c r="G70" s="1" t="s">
        <v>534</v>
      </c>
      <c r="H70" s="1" t="s">
        <v>535</v>
      </c>
      <c r="I70" s="1" t="s">
        <v>36</v>
      </c>
      <c r="J70" s="1" t="s">
        <v>536</v>
      </c>
      <c r="K70" s="1" t="s">
        <v>537</v>
      </c>
      <c r="L70" s="1" t="s">
        <v>538</v>
      </c>
      <c r="M70" s="1" t="s">
        <v>358</v>
      </c>
      <c r="N70" s="1" t="s">
        <v>539</v>
      </c>
      <c r="O70" s="1" t="s">
        <v>584</v>
      </c>
      <c r="P70" s="1" t="s">
        <v>585</v>
      </c>
      <c r="Q70" s="1" t="s">
        <v>586</v>
      </c>
      <c r="R70" s="1" t="s">
        <v>587</v>
      </c>
      <c r="T70" s="180" t="s">
        <v>2783</v>
      </c>
    </row>
    <row r="71" spans="2:20">
      <c r="B71" s="13" t="s">
        <v>680</v>
      </c>
      <c r="C71" s="13" t="s">
        <v>82</v>
      </c>
      <c r="D71" s="18" t="s">
        <v>169</v>
      </c>
      <c r="E71" s="18" t="s">
        <v>176</v>
      </c>
      <c r="F71" s="13" t="s">
        <v>540</v>
      </c>
      <c r="G71" s="18" t="s">
        <v>85</v>
      </c>
      <c r="H71" s="18" t="s">
        <v>64</v>
      </c>
      <c r="I71" s="18" t="s">
        <v>82</v>
      </c>
      <c r="J71" s="41" t="s">
        <v>147</v>
      </c>
      <c r="K71" s="41" t="s">
        <v>541</v>
      </c>
      <c r="L71" s="41" t="s">
        <v>138</v>
      </c>
      <c r="M71" s="18" t="s">
        <v>329</v>
      </c>
      <c r="N71" s="14">
        <v>1</v>
      </c>
      <c r="O71" s="18" t="s">
        <v>588</v>
      </c>
      <c r="P71" s="18" t="s">
        <v>592</v>
      </c>
      <c r="Q71" s="18" t="s">
        <v>595</v>
      </c>
      <c r="R71" s="48">
        <v>0.1</v>
      </c>
      <c r="T71" t="s">
        <v>68</v>
      </c>
    </row>
    <row r="72" spans="2:20">
      <c r="B72" s="13" t="s">
        <v>719</v>
      </c>
      <c r="C72" s="13" t="s">
        <v>71</v>
      </c>
      <c r="D72" s="18" t="s">
        <v>72</v>
      </c>
      <c r="E72" s="18" t="s">
        <v>139</v>
      </c>
      <c r="F72" s="13" t="s">
        <v>132</v>
      </c>
      <c r="G72" s="18" t="s">
        <v>296</v>
      </c>
      <c r="H72" s="18" t="s">
        <v>99</v>
      </c>
      <c r="I72" s="18" t="s">
        <v>71</v>
      </c>
      <c r="J72" s="41" t="s">
        <v>136</v>
      </c>
      <c r="K72" s="41" t="s">
        <v>137</v>
      </c>
      <c r="L72" s="41" t="s">
        <v>149</v>
      </c>
      <c r="M72" s="18" t="s">
        <v>407</v>
      </c>
      <c r="N72" s="14">
        <v>7</v>
      </c>
      <c r="O72" s="18" t="s">
        <v>589</v>
      </c>
      <c r="P72" s="18" t="s">
        <v>593</v>
      </c>
      <c r="Q72" s="18" t="s">
        <v>596</v>
      </c>
      <c r="R72" s="48">
        <v>0.3</v>
      </c>
      <c r="T72" t="s">
        <v>2784</v>
      </c>
    </row>
    <row r="73" spans="2:20" ht="22.8">
      <c r="B73" s="13" t="s">
        <v>740</v>
      </c>
      <c r="C73" s="13" t="s">
        <v>102</v>
      </c>
      <c r="D73" s="18" t="s">
        <v>172</v>
      </c>
      <c r="E73" s="18" t="s">
        <v>172</v>
      </c>
      <c r="F73" s="13" t="s">
        <v>542</v>
      </c>
      <c r="G73" s="18" t="s">
        <v>543</v>
      </c>
      <c r="H73" s="18" t="s">
        <v>544</v>
      </c>
      <c r="I73" s="18" t="s">
        <v>102</v>
      </c>
      <c r="J73" s="41" t="s">
        <v>545</v>
      </c>
      <c r="K73" s="41" t="s">
        <v>148</v>
      </c>
      <c r="L73" s="41" t="s">
        <v>546</v>
      </c>
      <c r="M73" s="18" t="s">
        <v>547</v>
      </c>
      <c r="N73" s="14">
        <v>15</v>
      </c>
      <c r="O73" s="18" t="s">
        <v>590</v>
      </c>
      <c r="P73" s="18" t="s">
        <v>594</v>
      </c>
      <c r="Q73" s="18" t="s">
        <v>597</v>
      </c>
      <c r="R73" s="48">
        <v>0.5</v>
      </c>
      <c r="T73" t="s">
        <v>145</v>
      </c>
    </row>
    <row r="74" spans="2:20" ht="22.8">
      <c r="B74" s="13" t="s">
        <v>764</v>
      </c>
      <c r="C74" s="13" t="s">
        <v>348</v>
      </c>
      <c r="D74" s="18" t="s">
        <v>548</v>
      </c>
      <c r="E74" s="18" t="s">
        <v>150</v>
      </c>
      <c r="F74" s="13" t="s">
        <v>549</v>
      </c>
      <c r="G74" s="18" t="s">
        <v>550</v>
      </c>
      <c r="H74" s="18" t="s">
        <v>133</v>
      </c>
      <c r="I74" s="18"/>
      <c r="J74" s="41"/>
      <c r="K74" s="41"/>
      <c r="L74" s="41"/>
      <c r="M74" s="18" t="s">
        <v>326</v>
      </c>
      <c r="N74" s="14">
        <v>30</v>
      </c>
      <c r="O74" s="18" t="s">
        <v>591</v>
      </c>
      <c r="P74" s="18"/>
      <c r="Q74" s="18" t="s">
        <v>598</v>
      </c>
      <c r="R74" s="48">
        <v>0.7</v>
      </c>
      <c r="T74" t="s">
        <v>2785</v>
      </c>
    </row>
    <row r="75" spans="2:20" ht="22.8">
      <c r="B75" s="13" t="s">
        <v>78</v>
      </c>
      <c r="C75" s="13"/>
      <c r="D75" s="18" t="s">
        <v>551</v>
      </c>
      <c r="E75" s="18" t="s">
        <v>552</v>
      </c>
      <c r="F75" s="13" t="s">
        <v>553</v>
      </c>
      <c r="G75" s="18"/>
      <c r="H75" s="18"/>
      <c r="I75" s="18"/>
      <c r="J75" s="41"/>
      <c r="K75" s="41"/>
      <c r="L75" s="41"/>
      <c r="M75" s="18" t="s">
        <v>554</v>
      </c>
      <c r="N75" s="14">
        <v>60</v>
      </c>
      <c r="O75" s="18"/>
      <c r="P75" s="18"/>
      <c r="Q75" s="18" t="s">
        <v>599</v>
      </c>
      <c r="R75" s="48">
        <v>0.9</v>
      </c>
      <c r="T75" t="s">
        <v>2786</v>
      </c>
    </row>
    <row r="76" spans="2:20">
      <c r="B76" s="13" t="s">
        <v>97</v>
      </c>
      <c r="C76" s="13"/>
      <c r="D76" s="18" t="s">
        <v>223</v>
      </c>
      <c r="E76" s="18" t="s">
        <v>555</v>
      </c>
      <c r="F76" s="13" t="s">
        <v>556</v>
      </c>
      <c r="G76" s="18"/>
      <c r="H76" s="18"/>
      <c r="I76" s="18"/>
      <c r="J76" s="41"/>
      <c r="K76" s="41"/>
      <c r="L76" s="41"/>
      <c r="M76" s="18" t="s">
        <v>365</v>
      </c>
      <c r="N76" s="14">
        <v>90</v>
      </c>
      <c r="O76" s="18"/>
      <c r="P76" s="18"/>
      <c r="Q76" s="18"/>
      <c r="T76" t="s">
        <v>2787</v>
      </c>
    </row>
    <row r="77" spans="2:20">
      <c r="B77" s="13" t="s">
        <v>300</v>
      </c>
      <c r="C77" s="13"/>
      <c r="D77" s="18"/>
      <c r="E77" s="18" t="s">
        <v>558</v>
      </c>
      <c r="F77" s="13" t="s">
        <v>559</v>
      </c>
      <c r="G77" s="18"/>
      <c r="H77" s="18"/>
      <c r="I77" s="18"/>
      <c r="J77" s="41"/>
      <c r="K77" s="41"/>
      <c r="L77" s="41"/>
      <c r="M77" s="18" t="s">
        <v>403</v>
      </c>
      <c r="N77" s="14">
        <v>180</v>
      </c>
      <c r="O77" s="18"/>
      <c r="P77" s="18"/>
      <c r="Q77" s="18"/>
      <c r="T77" t="s">
        <v>1153</v>
      </c>
    </row>
    <row r="78" spans="2:20">
      <c r="B78" s="13" t="s">
        <v>89</v>
      </c>
      <c r="C78" s="13"/>
      <c r="D78" s="18"/>
      <c r="E78" s="18" t="s">
        <v>600</v>
      </c>
      <c r="F78" s="13" t="s">
        <v>90</v>
      </c>
      <c r="G78" s="18"/>
      <c r="H78" s="18"/>
      <c r="I78" s="18"/>
      <c r="J78" s="41"/>
      <c r="K78" s="41"/>
      <c r="L78" s="41"/>
      <c r="M78" s="18" t="s">
        <v>397</v>
      </c>
      <c r="N78" s="14">
        <v>365</v>
      </c>
      <c r="O78" s="18"/>
      <c r="P78" s="18"/>
      <c r="Q78" s="18"/>
      <c r="T78" t="s">
        <v>2788</v>
      </c>
    </row>
    <row r="79" spans="2:20">
      <c r="B79" s="13" t="s">
        <v>917</v>
      </c>
      <c r="C79" s="13"/>
      <c r="D79" s="18"/>
      <c r="E79" s="18"/>
      <c r="F79" s="13" t="s">
        <v>63</v>
      </c>
      <c r="G79" s="18"/>
      <c r="H79" s="18"/>
      <c r="I79" s="18"/>
      <c r="J79" s="41"/>
      <c r="K79" s="41"/>
      <c r="L79" s="41"/>
      <c r="M79" s="18" t="s">
        <v>376</v>
      </c>
      <c r="N79" s="14"/>
      <c r="O79" s="18"/>
      <c r="P79" s="18"/>
      <c r="Q79" s="18"/>
      <c r="T79" t="s">
        <v>2789</v>
      </c>
    </row>
    <row r="80" spans="2:20">
      <c r="B80" s="13" t="s">
        <v>557</v>
      </c>
      <c r="C80" s="13"/>
      <c r="D80" s="18"/>
      <c r="E80" s="18"/>
      <c r="F80" s="13" t="s">
        <v>561</v>
      </c>
      <c r="G80" s="18"/>
      <c r="H80" s="18"/>
      <c r="I80" s="18"/>
      <c r="J80" s="41"/>
      <c r="K80" s="41"/>
      <c r="L80" s="41"/>
      <c r="M80" s="18"/>
      <c r="N80" s="14"/>
      <c r="T80" t="s">
        <v>2790</v>
      </c>
    </row>
    <row r="81" spans="2:20">
      <c r="B81" s="13" t="s">
        <v>846</v>
      </c>
      <c r="C81" s="13"/>
      <c r="D81" s="18"/>
      <c r="E81" s="18"/>
      <c r="F81" s="13" t="s">
        <v>79</v>
      </c>
      <c r="G81" s="18"/>
      <c r="H81" s="18"/>
      <c r="I81" s="18"/>
      <c r="J81" s="41"/>
      <c r="K81" s="41"/>
      <c r="L81" s="41"/>
      <c r="M81" s="18"/>
      <c r="N81" s="14"/>
      <c r="T81" t="s">
        <v>2791</v>
      </c>
    </row>
    <row r="82" spans="2:20">
      <c r="B82" s="13" t="s">
        <v>811</v>
      </c>
      <c r="C82" s="13"/>
      <c r="D82" s="18"/>
      <c r="E82" s="18"/>
      <c r="F82" s="13" t="s">
        <v>564</v>
      </c>
      <c r="G82" s="18"/>
      <c r="H82" s="18"/>
      <c r="I82" s="18"/>
      <c r="J82" s="41"/>
      <c r="K82" s="41"/>
      <c r="L82" s="41"/>
      <c r="M82" s="18"/>
      <c r="N82" s="14"/>
      <c r="T82" t="s">
        <v>2792</v>
      </c>
    </row>
    <row r="83" spans="2:20">
      <c r="B83" s="13" t="s">
        <v>560</v>
      </c>
      <c r="C83" s="13"/>
      <c r="D83" s="18"/>
      <c r="E83" s="18"/>
      <c r="F83" s="13" t="s">
        <v>565</v>
      </c>
      <c r="G83" s="18"/>
      <c r="H83" s="18"/>
      <c r="I83" s="18"/>
      <c r="J83" s="41"/>
      <c r="K83" s="41"/>
      <c r="L83" s="41"/>
      <c r="M83" s="18"/>
      <c r="N83" s="14"/>
      <c r="T83" t="s">
        <v>2793</v>
      </c>
    </row>
    <row r="84" spans="2:20">
      <c r="B84" s="13" t="s">
        <v>892</v>
      </c>
      <c r="C84" s="13"/>
      <c r="D84" s="18"/>
      <c r="E84" s="18"/>
      <c r="F84" s="13" t="s">
        <v>98</v>
      </c>
      <c r="G84" s="18"/>
      <c r="H84" s="18"/>
      <c r="I84" s="18"/>
      <c r="J84" s="41"/>
      <c r="K84" s="41"/>
      <c r="L84" s="41"/>
      <c r="M84" s="18"/>
      <c r="N84" s="14"/>
      <c r="T84" t="s">
        <v>2794</v>
      </c>
    </row>
    <row r="85" spans="2:20">
      <c r="B85" s="13" t="s">
        <v>562</v>
      </c>
      <c r="C85" s="13"/>
      <c r="D85" s="18"/>
      <c r="E85" s="18"/>
      <c r="F85" s="13" t="s">
        <v>568</v>
      </c>
      <c r="G85" s="18"/>
      <c r="H85" s="18"/>
      <c r="I85" s="18"/>
      <c r="J85" s="41"/>
      <c r="K85" s="41"/>
      <c r="L85" s="41"/>
      <c r="M85" s="18"/>
      <c r="N85" s="14"/>
      <c r="T85" t="s">
        <v>2795</v>
      </c>
    </row>
    <row r="86" spans="2:20">
      <c r="B86" s="13" t="s">
        <v>563</v>
      </c>
      <c r="C86" s="13"/>
      <c r="D86" s="18"/>
      <c r="E86" s="18"/>
      <c r="F86" s="13" t="s">
        <v>143</v>
      </c>
      <c r="G86" s="18"/>
      <c r="H86" s="18"/>
      <c r="I86" s="18"/>
      <c r="J86" s="41"/>
      <c r="K86" s="41"/>
      <c r="L86" s="41"/>
      <c r="M86" s="18"/>
      <c r="N86" s="14"/>
      <c r="T86" t="s">
        <v>2840</v>
      </c>
    </row>
    <row r="87" spans="2:20">
      <c r="B87" s="13" t="s">
        <v>1182</v>
      </c>
      <c r="C87" s="13"/>
      <c r="D87" s="18"/>
      <c r="E87" s="18"/>
      <c r="F87" s="13" t="s">
        <v>569</v>
      </c>
      <c r="G87" s="18"/>
      <c r="H87" s="18"/>
      <c r="I87" s="18"/>
      <c r="J87" s="41"/>
      <c r="K87" s="41"/>
      <c r="L87" s="41"/>
      <c r="M87" s="18"/>
      <c r="N87" s="14"/>
    </row>
    <row r="88" spans="2:20">
      <c r="B88" s="13" t="s">
        <v>566</v>
      </c>
      <c r="C88" s="13"/>
      <c r="D88" s="18"/>
      <c r="E88" s="18"/>
      <c r="F88" s="13" t="s">
        <v>570</v>
      </c>
      <c r="G88" s="18"/>
      <c r="H88" s="18"/>
      <c r="I88" s="18"/>
      <c r="J88" s="41"/>
      <c r="K88" s="41"/>
      <c r="L88" s="41"/>
      <c r="M88" s="18"/>
      <c r="N88" s="14"/>
    </row>
    <row r="89" spans="2:20" ht="22.8">
      <c r="B89" s="13" t="s">
        <v>567</v>
      </c>
      <c r="C89" s="13"/>
      <c r="D89" s="18"/>
      <c r="E89" s="18"/>
      <c r="F89" s="13" t="s">
        <v>571</v>
      </c>
      <c r="G89" s="18"/>
      <c r="H89" s="18"/>
      <c r="I89" s="18"/>
      <c r="J89" s="41"/>
      <c r="K89" s="41"/>
      <c r="L89" s="41"/>
      <c r="M89" s="18"/>
      <c r="N89" s="14"/>
    </row>
    <row r="90" spans="2:20">
      <c r="B90" s="13" t="s">
        <v>777</v>
      </c>
      <c r="C90" s="13"/>
      <c r="D90" s="18"/>
      <c r="E90" s="18"/>
      <c r="F90" s="47" t="s">
        <v>682</v>
      </c>
      <c r="G90" s="18"/>
      <c r="H90" s="18"/>
      <c r="I90" s="18"/>
      <c r="J90" s="41"/>
      <c r="K90" s="41"/>
      <c r="L90" s="41"/>
      <c r="M90" s="18"/>
      <c r="N90" s="14"/>
    </row>
    <row r="92" spans="2:20" ht="15" customHeight="1">
      <c r="B92" s="222" t="s">
        <v>572</v>
      </c>
      <c r="C92" s="222"/>
      <c r="D92" s="222"/>
      <c r="E92" s="222"/>
      <c r="F92" s="222"/>
      <c r="G92" s="222"/>
      <c r="H92" s="222"/>
      <c r="I92" s="222"/>
    </row>
    <row r="93" spans="2:20" ht="25.5" customHeight="1">
      <c r="B93" s="235" t="s">
        <v>2101</v>
      </c>
      <c r="C93" s="235"/>
      <c r="D93" s="235"/>
      <c r="E93" s="235"/>
      <c r="F93" s="235"/>
      <c r="G93" s="235"/>
      <c r="H93" s="235"/>
      <c r="I93" s="235"/>
    </row>
    <row r="94" spans="2:20" ht="25.5" customHeight="1">
      <c r="B94" s="235" t="s">
        <v>2102</v>
      </c>
      <c r="C94" s="235"/>
      <c r="D94" s="235"/>
      <c r="E94" s="235"/>
      <c r="F94" s="235"/>
      <c r="G94" s="235"/>
      <c r="H94" s="235"/>
      <c r="I94" s="235"/>
    </row>
    <row r="95" spans="2:20" ht="25.5" customHeight="1">
      <c r="B95" s="235" t="s">
        <v>573</v>
      </c>
      <c r="C95" s="235"/>
      <c r="D95" s="235"/>
      <c r="E95" s="235"/>
      <c r="F95" s="235"/>
      <c r="G95" s="235"/>
      <c r="H95" s="235"/>
      <c r="I95" s="235"/>
    </row>
    <row r="96" spans="2:20" ht="25.5" customHeight="1">
      <c r="B96" s="235" t="s">
        <v>2103</v>
      </c>
      <c r="C96" s="235"/>
      <c r="D96" s="235"/>
      <c r="E96" s="235"/>
      <c r="F96" s="235"/>
      <c r="G96" s="235"/>
      <c r="H96" s="235"/>
      <c r="I96" s="235"/>
    </row>
    <row r="97" spans="2:9" ht="25.5" customHeight="1">
      <c r="B97" s="235" t="s">
        <v>2104</v>
      </c>
      <c r="C97" s="235"/>
      <c r="D97" s="235"/>
      <c r="E97" s="235"/>
      <c r="F97" s="235"/>
      <c r="G97" s="235"/>
      <c r="H97" s="235"/>
      <c r="I97" s="235"/>
    </row>
    <row r="98" spans="2:9" ht="25.5" customHeight="1">
      <c r="B98" s="235" t="s">
        <v>2105</v>
      </c>
      <c r="C98" s="235"/>
      <c r="D98" s="235"/>
      <c r="E98" s="235"/>
      <c r="F98" s="235"/>
      <c r="G98" s="235"/>
      <c r="H98" s="235"/>
      <c r="I98" s="235"/>
    </row>
    <row r="101" spans="2:9">
      <c r="B101" s="222" t="s">
        <v>2551</v>
      </c>
      <c r="C101" s="222"/>
      <c r="D101" s="222"/>
      <c r="E101" s="222"/>
      <c r="F101" s="222"/>
      <c r="G101" s="222"/>
      <c r="H101" s="222"/>
      <c r="I101" s="222"/>
    </row>
    <row r="102" spans="2:9" ht="36" customHeight="1">
      <c r="B102" s="220" t="s">
        <v>2552</v>
      </c>
      <c r="C102" s="220"/>
      <c r="D102" s="220"/>
      <c r="E102" s="220"/>
      <c r="F102" s="220"/>
      <c r="G102" s="220"/>
      <c r="H102" s="220"/>
      <c r="I102" s="220"/>
    </row>
    <row r="104" spans="2:9">
      <c r="B104" s="222" t="s">
        <v>2532</v>
      </c>
      <c r="C104" s="222"/>
      <c r="D104" s="222"/>
      <c r="E104" s="222"/>
      <c r="F104" s="222"/>
      <c r="G104" s="222"/>
      <c r="H104" s="222"/>
      <c r="I104" s="222"/>
    </row>
    <row r="105" spans="2:9">
      <c r="B105" s="1" t="s">
        <v>33</v>
      </c>
      <c r="C105" s="1" t="s">
        <v>2553</v>
      </c>
      <c r="D105" s="1" t="s">
        <v>2554</v>
      </c>
      <c r="E105" s="226" t="s">
        <v>277</v>
      </c>
      <c r="F105" s="226"/>
      <c r="G105" s="226"/>
      <c r="H105" s="226"/>
      <c r="I105" s="226"/>
    </row>
    <row r="106" spans="2:9">
      <c r="B106" s="11" t="s">
        <v>2441</v>
      </c>
      <c r="C106" s="15">
        <v>1</v>
      </c>
      <c r="D106" s="12">
        <f>ABS(C106)+1</f>
        <v>2</v>
      </c>
      <c r="E106" s="285" t="s">
        <v>2533</v>
      </c>
      <c r="F106" s="285"/>
      <c r="G106" s="285"/>
      <c r="H106" s="285"/>
      <c r="I106" s="285"/>
    </row>
    <row r="107" spans="2:9">
      <c r="B107" s="11" t="s">
        <v>2448</v>
      </c>
      <c r="C107" s="15">
        <v>2</v>
      </c>
      <c r="D107" s="12">
        <f>ABS(C107)+1</f>
        <v>3</v>
      </c>
      <c r="E107" s="285" t="s">
        <v>2534</v>
      </c>
      <c r="F107" s="285"/>
      <c r="G107" s="285"/>
      <c r="H107" s="285"/>
      <c r="I107" s="285"/>
    </row>
    <row r="108" spans="2:9">
      <c r="B108" s="11" t="s">
        <v>2420</v>
      </c>
      <c r="C108" s="15">
        <v>3</v>
      </c>
      <c r="D108" s="12">
        <f>ABS(C108)+1</f>
        <v>4</v>
      </c>
      <c r="E108" s="285" t="s">
        <v>2535</v>
      </c>
      <c r="F108" s="285"/>
      <c r="G108" s="285"/>
      <c r="H108" s="285"/>
      <c r="I108" s="285"/>
    </row>
    <row r="110" spans="2:9">
      <c r="B110" s="222" t="s">
        <v>2555</v>
      </c>
      <c r="C110" s="222"/>
      <c r="D110" s="222"/>
      <c r="E110" s="222"/>
      <c r="F110" s="222"/>
      <c r="G110" s="222"/>
      <c r="H110" s="222"/>
      <c r="I110" s="222"/>
    </row>
    <row r="111" spans="2:9">
      <c r="B111" s="1" t="s">
        <v>33</v>
      </c>
      <c r="C111" s="1" t="s">
        <v>2553</v>
      </c>
      <c r="D111" s="1" t="s">
        <v>2554</v>
      </c>
      <c r="E111" s="226" t="s">
        <v>277</v>
      </c>
      <c r="F111" s="226"/>
      <c r="G111" s="226"/>
      <c r="H111" s="226"/>
      <c r="I111" s="226"/>
    </row>
    <row r="112" spans="2:9">
      <c r="B112" s="11" t="s">
        <v>2456</v>
      </c>
      <c r="C112" s="15">
        <v>-1</v>
      </c>
      <c r="D112" s="12">
        <f>ABS(C112)+1</f>
        <v>2</v>
      </c>
      <c r="E112" s="285" t="s">
        <v>2540</v>
      </c>
      <c r="F112" s="285"/>
      <c r="G112" s="285"/>
      <c r="H112" s="285"/>
      <c r="I112" s="285"/>
    </row>
    <row r="113" spans="2:9">
      <c r="B113" s="11" t="s">
        <v>2437</v>
      </c>
      <c r="C113" s="15">
        <v>-2</v>
      </c>
      <c r="D113" s="12">
        <f>ABS(C113)+1</f>
        <v>3</v>
      </c>
      <c r="E113" s="285" t="s">
        <v>2541</v>
      </c>
      <c r="F113" s="285"/>
      <c r="G113" s="285"/>
      <c r="H113" s="285"/>
      <c r="I113" s="285"/>
    </row>
    <row r="114" spans="2:9">
      <c r="B114" s="11" t="s">
        <v>453</v>
      </c>
      <c r="C114" s="15">
        <v>-3</v>
      </c>
      <c r="D114" s="12">
        <f>ABS(C114)+1</f>
        <v>4</v>
      </c>
      <c r="E114" s="285" t="s">
        <v>2542</v>
      </c>
      <c r="F114" s="285"/>
      <c r="G114" s="285"/>
      <c r="H114" s="285"/>
      <c r="I114" s="285"/>
    </row>
    <row r="116" spans="2:9">
      <c r="B116" s="222" t="s">
        <v>2556</v>
      </c>
      <c r="C116" s="222"/>
      <c r="D116" s="222"/>
      <c r="E116" s="222"/>
      <c r="F116" s="222"/>
      <c r="G116" s="222"/>
      <c r="H116" s="222"/>
      <c r="I116" s="222"/>
    </row>
    <row r="117" spans="2:9">
      <c r="B117" s="1" t="s">
        <v>33</v>
      </c>
      <c r="C117" s="1" t="s">
        <v>2553</v>
      </c>
      <c r="D117" s="1" t="s">
        <v>2554</v>
      </c>
      <c r="E117" s="226" t="s">
        <v>277</v>
      </c>
      <c r="F117" s="226"/>
      <c r="G117" s="226"/>
      <c r="H117" s="226"/>
      <c r="I117" s="226"/>
    </row>
    <row r="118" spans="2:9">
      <c r="B118" s="11" t="s">
        <v>2536</v>
      </c>
      <c r="C118" s="15">
        <v>1</v>
      </c>
      <c r="D118" s="12">
        <f>ABS(C118)+1</f>
        <v>2</v>
      </c>
      <c r="E118" s="285" t="s">
        <v>2537</v>
      </c>
      <c r="F118" s="285"/>
      <c r="G118" s="285"/>
      <c r="H118" s="285"/>
      <c r="I118" s="285"/>
    </row>
    <row r="119" spans="2:9">
      <c r="B119" s="11" t="s">
        <v>2518</v>
      </c>
      <c r="C119" s="15">
        <v>2</v>
      </c>
      <c r="D119" s="12">
        <f>ABS(C119)+1</f>
        <v>3</v>
      </c>
      <c r="E119" s="285" t="s">
        <v>2538</v>
      </c>
      <c r="F119" s="285"/>
      <c r="G119" s="285"/>
      <c r="H119" s="285"/>
      <c r="I119" s="285"/>
    </row>
    <row r="120" spans="2:9">
      <c r="B120" s="11" t="s">
        <v>2421</v>
      </c>
      <c r="C120" s="15">
        <v>3</v>
      </c>
      <c r="D120" s="12">
        <f>ABS(C120)+1</f>
        <v>4</v>
      </c>
      <c r="E120" s="285" t="s">
        <v>2539</v>
      </c>
      <c r="F120" s="285"/>
      <c r="G120" s="285"/>
      <c r="H120" s="285"/>
      <c r="I120" s="285"/>
    </row>
    <row r="122" spans="2:9">
      <c r="B122" s="222" t="s">
        <v>2557</v>
      </c>
      <c r="C122" s="222"/>
      <c r="D122" s="222"/>
      <c r="E122" s="222"/>
      <c r="F122" s="222"/>
      <c r="G122" s="222"/>
      <c r="H122" s="222"/>
      <c r="I122" s="222"/>
    </row>
    <row r="123" spans="2:9">
      <c r="B123" s="1" t="s">
        <v>354</v>
      </c>
      <c r="C123" s="1" t="s">
        <v>2558</v>
      </c>
      <c r="D123" s="1" t="s">
        <v>2559</v>
      </c>
      <c r="E123" s="226" t="s">
        <v>2560</v>
      </c>
      <c r="F123" s="226"/>
      <c r="G123" s="226"/>
      <c r="H123" s="226"/>
      <c r="I123" s="226"/>
    </row>
    <row r="124" spans="2:9">
      <c r="B124" s="11" t="s">
        <v>2428</v>
      </c>
      <c r="C124" s="171" t="s">
        <v>2561</v>
      </c>
      <c r="D124" s="12">
        <v>-6</v>
      </c>
      <c r="E124" s="285" t="s">
        <v>2562</v>
      </c>
      <c r="F124" s="285"/>
      <c r="G124" s="285"/>
      <c r="H124" s="285"/>
      <c r="I124" s="285"/>
    </row>
    <row r="125" spans="2:9">
      <c r="B125" s="11" t="s">
        <v>2428</v>
      </c>
      <c r="C125" s="171" t="s">
        <v>2563</v>
      </c>
      <c r="D125" s="12">
        <v>-3</v>
      </c>
      <c r="E125" s="285" t="s">
        <v>2564</v>
      </c>
      <c r="F125" s="285"/>
      <c r="G125" s="285"/>
      <c r="H125" s="285"/>
      <c r="I125" s="285"/>
    </row>
    <row r="126" spans="2:9">
      <c r="B126" s="11" t="s">
        <v>2428</v>
      </c>
      <c r="C126" s="171" t="s">
        <v>2565</v>
      </c>
      <c r="D126" s="12">
        <v>-1</v>
      </c>
      <c r="E126" s="285" t="s">
        <v>2566</v>
      </c>
      <c r="F126" s="285"/>
      <c r="G126" s="285"/>
      <c r="H126" s="285"/>
      <c r="I126" s="285"/>
    </row>
    <row r="127" spans="2:9">
      <c r="B127" s="11" t="s">
        <v>415</v>
      </c>
      <c r="C127" s="171" t="s">
        <v>2543</v>
      </c>
      <c r="D127" s="12">
        <v>9</v>
      </c>
      <c r="E127" s="285" t="s">
        <v>2567</v>
      </c>
      <c r="F127" s="285"/>
      <c r="G127" s="285"/>
      <c r="H127" s="285"/>
      <c r="I127" s="285"/>
    </row>
    <row r="128" spans="2:9">
      <c r="B128" s="11" t="s">
        <v>415</v>
      </c>
      <c r="C128" s="171" t="s">
        <v>2544</v>
      </c>
      <c r="D128" s="12">
        <v>3</v>
      </c>
      <c r="E128" s="285" t="s">
        <v>2568</v>
      </c>
      <c r="F128" s="285"/>
      <c r="G128" s="285"/>
      <c r="H128" s="285"/>
      <c r="I128" s="285"/>
    </row>
    <row r="129" spans="2:11">
      <c r="B129" s="11" t="s">
        <v>415</v>
      </c>
      <c r="C129" s="171" t="s">
        <v>2545</v>
      </c>
      <c r="D129" s="12">
        <v>1</v>
      </c>
      <c r="E129" s="285" t="s">
        <v>2569</v>
      </c>
      <c r="F129" s="285"/>
      <c r="G129" s="285"/>
      <c r="H129" s="285"/>
      <c r="I129" s="285"/>
    </row>
    <row r="131" spans="2:11">
      <c r="B131" s="222" t="s">
        <v>2570</v>
      </c>
      <c r="C131" s="222"/>
      <c r="D131" s="222"/>
      <c r="E131" s="222"/>
      <c r="F131" s="222"/>
      <c r="G131" s="222"/>
      <c r="H131" s="222"/>
      <c r="I131" s="222"/>
    </row>
    <row r="132" spans="2:11">
      <c r="B132" s="1" t="s">
        <v>2571</v>
      </c>
      <c r="E132" s="1" t="s">
        <v>2572</v>
      </c>
      <c r="J132" s="1" t="s">
        <v>2573</v>
      </c>
      <c r="K132" s="1" t="s">
        <v>190</v>
      </c>
    </row>
    <row r="133" spans="2:11">
      <c r="B133" s="13" t="s">
        <v>2546</v>
      </c>
      <c r="E133" s="13" t="s">
        <v>2548</v>
      </c>
      <c r="J133" s="13" t="s">
        <v>2529</v>
      </c>
      <c r="K133" s="13" t="s">
        <v>2574</v>
      </c>
    </row>
    <row r="134" spans="2:11">
      <c r="B134" s="13" t="s">
        <v>2455</v>
      </c>
      <c r="E134" s="13" t="s">
        <v>2549</v>
      </c>
      <c r="J134" s="13" t="s">
        <v>2475</v>
      </c>
      <c r="K134" s="13" t="s">
        <v>2575</v>
      </c>
    </row>
    <row r="135" spans="2:11" ht="22.8">
      <c r="B135" s="13" t="s">
        <v>2438</v>
      </c>
      <c r="E135" s="13" t="s">
        <v>2550</v>
      </c>
      <c r="J135" s="13" t="s">
        <v>2423</v>
      </c>
      <c r="K135" s="13" t="s">
        <v>2576</v>
      </c>
    </row>
    <row r="136" spans="2:11" ht="22.8">
      <c r="B136" s="13" t="s">
        <v>2547</v>
      </c>
      <c r="E136" s="13" t="s">
        <v>2449</v>
      </c>
      <c r="J136" s="13" t="s">
        <v>2450</v>
      </c>
      <c r="K136" s="13" t="s">
        <v>2577</v>
      </c>
    </row>
    <row r="137" spans="2:11" ht="22.8">
      <c r="B137" s="13" t="s">
        <v>2496</v>
      </c>
      <c r="E137" s="13" t="s">
        <v>2422</v>
      </c>
      <c r="J137" s="13"/>
      <c r="K137" s="13"/>
    </row>
    <row r="138" spans="2:11" ht="22.8">
      <c r="B138" s="13"/>
      <c r="E138" s="13" t="s">
        <v>2519</v>
      </c>
      <c r="J138" s="13"/>
      <c r="K138" s="13"/>
    </row>
    <row r="140" spans="2:11" ht="48" customHeight="1">
      <c r="B140" s="220" t="s">
        <v>2578</v>
      </c>
      <c r="C140" s="220"/>
      <c r="D140" s="220"/>
      <c r="E140" s="220"/>
      <c r="F140" s="220"/>
      <c r="G140" s="220"/>
      <c r="H140" s="220"/>
      <c r="I140" s="220"/>
    </row>
  </sheetData>
  <mergeCells count="69">
    <mergeCell ref="B94:I94"/>
    <mergeCell ref="B95:I95"/>
    <mergeCell ref="B96:I96"/>
    <mergeCell ref="B97:I97"/>
    <mergeCell ref="B98:I98"/>
    <mergeCell ref="B58:I58"/>
    <mergeCell ref="B59:B60"/>
    <mergeCell ref="B92:I92"/>
    <mergeCell ref="B93:I93"/>
    <mergeCell ref="E43:I43"/>
    <mergeCell ref="E44:I44"/>
    <mergeCell ref="E45:I45"/>
    <mergeCell ref="B47:I47"/>
    <mergeCell ref="B48:B49"/>
    <mergeCell ref="H48:H49"/>
    <mergeCell ref="I48:I49"/>
    <mergeCell ref="B69:R69"/>
    <mergeCell ref="H33:I37"/>
    <mergeCell ref="B39:I39"/>
    <mergeCell ref="E40:I40"/>
    <mergeCell ref="E41:I41"/>
    <mergeCell ref="E42:I42"/>
    <mergeCell ref="C18:I18"/>
    <mergeCell ref="B19:I19"/>
    <mergeCell ref="B23:I23"/>
    <mergeCell ref="B29:I29"/>
    <mergeCell ref="B31:I31"/>
    <mergeCell ref="B12:I12"/>
    <mergeCell ref="B14:I14"/>
    <mergeCell ref="D15:I15"/>
    <mergeCell ref="D16:I16"/>
    <mergeCell ref="D17:I17"/>
    <mergeCell ref="B7:I7"/>
    <mergeCell ref="B8:I8"/>
    <mergeCell ref="B9:I9"/>
    <mergeCell ref="B10:I10"/>
    <mergeCell ref="B11:I11"/>
    <mergeCell ref="B1:I1"/>
    <mergeCell ref="B2:I2"/>
    <mergeCell ref="B4:I4"/>
    <mergeCell ref="B5:I5"/>
    <mergeCell ref="B6:I6"/>
    <mergeCell ref="B101:I101"/>
    <mergeCell ref="B102:I102"/>
    <mergeCell ref="B104:I104"/>
    <mergeCell ref="E105:I105"/>
    <mergeCell ref="E106:I106"/>
    <mergeCell ref="E107:I107"/>
    <mergeCell ref="E108:I108"/>
    <mergeCell ref="B110:I110"/>
    <mergeCell ref="E111:I111"/>
    <mergeCell ref="E112:I112"/>
    <mergeCell ref="E113:I113"/>
    <mergeCell ref="E114:I114"/>
    <mergeCell ref="B116:I116"/>
    <mergeCell ref="E117:I117"/>
    <mergeCell ref="E118:I118"/>
    <mergeCell ref="E119:I119"/>
    <mergeCell ref="E120:I120"/>
    <mergeCell ref="B122:I122"/>
    <mergeCell ref="E123:I123"/>
    <mergeCell ref="E124:I124"/>
    <mergeCell ref="B131:I131"/>
    <mergeCell ref="B140:I140"/>
    <mergeCell ref="E125:I125"/>
    <mergeCell ref="E126:I126"/>
    <mergeCell ref="E127:I127"/>
    <mergeCell ref="E128:I128"/>
    <mergeCell ref="E129:I129"/>
  </mergeCells>
  <conditionalFormatting sqref="C33:G37">
    <cfRule type="cellIs" dxfId="3" priority="2" operator="equal">
      <formula>"Baixo"</formula>
    </cfRule>
    <cfRule type="cellIs" dxfId="2" priority="3" operator="equal">
      <formula>"Médio"</formula>
    </cfRule>
    <cfRule type="cellIs" dxfId="1" priority="4" operator="equal">
      <formula>"Alto"</formula>
    </cfRule>
    <cfRule type="cellIs" dxfId="0" priority="5" operator="equal">
      <formula>"Crítico"</formula>
    </cfRule>
  </conditionalFormatting>
  <dataValidations count="3">
    <dataValidation type="list" allowBlank="1" showErrorMessage="1" errorTitle="Apetite" error="Escolha um nível da lista (Baixo, Médio, Alto ou Crítico)." sqref="H50:H56" xr:uid="{00000000-0002-0000-0B00-000000000000}">
      <formula1>Niveis</formula1>
      <formula2>0</formula2>
    </dataValidation>
    <dataValidation type="list" sqref="C15:C16" xr:uid="{00000000-0002-0000-0B00-000001000000}">
      <formula1>Niveis</formula1>
      <formula2>0</formula2>
    </dataValidation>
    <dataValidation type="whole" sqref="C17" xr:uid="{00000000-0002-0000-0B00-000002000000}">
      <formula1>0</formula1>
      <formula2>90</formula2>
    </dataValidation>
  </dataValidations>
  <pageMargins left="0.75" right="0.75" top="1" bottom="1" header="0.511811023622047" footer="0.511811023622047"/>
  <pageSetup paperSize="9" scale="60" orientation="landscape" horizontalDpi="300" verticalDpi="3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F7F7F"/>
    <pageSetUpPr fitToPage="1"/>
  </sheetPr>
  <dimension ref="A1:I64"/>
  <sheetViews>
    <sheetView showGridLines="0" zoomScaleNormal="100" workbookViewId="0">
      <pane ySplit="4" topLeftCell="A14" activePane="bottomLeft" state="frozen"/>
      <selection activeCell="E8" sqref="E8:H8"/>
      <selection pane="bottomLeft" activeCell="E8" sqref="E8:H8"/>
    </sheetView>
  </sheetViews>
  <sheetFormatPr defaultColWidth="8.6640625" defaultRowHeight="14.4"/>
  <cols>
    <col min="1" max="1" width="12" customWidth="1"/>
    <col min="2" max="2" width="9" customWidth="1"/>
    <col min="3" max="3" width="14" customWidth="1"/>
    <col min="4" max="4" width="46" customWidth="1"/>
    <col min="5" max="5" width="40" customWidth="1"/>
    <col min="6" max="7" width="18" customWidth="1"/>
    <col min="8" max="8" width="17.44140625" customWidth="1"/>
    <col min="9" max="9" width="40" customWidth="1"/>
  </cols>
  <sheetData>
    <row r="1" spans="1:9" ht="25.5" customHeight="1">
      <c r="A1" s="291" t="s">
        <v>574</v>
      </c>
      <c r="B1" s="291"/>
      <c r="C1" s="291"/>
      <c r="D1" s="291"/>
      <c r="E1" s="291"/>
      <c r="F1" s="291"/>
      <c r="G1" s="291"/>
      <c r="H1" s="291"/>
      <c r="I1" s="291"/>
    </row>
    <row r="2" spans="1:9" ht="30" customHeight="1">
      <c r="A2" s="237" t="s">
        <v>575</v>
      </c>
      <c r="B2" s="237"/>
      <c r="C2" s="237"/>
      <c r="D2" s="237"/>
      <c r="E2" s="237"/>
      <c r="F2" s="237"/>
      <c r="G2" s="237"/>
      <c r="H2" s="237"/>
      <c r="I2" s="237"/>
    </row>
    <row r="4" spans="1:9" ht="27.75" customHeight="1">
      <c r="A4" s="134" t="s">
        <v>417</v>
      </c>
      <c r="B4" s="135" t="s">
        <v>4</v>
      </c>
      <c r="C4" s="135" t="s">
        <v>576</v>
      </c>
      <c r="D4" s="135" t="s">
        <v>577</v>
      </c>
      <c r="E4" s="135" t="s">
        <v>578</v>
      </c>
      <c r="F4" s="135" t="s">
        <v>579</v>
      </c>
      <c r="G4" s="135" t="s">
        <v>580</v>
      </c>
      <c r="H4" s="135" t="s">
        <v>581</v>
      </c>
      <c r="I4" s="150" t="s">
        <v>582</v>
      </c>
    </row>
    <row r="5" spans="1:9" ht="34.200000000000003">
      <c r="A5" s="151">
        <v>46371</v>
      </c>
      <c r="B5" s="67" t="s">
        <v>5</v>
      </c>
      <c r="C5" s="12" t="s">
        <v>1594</v>
      </c>
      <c r="D5" s="13" t="s">
        <v>1595</v>
      </c>
      <c r="E5" s="13" t="s">
        <v>1596</v>
      </c>
      <c r="F5" s="13" t="s">
        <v>390</v>
      </c>
      <c r="G5" s="13" t="s">
        <v>140</v>
      </c>
      <c r="H5" s="16">
        <v>46378</v>
      </c>
      <c r="I5" s="117" t="s">
        <v>1597</v>
      </c>
    </row>
    <row r="6" spans="1:9" ht="45.6">
      <c r="A6" s="151">
        <v>46371</v>
      </c>
      <c r="B6" s="67" t="s">
        <v>5</v>
      </c>
      <c r="C6" s="12" t="s">
        <v>583</v>
      </c>
      <c r="D6" s="13" t="s">
        <v>1598</v>
      </c>
      <c r="E6" s="13" t="s">
        <v>1599</v>
      </c>
      <c r="F6" s="13" t="s">
        <v>390</v>
      </c>
      <c r="G6" s="13" t="s">
        <v>140</v>
      </c>
      <c r="H6" s="16">
        <v>46378</v>
      </c>
      <c r="I6" s="117" t="s">
        <v>1600</v>
      </c>
    </row>
    <row r="7" spans="1:9" ht="34.200000000000003">
      <c r="A7" s="151">
        <v>46376</v>
      </c>
      <c r="B7" s="67" t="s">
        <v>5</v>
      </c>
      <c r="C7" s="12" t="s">
        <v>1601</v>
      </c>
      <c r="D7" s="13" t="s">
        <v>1602</v>
      </c>
      <c r="E7" s="13" t="s">
        <v>1603</v>
      </c>
      <c r="F7" s="13" t="s">
        <v>390</v>
      </c>
      <c r="G7" s="13" t="s">
        <v>140</v>
      </c>
      <c r="H7" s="16">
        <v>46378</v>
      </c>
      <c r="I7" s="117" t="s">
        <v>1604</v>
      </c>
    </row>
    <row r="8" spans="1:9" ht="34.200000000000003">
      <c r="A8" s="151">
        <v>46387</v>
      </c>
      <c r="B8" s="67" t="s">
        <v>5</v>
      </c>
      <c r="C8" s="12" t="s">
        <v>1605</v>
      </c>
      <c r="D8" s="13" t="s">
        <v>1606</v>
      </c>
      <c r="E8" s="13" t="s">
        <v>1607</v>
      </c>
      <c r="F8" s="13" t="s">
        <v>886</v>
      </c>
      <c r="G8" s="13" t="s">
        <v>672</v>
      </c>
      <c r="H8" s="16"/>
      <c r="I8" s="117" t="s">
        <v>1608</v>
      </c>
    </row>
    <row r="9" spans="1:9" ht="34.200000000000003">
      <c r="A9" s="151">
        <v>46387</v>
      </c>
      <c r="B9" s="67" t="s">
        <v>5</v>
      </c>
      <c r="C9" s="12" t="s">
        <v>1609</v>
      </c>
      <c r="D9" s="13" t="s">
        <v>1610</v>
      </c>
      <c r="E9" s="13" t="s">
        <v>1611</v>
      </c>
      <c r="F9" s="13" t="s">
        <v>390</v>
      </c>
      <c r="G9" s="13" t="s">
        <v>672</v>
      </c>
      <c r="H9" s="16"/>
      <c r="I9" s="117" t="s">
        <v>1612</v>
      </c>
    </row>
    <row r="10" spans="1:9" ht="91.2">
      <c r="A10" s="151">
        <v>46387</v>
      </c>
      <c r="B10" s="12" t="s">
        <v>2088</v>
      </c>
      <c r="C10" s="12" t="s">
        <v>2089</v>
      </c>
      <c r="D10" s="13" t="s">
        <v>2090</v>
      </c>
      <c r="E10" s="13" t="s">
        <v>2091</v>
      </c>
      <c r="F10" s="13" t="s">
        <v>2092</v>
      </c>
      <c r="G10" s="13" t="s">
        <v>672</v>
      </c>
      <c r="H10" s="16"/>
      <c r="I10" s="117" t="s">
        <v>2093</v>
      </c>
    </row>
    <row r="11" spans="1:9" ht="91.2">
      <c r="A11" s="151">
        <v>46387</v>
      </c>
      <c r="B11" s="12" t="s">
        <v>2177</v>
      </c>
      <c r="C11" s="12" t="s">
        <v>2178</v>
      </c>
      <c r="D11" s="13" t="s">
        <v>2179</v>
      </c>
      <c r="E11" s="13" t="s">
        <v>2180</v>
      </c>
      <c r="F11" s="13" t="s">
        <v>2092</v>
      </c>
      <c r="G11" s="13" t="s">
        <v>672</v>
      </c>
      <c r="H11" s="16"/>
      <c r="I11" s="117" t="s">
        <v>2181</v>
      </c>
    </row>
    <row r="12" spans="1:9" ht="114">
      <c r="A12" s="151">
        <v>46289</v>
      </c>
      <c r="B12" s="172">
        <v>46023</v>
      </c>
      <c r="C12" s="12" t="s">
        <v>2655</v>
      </c>
      <c r="D12" s="13" t="s">
        <v>2656</v>
      </c>
      <c r="E12" s="13" t="s">
        <v>2657</v>
      </c>
      <c r="F12" s="13" t="s">
        <v>2393</v>
      </c>
      <c r="G12" s="13"/>
      <c r="H12" s="16"/>
      <c r="I12" s="117" t="s">
        <v>2658</v>
      </c>
    </row>
    <row r="13" spans="1:9" ht="68.400000000000006">
      <c r="A13" s="151">
        <v>46289</v>
      </c>
      <c r="B13" s="172">
        <v>46023</v>
      </c>
      <c r="C13" s="12" t="s">
        <v>2707</v>
      </c>
      <c r="D13" s="13" t="s">
        <v>2708</v>
      </c>
      <c r="E13" s="13" t="s">
        <v>2709</v>
      </c>
      <c r="F13" s="13" t="s">
        <v>2393</v>
      </c>
      <c r="G13" s="13"/>
      <c r="H13" s="16"/>
      <c r="I13" s="117" t="s">
        <v>2710</v>
      </c>
    </row>
    <row r="14" spans="1:9" ht="45.6">
      <c r="A14" s="151">
        <v>46289</v>
      </c>
      <c r="B14" s="172">
        <v>46023</v>
      </c>
      <c r="C14" s="12" t="s">
        <v>2715</v>
      </c>
      <c r="D14" s="13" t="s">
        <v>2716</v>
      </c>
      <c r="E14" s="13" t="s">
        <v>2717</v>
      </c>
      <c r="F14" s="13" t="s">
        <v>2393</v>
      </c>
      <c r="G14" s="13"/>
      <c r="H14" s="16"/>
      <c r="I14" s="117" t="s">
        <v>2718</v>
      </c>
    </row>
    <row r="15" spans="1:9" ht="34.200000000000003">
      <c r="A15" s="151">
        <v>46289</v>
      </c>
      <c r="B15" s="172">
        <v>46023</v>
      </c>
      <c r="C15" s="12" t="s">
        <v>188</v>
      </c>
      <c r="D15" s="13" t="s">
        <v>2724</v>
      </c>
      <c r="E15" s="13" t="s">
        <v>2725</v>
      </c>
      <c r="F15" s="13" t="s">
        <v>2393</v>
      </c>
      <c r="G15" s="13"/>
      <c r="H15" s="16"/>
      <c r="I15" s="117" t="s">
        <v>2726</v>
      </c>
    </row>
    <row r="16" spans="1:9" ht="34.200000000000003">
      <c r="A16" s="151">
        <v>46289</v>
      </c>
      <c r="B16" s="172">
        <v>46023</v>
      </c>
      <c r="C16" s="12" t="s">
        <v>2331</v>
      </c>
      <c r="D16" s="13" t="s">
        <v>2779</v>
      </c>
      <c r="E16" s="13" t="s">
        <v>2780</v>
      </c>
      <c r="F16" s="13" t="s">
        <v>2393</v>
      </c>
      <c r="G16" s="13"/>
      <c r="H16" s="16"/>
      <c r="I16" s="117" t="s">
        <v>2781</v>
      </c>
    </row>
    <row r="17" spans="1:9" ht="68.400000000000006">
      <c r="A17" s="151">
        <v>46289</v>
      </c>
      <c r="B17" s="12">
        <v>3</v>
      </c>
      <c r="C17" s="12" t="s">
        <v>2836</v>
      </c>
      <c r="D17" s="13" t="s">
        <v>2841</v>
      </c>
      <c r="E17" s="13" t="s">
        <v>2837</v>
      </c>
      <c r="F17" s="13" t="s">
        <v>2838</v>
      </c>
      <c r="G17" s="13" t="s">
        <v>2394</v>
      </c>
      <c r="H17" s="16">
        <v>46289</v>
      </c>
      <c r="I17" s="117" t="s">
        <v>2839</v>
      </c>
    </row>
    <row r="18" spans="1:9">
      <c r="A18" s="151"/>
      <c r="B18" s="12"/>
      <c r="C18" s="12"/>
      <c r="D18" s="13"/>
      <c r="E18" s="13"/>
      <c r="F18" s="13"/>
      <c r="G18" s="13"/>
      <c r="H18" s="16"/>
      <c r="I18" s="117"/>
    </row>
    <row r="19" spans="1:9">
      <c r="A19" s="151"/>
      <c r="B19" s="12"/>
      <c r="C19" s="12"/>
      <c r="D19" s="13"/>
      <c r="E19" s="13"/>
      <c r="F19" s="13"/>
      <c r="G19" s="13"/>
      <c r="H19" s="16"/>
      <c r="I19" s="117"/>
    </row>
    <row r="20" spans="1:9">
      <c r="A20" s="151"/>
      <c r="B20" s="12"/>
      <c r="C20" s="12"/>
      <c r="D20" s="13"/>
      <c r="E20" s="13"/>
      <c r="F20" s="13"/>
      <c r="G20" s="13"/>
      <c r="H20" s="16"/>
      <c r="I20" s="117"/>
    </row>
    <row r="21" spans="1:9">
      <c r="A21" s="151"/>
      <c r="B21" s="12"/>
      <c r="C21" s="12"/>
      <c r="D21" s="13"/>
      <c r="E21" s="13"/>
      <c r="F21" s="13"/>
      <c r="G21" s="13"/>
      <c r="H21" s="16"/>
      <c r="I21" s="117"/>
    </row>
    <row r="22" spans="1:9">
      <c r="A22" s="151"/>
      <c r="B22" s="12"/>
      <c r="C22" s="12"/>
      <c r="D22" s="13"/>
      <c r="E22" s="13"/>
      <c r="F22" s="13"/>
      <c r="G22" s="13"/>
      <c r="H22" s="16"/>
      <c r="I22" s="117"/>
    </row>
    <row r="23" spans="1:9">
      <c r="A23" s="151"/>
      <c r="B23" s="12"/>
      <c r="C23" s="12"/>
      <c r="D23" s="13"/>
      <c r="E23" s="13"/>
      <c r="F23" s="13"/>
      <c r="G23" s="13"/>
      <c r="H23" s="16"/>
      <c r="I23" s="117"/>
    </row>
    <row r="24" spans="1:9">
      <c r="A24" s="151"/>
      <c r="B24" s="12"/>
      <c r="C24" s="12"/>
      <c r="D24" s="13"/>
      <c r="E24" s="13"/>
      <c r="F24" s="13"/>
      <c r="G24" s="13"/>
      <c r="H24" s="16"/>
      <c r="I24" s="117"/>
    </row>
    <row r="25" spans="1:9">
      <c r="A25" s="151"/>
      <c r="B25" s="12"/>
      <c r="C25" s="12"/>
      <c r="D25" s="13"/>
      <c r="E25" s="13"/>
      <c r="F25" s="13"/>
      <c r="G25" s="13"/>
      <c r="H25" s="16"/>
      <c r="I25" s="117"/>
    </row>
    <row r="26" spans="1:9">
      <c r="A26" s="151"/>
      <c r="B26" s="12"/>
      <c r="C26" s="12"/>
      <c r="D26" s="13"/>
      <c r="E26" s="13"/>
      <c r="F26" s="13"/>
      <c r="G26" s="13"/>
      <c r="H26" s="16"/>
      <c r="I26" s="117"/>
    </row>
    <row r="27" spans="1:9">
      <c r="A27" s="151"/>
      <c r="B27" s="12"/>
      <c r="C27" s="12"/>
      <c r="D27" s="13"/>
      <c r="E27" s="13"/>
      <c r="F27" s="13"/>
      <c r="G27" s="13"/>
      <c r="H27" s="16"/>
      <c r="I27" s="117"/>
    </row>
    <row r="28" spans="1:9">
      <c r="A28" s="151"/>
      <c r="B28" s="12"/>
      <c r="C28" s="12"/>
      <c r="D28" s="13"/>
      <c r="E28" s="13"/>
      <c r="F28" s="13"/>
      <c r="G28" s="13"/>
      <c r="H28" s="16"/>
      <c r="I28" s="117"/>
    </row>
    <row r="29" spans="1:9">
      <c r="A29" s="151"/>
      <c r="B29" s="12"/>
      <c r="C29" s="12"/>
      <c r="D29" s="13"/>
      <c r="E29" s="13"/>
      <c r="F29" s="13"/>
      <c r="G29" s="13"/>
      <c r="H29" s="16"/>
      <c r="I29" s="117"/>
    </row>
    <row r="30" spans="1:9">
      <c r="A30" s="151"/>
      <c r="B30" s="12"/>
      <c r="C30" s="12"/>
      <c r="D30" s="13"/>
      <c r="E30" s="13"/>
      <c r="F30" s="13"/>
      <c r="G30" s="13"/>
      <c r="H30" s="16"/>
      <c r="I30" s="117"/>
    </row>
    <row r="31" spans="1:9">
      <c r="A31" s="151"/>
      <c r="B31" s="12"/>
      <c r="C31" s="12"/>
      <c r="D31" s="13"/>
      <c r="E31" s="13"/>
      <c r="F31" s="13"/>
      <c r="G31" s="13"/>
      <c r="H31" s="16"/>
      <c r="I31" s="117"/>
    </row>
    <row r="32" spans="1:9">
      <c r="A32" s="151"/>
      <c r="B32" s="12"/>
      <c r="C32" s="12"/>
      <c r="D32" s="13"/>
      <c r="E32" s="13"/>
      <c r="F32" s="13"/>
      <c r="G32" s="13"/>
      <c r="H32" s="16"/>
      <c r="I32" s="117"/>
    </row>
    <row r="33" spans="1:9">
      <c r="A33" s="151"/>
      <c r="B33" s="12"/>
      <c r="C33" s="12"/>
      <c r="D33" s="13"/>
      <c r="E33" s="13"/>
      <c r="F33" s="13"/>
      <c r="G33" s="13"/>
      <c r="H33" s="16"/>
      <c r="I33" s="117"/>
    </row>
    <row r="34" spans="1:9">
      <c r="A34" s="151"/>
      <c r="B34" s="12"/>
      <c r="C34" s="12"/>
      <c r="D34" s="13"/>
      <c r="E34" s="13"/>
      <c r="F34" s="13"/>
      <c r="G34" s="13"/>
      <c r="H34" s="16"/>
      <c r="I34" s="117"/>
    </row>
    <row r="35" spans="1:9">
      <c r="A35" s="151"/>
      <c r="B35" s="12"/>
      <c r="C35" s="12"/>
      <c r="D35" s="13"/>
      <c r="E35" s="13"/>
      <c r="F35" s="13"/>
      <c r="G35" s="13"/>
      <c r="H35" s="16"/>
      <c r="I35" s="117"/>
    </row>
    <row r="36" spans="1:9">
      <c r="A36" s="151"/>
      <c r="B36" s="12"/>
      <c r="C36" s="12"/>
      <c r="D36" s="13"/>
      <c r="E36" s="13"/>
      <c r="F36" s="13"/>
      <c r="G36" s="13"/>
      <c r="H36" s="16"/>
      <c r="I36" s="117"/>
    </row>
    <row r="37" spans="1:9">
      <c r="A37" s="151"/>
      <c r="B37" s="12"/>
      <c r="C37" s="12"/>
      <c r="D37" s="13"/>
      <c r="E37" s="13"/>
      <c r="F37" s="13"/>
      <c r="G37" s="13"/>
      <c r="H37" s="16"/>
      <c r="I37" s="117"/>
    </row>
    <row r="38" spans="1:9">
      <c r="A38" s="151"/>
      <c r="B38" s="12"/>
      <c r="C38" s="12"/>
      <c r="D38" s="13"/>
      <c r="E38" s="13"/>
      <c r="F38" s="13"/>
      <c r="G38" s="13"/>
      <c r="H38" s="16"/>
      <c r="I38" s="117"/>
    </row>
    <row r="39" spans="1:9">
      <c r="A39" s="151"/>
      <c r="B39" s="12"/>
      <c r="C39" s="12"/>
      <c r="D39" s="13"/>
      <c r="E39" s="13"/>
      <c r="F39" s="13"/>
      <c r="G39" s="13"/>
      <c r="H39" s="16"/>
      <c r="I39" s="117"/>
    </row>
    <row r="40" spans="1:9">
      <c r="A40" s="151"/>
      <c r="B40" s="12"/>
      <c r="C40" s="12"/>
      <c r="D40" s="13"/>
      <c r="E40" s="13"/>
      <c r="F40" s="13"/>
      <c r="G40" s="13"/>
      <c r="H40" s="16"/>
      <c r="I40" s="117"/>
    </row>
    <row r="41" spans="1:9">
      <c r="A41" s="151"/>
      <c r="B41" s="12"/>
      <c r="C41" s="12"/>
      <c r="D41" s="13"/>
      <c r="E41" s="13"/>
      <c r="F41" s="13"/>
      <c r="G41" s="13"/>
      <c r="H41" s="16"/>
      <c r="I41" s="117"/>
    </row>
    <row r="42" spans="1:9">
      <c r="A42" s="151"/>
      <c r="B42" s="12"/>
      <c r="C42" s="12"/>
      <c r="D42" s="13"/>
      <c r="E42" s="13"/>
      <c r="F42" s="13"/>
      <c r="G42" s="13"/>
      <c r="H42" s="16"/>
      <c r="I42" s="117"/>
    </row>
    <row r="43" spans="1:9">
      <c r="A43" s="151"/>
      <c r="B43" s="12"/>
      <c r="C43" s="12"/>
      <c r="D43" s="13"/>
      <c r="E43" s="13"/>
      <c r="F43" s="13"/>
      <c r="G43" s="13"/>
      <c r="H43" s="16"/>
      <c r="I43" s="117"/>
    </row>
    <row r="44" spans="1:9">
      <c r="A44" s="151"/>
      <c r="B44" s="12"/>
      <c r="C44" s="12"/>
      <c r="D44" s="13"/>
      <c r="E44" s="13"/>
      <c r="F44" s="13"/>
      <c r="G44" s="13"/>
      <c r="H44" s="16"/>
      <c r="I44" s="117"/>
    </row>
    <row r="45" spans="1:9">
      <c r="A45" s="151"/>
      <c r="B45" s="12"/>
      <c r="C45" s="12"/>
      <c r="D45" s="13"/>
      <c r="E45" s="13"/>
      <c r="F45" s="13"/>
      <c r="G45" s="13"/>
      <c r="H45" s="16"/>
      <c r="I45" s="117"/>
    </row>
    <row r="46" spans="1:9">
      <c r="A46" s="151"/>
      <c r="B46" s="12"/>
      <c r="C46" s="12"/>
      <c r="D46" s="13"/>
      <c r="E46" s="13"/>
      <c r="F46" s="13"/>
      <c r="G46" s="13"/>
      <c r="H46" s="16"/>
      <c r="I46" s="117"/>
    </row>
    <row r="47" spans="1:9">
      <c r="A47" s="151"/>
      <c r="B47" s="12"/>
      <c r="C47" s="12"/>
      <c r="D47" s="13"/>
      <c r="E47" s="13"/>
      <c r="F47" s="13"/>
      <c r="G47" s="13"/>
      <c r="H47" s="16"/>
      <c r="I47" s="117"/>
    </row>
    <row r="48" spans="1:9">
      <c r="A48" s="151"/>
      <c r="B48" s="12"/>
      <c r="C48" s="12"/>
      <c r="D48" s="13"/>
      <c r="E48" s="13"/>
      <c r="F48" s="13"/>
      <c r="G48" s="13"/>
      <c r="H48" s="16"/>
      <c r="I48" s="117"/>
    </row>
    <row r="49" spans="1:9">
      <c r="A49" s="151"/>
      <c r="B49" s="12"/>
      <c r="C49" s="12"/>
      <c r="D49" s="13"/>
      <c r="E49" s="13"/>
      <c r="F49" s="13"/>
      <c r="G49" s="13"/>
      <c r="H49" s="16"/>
      <c r="I49" s="117"/>
    </row>
    <row r="50" spans="1:9">
      <c r="A50" s="151"/>
      <c r="B50" s="12"/>
      <c r="C50" s="12"/>
      <c r="D50" s="13"/>
      <c r="E50" s="13"/>
      <c r="F50" s="13"/>
      <c r="G50" s="13"/>
      <c r="H50" s="16"/>
      <c r="I50" s="117"/>
    </row>
    <row r="51" spans="1:9">
      <c r="A51" s="151"/>
      <c r="B51" s="12"/>
      <c r="C51" s="12"/>
      <c r="D51" s="13"/>
      <c r="E51" s="13"/>
      <c r="F51" s="13"/>
      <c r="G51" s="13"/>
      <c r="H51" s="16"/>
      <c r="I51" s="117"/>
    </row>
    <row r="52" spans="1:9">
      <c r="A52" s="151"/>
      <c r="B52" s="12"/>
      <c r="C52" s="12"/>
      <c r="D52" s="13"/>
      <c r="E52" s="13"/>
      <c r="F52" s="13"/>
      <c r="G52" s="13"/>
      <c r="H52" s="16"/>
      <c r="I52" s="117"/>
    </row>
    <row r="53" spans="1:9">
      <c r="A53" s="151"/>
      <c r="B53" s="12"/>
      <c r="C53" s="12"/>
      <c r="D53" s="13"/>
      <c r="E53" s="13"/>
      <c r="F53" s="13"/>
      <c r="G53" s="13"/>
      <c r="H53" s="16"/>
      <c r="I53" s="117"/>
    </row>
    <row r="54" spans="1:9">
      <c r="A54" s="151"/>
      <c r="B54" s="12"/>
      <c r="C54" s="12"/>
      <c r="D54" s="13"/>
      <c r="E54" s="13"/>
      <c r="F54" s="13"/>
      <c r="G54" s="13"/>
      <c r="H54" s="16"/>
      <c r="I54" s="117"/>
    </row>
    <row r="55" spans="1:9">
      <c r="A55" s="151"/>
      <c r="B55" s="12"/>
      <c r="C55" s="12"/>
      <c r="D55" s="13"/>
      <c r="E55" s="13"/>
      <c r="F55" s="13"/>
      <c r="G55" s="13"/>
      <c r="H55" s="16"/>
      <c r="I55" s="117"/>
    </row>
    <row r="56" spans="1:9">
      <c r="A56" s="151"/>
      <c r="B56" s="12"/>
      <c r="C56" s="12"/>
      <c r="D56" s="13"/>
      <c r="E56" s="13"/>
      <c r="F56" s="13"/>
      <c r="G56" s="13"/>
      <c r="H56" s="16"/>
      <c r="I56" s="117"/>
    </row>
    <row r="57" spans="1:9">
      <c r="A57" s="151"/>
      <c r="B57" s="12"/>
      <c r="C57" s="12"/>
      <c r="D57" s="13"/>
      <c r="E57" s="13"/>
      <c r="F57" s="13"/>
      <c r="G57" s="13"/>
      <c r="H57" s="16"/>
      <c r="I57" s="117"/>
    </row>
    <row r="58" spans="1:9">
      <c r="A58" s="151"/>
      <c r="B58" s="12"/>
      <c r="C58" s="12"/>
      <c r="D58" s="13"/>
      <c r="E58" s="13"/>
      <c r="F58" s="13"/>
      <c r="G58" s="13"/>
      <c r="H58" s="16"/>
      <c r="I58" s="117"/>
    </row>
    <row r="59" spans="1:9">
      <c r="A59" s="151"/>
      <c r="B59" s="12"/>
      <c r="C59" s="12"/>
      <c r="D59" s="13"/>
      <c r="E59" s="13"/>
      <c r="F59" s="13"/>
      <c r="G59" s="13"/>
      <c r="H59" s="16"/>
      <c r="I59" s="117"/>
    </row>
    <row r="60" spans="1:9">
      <c r="A60" s="151"/>
      <c r="B60" s="12"/>
      <c r="C60" s="12"/>
      <c r="D60" s="13"/>
      <c r="E60" s="13"/>
      <c r="F60" s="13"/>
      <c r="G60" s="13"/>
      <c r="H60" s="16"/>
      <c r="I60" s="117"/>
    </row>
    <row r="61" spans="1:9">
      <c r="A61" s="151"/>
      <c r="B61" s="12"/>
      <c r="C61" s="12"/>
      <c r="D61" s="13"/>
      <c r="E61" s="13"/>
      <c r="F61" s="13"/>
      <c r="G61" s="13"/>
      <c r="H61" s="16"/>
      <c r="I61" s="117"/>
    </row>
    <row r="62" spans="1:9">
      <c r="A62" s="151"/>
      <c r="B62" s="12"/>
      <c r="C62" s="12"/>
      <c r="D62" s="13"/>
      <c r="E62" s="13"/>
      <c r="F62" s="13"/>
      <c r="G62" s="13"/>
      <c r="H62" s="16"/>
      <c r="I62" s="117"/>
    </row>
    <row r="63" spans="1:9">
      <c r="A63" s="151"/>
      <c r="B63" s="12"/>
      <c r="C63" s="12"/>
      <c r="D63" s="13"/>
      <c r="E63" s="13"/>
      <c r="F63" s="13"/>
      <c r="G63" s="13"/>
      <c r="H63" s="16"/>
      <c r="I63" s="117"/>
    </row>
    <row r="64" spans="1:9">
      <c r="A64" s="152"/>
      <c r="B64" s="119"/>
      <c r="C64" s="119"/>
      <c r="D64" s="120"/>
      <c r="E64" s="120"/>
      <c r="F64" s="120"/>
      <c r="G64" s="120"/>
      <c r="H64" s="123"/>
      <c r="I64" s="128"/>
    </row>
  </sheetData>
  <mergeCells count="2">
    <mergeCell ref="A1:I1"/>
    <mergeCell ref="A2:I2"/>
  </mergeCells>
  <dataValidations count="1">
    <dataValidation type="date" operator="greaterThan" allowBlank="1" showErrorMessage="1" sqref="A5:A64 H5:H64" xr:uid="{00000000-0002-0000-0C00-000000000000}">
      <formula1>36526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D311-2813-4AB8-9B3A-81957992FBC5}">
  <sheetPr>
    <tabColor rgb="FF7F7F7F"/>
    <pageSetUpPr fitToPage="1"/>
  </sheetPr>
  <dimension ref="A1:H320"/>
  <sheetViews>
    <sheetView showGridLines="0" workbookViewId="0">
      <pane ySplit="4" topLeftCell="A5" activePane="bottomLeft" state="frozen"/>
      <selection activeCell="E8" sqref="E8:H8"/>
      <selection pane="bottomLeft" activeCell="E8" sqref="E8:H8"/>
    </sheetView>
  </sheetViews>
  <sheetFormatPr defaultRowHeight="11.4"/>
  <cols>
    <col min="1" max="1" width="16.77734375" style="49" customWidth="1"/>
    <col min="2" max="2" width="20.77734375" style="49" customWidth="1"/>
    <col min="3" max="3" width="5.77734375" style="164" customWidth="1"/>
    <col min="4" max="4" width="34.77734375" style="49" customWidth="1"/>
    <col min="5" max="5" width="9.77734375" style="49" customWidth="1"/>
    <col min="6" max="6" width="11.77734375" style="49" customWidth="1"/>
    <col min="7" max="7" width="58.77734375" style="49" customWidth="1"/>
    <col min="8" max="8" width="70.77734375" style="49" customWidth="1"/>
    <col min="9" max="16384" width="8.88671875" style="49"/>
  </cols>
  <sheetData>
    <row r="1" spans="1:8" ht="24" customHeight="1">
      <c r="A1" s="292" t="s">
        <v>2182</v>
      </c>
      <c r="B1" s="292"/>
      <c r="C1" s="292"/>
      <c r="D1" s="292"/>
      <c r="E1" s="292"/>
      <c r="F1" s="292"/>
      <c r="G1" s="292"/>
      <c r="H1" s="292"/>
    </row>
    <row r="2" spans="1:8" ht="40.049999999999997" customHeight="1">
      <c r="A2" s="243" t="s">
        <v>2183</v>
      </c>
      <c r="B2" s="243"/>
      <c r="C2" s="243"/>
      <c r="D2" s="243"/>
      <c r="E2" s="243"/>
      <c r="F2" s="243"/>
      <c r="G2" s="243"/>
      <c r="H2" s="243"/>
    </row>
    <row r="4" spans="1:8" ht="12">
      <c r="A4" s="165" t="s">
        <v>2184</v>
      </c>
      <c r="B4" s="165" t="s">
        <v>2185</v>
      </c>
      <c r="C4" s="166" t="s">
        <v>661</v>
      </c>
      <c r="D4" s="165" t="s">
        <v>2186</v>
      </c>
      <c r="E4" s="165" t="s">
        <v>354</v>
      </c>
      <c r="F4" s="165" t="s">
        <v>2187</v>
      </c>
      <c r="G4" s="165" t="s">
        <v>2188</v>
      </c>
      <c r="H4" s="165" t="s">
        <v>2189</v>
      </c>
    </row>
    <row r="5" spans="1:8">
      <c r="A5" s="167" t="s">
        <v>188</v>
      </c>
      <c r="B5" s="167" t="s">
        <v>2190</v>
      </c>
      <c r="C5" s="168">
        <v>1</v>
      </c>
      <c r="D5" s="167" t="s">
        <v>20</v>
      </c>
      <c r="E5" s="169" t="s">
        <v>2191</v>
      </c>
      <c r="F5" s="169" t="s">
        <v>2192</v>
      </c>
      <c r="G5" s="167"/>
      <c r="H5" s="167" t="s">
        <v>2193</v>
      </c>
    </row>
    <row r="6" spans="1:8" ht="22.8">
      <c r="A6" s="167" t="s">
        <v>188</v>
      </c>
      <c r="B6" s="167" t="s">
        <v>2190</v>
      </c>
      <c r="C6" s="168">
        <v>2</v>
      </c>
      <c r="D6" s="167" t="s">
        <v>21</v>
      </c>
      <c r="E6" s="169" t="s">
        <v>2191</v>
      </c>
      <c r="F6" s="169" t="s">
        <v>2192</v>
      </c>
      <c r="G6" s="167"/>
      <c r="H6" s="167" t="s">
        <v>2194</v>
      </c>
    </row>
    <row r="7" spans="1:8" ht="34.200000000000003">
      <c r="A7" s="167" t="s">
        <v>188</v>
      </c>
      <c r="B7" s="167" t="s">
        <v>2190</v>
      </c>
      <c r="C7" s="168">
        <v>3</v>
      </c>
      <c r="D7" s="167" t="s">
        <v>22</v>
      </c>
      <c r="E7" s="169" t="s">
        <v>2191</v>
      </c>
      <c r="F7" s="169" t="s">
        <v>2192</v>
      </c>
      <c r="G7" s="167"/>
      <c r="H7" s="167" t="s">
        <v>2195</v>
      </c>
    </row>
    <row r="8" spans="1:8" ht="34.200000000000003">
      <c r="A8" s="167" t="s">
        <v>188</v>
      </c>
      <c r="B8" s="167" t="s">
        <v>2190</v>
      </c>
      <c r="C8" s="168">
        <v>4</v>
      </c>
      <c r="D8" s="167" t="s">
        <v>23</v>
      </c>
      <c r="E8" s="169" t="s">
        <v>2191</v>
      </c>
      <c r="F8" s="169" t="s">
        <v>2192</v>
      </c>
      <c r="G8" s="167"/>
      <c r="H8" s="167" t="s">
        <v>2196</v>
      </c>
    </row>
    <row r="9" spans="1:8" ht="34.200000000000003">
      <c r="A9" s="167" t="s">
        <v>188</v>
      </c>
      <c r="B9" s="167" t="s">
        <v>2190</v>
      </c>
      <c r="C9" s="168">
        <v>5</v>
      </c>
      <c r="D9" s="167" t="s">
        <v>24</v>
      </c>
      <c r="E9" s="169" t="s">
        <v>2191</v>
      </c>
      <c r="F9" s="169" t="s">
        <v>2192</v>
      </c>
      <c r="G9" s="167"/>
      <c r="H9" s="167" t="s">
        <v>2197</v>
      </c>
    </row>
    <row r="10" spans="1:8" ht="34.200000000000003">
      <c r="A10" s="167" t="s">
        <v>188</v>
      </c>
      <c r="B10" s="167" t="s">
        <v>2190</v>
      </c>
      <c r="C10" s="168">
        <v>6</v>
      </c>
      <c r="D10" s="167" t="s">
        <v>25</v>
      </c>
      <c r="E10" s="169" t="s">
        <v>2191</v>
      </c>
      <c r="F10" s="169" t="s">
        <v>2192</v>
      </c>
      <c r="G10" s="167" t="s">
        <v>2198</v>
      </c>
      <c r="H10" s="167" t="s">
        <v>2199</v>
      </c>
    </row>
    <row r="11" spans="1:8" ht="22.8">
      <c r="A11" s="167" t="s">
        <v>188</v>
      </c>
      <c r="B11" s="167" t="s">
        <v>2190</v>
      </c>
      <c r="C11" s="168">
        <v>7</v>
      </c>
      <c r="D11" s="167" t="s">
        <v>26</v>
      </c>
      <c r="E11" s="169" t="s">
        <v>2191</v>
      </c>
      <c r="F11" s="169" t="s">
        <v>2192</v>
      </c>
      <c r="G11" s="167"/>
      <c r="H11" s="167" t="s">
        <v>2200</v>
      </c>
    </row>
    <row r="12" spans="1:8">
      <c r="A12" s="167" t="s">
        <v>188</v>
      </c>
      <c r="B12" s="167" t="s">
        <v>2190</v>
      </c>
      <c r="C12" s="168">
        <v>8</v>
      </c>
      <c r="D12" s="167" t="s">
        <v>27</v>
      </c>
      <c r="E12" s="169" t="s">
        <v>2191</v>
      </c>
      <c r="F12" s="169" t="s">
        <v>2192</v>
      </c>
      <c r="G12" s="167" t="s">
        <v>2201</v>
      </c>
      <c r="H12" s="167" t="s">
        <v>2202</v>
      </c>
    </row>
    <row r="13" spans="1:8" ht="22.8">
      <c r="A13" s="167" t="s">
        <v>188</v>
      </c>
      <c r="B13" s="167" t="s">
        <v>2190</v>
      </c>
      <c r="C13" s="168">
        <v>9</v>
      </c>
      <c r="D13" s="167" t="s">
        <v>28</v>
      </c>
      <c r="E13" s="169" t="s">
        <v>2191</v>
      </c>
      <c r="F13" s="169" t="s">
        <v>2192</v>
      </c>
      <c r="G13" s="167"/>
      <c r="H13" s="167" t="s">
        <v>2203</v>
      </c>
    </row>
    <row r="14" spans="1:8">
      <c r="A14" s="167" t="s">
        <v>188</v>
      </c>
      <c r="B14" s="167" t="s">
        <v>2190</v>
      </c>
      <c r="C14" s="168">
        <v>10</v>
      </c>
      <c r="D14" s="167" t="s">
        <v>29</v>
      </c>
      <c r="E14" s="169" t="s">
        <v>2191</v>
      </c>
      <c r="F14" s="169" t="s">
        <v>2192</v>
      </c>
      <c r="G14" s="167"/>
      <c r="H14" s="167" t="s">
        <v>2204</v>
      </c>
    </row>
    <row r="15" spans="1:8" ht="22.8">
      <c r="A15" s="167" t="s">
        <v>188</v>
      </c>
      <c r="B15" s="167" t="s">
        <v>2190</v>
      </c>
      <c r="C15" s="168">
        <v>11</v>
      </c>
      <c r="D15" s="167" t="s">
        <v>2146</v>
      </c>
      <c r="E15" s="169" t="s">
        <v>2191</v>
      </c>
      <c r="F15" s="169" t="s">
        <v>2192</v>
      </c>
      <c r="G15" s="167" t="s">
        <v>2205</v>
      </c>
      <c r="H15" s="167" t="s">
        <v>2206</v>
      </c>
    </row>
    <row r="16" spans="1:8" ht="22.8">
      <c r="A16" s="167" t="s">
        <v>188</v>
      </c>
      <c r="B16" s="167" t="s">
        <v>2190</v>
      </c>
      <c r="C16" s="168">
        <v>12</v>
      </c>
      <c r="D16" s="167" t="s">
        <v>30</v>
      </c>
      <c r="E16" s="169" t="s">
        <v>2191</v>
      </c>
      <c r="F16" s="169" t="s">
        <v>2192</v>
      </c>
      <c r="G16" s="167"/>
      <c r="H16" s="167" t="s">
        <v>2207</v>
      </c>
    </row>
    <row r="17" spans="1:8" ht="22.8">
      <c r="A17" s="167" t="s">
        <v>188</v>
      </c>
      <c r="B17" s="167" t="s">
        <v>2190</v>
      </c>
      <c r="C17" s="168">
        <v>13</v>
      </c>
      <c r="D17" s="167" t="s">
        <v>31</v>
      </c>
      <c r="E17" s="169" t="s">
        <v>2191</v>
      </c>
      <c r="F17" s="169" t="s">
        <v>2192</v>
      </c>
      <c r="G17" s="167"/>
      <c r="H17" s="167" t="s">
        <v>2208</v>
      </c>
    </row>
    <row r="18" spans="1:8" ht="34.200000000000003">
      <c r="A18" s="167" t="s">
        <v>188</v>
      </c>
      <c r="B18" s="167" t="s">
        <v>2190</v>
      </c>
      <c r="C18" s="168">
        <v>14</v>
      </c>
      <c r="D18" s="167" t="s">
        <v>2147</v>
      </c>
      <c r="E18" s="169" t="s">
        <v>2191</v>
      </c>
      <c r="F18" s="169" t="s">
        <v>2209</v>
      </c>
      <c r="G18" s="167" t="s">
        <v>2210</v>
      </c>
      <c r="H18" s="167" t="s">
        <v>2211</v>
      </c>
    </row>
    <row r="19" spans="1:8" ht="22.8">
      <c r="A19" s="167" t="s">
        <v>188</v>
      </c>
      <c r="B19" s="167" t="s">
        <v>2190</v>
      </c>
      <c r="C19" s="168">
        <v>15</v>
      </c>
      <c r="D19" s="167" t="s">
        <v>2148</v>
      </c>
      <c r="E19" s="169" t="s">
        <v>2191</v>
      </c>
      <c r="F19" s="169" t="s">
        <v>2209</v>
      </c>
      <c r="G19" s="167" t="s">
        <v>2210</v>
      </c>
      <c r="H19" s="167" t="s">
        <v>2212</v>
      </c>
    </row>
    <row r="20" spans="1:8">
      <c r="A20" s="167" t="s">
        <v>188</v>
      </c>
      <c r="B20" s="167" t="s">
        <v>2190</v>
      </c>
      <c r="C20" s="168">
        <v>16</v>
      </c>
      <c r="D20" s="167" t="s">
        <v>2149</v>
      </c>
      <c r="E20" s="169" t="s">
        <v>2213</v>
      </c>
      <c r="F20" s="169" t="s">
        <v>2209</v>
      </c>
      <c r="G20" s="167"/>
      <c r="H20" s="167" t="s">
        <v>2214</v>
      </c>
    </row>
    <row r="21" spans="1:8">
      <c r="A21" s="167" t="s">
        <v>188</v>
      </c>
      <c r="B21" s="167" t="s">
        <v>2190</v>
      </c>
      <c r="C21" s="168">
        <v>17</v>
      </c>
      <c r="D21" s="167" t="s">
        <v>2150</v>
      </c>
      <c r="E21" s="169" t="s">
        <v>2213</v>
      </c>
      <c r="F21" s="169" t="s">
        <v>2192</v>
      </c>
      <c r="G21" s="167"/>
      <c r="H21" s="167" t="s">
        <v>2215</v>
      </c>
    </row>
    <row r="22" spans="1:8">
      <c r="A22" s="167" t="s">
        <v>188</v>
      </c>
      <c r="B22" s="167" t="s">
        <v>2190</v>
      </c>
      <c r="C22" s="168">
        <v>18</v>
      </c>
      <c r="D22" s="167" t="s">
        <v>34</v>
      </c>
      <c r="E22" s="169" t="s">
        <v>2191</v>
      </c>
      <c r="F22" s="169" t="s">
        <v>2192</v>
      </c>
      <c r="G22" s="167"/>
      <c r="H22" s="167" t="s">
        <v>2216</v>
      </c>
    </row>
    <row r="23" spans="1:8">
      <c r="A23" s="167" t="s">
        <v>188</v>
      </c>
      <c r="B23" s="167" t="s">
        <v>2190</v>
      </c>
      <c r="C23" s="168">
        <v>19</v>
      </c>
      <c r="D23" s="167" t="s">
        <v>35</v>
      </c>
      <c r="E23" s="169" t="s">
        <v>2191</v>
      </c>
      <c r="F23" s="169" t="s">
        <v>2192</v>
      </c>
      <c r="G23" s="167"/>
      <c r="H23" s="167" t="s">
        <v>2217</v>
      </c>
    </row>
    <row r="24" spans="1:8" ht="22.8">
      <c r="A24" s="167" t="s">
        <v>188</v>
      </c>
      <c r="B24" s="167" t="s">
        <v>2190</v>
      </c>
      <c r="C24" s="168">
        <v>20</v>
      </c>
      <c r="D24" s="167" t="s">
        <v>2151</v>
      </c>
      <c r="E24" s="169" t="s">
        <v>2191</v>
      </c>
      <c r="F24" s="169" t="s">
        <v>2209</v>
      </c>
      <c r="G24" s="167" t="s">
        <v>2210</v>
      </c>
      <c r="H24" s="167" t="s">
        <v>2218</v>
      </c>
    </row>
    <row r="25" spans="1:8" ht="22.8">
      <c r="A25" s="167" t="s">
        <v>188</v>
      </c>
      <c r="B25" s="167" t="s">
        <v>2190</v>
      </c>
      <c r="C25" s="168">
        <v>21</v>
      </c>
      <c r="D25" s="167" t="s">
        <v>2152</v>
      </c>
      <c r="E25" s="169" t="s">
        <v>2191</v>
      </c>
      <c r="F25" s="169" t="s">
        <v>2209</v>
      </c>
      <c r="G25" s="167" t="s">
        <v>2210</v>
      </c>
      <c r="H25" s="167" t="s">
        <v>2219</v>
      </c>
    </row>
    <row r="26" spans="1:8">
      <c r="A26" s="167" t="s">
        <v>188</v>
      </c>
      <c r="B26" s="167" t="s">
        <v>2190</v>
      </c>
      <c r="C26" s="168">
        <v>22</v>
      </c>
      <c r="D26" s="167" t="s">
        <v>2153</v>
      </c>
      <c r="E26" s="169" t="s">
        <v>2213</v>
      </c>
      <c r="F26" s="169" t="s">
        <v>2209</v>
      </c>
      <c r="G26" s="167"/>
      <c r="H26" s="167" t="s">
        <v>2220</v>
      </c>
    </row>
    <row r="27" spans="1:8" ht="22.8">
      <c r="A27" s="167" t="s">
        <v>188</v>
      </c>
      <c r="B27" s="167" t="s">
        <v>2190</v>
      </c>
      <c r="C27" s="168">
        <v>23</v>
      </c>
      <c r="D27" s="167" t="s">
        <v>2154</v>
      </c>
      <c r="E27" s="169" t="s">
        <v>2213</v>
      </c>
      <c r="F27" s="169" t="s">
        <v>2192</v>
      </c>
      <c r="G27" s="167"/>
      <c r="H27" s="167" t="s">
        <v>2221</v>
      </c>
    </row>
    <row r="28" spans="1:8" ht="22.8">
      <c r="A28" s="167" t="s">
        <v>188</v>
      </c>
      <c r="B28" s="167" t="s">
        <v>2190</v>
      </c>
      <c r="C28" s="168">
        <v>24</v>
      </c>
      <c r="D28" s="167" t="s">
        <v>36</v>
      </c>
      <c r="E28" s="169" t="s">
        <v>2191</v>
      </c>
      <c r="F28" s="169" t="s">
        <v>2192</v>
      </c>
      <c r="G28" s="167"/>
      <c r="H28" s="167" t="s">
        <v>2222</v>
      </c>
    </row>
    <row r="29" spans="1:8">
      <c r="A29" s="167" t="s">
        <v>188</v>
      </c>
      <c r="B29" s="167" t="s">
        <v>2190</v>
      </c>
      <c r="C29" s="168">
        <v>25</v>
      </c>
      <c r="D29" s="167" t="s">
        <v>37</v>
      </c>
      <c r="E29" s="169" t="s">
        <v>2213</v>
      </c>
      <c r="F29" s="169" t="s">
        <v>2192</v>
      </c>
      <c r="G29" s="167"/>
      <c r="H29" s="167" t="s">
        <v>2223</v>
      </c>
    </row>
    <row r="30" spans="1:8" ht="22.8">
      <c r="A30" s="167" t="s">
        <v>188</v>
      </c>
      <c r="B30" s="167" t="s">
        <v>2190</v>
      </c>
      <c r="C30" s="168">
        <v>26</v>
      </c>
      <c r="D30" s="167" t="s">
        <v>38</v>
      </c>
      <c r="E30" s="169" t="s">
        <v>2191</v>
      </c>
      <c r="F30" s="169" t="s">
        <v>2192</v>
      </c>
      <c r="G30" s="167"/>
      <c r="H30" s="167" t="s">
        <v>2224</v>
      </c>
    </row>
    <row r="31" spans="1:8" ht="34.200000000000003">
      <c r="A31" s="167" t="s">
        <v>188</v>
      </c>
      <c r="B31" s="167" t="s">
        <v>2190</v>
      </c>
      <c r="C31" s="168">
        <v>27</v>
      </c>
      <c r="D31" s="167" t="s">
        <v>39</v>
      </c>
      <c r="E31" s="169" t="s">
        <v>2191</v>
      </c>
      <c r="F31" s="169" t="s">
        <v>2192</v>
      </c>
      <c r="G31" s="167" t="s">
        <v>2225</v>
      </c>
      <c r="H31" s="167" t="s">
        <v>2226</v>
      </c>
    </row>
    <row r="32" spans="1:8" ht="22.8">
      <c r="A32" s="167" t="s">
        <v>188</v>
      </c>
      <c r="B32" s="167" t="s">
        <v>2190</v>
      </c>
      <c r="C32" s="168">
        <v>28</v>
      </c>
      <c r="D32" s="167" t="s">
        <v>40</v>
      </c>
      <c r="E32" s="169" t="s">
        <v>2191</v>
      </c>
      <c r="F32" s="169" t="s">
        <v>417</v>
      </c>
      <c r="G32" s="167" t="s">
        <v>417</v>
      </c>
      <c r="H32" s="167" t="s">
        <v>2227</v>
      </c>
    </row>
    <row r="33" spans="1:8" ht="22.8">
      <c r="A33" s="167" t="s">
        <v>188</v>
      </c>
      <c r="B33" s="167" t="s">
        <v>2190</v>
      </c>
      <c r="C33" s="168">
        <v>29</v>
      </c>
      <c r="D33" s="167" t="s">
        <v>41</v>
      </c>
      <c r="E33" s="169" t="s">
        <v>2191</v>
      </c>
      <c r="F33" s="169" t="s">
        <v>2192</v>
      </c>
      <c r="G33" s="167"/>
      <c r="H33" s="167" t="s">
        <v>2228</v>
      </c>
    </row>
    <row r="34" spans="1:8">
      <c r="A34" s="167" t="s">
        <v>188</v>
      </c>
      <c r="B34" s="167" t="s">
        <v>2190</v>
      </c>
      <c r="C34" s="168">
        <v>30</v>
      </c>
      <c r="D34" s="167" t="s">
        <v>42</v>
      </c>
      <c r="E34" s="169" t="s">
        <v>2191</v>
      </c>
      <c r="F34" s="169" t="s">
        <v>2192</v>
      </c>
      <c r="G34" s="167"/>
      <c r="H34" s="167" t="s">
        <v>2229</v>
      </c>
    </row>
    <row r="35" spans="1:8">
      <c r="A35" s="167" t="s">
        <v>188</v>
      </c>
      <c r="B35" s="167" t="s">
        <v>2190</v>
      </c>
      <c r="C35" s="168">
        <v>31</v>
      </c>
      <c r="D35" s="167" t="s">
        <v>43</v>
      </c>
      <c r="E35" s="169" t="s">
        <v>2191</v>
      </c>
      <c r="F35" s="169" t="s">
        <v>2192</v>
      </c>
      <c r="G35" s="167"/>
      <c r="H35" s="167" t="s">
        <v>2230</v>
      </c>
    </row>
    <row r="36" spans="1:8">
      <c r="A36" s="167" t="s">
        <v>188</v>
      </c>
      <c r="B36" s="167" t="s">
        <v>2190</v>
      </c>
      <c r="C36" s="168">
        <v>32</v>
      </c>
      <c r="D36" s="167" t="s">
        <v>2155</v>
      </c>
      <c r="E36" s="169" t="s">
        <v>2191</v>
      </c>
      <c r="F36" s="169" t="s">
        <v>417</v>
      </c>
      <c r="G36" s="167" t="s">
        <v>417</v>
      </c>
      <c r="H36" s="167" t="s">
        <v>2231</v>
      </c>
    </row>
    <row r="37" spans="1:8">
      <c r="A37" s="167" t="s">
        <v>188</v>
      </c>
      <c r="B37" s="167" t="s">
        <v>2190</v>
      </c>
      <c r="C37" s="168">
        <v>33</v>
      </c>
      <c r="D37" s="167" t="s">
        <v>2156</v>
      </c>
      <c r="E37" s="169" t="s">
        <v>2191</v>
      </c>
      <c r="F37" s="169" t="s">
        <v>2192</v>
      </c>
      <c r="G37" s="167"/>
      <c r="H37" s="167" t="s">
        <v>2232</v>
      </c>
    </row>
    <row r="38" spans="1:8" ht="34.200000000000003">
      <c r="A38" s="167" t="s">
        <v>188</v>
      </c>
      <c r="B38" s="167" t="s">
        <v>2190</v>
      </c>
      <c r="C38" s="168">
        <v>34</v>
      </c>
      <c r="D38" s="167" t="s">
        <v>44</v>
      </c>
      <c r="E38" s="169" t="s">
        <v>2191</v>
      </c>
      <c r="F38" s="169" t="s">
        <v>2192</v>
      </c>
      <c r="G38" s="167"/>
      <c r="H38" s="167" t="s">
        <v>2233</v>
      </c>
    </row>
    <row r="39" spans="1:8" ht="22.8">
      <c r="A39" s="167" t="s">
        <v>188</v>
      </c>
      <c r="B39" s="167" t="s">
        <v>2190</v>
      </c>
      <c r="C39" s="168">
        <v>35</v>
      </c>
      <c r="D39" s="167" t="s">
        <v>45</v>
      </c>
      <c r="E39" s="169" t="s">
        <v>2191</v>
      </c>
      <c r="F39" s="169" t="s">
        <v>2192</v>
      </c>
      <c r="G39" s="167" t="s">
        <v>2234</v>
      </c>
      <c r="H39" s="167" t="s">
        <v>2235</v>
      </c>
    </row>
    <row r="40" spans="1:8">
      <c r="A40" s="167" t="s">
        <v>188</v>
      </c>
      <c r="B40" s="167" t="s">
        <v>2190</v>
      </c>
      <c r="C40" s="168">
        <v>36</v>
      </c>
      <c r="D40" s="167" t="s">
        <v>2157</v>
      </c>
      <c r="E40" s="169" t="s">
        <v>2213</v>
      </c>
      <c r="F40" s="169" t="s">
        <v>2192</v>
      </c>
      <c r="G40" s="167"/>
      <c r="H40" s="167" t="s">
        <v>2236</v>
      </c>
    </row>
    <row r="41" spans="1:8">
      <c r="A41" s="167" t="s">
        <v>188</v>
      </c>
      <c r="B41" s="167" t="s">
        <v>2190</v>
      </c>
      <c r="C41" s="168">
        <v>37</v>
      </c>
      <c r="D41" s="167" t="s">
        <v>46</v>
      </c>
      <c r="E41" s="169" t="s">
        <v>2213</v>
      </c>
      <c r="F41" s="169" t="s">
        <v>2192</v>
      </c>
      <c r="G41" s="167"/>
      <c r="H41" s="167" t="s">
        <v>2237</v>
      </c>
    </row>
    <row r="42" spans="1:8">
      <c r="A42" s="167" t="s">
        <v>188</v>
      </c>
      <c r="B42" s="167" t="s">
        <v>2190</v>
      </c>
      <c r="C42" s="168">
        <v>38</v>
      </c>
      <c r="D42" s="167" t="s">
        <v>47</v>
      </c>
      <c r="E42" s="169" t="s">
        <v>2213</v>
      </c>
      <c r="F42" s="169" t="s">
        <v>417</v>
      </c>
      <c r="G42" s="167"/>
      <c r="H42" s="167" t="s">
        <v>2237</v>
      </c>
    </row>
    <row r="43" spans="1:8" ht="22.8">
      <c r="A43" s="167" t="s">
        <v>188</v>
      </c>
      <c r="B43" s="167" t="s">
        <v>2190</v>
      </c>
      <c r="C43" s="168">
        <v>39</v>
      </c>
      <c r="D43" s="167" t="s">
        <v>48</v>
      </c>
      <c r="E43" s="169" t="s">
        <v>2191</v>
      </c>
      <c r="F43" s="169" t="s">
        <v>417</v>
      </c>
      <c r="G43" s="167" t="s">
        <v>417</v>
      </c>
      <c r="H43" s="167" t="s">
        <v>2238</v>
      </c>
    </row>
    <row r="44" spans="1:8" ht="22.8">
      <c r="A44" s="167" t="s">
        <v>188</v>
      </c>
      <c r="B44" s="167" t="s">
        <v>2190</v>
      </c>
      <c r="C44" s="168">
        <v>40</v>
      </c>
      <c r="D44" s="167" t="s">
        <v>49</v>
      </c>
      <c r="E44" s="169" t="s">
        <v>2191</v>
      </c>
      <c r="F44" s="169" t="s">
        <v>2192</v>
      </c>
      <c r="G44" s="167" t="s">
        <v>2239</v>
      </c>
      <c r="H44" s="167" t="s">
        <v>2240</v>
      </c>
    </row>
    <row r="45" spans="1:8">
      <c r="A45" s="167" t="s">
        <v>188</v>
      </c>
      <c r="B45" s="167" t="s">
        <v>2190</v>
      </c>
      <c r="C45" s="168">
        <v>41</v>
      </c>
      <c r="D45" s="167" t="s">
        <v>50</v>
      </c>
      <c r="E45" s="169" t="s">
        <v>2191</v>
      </c>
      <c r="F45" s="169" t="s">
        <v>417</v>
      </c>
      <c r="G45" s="167" t="s">
        <v>417</v>
      </c>
      <c r="H45" s="167" t="s">
        <v>2241</v>
      </c>
    </row>
    <row r="46" spans="1:8" ht="22.8">
      <c r="A46" s="167" t="s">
        <v>188</v>
      </c>
      <c r="B46" s="167" t="s">
        <v>2190</v>
      </c>
      <c r="C46" s="168">
        <v>42</v>
      </c>
      <c r="D46" s="167" t="s">
        <v>2158</v>
      </c>
      <c r="E46" s="169" t="s">
        <v>2191</v>
      </c>
      <c r="F46" s="169" t="s">
        <v>2209</v>
      </c>
      <c r="G46" s="167" t="s">
        <v>2210</v>
      </c>
      <c r="H46" s="167" t="s">
        <v>2242</v>
      </c>
    </row>
    <row r="47" spans="1:8" ht="22.8">
      <c r="A47" s="167" t="s">
        <v>188</v>
      </c>
      <c r="B47" s="167" t="s">
        <v>2190</v>
      </c>
      <c r="C47" s="168">
        <v>43</v>
      </c>
      <c r="D47" s="167" t="s">
        <v>2159</v>
      </c>
      <c r="E47" s="169" t="s">
        <v>2191</v>
      </c>
      <c r="F47" s="169" t="s">
        <v>2209</v>
      </c>
      <c r="G47" s="167" t="s">
        <v>2210</v>
      </c>
      <c r="H47" s="167" t="s">
        <v>2243</v>
      </c>
    </row>
    <row r="48" spans="1:8">
      <c r="A48" s="167" t="s">
        <v>188</v>
      </c>
      <c r="B48" s="167" t="s">
        <v>2190</v>
      </c>
      <c r="C48" s="168">
        <v>44</v>
      </c>
      <c r="D48" s="167" t="s">
        <v>2160</v>
      </c>
      <c r="E48" s="169" t="s">
        <v>2213</v>
      </c>
      <c r="F48" s="169" t="s">
        <v>2209</v>
      </c>
      <c r="G48" s="167"/>
      <c r="H48" s="167" t="s">
        <v>2220</v>
      </c>
    </row>
    <row r="49" spans="1:8">
      <c r="A49" s="167" t="s">
        <v>188</v>
      </c>
      <c r="B49" s="167" t="s">
        <v>2190</v>
      </c>
      <c r="C49" s="168">
        <v>45</v>
      </c>
      <c r="D49" s="167" t="s">
        <v>2161</v>
      </c>
      <c r="E49" s="169" t="s">
        <v>2213</v>
      </c>
      <c r="F49" s="169" t="s">
        <v>2192</v>
      </c>
      <c r="G49" s="167"/>
      <c r="H49" s="167" t="s">
        <v>2220</v>
      </c>
    </row>
    <row r="50" spans="1:8" ht="34.200000000000003">
      <c r="A50" s="167" t="s">
        <v>188</v>
      </c>
      <c r="B50" s="167" t="s">
        <v>2190</v>
      </c>
      <c r="C50" s="168">
        <v>46</v>
      </c>
      <c r="D50" s="167" t="s">
        <v>51</v>
      </c>
      <c r="E50" s="169" t="s">
        <v>2191</v>
      </c>
      <c r="F50" s="169" t="s">
        <v>2192</v>
      </c>
      <c r="G50" s="167" t="s">
        <v>2244</v>
      </c>
      <c r="H50" s="167" t="s">
        <v>2245</v>
      </c>
    </row>
    <row r="51" spans="1:8" ht="22.8">
      <c r="A51" s="167" t="s">
        <v>188</v>
      </c>
      <c r="B51" s="167" t="s">
        <v>2190</v>
      </c>
      <c r="C51" s="168">
        <v>47</v>
      </c>
      <c r="D51" s="167" t="s">
        <v>52</v>
      </c>
      <c r="E51" s="169" t="s">
        <v>2191</v>
      </c>
      <c r="F51" s="169" t="s">
        <v>2192</v>
      </c>
      <c r="G51" s="167"/>
      <c r="H51" s="167" t="s">
        <v>2246</v>
      </c>
    </row>
    <row r="52" spans="1:8" ht="22.8">
      <c r="A52" s="167" t="s">
        <v>188</v>
      </c>
      <c r="B52" s="167" t="s">
        <v>2190</v>
      </c>
      <c r="C52" s="168">
        <v>48</v>
      </c>
      <c r="D52" s="167" t="s">
        <v>53</v>
      </c>
      <c r="E52" s="169" t="s">
        <v>2191</v>
      </c>
      <c r="F52" s="169" t="s">
        <v>2209</v>
      </c>
      <c r="G52" s="167" t="s">
        <v>2210</v>
      </c>
      <c r="H52" s="167" t="s">
        <v>2247</v>
      </c>
    </row>
    <row r="53" spans="1:8">
      <c r="A53" s="167" t="s">
        <v>188</v>
      </c>
      <c r="B53" s="167" t="s">
        <v>2190</v>
      </c>
      <c r="C53" s="168">
        <v>49</v>
      </c>
      <c r="D53" s="167" t="s">
        <v>54</v>
      </c>
      <c r="E53" s="169" t="s">
        <v>2191</v>
      </c>
      <c r="F53" s="169" t="s">
        <v>417</v>
      </c>
      <c r="G53" s="167" t="s">
        <v>417</v>
      </c>
      <c r="H53" s="167" t="s">
        <v>2248</v>
      </c>
    </row>
    <row r="54" spans="1:8" ht="34.200000000000003">
      <c r="A54" s="167" t="s">
        <v>188</v>
      </c>
      <c r="B54" s="167" t="s">
        <v>2190</v>
      </c>
      <c r="C54" s="168">
        <v>50</v>
      </c>
      <c r="D54" s="167" t="s">
        <v>55</v>
      </c>
      <c r="E54" s="169" t="s">
        <v>2191</v>
      </c>
      <c r="F54" s="169" t="s">
        <v>2192</v>
      </c>
      <c r="G54" s="167"/>
      <c r="H54" s="167" t="s">
        <v>2249</v>
      </c>
    </row>
    <row r="55" spans="1:8" ht="22.8">
      <c r="A55" s="167" t="s">
        <v>188</v>
      </c>
      <c r="B55" s="167" t="s">
        <v>2190</v>
      </c>
      <c r="C55" s="168">
        <v>51</v>
      </c>
      <c r="D55" s="167" t="s">
        <v>56</v>
      </c>
      <c r="E55" s="169" t="s">
        <v>2213</v>
      </c>
      <c r="F55" s="169" t="s">
        <v>417</v>
      </c>
      <c r="G55" s="167"/>
      <c r="H55" s="167" t="s">
        <v>2250</v>
      </c>
    </row>
    <row r="56" spans="1:8">
      <c r="A56" s="167" t="s">
        <v>188</v>
      </c>
      <c r="B56" s="167" t="s">
        <v>2190</v>
      </c>
      <c r="C56" s="168">
        <v>52</v>
      </c>
      <c r="D56" s="167" t="s">
        <v>57</v>
      </c>
      <c r="E56" s="169" t="s">
        <v>2213</v>
      </c>
      <c r="F56" s="169" t="s">
        <v>2192</v>
      </c>
      <c r="G56" s="167"/>
      <c r="H56" s="167" t="s">
        <v>2251</v>
      </c>
    </row>
    <row r="57" spans="1:8" ht="22.8">
      <c r="A57" s="167" t="s">
        <v>188</v>
      </c>
      <c r="B57" s="167" t="s">
        <v>2190</v>
      </c>
      <c r="C57" s="168">
        <v>53</v>
      </c>
      <c r="D57" s="167" t="s">
        <v>58</v>
      </c>
      <c r="E57" s="169" t="s">
        <v>2191</v>
      </c>
      <c r="F57" s="169" t="s">
        <v>2192</v>
      </c>
      <c r="G57" s="167"/>
      <c r="H57" s="167" t="s">
        <v>2252</v>
      </c>
    </row>
    <row r="58" spans="1:8" ht="22.8">
      <c r="A58" s="167" t="s">
        <v>188</v>
      </c>
      <c r="B58" s="167" t="s">
        <v>2190</v>
      </c>
      <c r="C58" s="168">
        <v>54</v>
      </c>
      <c r="D58" s="167" t="s">
        <v>59</v>
      </c>
      <c r="E58" s="169" t="s">
        <v>2191</v>
      </c>
      <c r="F58" s="169" t="s">
        <v>2192</v>
      </c>
      <c r="G58" s="167"/>
      <c r="H58" s="167" t="s">
        <v>2253</v>
      </c>
    </row>
    <row r="59" spans="1:8">
      <c r="A59" s="167" t="s">
        <v>188</v>
      </c>
      <c r="B59" s="167" t="s">
        <v>2190</v>
      </c>
      <c r="C59" s="168">
        <v>55</v>
      </c>
      <c r="D59" s="167" t="s">
        <v>2162</v>
      </c>
      <c r="E59" s="169" t="s">
        <v>2213</v>
      </c>
      <c r="F59" s="169" t="s">
        <v>2209</v>
      </c>
      <c r="G59" s="167"/>
      <c r="H59" s="167" t="s">
        <v>2254</v>
      </c>
    </row>
    <row r="60" spans="1:8" ht="45.6">
      <c r="A60" s="167" t="s">
        <v>188</v>
      </c>
      <c r="B60" s="167" t="s">
        <v>2190</v>
      </c>
      <c r="C60" s="168">
        <v>56</v>
      </c>
      <c r="D60" s="167" t="s">
        <v>584</v>
      </c>
      <c r="E60" s="169" t="s">
        <v>2191</v>
      </c>
      <c r="F60" s="169" t="s">
        <v>2192</v>
      </c>
      <c r="G60" s="167"/>
      <c r="H60" s="167" t="s">
        <v>2255</v>
      </c>
    </row>
    <row r="61" spans="1:8" ht="45.6">
      <c r="A61" s="167" t="s">
        <v>188</v>
      </c>
      <c r="B61" s="167" t="s">
        <v>2190</v>
      </c>
      <c r="C61" s="168">
        <v>57</v>
      </c>
      <c r="D61" s="167" t="s">
        <v>585</v>
      </c>
      <c r="E61" s="169" t="s">
        <v>2191</v>
      </c>
      <c r="F61" s="169" t="s">
        <v>2192</v>
      </c>
      <c r="G61" s="167"/>
      <c r="H61" s="167" t="s">
        <v>2256</v>
      </c>
    </row>
    <row r="62" spans="1:8" ht="45.6">
      <c r="A62" s="167" t="s">
        <v>188</v>
      </c>
      <c r="B62" s="167" t="s">
        <v>2190</v>
      </c>
      <c r="C62" s="168">
        <v>58</v>
      </c>
      <c r="D62" s="167" t="s">
        <v>602</v>
      </c>
      <c r="E62" s="169" t="s">
        <v>2191</v>
      </c>
      <c r="F62" s="169" t="s">
        <v>2192</v>
      </c>
      <c r="G62" s="167"/>
      <c r="H62" s="167" t="s">
        <v>2257</v>
      </c>
    </row>
    <row r="63" spans="1:8" ht="34.200000000000003">
      <c r="A63" s="167" t="s">
        <v>188</v>
      </c>
      <c r="B63" s="167" t="s">
        <v>2190</v>
      </c>
      <c r="C63" s="168">
        <v>59</v>
      </c>
      <c r="D63" s="167" t="s">
        <v>678</v>
      </c>
      <c r="E63" s="169" t="s">
        <v>2191</v>
      </c>
      <c r="F63" s="169" t="s">
        <v>2209</v>
      </c>
      <c r="G63" s="167" t="s">
        <v>2258</v>
      </c>
      <c r="H63" s="167" t="s">
        <v>2259</v>
      </c>
    </row>
    <row r="64" spans="1:8" ht="22.8">
      <c r="A64" s="167" t="s">
        <v>188</v>
      </c>
      <c r="B64" s="167" t="s">
        <v>2190</v>
      </c>
      <c r="C64" s="168">
        <v>60</v>
      </c>
      <c r="D64" s="167" t="s">
        <v>679</v>
      </c>
      <c r="E64" s="169" t="s">
        <v>2191</v>
      </c>
      <c r="F64" s="169" t="s">
        <v>2209</v>
      </c>
      <c r="G64" s="167" t="s">
        <v>2258</v>
      </c>
      <c r="H64" s="167" t="s">
        <v>2260</v>
      </c>
    </row>
    <row r="65" spans="1:8" ht="22.8">
      <c r="A65" s="167" t="s">
        <v>188</v>
      </c>
      <c r="B65" s="167" t="s">
        <v>2190</v>
      </c>
      <c r="C65" s="168">
        <v>61</v>
      </c>
      <c r="D65" s="167" t="s">
        <v>2163</v>
      </c>
      <c r="E65" s="169" t="s">
        <v>2213</v>
      </c>
      <c r="F65" s="169" t="s">
        <v>2209</v>
      </c>
      <c r="G65" s="167"/>
      <c r="H65" s="167" t="s">
        <v>2261</v>
      </c>
    </row>
    <row r="66" spans="1:8" ht="34.200000000000003">
      <c r="A66" s="167" t="s">
        <v>188</v>
      </c>
      <c r="B66" s="167" t="s">
        <v>2190</v>
      </c>
      <c r="C66" s="168">
        <v>62</v>
      </c>
      <c r="D66" s="167" t="s">
        <v>2164</v>
      </c>
      <c r="E66" s="169" t="s">
        <v>2213</v>
      </c>
      <c r="F66" s="169" t="s">
        <v>2192</v>
      </c>
      <c r="G66" s="167"/>
      <c r="H66" s="167" t="s">
        <v>2262</v>
      </c>
    </row>
    <row r="67" spans="1:8" ht="34.200000000000003">
      <c r="A67" s="167" t="s">
        <v>188</v>
      </c>
      <c r="B67" s="167" t="s">
        <v>2190</v>
      </c>
      <c r="C67" s="168">
        <v>63</v>
      </c>
      <c r="D67" s="167" t="s">
        <v>603</v>
      </c>
      <c r="E67" s="169" t="s">
        <v>2191</v>
      </c>
      <c r="F67" s="169" t="s">
        <v>2209</v>
      </c>
      <c r="G67" s="167" t="s">
        <v>2258</v>
      </c>
      <c r="H67" s="167" t="s">
        <v>2263</v>
      </c>
    </row>
    <row r="68" spans="1:8" ht="34.200000000000003">
      <c r="A68" s="167" t="s">
        <v>188</v>
      </c>
      <c r="B68" s="167" t="s">
        <v>2190</v>
      </c>
      <c r="C68" s="168">
        <v>64</v>
      </c>
      <c r="D68" s="167" t="s">
        <v>604</v>
      </c>
      <c r="E68" s="169" t="s">
        <v>2191</v>
      </c>
      <c r="F68" s="169" t="s">
        <v>2192</v>
      </c>
      <c r="G68" s="167"/>
      <c r="H68" s="167" t="s">
        <v>2264</v>
      </c>
    </row>
    <row r="69" spans="1:8" ht="22.8">
      <c r="A69" s="167" t="s">
        <v>188</v>
      </c>
      <c r="B69" s="167" t="s">
        <v>2190</v>
      </c>
      <c r="C69" s="168">
        <v>65</v>
      </c>
      <c r="D69" s="167" t="s">
        <v>2580</v>
      </c>
      <c r="E69" s="169" t="s">
        <v>2191</v>
      </c>
      <c r="F69" s="169" t="s">
        <v>2192</v>
      </c>
      <c r="G69" s="167"/>
      <c r="H69" s="167" t="s">
        <v>2620</v>
      </c>
    </row>
    <row r="70" spans="1:8">
      <c r="A70" s="167" t="s">
        <v>188</v>
      </c>
      <c r="B70" s="167" t="s">
        <v>2190</v>
      </c>
      <c r="C70" s="168">
        <v>66</v>
      </c>
      <c r="D70" s="167" t="s">
        <v>2581</v>
      </c>
      <c r="E70" s="169" t="s">
        <v>2191</v>
      </c>
      <c r="F70" s="169" t="s">
        <v>417</v>
      </c>
      <c r="G70" s="167"/>
      <c r="H70" s="167" t="s">
        <v>2621</v>
      </c>
    </row>
    <row r="71" spans="1:8" ht="22.8">
      <c r="A71" s="167" t="s">
        <v>188</v>
      </c>
      <c r="B71" s="167" t="s">
        <v>2190</v>
      </c>
      <c r="C71" s="168">
        <v>67</v>
      </c>
      <c r="D71" s="167" t="s">
        <v>2582</v>
      </c>
      <c r="E71" s="169" t="s">
        <v>2191</v>
      </c>
      <c r="F71" s="169" t="s">
        <v>2192</v>
      </c>
      <c r="G71" s="167"/>
      <c r="H71" s="167" t="s">
        <v>2622</v>
      </c>
    </row>
    <row r="72" spans="1:8">
      <c r="A72" s="167" t="s">
        <v>188</v>
      </c>
      <c r="B72" s="167" t="s">
        <v>2190</v>
      </c>
      <c r="C72" s="168">
        <v>68</v>
      </c>
      <c r="D72" s="167" t="s">
        <v>2583</v>
      </c>
      <c r="E72" s="169" t="s">
        <v>2191</v>
      </c>
      <c r="F72" s="169" t="s">
        <v>2192</v>
      </c>
      <c r="G72" s="167" t="s">
        <v>2623</v>
      </c>
      <c r="H72" s="167" t="s">
        <v>2624</v>
      </c>
    </row>
    <row r="73" spans="1:8">
      <c r="A73" s="167" t="s">
        <v>188</v>
      </c>
      <c r="B73" s="167" t="s">
        <v>2190</v>
      </c>
      <c r="C73" s="168">
        <v>69</v>
      </c>
      <c r="D73" s="167" t="s">
        <v>2584</v>
      </c>
      <c r="E73" s="169" t="s">
        <v>2191</v>
      </c>
      <c r="F73" s="169" t="s">
        <v>2192</v>
      </c>
      <c r="G73" s="167"/>
      <c r="H73" s="167" t="s">
        <v>2625</v>
      </c>
    </row>
    <row r="74" spans="1:8">
      <c r="A74" s="167" t="s">
        <v>188</v>
      </c>
      <c r="B74" s="167" t="s">
        <v>2190</v>
      </c>
      <c r="C74" s="168">
        <v>70</v>
      </c>
      <c r="D74" s="167" t="s">
        <v>2585</v>
      </c>
      <c r="E74" s="169" t="s">
        <v>2191</v>
      </c>
      <c r="F74" s="169" t="s">
        <v>2192</v>
      </c>
      <c r="G74" s="167"/>
      <c r="H74" s="167" t="s">
        <v>2626</v>
      </c>
    </row>
    <row r="75" spans="1:8">
      <c r="A75" s="167" t="s">
        <v>188</v>
      </c>
      <c r="B75" s="167" t="s">
        <v>2190</v>
      </c>
      <c r="C75" s="168">
        <v>71</v>
      </c>
      <c r="D75" s="167" t="s">
        <v>2586</v>
      </c>
      <c r="E75" s="169" t="s">
        <v>2191</v>
      </c>
      <c r="F75" s="169" t="s">
        <v>2192</v>
      </c>
      <c r="G75" s="167"/>
      <c r="H75" s="167" t="s">
        <v>2627</v>
      </c>
    </row>
    <row r="76" spans="1:8" ht="22.8">
      <c r="A76" s="167" t="s">
        <v>188</v>
      </c>
      <c r="B76" s="167" t="s">
        <v>2190</v>
      </c>
      <c r="C76" s="168">
        <v>72</v>
      </c>
      <c r="D76" s="167" t="s">
        <v>2587</v>
      </c>
      <c r="E76" s="169" t="s">
        <v>2191</v>
      </c>
      <c r="F76" s="169" t="s">
        <v>2192</v>
      </c>
      <c r="G76" s="167"/>
      <c r="H76" s="167" t="s">
        <v>2628</v>
      </c>
    </row>
    <row r="77" spans="1:8">
      <c r="A77" s="167" t="s">
        <v>188</v>
      </c>
      <c r="B77" s="167" t="s">
        <v>2190</v>
      </c>
      <c r="C77" s="168">
        <v>73</v>
      </c>
      <c r="D77" s="167" t="s">
        <v>2588</v>
      </c>
      <c r="E77" s="169" t="s">
        <v>2191</v>
      </c>
      <c r="F77" s="169" t="s">
        <v>2192</v>
      </c>
      <c r="G77" s="167" t="s">
        <v>2629</v>
      </c>
      <c r="H77" s="167" t="s">
        <v>2630</v>
      </c>
    </row>
    <row r="78" spans="1:8">
      <c r="A78" s="167" t="s">
        <v>188</v>
      </c>
      <c r="B78" s="167" t="s">
        <v>2190</v>
      </c>
      <c r="C78" s="168">
        <v>74</v>
      </c>
      <c r="D78" s="167" t="s">
        <v>2589</v>
      </c>
      <c r="E78" s="169" t="s">
        <v>2191</v>
      </c>
      <c r="F78" s="169" t="s">
        <v>2192</v>
      </c>
      <c r="G78" s="167" t="s">
        <v>2631</v>
      </c>
      <c r="H78" s="167" t="s">
        <v>2632</v>
      </c>
    </row>
    <row r="79" spans="1:8">
      <c r="A79" s="167" t="s">
        <v>188</v>
      </c>
      <c r="B79" s="167" t="s">
        <v>2190</v>
      </c>
      <c r="C79" s="168">
        <v>75</v>
      </c>
      <c r="D79" s="167" t="s">
        <v>2590</v>
      </c>
      <c r="E79" s="169" t="s">
        <v>2213</v>
      </c>
      <c r="F79" s="169" t="s">
        <v>2209</v>
      </c>
      <c r="G79" s="167"/>
      <c r="H79" s="167" t="s">
        <v>2633</v>
      </c>
    </row>
    <row r="80" spans="1:8">
      <c r="A80" s="167" t="s">
        <v>188</v>
      </c>
      <c r="B80" s="167" t="s">
        <v>2190</v>
      </c>
      <c r="C80" s="168">
        <v>76</v>
      </c>
      <c r="D80" s="167" t="s">
        <v>2591</v>
      </c>
      <c r="E80" s="169" t="s">
        <v>2213</v>
      </c>
      <c r="F80" s="169" t="s">
        <v>2209</v>
      </c>
      <c r="G80" s="167"/>
      <c r="H80" s="167" t="s">
        <v>2634</v>
      </c>
    </row>
    <row r="81" spans="1:8">
      <c r="A81" s="167" t="s">
        <v>188</v>
      </c>
      <c r="B81" s="167" t="s">
        <v>2190</v>
      </c>
      <c r="C81" s="168">
        <v>77</v>
      </c>
      <c r="D81" s="167" t="s">
        <v>2592</v>
      </c>
      <c r="E81" s="169" t="s">
        <v>2213</v>
      </c>
      <c r="F81" s="169" t="s">
        <v>2209</v>
      </c>
      <c r="G81" s="167"/>
      <c r="H81" s="167" t="s">
        <v>2635</v>
      </c>
    </row>
    <row r="82" spans="1:8" ht="22.8">
      <c r="A82" s="167" t="s">
        <v>188</v>
      </c>
      <c r="B82" s="167" t="s">
        <v>2190</v>
      </c>
      <c r="C82" s="168">
        <v>78</v>
      </c>
      <c r="D82" s="167" t="s">
        <v>2593</v>
      </c>
      <c r="E82" s="169" t="s">
        <v>2213</v>
      </c>
      <c r="F82" s="169" t="s">
        <v>2192</v>
      </c>
      <c r="G82" s="167"/>
      <c r="H82" s="167" t="s">
        <v>2636</v>
      </c>
    </row>
    <row r="83" spans="1:8">
      <c r="A83" s="167" t="s">
        <v>188</v>
      </c>
      <c r="B83" s="167" t="s">
        <v>2190</v>
      </c>
      <c r="C83" s="168">
        <v>79</v>
      </c>
      <c r="D83" s="167" t="s">
        <v>2594</v>
      </c>
      <c r="E83" s="169" t="s">
        <v>2213</v>
      </c>
      <c r="F83" s="169" t="s">
        <v>2192</v>
      </c>
      <c r="G83" s="167"/>
      <c r="H83" s="167" t="s">
        <v>2637</v>
      </c>
    </row>
    <row r="84" spans="1:8">
      <c r="A84" s="167" t="s">
        <v>188</v>
      </c>
      <c r="B84" s="167" t="s">
        <v>2190</v>
      </c>
      <c r="C84" s="168">
        <v>80</v>
      </c>
      <c r="D84" s="167" t="s">
        <v>2595</v>
      </c>
      <c r="E84" s="169" t="s">
        <v>2191</v>
      </c>
      <c r="F84" s="169" t="s">
        <v>2192</v>
      </c>
      <c r="G84" s="167" t="s">
        <v>2638</v>
      </c>
      <c r="H84" s="167" t="s">
        <v>2639</v>
      </c>
    </row>
    <row r="85" spans="1:8">
      <c r="A85" s="167" t="s">
        <v>188</v>
      </c>
      <c r="B85" s="167" t="s">
        <v>2190</v>
      </c>
      <c r="C85" s="168">
        <v>81</v>
      </c>
      <c r="D85" s="167" t="s">
        <v>2596</v>
      </c>
      <c r="E85" s="169" t="s">
        <v>2191</v>
      </c>
      <c r="F85" s="169" t="s">
        <v>2192</v>
      </c>
      <c r="G85" s="167" t="s">
        <v>2640</v>
      </c>
      <c r="H85" s="167" t="s">
        <v>2641</v>
      </c>
    </row>
    <row r="86" spans="1:8" ht="22.8">
      <c r="A86" s="167" t="s">
        <v>188</v>
      </c>
      <c r="B86" s="167" t="s">
        <v>2190</v>
      </c>
      <c r="C86" s="168">
        <v>82</v>
      </c>
      <c r="D86" s="167" t="s">
        <v>2597</v>
      </c>
      <c r="E86" s="169" t="s">
        <v>2191</v>
      </c>
      <c r="F86" s="169" t="s">
        <v>2192</v>
      </c>
      <c r="G86" s="167"/>
      <c r="H86" s="167" t="s">
        <v>2642</v>
      </c>
    </row>
    <row r="87" spans="1:8">
      <c r="A87" s="167" t="s">
        <v>188</v>
      </c>
      <c r="B87" s="167" t="s">
        <v>2190</v>
      </c>
      <c r="C87" s="168">
        <v>83</v>
      </c>
      <c r="D87" s="167" t="s">
        <v>2598</v>
      </c>
      <c r="E87" s="169" t="s">
        <v>2191</v>
      </c>
      <c r="F87" s="169" t="s">
        <v>2192</v>
      </c>
      <c r="G87" s="167" t="s">
        <v>2629</v>
      </c>
      <c r="H87" s="167" t="s">
        <v>2643</v>
      </c>
    </row>
    <row r="88" spans="1:8">
      <c r="A88" s="167" t="s">
        <v>188</v>
      </c>
      <c r="B88" s="167" t="s">
        <v>2190</v>
      </c>
      <c r="C88" s="168">
        <v>84</v>
      </c>
      <c r="D88" s="167" t="s">
        <v>2599</v>
      </c>
      <c r="E88" s="169" t="s">
        <v>2191</v>
      </c>
      <c r="F88" s="169" t="s">
        <v>2192</v>
      </c>
      <c r="G88" s="167" t="s">
        <v>2631</v>
      </c>
      <c r="H88" s="167" t="s">
        <v>2644</v>
      </c>
    </row>
    <row r="89" spans="1:8">
      <c r="A89" s="167" t="s">
        <v>188</v>
      </c>
      <c r="B89" s="167" t="s">
        <v>2190</v>
      </c>
      <c r="C89" s="168">
        <v>85</v>
      </c>
      <c r="D89" s="167" t="s">
        <v>2600</v>
      </c>
      <c r="E89" s="169" t="s">
        <v>2213</v>
      </c>
      <c r="F89" s="169" t="s">
        <v>2209</v>
      </c>
      <c r="G89" s="167"/>
      <c r="H89" s="167" t="s">
        <v>2645</v>
      </c>
    </row>
    <row r="90" spans="1:8">
      <c r="A90" s="167" t="s">
        <v>188</v>
      </c>
      <c r="B90" s="167" t="s">
        <v>2190</v>
      </c>
      <c r="C90" s="168">
        <v>86</v>
      </c>
      <c r="D90" s="167" t="s">
        <v>2601</v>
      </c>
      <c r="E90" s="169" t="s">
        <v>2213</v>
      </c>
      <c r="F90" s="169" t="s">
        <v>2192</v>
      </c>
      <c r="G90" s="167"/>
      <c r="H90" s="167" t="s">
        <v>2646</v>
      </c>
    </row>
    <row r="91" spans="1:8">
      <c r="A91" s="167" t="s">
        <v>188</v>
      </c>
      <c r="B91" s="167" t="s">
        <v>2190</v>
      </c>
      <c r="C91" s="168">
        <v>87</v>
      </c>
      <c r="D91" s="167" t="s">
        <v>2602</v>
      </c>
      <c r="E91" s="169" t="s">
        <v>2191</v>
      </c>
      <c r="F91" s="169" t="s">
        <v>2192</v>
      </c>
      <c r="G91" s="167" t="s">
        <v>2623</v>
      </c>
      <c r="H91" s="167" t="s">
        <v>2647</v>
      </c>
    </row>
    <row r="92" spans="1:8" ht="22.8">
      <c r="A92" s="167" t="s">
        <v>174</v>
      </c>
      <c r="B92" s="167" t="s">
        <v>2265</v>
      </c>
      <c r="C92" s="168">
        <v>1</v>
      </c>
      <c r="D92" s="167" t="s">
        <v>20</v>
      </c>
      <c r="E92" s="169" t="s">
        <v>2191</v>
      </c>
      <c r="F92" s="169" t="s">
        <v>2192</v>
      </c>
      <c r="G92" s="167"/>
      <c r="H92" s="167" t="s">
        <v>2266</v>
      </c>
    </row>
    <row r="93" spans="1:8">
      <c r="A93" s="167" t="s">
        <v>174</v>
      </c>
      <c r="B93" s="167" t="s">
        <v>2265</v>
      </c>
      <c r="C93" s="168">
        <v>2</v>
      </c>
      <c r="D93" s="167" t="s">
        <v>21</v>
      </c>
      <c r="E93" s="169" t="s">
        <v>2191</v>
      </c>
      <c r="F93" s="169" t="s">
        <v>2192</v>
      </c>
      <c r="G93" s="167"/>
      <c r="H93" s="167" t="s">
        <v>2267</v>
      </c>
    </row>
    <row r="94" spans="1:8" ht="22.8">
      <c r="A94" s="167" t="s">
        <v>174</v>
      </c>
      <c r="B94" s="167" t="s">
        <v>2265</v>
      </c>
      <c r="C94" s="168">
        <v>3</v>
      </c>
      <c r="D94" s="167" t="s">
        <v>113</v>
      </c>
      <c r="E94" s="169" t="s">
        <v>2191</v>
      </c>
      <c r="F94" s="169" t="s">
        <v>2192</v>
      </c>
      <c r="G94" s="167"/>
      <c r="H94" s="167" t="s">
        <v>2268</v>
      </c>
    </row>
    <row r="95" spans="1:8" ht="22.8">
      <c r="A95" s="167" t="s">
        <v>174</v>
      </c>
      <c r="B95" s="167" t="s">
        <v>2265</v>
      </c>
      <c r="C95" s="168">
        <v>4</v>
      </c>
      <c r="D95" s="167" t="s">
        <v>23</v>
      </c>
      <c r="E95" s="169" t="s">
        <v>2191</v>
      </c>
      <c r="F95" s="169" t="s">
        <v>2192</v>
      </c>
      <c r="G95" s="167"/>
      <c r="H95" s="167" t="s">
        <v>2269</v>
      </c>
    </row>
    <row r="96" spans="1:8">
      <c r="A96" s="167" t="s">
        <v>174</v>
      </c>
      <c r="B96" s="167" t="s">
        <v>2265</v>
      </c>
      <c r="C96" s="168">
        <v>5</v>
      </c>
      <c r="D96" s="167" t="s">
        <v>114</v>
      </c>
      <c r="E96" s="169" t="s">
        <v>2191</v>
      </c>
      <c r="F96" s="169" t="s">
        <v>2192</v>
      </c>
      <c r="G96" s="167" t="s">
        <v>2270</v>
      </c>
      <c r="H96" s="167" t="s">
        <v>2271</v>
      </c>
    </row>
    <row r="97" spans="1:8" ht="22.8">
      <c r="A97" s="167" t="s">
        <v>174</v>
      </c>
      <c r="B97" s="167" t="s">
        <v>2265</v>
      </c>
      <c r="C97" s="168">
        <v>6</v>
      </c>
      <c r="D97" s="167" t="s">
        <v>25</v>
      </c>
      <c r="E97" s="169" t="s">
        <v>2191</v>
      </c>
      <c r="F97" s="169" t="s">
        <v>2192</v>
      </c>
      <c r="G97" s="167" t="s">
        <v>2198</v>
      </c>
      <c r="H97" s="167" t="s">
        <v>2272</v>
      </c>
    </row>
    <row r="98" spans="1:8">
      <c r="A98" s="167" t="s">
        <v>174</v>
      </c>
      <c r="B98" s="167" t="s">
        <v>2265</v>
      </c>
      <c r="C98" s="168">
        <v>7</v>
      </c>
      <c r="D98" s="167" t="s">
        <v>115</v>
      </c>
      <c r="E98" s="169" t="s">
        <v>2191</v>
      </c>
      <c r="F98" s="169" t="s">
        <v>2192</v>
      </c>
      <c r="G98" s="167"/>
      <c r="H98" s="167" t="s">
        <v>2273</v>
      </c>
    </row>
    <row r="99" spans="1:8">
      <c r="A99" s="167" t="s">
        <v>174</v>
      </c>
      <c r="B99" s="167" t="s">
        <v>2265</v>
      </c>
      <c r="C99" s="168">
        <v>8</v>
      </c>
      <c r="D99" s="167" t="s">
        <v>27</v>
      </c>
      <c r="E99" s="169" t="s">
        <v>2191</v>
      </c>
      <c r="F99" s="169" t="s">
        <v>2192</v>
      </c>
      <c r="G99" s="167" t="s">
        <v>2201</v>
      </c>
      <c r="H99" s="167" t="s">
        <v>2202</v>
      </c>
    </row>
    <row r="100" spans="1:8">
      <c r="A100" s="167" t="s">
        <v>174</v>
      </c>
      <c r="B100" s="167" t="s">
        <v>2265</v>
      </c>
      <c r="C100" s="168">
        <v>9</v>
      </c>
      <c r="D100" s="167" t="s">
        <v>116</v>
      </c>
      <c r="E100" s="169" t="s">
        <v>2191</v>
      </c>
      <c r="F100" s="169" t="s">
        <v>2192</v>
      </c>
      <c r="G100" s="167"/>
      <c r="H100" s="167" t="s">
        <v>2274</v>
      </c>
    </row>
    <row r="101" spans="1:8" ht="22.8">
      <c r="A101" s="167" t="s">
        <v>174</v>
      </c>
      <c r="B101" s="167" t="s">
        <v>2265</v>
      </c>
      <c r="C101" s="168">
        <v>10</v>
      </c>
      <c r="D101" s="167" t="s">
        <v>117</v>
      </c>
      <c r="E101" s="169" t="s">
        <v>2191</v>
      </c>
      <c r="F101" s="169" t="s">
        <v>2192</v>
      </c>
      <c r="G101" s="167"/>
      <c r="H101" s="167" t="s">
        <v>2275</v>
      </c>
    </row>
    <row r="102" spans="1:8">
      <c r="A102" s="167" t="s">
        <v>174</v>
      </c>
      <c r="B102" s="167" t="s">
        <v>2265</v>
      </c>
      <c r="C102" s="168">
        <v>11</v>
      </c>
      <c r="D102" s="167" t="s">
        <v>118</v>
      </c>
      <c r="E102" s="169" t="s">
        <v>2191</v>
      </c>
      <c r="F102" s="169" t="s">
        <v>2192</v>
      </c>
      <c r="G102" s="167"/>
      <c r="H102" s="167" t="s">
        <v>2276</v>
      </c>
    </row>
    <row r="103" spans="1:8">
      <c r="A103" s="167" t="s">
        <v>174</v>
      </c>
      <c r="B103" s="167" t="s">
        <v>2265</v>
      </c>
      <c r="C103" s="168">
        <v>12</v>
      </c>
      <c r="D103" s="167" t="s">
        <v>119</v>
      </c>
      <c r="E103" s="169" t="s">
        <v>2191</v>
      </c>
      <c r="F103" s="169" t="s">
        <v>2192</v>
      </c>
      <c r="G103" s="167"/>
      <c r="H103" s="167" t="s">
        <v>2277</v>
      </c>
    </row>
    <row r="104" spans="1:8">
      <c r="A104" s="167" t="s">
        <v>174</v>
      </c>
      <c r="B104" s="167" t="s">
        <v>2265</v>
      </c>
      <c r="C104" s="168">
        <v>13</v>
      </c>
      <c r="D104" s="167" t="s">
        <v>2165</v>
      </c>
      <c r="E104" s="169" t="s">
        <v>2191</v>
      </c>
      <c r="F104" s="169" t="s">
        <v>2209</v>
      </c>
      <c r="G104" s="167" t="s">
        <v>2210</v>
      </c>
      <c r="H104" s="167" t="s">
        <v>2278</v>
      </c>
    </row>
    <row r="105" spans="1:8">
      <c r="A105" s="167" t="s">
        <v>174</v>
      </c>
      <c r="B105" s="167" t="s">
        <v>2265</v>
      </c>
      <c r="C105" s="168">
        <v>14</v>
      </c>
      <c r="D105" s="167" t="s">
        <v>2166</v>
      </c>
      <c r="E105" s="169" t="s">
        <v>2191</v>
      </c>
      <c r="F105" s="169" t="s">
        <v>2209</v>
      </c>
      <c r="G105" s="167" t="s">
        <v>2210</v>
      </c>
      <c r="H105" s="167" t="s">
        <v>2279</v>
      </c>
    </row>
    <row r="106" spans="1:8">
      <c r="A106" s="167" t="s">
        <v>174</v>
      </c>
      <c r="B106" s="167" t="s">
        <v>2265</v>
      </c>
      <c r="C106" s="168">
        <v>15</v>
      </c>
      <c r="D106" s="167" t="s">
        <v>32</v>
      </c>
      <c r="E106" s="169" t="s">
        <v>2213</v>
      </c>
      <c r="F106" s="169" t="s">
        <v>2209</v>
      </c>
      <c r="G106" s="167"/>
      <c r="H106" s="167" t="s">
        <v>2280</v>
      </c>
    </row>
    <row r="107" spans="1:8">
      <c r="A107" s="167" t="s">
        <v>174</v>
      </c>
      <c r="B107" s="167" t="s">
        <v>2265</v>
      </c>
      <c r="C107" s="168">
        <v>16</v>
      </c>
      <c r="D107" s="167" t="s">
        <v>2167</v>
      </c>
      <c r="E107" s="169" t="s">
        <v>2213</v>
      </c>
      <c r="F107" s="169" t="s">
        <v>2192</v>
      </c>
      <c r="G107" s="167"/>
      <c r="H107" s="167" t="s">
        <v>2281</v>
      </c>
    </row>
    <row r="108" spans="1:8" ht="22.8">
      <c r="A108" s="167" t="s">
        <v>174</v>
      </c>
      <c r="B108" s="167" t="s">
        <v>2265</v>
      </c>
      <c r="C108" s="168">
        <v>17</v>
      </c>
      <c r="D108" s="167" t="s">
        <v>120</v>
      </c>
      <c r="E108" s="169" t="s">
        <v>2191</v>
      </c>
      <c r="F108" s="169" t="s">
        <v>2192</v>
      </c>
      <c r="G108" s="167"/>
      <c r="H108" s="167" t="s">
        <v>2282</v>
      </c>
    </row>
    <row r="109" spans="1:8" ht="22.8">
      <c r="A109" s="167" t="s">
        <v>174</v>
      </c>
      <c r="B109" s="167" t="s">
        <v>2265</v>
      </c>
      <c r="C109" s="168">
        <v>18</v>
      </c>
      <c r="D109" s="167" t="s">
        <v>121</v>
      </c>
      <c r="E109" s="169" t="s">
        <v>2191</v>
      </c>
      <c r="F109" s="169" t="s">
        <v>2192</v>
      </c>
      <c r="G109" s="167"/>
      <c r="H109" s="167" t="s">
        <v>2283</v>
      </c>
    </row>
    <row r="110" spans="1:8" ht="22.8">
      <c r="A110" s="167" t="s">
        <v>174</v>
      </c>
      <c r="B110" s="167" t="s">
        <v>2265</v>
      </c>
      <c r="C110" s="168">
        <v>19</v>
      </c>
      <c r="D110" s="167" t="s">
        <v>122</v>
      </c>
      <c r="E110" s="169" t="s">
        <v>2191</v>
      </c>
      <c r="F110" s="169" t="s">
        <v>2192</v>
      </c>
      <c r="G110" s="167"/>
      <c r="H110" s="167" t="s">
        <v>2284</v>
      </c>
    </row>
    <row r="111" spans="1:8" ht="22.8">
      <c r="A111" s="167" t="s">
        <v>174</v>
      </c>
      <c r="B111" s="167" t="s">
        <v>2265</v>
      </c>
      <c r="C111" s="168">
        <v>20</v>
      </c>
      <c r="D111" s="167" t="s">
        <v>123</v>
      </c>
      <c r="E111" s="169" t="s">
        <v>2191</v>
      </c>
      <c r="F111" s="169" t="s">
        <v>2192</v>
      </c>
      <c r="G111" s="167"/>
      <c r="H111" s="167" t="s">
        <v>2285</v>
      </c>
    </row>
    <row r="112" spans="1:8" ht="34.200000000000003">
      <c r="A112" s="167" t="s">
        <v>174</v>
      </c>
      <c r="B112" s="167" t="s">
        <v>2265</v>
      </c>
      <c r="C112" s="168">
        <v>21</v>
      </c>
      <c r="D112" s="167" t="s">
        <v>124</v>
      </c>
      <c r="E112" s="169" t="s">
        <v>2213</v>
      </c>
      <c r="F112" s="169" t="s">
        <v>2209</v>
      </c>
      <c r="G112" s="167"/>
      <c r="H112" s="167" t="s">
        <v>2286</v>
      </c>
    </row>
    <row r="113" spans="1:8" ht="22.8">
      <c r="A113" s="167" t="s">
        <v>174</v>
      </c>
      <c r="B113" s="167" t="s">
        <v>2265</v>
      </c>
      <c r="C113" s="168">
        <v>22</v>
      </c>
      <c r="D113" s="167" t="s">
        <v>37</v>
      </c>
      <c r="E113" s="169" t="s">
        <v>2213</v>
      </c>
      <c r="F113" s="169" t="s">
        <v>2192</v>
      </c>
      <c r="G113" s="167"/>
      <c r="H113" s="167" t="s">
        <v>2287</v>
      </c>
    </row>
    <row r="114" spans="1:8" ht="22.8">
      <c r="A114" s="167" t="s">
        <v>174</v>
      </c>
      <c r="B114" s="167" t="s">
        <v>2265</v>
      </c>
      <c r="C114" s="168">
        <v>23</v>
      </c>
      <c r="D114" s="167" t="s">
        <v>125</v>
      </c>
      <c r="E114" s="169" t="s">
        <v>2191</v>
      </c>
      <c r="F114" s="169" t="s">
        <v>2192</v>
      </c>
      <c r="G114" s="167"/>
      <c r="H114" s="167" t="s">
        <v>2288</v>
      </c>
    </row>
    <row r="115" spans="1:8" ht="22.8">
      <c r="A115" s="167" t="s">
        <v>174</v>
      </c>
      <c r="B115" s="167" t="s">
        <v>2265</v>
      </c>
      <c r="C115" s="168">
        <v>24</v>
      </c>
      <c r="D115" s="167" t="s">
        <v>41</v>
      </c>
      <c r="E115" s="169" t="s">
        <v>2191</v>
      </c>
      <c r="F115" s="169" t="s">
        <v>2192</v>
      </c>
      <c r="G115" s="167"/>
      <c r="H115" s="167" t="s">
        <v>2228</v>
      </c>
    </row>
    <row r="116" spans="1:8">
      <c r="A116" s="167" t="s">
        <v>174</v>
      </c>
      <c r="B116" s="167" t="s">
        <v>2265</v>
      </c>
      <c r="C116" s="168">
        <v>25</v>
      </c>
      <c r="D116" s="167" t="s">
        <v>126</v>
      </c>
      <c r="E116" s="169" t="s">
        <v>2191</v>
      </c>
      <c r="F116" s="169" t="s">
        <v>2192</v>
      </c>
      <c r="G116" s="167"/>
      <c r="H116" s="167" t="s">
        <v>2289</v>
      </c>
    </row>
    <row r="117" spans="1:8">
      <c r="A117" s="167" t="s">
        <v>174</v>
      </c>
      <c r="B117" s="167" t="s">
        <v>2265</v>
      </c>
      <c r="C117" s="168">
        <v>26</v>
      </c>
      <c r="D117" s="167" t="s">
        <v>43</v>
      </c>
      <c r="E117" s="169" t="s">
        <v>2191</v>
      </c>
      <c r="F117" s="169" t="s">
        <v>2192</v>
      </c>
      <c r="G117" s="167"/>
      <c r="H117" s="167" t="s">
        <v>2230</v>
      </c>
    </row>
    <row r="118" spans="1:8">
      <c r="A118" s="167" t="s">
        <v>174</v>
      </c>
      <c r="B118" s="167" t="s">
        <v>2265</v>
      </c>
      <c r="C118" s="168">
        <v>27</v>
      </c>
      <c r="D118" s="167" t="s">
        <v>2155</v>
      </c>
      <c r="E118" s="169" t="s">
        <v>2191</v>
      </c>
      <c r="F118" s="169" t="s">
        <v>417</v>
      </c>
      <c r="G118" s="167" t="s">
        <v>417</v>
      </c>
      <c r="H118" s="167" t="s">
        <v>2231</v>
      </c>
    </row>
    <row r="119" spans="1:8">
      <c r="A119" s="167" t="s">
        <v>174</v>
      </c>
      <c r="B119" s="167" t="s">
        <v>2265</v>
      </c>
      <c r="C119" s="168">
        <v>28</v>
      </c>
      <c r="D119" s="167" t="s">
        <v>2156</v>
      </c>
      <c r="E119" s="169" t="s">
        <v>2191</v>
      </c>
      <c r="F119" s="169" t="s">
        <v>2192</v>
      </c>
      <c r="G119" s="167"/>
      <c r="H119" s="167" t="s">
        <v>2232</v>
      </c>
    </row>
    <row r="120" spans="1:8" ht="22.8">
      <c r="A120" s="167" t="s">
        <v>174</v>
      </c>
      <c r="B120" s="167" t="s">
        <v>2265</v>
      </c>
      <c r="C120" s="168">
        <v>29</v>
      </c>
      <c r="D120" s="167" t="s">
        <v>127</v>
      </c>
      <c r="E120" s="169" t="s">
        <v>2191</v>
      </c>
      <c r="F120" s="169" t="s">
        <v>2192</v>
      </c>
      <c r="G120" s="167" t="s">
        <v>2234</v>
      </c>
      <c r="H120" s="167" t="s">
        <v>2290</v>
      </c>
    </row>
    <row r="121" spans="1:8">
      <c r="A121" s="167" t="s">
        <v>174</v>
      </c>
      <c r="B121" s="167" t="s">
        <v>2265</v>
      </c>
      <c r="C121" s="168">
        <v>30</v>
      </c>
      <c r="D121" s="167" t="s">
        <v>2157</v>
      </c>
      <c r="E121" s="169" t="s">
        <v>2213</v>
      </c>
      <c r="F121" s="169" t="s">
        <v>2192</v>
      </c>
      <c r="G121" s="167"/>
      <c r="H121" s="167" t="s">
        <v>2236</v>
      </c>
    </row>
    <row r="122" spans="1:8">
      <c r="A122" s="167" t="s">
        <v>174</v>
      </c>
      <c r="B122" s="167" t="s">
        <v>2265</v>
      </c>
      <c r="C122" s="168">
        <v>31</v>
      </c>
      <c r="D122" s="167" t="s">
        <v>46</v>
      </c>
      <c r="E122" s="169" t="s">
        <v>2213</v>
      </c>
      <c r="F122" s="169" t="s">
        <v>2192</v>
      </c>
      <c r="G122" s="167"/>
      <c r="H122" s="167" t="s">
        <v>2237</v>
      </c>
    </row>
    <row r="123" spans="1:8">
      <c r="A123" s="167" t="s">
        <v>174</v>
      </c>
      <c r="B123" s="167" t="s">
        <v>2265</v>
      </c>
      <c r="C123" s="168">
        <v>32</v>
      </c>
      <c r="D123" s="167" t="s">
        <v>47</v>
      </c>
      <c r="E123" s="169" t="s">
        <v>2213</v>
      </c>
      <c r="F123" s="169" t="s">
        <v>417</v>
      </c>
      <c r="G123" s="167"/>
      <c r="H123" s="167" t="s">
        <v>2237</v>
      </c>
    </row>
    <row r="124" spans="1:8">
      <c r="A124" s="167" t="s">
        <v>174</v>
      </c>
      <c r="B124" s="167" t="s">
        <v>2265</v>
      </c>
      <c r="C124" s="168">
        <v>33</v>
      </c>
      <c r="D124" s="167" t="s">
        <v>128</v>
      </c>
      <c r="E124" s="169" t="s">
        <v>2191</v>
      </c>
      <c r="F124" s="169" t="s">
        <v>2192</v>
      </c>
      <c r="G124" s="167"/>
      <c r="H124" s="167" t="s">
        <v>2291</v>
      </c>
    </row>
    <row r="125" spans="1:8" ht="22.8">
      <c r="A125" s="167" t="s">
        <v>174</v>
      </c>
      <c r="B125" s="167" t="s">
        <v>2265</v>
      </c>
      <c r="C125" s="168">
        <v>34</v>
      </c>
      <c r="D125" s="167" t="s">
        <v>48</v>
      </c>
      <c r="E125" s="169" t="s">
        <v>2191</v>
      </c>
      <c r="F125" s="169" t="s">
        <v>417</v>
      </c>
      <c r="G125" s="167" t="s">
        <v>417</v>
      </c>
      <c r="H125" s="167" t="s">
        <v>2292</v>
      </c>
    </row>
    <row r="126" spans="1:8">
      <c r="A126" s="167" t="s">
        <v>174</v>
      </c>
      <c r="B126" s="167" t="s">
        <v>2265</v>
      </c>
      <c r="C126" s="168">
        <v>35</v>
      </c>
      <c r="D126" s="167" t="s">
        <v>129</v>
      </c>
      <c r="E126" s="169" t="s">
        <v>2191</v>
      </c>
      <c r="F126" s="169" t="s">
        <v>2192</v>
      </c>
      <c r="G126" s="167" t="s">
        <v>2239</v>
      </c>
      <c r="H126" s="167" t="s">
        <v>2293</v>
      </c>
    </row>
    <row r="127" spans="1:8">
      <c r="A127" s="167" t="s">
        <v>174</v>
      </c>
      <c r="B127" s="167" t="s">
        <v>2265</v>
      </c>
      <c r="C127" s="168">
        <v>36</v>
      </c>
      <c r="D127" s="167" t="s">
        <v>50</v>
      </c>
      <c r="E127" s="169" t="s">
        <v>2191</v>
      </c>
      <c r="F127" s="169" t="s">
        <v>417</v>
      </c>
      <c r="G127" s="167" t="s">
        <v>417</v>
      </c>
      <c r="H127" s="167" t="s">
        <v>2241</v>
      </c>
    </row>
    <row r="128" spans="1:8" ht="22.8">
      <c r="A128" s="167" t="s">
        <v>174</v>
      </c>
      <c r="B128" s="167" t="s">
        <v>2265</v>
      </c>
      <c r="C128" s="168">
        <v>37</v>
      </c>
      <c r="D128" s="167" t="s">
        <v>130</v>
      </c>
      <c r="E128" s="169" t="s">
        <v>2191</v>
      </c>
      <c r="F128" s="169" t="s">
        <v>2192</v>
      </c>
      <c r="G128" s="167"/>
      <c r="H128" s="167" t="s">
        <v>2294</v>
      </c>
    </row>
    <row r="129" spans="1:8">
      <c r="A129" s="167" t="s">
        <v>174</v>
      </c>
      <c r="B129" s="167" t="s">
        <v>2265</v>
      </c>
      <c r="C129" s="168">
        <v>38</v>
      </c>
      <c r="D129" s="167" t="s">
        <v>54</v>
      </c>
      <c r="E129" s="169" t="s">
        <v>2191</v>
      </c>
      <c r="F129" s="169" t="s">
        <v>417</v>
      </c>
      <c r="G129" s="167" t="s">
        <v>417</v>
      </c>
      <c r="H129" s="167" t="s">
        <v>2248</v>
      </c>
    </row>
    <row r="130" spans="1:8">
      <c r="A130" s="167" t="s">
        <v>174</v>
      </c>
      <c r="B130" s="167" t="s">
        <v>2265</v>
      </c>
      <c r="C130" s="168">
        <v>39</v>
      </c>
      <c r="D130" s="167" t="s">
        <v>55</v>
      </c>
      <c r="E130" s="169" t="s">
        <v>2191</v>
      </c>
      <c r="F130" s="169" t="s">
        <v>2192</v>
      </c>
      <c r="G130" s="167"/>
      <c r="H130" s="167" t="s">
        <v>2295</v>
      </c>
    </row>
    <row r="131" spans="1:8">
      <c r="A131" s="167" t="s">
        <v>174</v>
      </c>
      <c r="B131" s="167" t="s">
        <v>2265</v>
      </c>
      <c r="C131" s="168">
        <v>40</v>
      </c>
      <c r="D131" s="167" t="s">
        <v>56</v>
      </c>
      <c r="E131" s="169" t="s">
        <v>2213</v>
      </c>
      <c r="F131" s="169" t="s">
        <v>417</v>
      </c>
      <c r="G131" s="167"/>
      <c r="H131" s="167" t="s">
        <v>2296</v>
      </c>
    </row>
    <row r="132" spans="1:8">
      <c r="A132" s="167" t="s">
        <v>174</v>
      </c>
      <c r="B132" s="167" t="s">
        <v>2265</v>
      </c>
      <c r="C132" s="168">
        <v>41</v>
      </c>
      <c r="D132" s="167" t="s">
        <v>57</v>
      </c>
      <c r="E132" s="169" t="s">
        <v>2213</v>
      </c>
      <c r="F132" s="169" t="s">
        <v>2192</v>
      </c>
      <c r="G132" s="167"/>
      <c r="H132" s="167" t="s">
        <v>2251</v>
      </c>
    </row>
    <row r="133" spans="1:8">
      <c r="A133" s="167" t="s">
        <v>174</v>
      </c>
      <c r="B133" s="167" t="s">
        <v>2265</v>
      </c>
      <c r="C133" s="168">
        <v>42</v>
      </c>
      <c r="D133" s="167" t="s">
        <v>131</v>
      </c>
      <c r="E133" s="169" t="s">
        <v>2191</v>
      </c>
      <c r="F133" s="169" t="s">
        <v>2192</v>
      </c>
      <c r="G133" s="167"/>
      <c r="H133" s="167" t="s">
        <v>2297</v>
      </c>
    </row>
    <row r="134" spans="1:8" ht="22.8">
      <c r="A134" s="167" t="s">
        <v>174</v>
      </c>
      <c r="B134" s="167" t="s">
        <v>2265</v>
      </c>
      <c r="C134" s="168">
        <v>43</v>
      </c>
      <c r="D134" s="167" t="s">
        <v>59</v>
      </c>
      <c r="E134" s="169" t="s">
        <v>2191</v>
      </c>
      <c r="F134" s="169" t="s">
        <v>2192</v>
      </c>
      <c r="G134" s="167"/>
      <c r="H134" s="167" t="s">
        <v>2298</v>
      </c>
    </row>
    <row r="135" spans="1:8">
      <c r="A135" s="167" t="s">
        <v>174</v>
      </c>
      <c r="B135" s="167" t="s">
        <v>2265</v>
      </c>
      <c r="C135" s="168">
        <v>44</v>
      </c>
      <c r="D135" s="167" t="s">
        <v>2162</v>
      </c>
      <c r="E135" s="169" t="s">
        <v>2213</v>
      </c>
      <c r="F135" s="169" t="s">
        <v>2209</v>
      </c>
      <c r="G135" s="167"/>
      <c r="H135" s="167" t="s">
        <v>2254</v>
      </c>
    </row>
    <row r="136" spans="1:8" ht="22.8">
      <c r="A136" s="167" t="s">
        <v>174</v>
      </c>
      <c r="B136" s="167" t="s">
        <v>2265</v>
      </c>
      <c r="C136" s="168">
        <v>45</v>
      </c>
      <c r="D136" s="167" t="s">
        <v>1059</v>
      </c>
      <c r="E136" s="169" t="s">
        <v>2191</v>
      </c>
      <c r="F136" s="169" t="s">
        <v>2209</v>
      </c>
      <c r="G136" s="167" t="s">
        <v>2258</v>
      </c>
      <c r="H136" s="167" t="s">
        <v>2299</v>
      </c>
    </row>
    <row r="137" spans="1:8" ht="22.8">
      <c r="A137" s="167" t="s">
        <v>174</v>
      </c>
      <c r="B137" s="167" t="s">
        <v>2265</v>
      </c>
      <c r="C137" s="168">
        <v>46</v>
      </c>
      <c r="D137" s="167" t="s">
        <v>1060</v>
      </c>
      <c r="E137" s="169" t="s">
        <v>2191</v>
      </c>
      <c r="F137" s="169" t="s">
        <v>2209</v>
      </c>
      <c r="G137" s="167" t="s">
        <v>2258</v>
      </c>
      <c r="H137" s="167" t="s">
        <v>2300</v>
      </c>
    </row>
    <row r="138" spans="1:8" ht="22.8">
      <c r="A138" s="167" t="s">
        <v>174</v>
      </c>
      <c r="B138" s="167" t="s">
        <v>2265</v>
      </c>
      <c r="C138" s="168">
        <v>47</v>
      </c>
      <c r="D138" s="167" t="s">
        <v>2168</v>
      </c>
      <c r="E138" s="169" t="s">
        <v>2213</v>
      </c>
      <c r="F138" s="169" t="s">
        <v>2209</v>
      </c>
      <c r="G138" s="167"/>
      <c r="H138" s="167" t="s">
        <v>2301</v>
      </c>
    </row>
    <row r="139" spans="1:8" ht="34.200000000000003">
      <c r="A139" s="167" t="s">
        <v>174</v>
      </c>
      <c r="B139" s="167" t="s">
        <v>2265</v>
      </c>
      <c r="C139" s="168">
        <v>48</v>
      </c>
      <c r="D139" s="167" t="s">
        <v>2169</v>
      </c>
      <c r="E139" s="169" t="s">
        <v>2213</v>
      </c>
      <c r="F139" s="169" t="s">
        <v>2209</v>
      </c>
      <c r="G139" s="167"/>
      <c r="H139" s="167" t="s">
        <v>2302</v>
      </c>
    </row>
    <row r="140" spans="1:8" ht="22.8">
      <c r="A140" s="167" t="s">
        <v>174</v>
      </c>
      <c r="B140" s="167" t="s">
        <v>2265</v>
      </c>
      <c r="C140" s="168">
        <v>49</v>
      </c>
      <c r="D140" s="167" t="s">
        <v>2170</v>
      </c>
      <c r="E140" s="169" t="s">
        <v>2213</v>
      </c>
      <c r="F140" s="169" t="s">
        <v>2192</v>
      </c>
      <c r="G140" s="167"/>
      <c r="H140" s="167" t="s">
        <v>2303</v>
      </c>
    </row>
    <row r="141" spans="1:8" ht="22.8">
      <c r="A141" s="167" t="s">
        <v>174</v>
      </c>
      <c r="B141" s="167" t="s">
        <v>2265</v>
      </c>
      <c r="C141" s="168">
        <v>50</v>
      </c>
      <c r="D141" s="167" t="s">
        <v>2580</v>
      </c>
      <c r="E141" s="169" t="s">
        <v>2191</v>
      </c>
      <c r="F141" s="169" t="s">
        <v>2192</v>
      </c>
      <c r="G141" s="167"/>
      <c r="H141" s="167" t="s">
        <v>2620</v>
      </c>
    </row>
    <row r="142" spans="1:8">
      <c r="A142" s="167" t="s">
        <v>174</v>
      </c>
      <c r="B142" s="167" t="s">
        <v>2265</v>
      </c>
      <c r="C142" s="168">
        <v>51</v>
      </c>
      <c r="D142" s="167" t="s">
        <v>2581</v>
      </c>
      <c r="E142" s="169" t="s">
        <v>2191</v>
      </c>
      <c r="F142" s="169" t="s">
        <v>417</v>
      </c>
      <c r="G142" s="167"/>
      <c r="H142" s="167" t="s">
        <v>2621</v>
      </c>
    </row>
    <row r="143" spans="1:8" ht="22.8">
      <c r="A143" s="167" t="s">
        <v>174</v>
      </c>
      <c r="B143" s="167" t="s">
        <v>2265</v>
      </c>
      <c r="C143" s="168">
        <v>52</v>
      </c>
      <c r="D143" s="167" t="s">
        <v>2582</v>
      </c>
      <c r="E143" s="169" t="s">
        <v>2191</v>
      </c>
      <c r="F143" s="169" t="s">
        <v>2192</v>
      </c>
      <c r="G143" s="167"/>
      <c r="H143" s="167" t="s">
        <v>2622</v>
      </c>
    </row>
    <row r="144" spans="1:8">
      <c r="A144" s="167" t="s">
        <v>174</v>
      </c>
      <c r="B144" s="167" t="s">
        <v>2265</v>
      </c>
      <c r="C144" s="168">
        <v>53</v>
      </c>
      <c r="D144" s="167" t="s">
        <v>2583</v>
      </c>
      <c r="E144" s="169" t="s">
        <v>2191</v>
      </c>
      <c r="F144" s="169" t="s">
        <v>2192</v>
      </c>
      <c r="G144" s="167" t="s">
        <v>2623</v>
      </c>
      <c r="H144" s="167" t="s">
        <v>2624</v>
      </c>
    </row>
    <row r="145" spans="1:8">
      <c r="A145" s="167" t="s">
        <v>174</v>
      </c>
      <c r="B145" s="167" t="s">
        <v>2265</v>
      </c>
      <c r="C145" s="168">
        <v>54</v>
      </c>
      <c r="D145" s="167" t="s">
        <v>2584</v>
      </c>
      <c r="E145" s="169" t="s">
        <v>2191</v>
      </c>
      <c r="F145" s="169" t="s">
        <v>2192</v>
      </c>
      <c r="G145" s="167"/>
      <c r="H145" s="167" t="s">
        <v>2625</v>
      </c>
    </row>
    <row r="146" spans="1:8">
      <c r="A146" s="167" t="s">
        <v>174</v>
      </c>
      <c r="B146" s="167" t="s">
        <v>2265</v>
      </c>
      <c r="C146" s="168">
        <v>55</v>
      </c>
      <c r="D146" s="167" t="s">
        <v>2585</v>
      </c>
      <c r="E146" s="169" t="s">
        <v>2191</v>
      </c>
      <c r="F146" s="169" t="s">
        <v>2192</v>
      </c>
      <c r="G146" s="167"/>
      <c r="H146" s="167" t="s">
        <v>2626</v>
      </c>
    </row>
    <row r="147" spans="1:8">
      <c r="A147" s="167" t="s">
        <v>174</v>
      </c>
      <c r="B147" s="167" t="s">
        <v>2265</v>
      </c>
      <c r="C147" s="168">
        <v>56</v>
      </c>
      <c r="D147" s="167" t="s">
        <v>2586</v>
      </c>
      <c r="E147" s="169" t="s">
        <v>2191</v>
      </c>
      <c r="F147" s="169" t="s">
        <v>2192</v>
      </c>
      <c r="G147" s="167"/>
      <c r="H147" s="167" t="s">
        <v>2627</v>
      </c>
    </row>
    <row r="148" spans="1:8" ht="22.8">
      <c r="A148" s="167" t="s">
        <v>174</v>
      </c>
      <c r="B148" s="167" t="s">
        <v>2265</v>
      </c>
      <c r="C148" s="168">
        <v>57</v>
      </c>
      <c r="D148" s="167" t="s">
        <v>2587</v>
      </c>
      <c r="E148" s="169" t="s">
        <v>2191</v>
      </c>
      <c r="F148" s="169" t="s">
        <v>2192</v>
      </c>
      <c r="G148" s="167"/>
      <c r="H148" s="167" t="s">
        <v>2628</v>
      </c>
    </row>
    <row r="149" spans="1:8">
      <c r="A149" s="167" t="s">
        <v>174</v>
      </c>
      <c r="B149" s="167" t="s">
        <v>2265</v>
      </c>
      <c r="C149" s="168">
        <v>58</v>
      </c>
      <c r="D149" s="167" t="s">
        <v>2588</v>
      </c>
      <c r="E149" s="169" t="s">
        <v>2191</v>
      </c>
      <c r="F149" s="169" t="s">
        <v>2192</v>
      </c>
      <c r="G149" s="167" t="s">
        <v>2629</v>
      </c>
      <c r="H149" s="167" t="s">
        <v>2630</v>
      </c>
    </row>
    <row r="150" spans="1:8" ht="22.8">
      <c r="A150" s="167" t="s">
        <v>174</v>
      </c>
      <c r="B150" s="167" t="s">
        <v>2265</v>
      </c>
      <c r="C150" s="168">
        <v>59</v>
      </c>
      <c r="D150" s="167" t="s">
        <v>2589</v>
      </c>
      <c r="E150" s="169" t="s">
        <v>2191</v>
      </c>
      <c r="F150" s="169" t="s">
        <v>2192</v>
      </c>
      <c r="G150" s="167" t="s">
        <v>2648</v>
      </c>
      <c r="H150" s="167" t="s">
        <v>2649</v>
      </c>
    </row>
    <row r="151" spans="1:8">
      <c r="A151" s="167" t="s">
        <v>174</v>
      </c>
      <c r="B151" s="167" t="s">
        <v>2265</v>
      </c>
      <c r="C151" s="168">
        <v>60</v>
      </c>
      <c r="D151" s="167" t="s">
        <v>2590</v>
      </c>
      <c r="E151" s="169" t="s">
        <v>2213</v>
      </c>
      <c r="F151" s="169" t="s">
        <v>2209</v>
      </c>
      <c r="G151" s="167"/>
      <c r="H151" s="167" t="s">
        <v>2633</v>
      </c>
    </row>
    <row r="152" spans="1:8">
      <c r="A152" s="167" t="s">
        <v>174</v>
      </c>
      <c r="B152" s="167" t="s">
        <v>2265</v>
      </c>
      <c r="C152" s="168">
        <v>61</v>
      </c>
      <c r="D152" s="167" t="s">
        <v>2591</v>
      </c>
      <c r="E152" s="169" t="s">
        <v>2213</v>
      </c>
      <c r="F152" s="169" t="s">
        <v>2209</v>
      </c>
      <c r="G152" s="167"/>
      <c r="H152" s="167" t="s">
        <v>2650</v>
      </c>
    </row>
    <row r="153" spans="1:8">
      <c r="A153" s="167" t="s">
        <v>174</v>
      </c>
      <c r="B153" s="167" t="s">
        <v>2265</v>
      </c>
      <c r="C153" s="168">
        <v>62</v>
      </c>
      <c r="D153" s="167" t="s">
        <v>2592</v>
      </c>
      <c r="E153" s="169" t="s">
        <v>2213</v>
      </c>
      <c r="F153" s="169" t="s">
        <v>2209</v>
      </c>
      <c r="G153" s="167"/>
      <c r="H153" s="167" t="s">
        <v>2635</v>
      </c>
    </row>
    <row r="154" spans="1:8" ht="22.8">
      <c r="A154" s="167" t="s">
        <v>174</v>
      </c>
      <c r="B154" s="167" t="s">
        <v>2265</v>
      </c>
      <c r="C154" s="168">
        <v>63</v>
      </c>
      <c r="D154" s="167" t="s">
        <v>2593</v>
      </c>
      <c r="E154" s="169" t="s">
        <v>2213</v>
      </c>
      <c r="F154" s="169" t="s">
        <v>2192</v>
      </c>
      <c r="G154" s="167"/>
      <c r="H154" s="167" t="s">
        <v>2636</v>
      </c>
    </row>
    <row r="155" spans="1:8">
      <c r="A155" s="167" t="s">
        <v>174</v>
      </c>
      <c r="B155" s="167" t="s">
        <v>2265</v>
      </c>
      <c r="C155" s="168">
        <v>64</v>
      </c>
      <c r="D155" s="167" t="s">
        <v>2594</v>
      </c>
      <c r="E155" s="169" t="s">
        <v>2213</v>
      </c>
      <c r="F155" s="169" t="s">
        <v>2192</v>
      </c>
      <c r="G155" s="167"/>
      <c r="H155" s="167" t="s">
        <v>2651</v>
      </c>
    </row>
    <row r="156" spans="1:8">
      <c r="A156" s="167" t="s">
        <v>174</v>
      </c>
      <c r="B156" s="167" t="s">
        <v>2265</v>
      </c>
      <c r="C156" s="168">
        <v>65</v>
      </c>
      <c r="D156" s="167" t="s">
        <v>2595</v>
      </c>
      <c r="E156" s="169" t="s">
        <v>2191</v>
      </c>
      <c r="F156" s="169" t="s">
        <v>2192</v>
      </c>
      <c r="G156" s="167" t="s">
        <v>2652</v>
      </c>
      <c r="H156" s="167" t="s">
        <v>2639</v>
      </c>
    </row>
    <row r="157" spans="1:8">
      <c r="A157" s="167" t="s">
        <v>174</v>
      </c>
      <c r="B157" s="167" t="s">
        <v>2265</v>
      </c>
      <c r="C157" s="168">
        <v>66</v>
      </c>
      <c r="D157" s="167" t="s">
        <v>2596</v>
      </c>
      <c r="E157" s="169" t="s">
        <v>2191</v>
      </c>
      <c r="F157" s="169" t="s">
        <v>2192</v>
      </c>
      <c r="G157" s="167" t="s">
        <v>2640</v>
      </c>
      <c r="H157" s="167" t="s">
        <v>2641</v>
      </c>
    </row>
    <row r="158" spans="1:8" ht="22.8">
      <c r="A158" s="167" t="s">
        <v>174</v>
      </c>
      <c r="B158" s="167" t="s">
        <v>2265</v>
      </c>
      <c r="C158" s="168">
        <v>67</v>
      </c>
      <c r="D158" s="167" t="s">
        <v>2597</v>
      </c>
      <c r="E158" s="169" t="s">
        <v>2191</v>
      </c>
      <c r="F158" s="169" t="s">
        <v>2192</v>
      </c>
      <c r="G158" s="167"/>
      <c r="H158" s="167" t="s">
        <v>2642</v>
      </c>
    </row>
    <row r="159" spans="1:8">
      <c r="A159" s="167" t="s">
        <v>174</v>
      </c>
      <c r="B159" s="167" t="s">
        <v>2265</v>
      </c>
      <c r="C159" s="168">
        <v>68</v>
      </c>
      <c r="D159" s="167" t="s">
        <v>2598</v>
      </c>
      <c r="E159" s="169" t="s">
        <v>2191</v>
      </c>
      <c r="F159" s="169" t="s">
        <v>2192</v>
      </c>
      <c r="G159" s="167" t="s">
        <v>2629</v>
      </c>
      <c r="H159" s="167" t="s">
        <v>2643</v>
      </c>
    </row>
    <row r="160" spans="1:8">
      <c r="A160" s="167" t="s">
        <v>174</v>
      </c>
      <c r="B160" s="167" t="s">
        <v>2265</v>
      </c>
      <c r="C160" s="168">
        <v>69</v>
      </c>
      <c r="D160" s="167" t="s">
        <v>2599</v>
      </c>
      <c r="E160" s="169" t="s">
        <v>2191</v>
      </c>
      <c r="F160" s="169" t="s">
        <v>2192</v>
      </c>
      <c r="G160" s="167" t="s">
        <v>2648</v>
      </c>
      <c r="H160" s="167" t="s">
        <v>2644</v>
      </c>
    </row>
    <row r="161" spans="1:8">
      <c r="A161" s="167" t="s">
        <v>174</v>
      </c>
      <c r="B161" s="167" t="s">
        <v>2265</v>
      </c>
      <c r="C161" s="168">
        <v>70</v>
      </c>
      <c r="D161" s="167" t="s">
        <v>2600</v>
      </c>
      <c r="E161" s="169" t="s">
        <v>2213</v>
      </c>
      <c r="F161" s="169" t="s">
        <v>2209</v>
      </c>
      <c r="G161" s="167"/>
      <c r="H161" s="167" t="s">
        <v>2645</v>
      </c>
    </row>
    <row r="162" spans="1:8">
      <c r="A162" s="167" t="s">
        <v>174</v>
      </c>
      <c r="B162" s="167" t="s">
        <v>2265</v>
      </c>
      <c r="C162" s="168">
        <v>71</v>
      </c>
      <c r="D162" s="167" t="s">
        <v>2601</v>
      </c>
      <c r="E162" s="169" t="s">
        <v>2213</v>
      </c>
      <c r="F162" s="169" t="s">
        <v>2192</v>
      </c>
      <c r="G162" s="167"/>
      <c r="H162" s="167" t="s">
        <v>2646</v>
      </c>
    </row>
    <row r="163" spans="1:8">
      <c r="A163" s="167" t="s">
        <v>174</v>
      </c>
      <c r="B163" s="167" t="s">
        <v>2265</v>
      </c>
      <c r="C163" s="168">
        <v>72</v>
      </c>
      <c r="D163" s="167" t="s">
        <v>2602</v>
      </c>
      <c r="E163" s="169" t="s">
        <v>2191</v>
      </c>
      <c r="F163" s="169" t="s">
        <v>2192</v>
      </c>
      <c r="G163" s="167" t="s">
        <v>2623</v>
      </c>
      <c r="H163" s="167" t="s">
        <v>2647</v>
      </c>
    </row>
    <row r="164" spans="1:8">
      <c r="A164" s="167" t="s">
        <v>2304</v>
      </c>
      <c r="B164" s="167" t="s">
        <v>2305</v>
      </c>
      <c r="C164" s="168">
        <v>1</v>
      </c>
      <c r="D164" s="167" t="s">
        <v>2171</v>
      </c>
      <c r="E164" s="169" t="s">
        <v>2191</v>
      </c>
      <c r="F164" s="169" t="s">
        <v>2192</v>
      </c>
      <c r="G164" s="167"/>
      <c r="H164" s="167" t="s">
        <v>2306</v>
      </c>
    </row>
    <row r="165" spans="1:8">
      <c r="A165" s="167" t="s">
        <v>2304</v>
      </c>
      <c r="B165" s="167" t="s">
        <v>2305</v>
      </c>
      <c r="C165" s="168">
        <v>2</v>
      </c>
      <c r="D165" s="167" t="s">
        <v>2172</v>
      </c>
      <c r="E165" s="169" t="s">
        <v>2191</v>
      </c>
      <c r="F165" s="169" t="s">
        <v>2192</v>
      </c>
      <c r="G165" s="167"/>
      <c r="H165" s="167" t="s">
        <v>2307</v>
      </c>
    </row>
    <row r="166" spans="1:8">
      <c r="A166" s="167" t="s">
        <v>2304</v>
      </c>
      <c r="B166" s="167" t="s">
        <v>2305</v>
      </c>
      <c r="C166" s="168">
        <v>3</v>
      </c>
      <c r="D166" s="167" t="s">
        <v>289</v>
      </c>
      <c r="E166" s="169" t="s">
        <v>2191</v>
      </c>
      <c r="F166" s="169" t="s">
        <v>2192</v>
      </c>
      <c r="G166" s="167"/>
      <c r="H166" s="167" t="s">
        <v>2308</v>
      </c>
    </row>
    <row r="167" spans="1:8">
      <c r="A167" s="167" t="s">
        <v>2304</v>
      </c>
      <c r="B167" s="167" t="s">
        <v>2305</v>
      </c>
      <c r="C167" s="168">
        <v>4</v>
      </c>
      <c r="D167" s="167" t="s">
        <v>290</v>
      </c>
      <c r="E167" s="169" t="s">
        <v>2191</v>
      </c>
      <c r="F167" s="169" t="s">
        <v>2192</v>
      </c>
      <c r="G167" s="167" t="s">
        <v>2309</v>
      </c>
      <c r="H167" s="167" t="s">
        <v>2310</v>
      </c>
    </row>
    <row r="168" spans="1:8">
      <c r="A168" s="167" t="s">
        <v>2304</v>
      </c>
      <c r="B168" s="167" t="s">
        <v>2305</v>
      </c>
      <c r="C168" s="168">
        <v>5</v>
      </c>
      <c r="D168" s="167" t="s">
        <v>3</v>
      </c>
      <c r="E168" s="169" t="s">
        <v>2191</v>
      </c>
      <c r="F168" s="169" t="s">
        <v>2192</v>
      </c>
      <c r="G168" s="167"/>
      <c r="H168" s="167"/>
    </row>
    <row r="169" spans="1:8">
      <c r="A169" s="167" t="s">
        <v>2304</v>
      </c>
      <c r="B169" s="167" t="s">
        <v>2305</v>
      </c>
      <c r="C169" s="168">
        <v>6</v>
      </c>
      <c r="D169" s="167" t="s">
        <v>291</v>
      </c>
      <c r="E169" s="169" t="s">
        <v>2191</v>
      </c>
      <c r="F169" s="169" t="s">
        <v>417</v>
      </c>
      <c r="G169" s="167"/>
      <c r="H169" s="167"/>
    </row>
    <row r="170" spans="1:8">
      <c r="A170" s="167" t="s">
        <v>2304</v>
      </c>
      <c r="B170" s="167" t="s">
        <v>2305</v>
      </c>
      <c r="C170" s="168">
        <v>7</v>
      </c>
      <c r="D170" s="167" t="s">
        <v>292</v>
      </c>
      <c r="E170" s="169" t="s">
        <v>2191</v>
      </c>
      <c r="F170" s="169" t="s">
        <v>2192</v>
      </c>
      <c r="G170" s="167"/>
      <c r="H170" s="167" t="s">
        <v>2311</v>
      </c>
    </row>
    <row r="171" spans="1:8">
      <c r="A171" s="167" t="s">
        <v>2304</v>
      </c>
      <c r="B171" s="167" t="s">
        <v>2305</v>
      </c>
      <c r="C171" s="168">
        <v>8</v>
      </c>
      <c r="D171" s="167" t="s">
        <v>293</v>
      </c>
      <c r="E171" s="169" t="s">
        <v>2191</v>
      </c>
      <c r="F171" s="169" t="s">
        <v>417</v>
      </c>
      <c r="G171" s="167"/>
      <c r="H171" s="167"/>
    </row>
    <row r="172" spans="1:8">
      <c r="A172" s="167" t="s">
        <v>2304</v>
      </c>
      <c r="B172" s="167" t="s">
        <v>2305</v>
      </c>
      <c r="C172" s="168">
        <v>9</v>
      </c>
      <c r="D172" s="167" t="s">
        <v>294</v>
      </c>
      <c r="E172" s="169" t="s">
        <v>2191</v>
      </c>
      <c r="F172" s="169" t="s">
        <v>417</v>
      </c>
      <c r="G172" s="167"/>
      <c r="H172" s="167"/>
    </row>
    <row r="173" spans="1:8">
      <c r="A173" s="167" t="s">
        <v>2304</v>
      </c>
      <c r="B173" s="167" t="s">
        <v>2305</v>
      </c>
      <c r="C173" s="168">
        <v>10</v>
      </c>
      <c r="D173" s="167" t="s">
        <v>2173</v>
      </c>
      <c r="E173" s="169" t="s">
        <v>2213</v>
      </c>
      <c r="F173" s="169" t="s">
        <v>2192</v>
      </c>
      <c r="G173" s="167"/>
      <c r="H173" s="167" t="s">
        <v>2312</v>
      </c>
    </row>
    <row r="174" spans="1:8">
      <c r="A174" s="167" t="s">
        <v>2304</v>
      </c>
      <c r="B174" s="167" t="s">
        <v>2305</v>
      </c>
      <c r="C174" s="168">
        <v>11</v>
      </c>
      <c r="D174" s="167" t="s">
        <v>2174</v>
      </c>
      <c r="E174" s="169" t="s">
        <v>2213</v>
      </c>
      <c r="F174" s="169" t="s">
        <v>2192</v>
      </c>
      <c r="G174" s="167"/>
      <c r="H174" s="167" t="s">
        <v>2313</v>
      </c>
    </row>
    <row r="175" spans="1:8">
      <c r="A175" s="167" t="s">
        <v>1605</v>
      </c>
      <c r="B175" s="167" t="s">
        <v>2314</v>
      </c>
      <c r="C175" s="168">
        <v>1</v>
      </c>
      <c r="D175" s="167" t="s">
        <v>2112</v>
      </c>
      <c r="E175" s="169" t="s">
        <v>2191</v>
      </c>
      <c r="F175" s="169" t="s">
        <v>2192</v>
      </c>
      <c r="G175" s="167"/>
      <c r="H175" s="167" t="s">
        <v>2315</v>
      </c>
    </row>
    <row r="176" spans="1:8">
      <c r="A176" s="167" t="s">
        <v>1605</v>
      </c>
      <c r="B176" s="167" t="s">
        <v>2314</v>
      </c>
      <c r="C176" s="168">
        <v>2</v>
      </c>
      <c r="D176" s="167" t="s">
        <v>305</v>
      </c>
      <c r="E176" s="169" t="s">
        <v>2191</v>
      </c>
      <c r="F176" s="169" t="s">
        <v>2192</v>
      </c>
      <c r="G176" s="167"/>
      <c r="H176" s="167" t="s">
        <v>2316</v>
      </c>
    </row>
    <row r="177" spans="1:8">
      <c r="A177" s="167" t="s">
        <v>1605</v>
      </c>
      <c r="B177" s="167" t="s">
        <v>2314</v>
      </c>
      <c r="C177" s="168">
        <v>3</v>
      </c>
      <c r="D177" s="167" t="s">
        <v>306</v>
      </c>
      <c r="E177" s="169" t="s">
        <v>2213</v>
      </c>
      <c r="F177" s="169" t="s">
        <v>2192</v>
      </c>
      <c r="G177" s="167"/>
      <c r="H177" s="167"/>
    </row>
    <row r="178" spans="1:8">
      <c r="A178" s="167" t="s">
        <v>1605</v>
      </c>
      <c r="B178" s="167" t="s">
        <v>2314</v>
      </c>
      <c r="C178" s="168">
        <v>4</v>
      </c>
      <c r="D178" s="167" t="s">
        <v>307</v>
      </c>
      <c r="E178" s="169" t="s">
        <v>2191</v>
      </c>
      <c r="F178" s="169" t="s">
        <v>2192</v>
      </c>
      <c r="G178" s="167"/>
      <c r="H178" s="167" t="s">
        <v>2317</v>
      </c>
    </row>
    <row r="179" spans="1:8">
      <c r="A179" s="167" t="s">
        <v>1605</v>
      </c>
      <c r="B179" s="167" t="s">
        <v>2314</v>
      </c>
      <c r="C179" s="168">
        <v>5</v>
      </c>
      <c r="D179" s="167" t="s">
        <v>308</v>
      </c>
      <c r="E179" s="169" t="s">
        <v>2191</v>
      </c>
      <c r="F179" s="169" t="s">
        <v>2192</v>
      </c>
      <c r="G179" s="167"/>
      <c r="H179" s="167"/>
    </row>
    <row r="180" spans="1:8">
      <c r="A180" s="167" t="s">
        <v>1605</v>
      </c>
      <c r="B180" s="167" t="s">
        <v>2314</v>
      </c>
      <c r="C180" s="168">
        <v>6</v>
      </c>
      <c r="D180" s="167" t="s">
        <v>309</v>
      </c>
      <c r="E180" s="169" t="s">
        <v>2191</v>
      </c>
      <c r="F180" s="169" t="s">
        <v>2209</v>
      </c>
      <c r="G180" s="167"/>
      <c r="H180" s="167" t="s">
        <v>2318</v>
      </c>
    </row>
    <row r="181" spans="1:8">
      <c r="A181" s="167" t="s">
        <v>1605</v>
      </c>
      <c r="B181" s="167" t="s">
        <v>2314</v>
      </c>
      <c r="C181" s="168">
        <v>7</v>
      </c>
      <c r="D181" s="167" t="s">
        <v>310</v>
      </c>
      <c r="E181" s="169" t="s">
        <v>2191</v>
      </c>
      <c r="F181" s="169" t="s">
        <v>2192</v>
      </c>
      <c r="G181" s="167" t="s">
        <v>2319</v>
      </c>
      <c r="H181" s="167" t="s">
        <v>2320</v>
      </c>
    </row>
    <row r="182" spans="1:8">
      <c r="A182" s="167" t="s">
        <v>1605</v>
      </c>
      <c r="B182" s="167" t="s">
        <v>2314</v>
      </c>
      <c r="C182" s="168">
        <v>8</v>
      </c>
      <c r="D182" s="167" t="s">
        <v>311</v>
      </c>
      <c r="E182" s="169" t="s">
        <v>2191</v>
      </c>
      <c r="F182" s="169" t="s">
        <v>2192</v>
      </c>
      <c r="G182" s="167"/>
      <c r="H182" s="167" t="s">
        <v>2321</v>
      </c>
    </row>
    <row r="183" spans="1:8">
      <c r="A183" s="167" t="s">
        <v>1605</v>
      </c>
      <c r="B183" s="167" t="s">
        <v>2314</v>
      </c>
      <c r="C183" s="168">
        <v>9</v>
      </c>
      <c r="D183" s="167" t="s">
        <v>2175</v>
      </c>
      <c r="E183" s="169" t="s">
        <v>2213</v>
      </c>
      <c r="F183" s="169" t="s">
        <v>2209</v>
      </c>
      <c r="G183" s="167"/>
      <c r="H183" s="167"/>
    </row>
    <row r="184" spans="1:8">
      <c r="A184" s="167" t="s">
        <v>1605</v>
      </c>
      <c r="B184" s="167" t="s">
        <v>2314</v>
      </c>
      <c r="C184" s="168">
        <v>10</v>
      </c>
      <c r="D184" s="167" t="s">
        <v>312</v>
      </c>
      <c r="E184" s="169" t="s">
        <v>2213</v>
      </c>
      <c r="F184" s="169" t="s">
        <v>2209</v>
      </c>
      <c r="G184" s="167"/>
      <c r="H184" s="167"/>
    </row>
    <row r="185" spans="1:8">
      <c r="A185" s="167" t="s">
        <v>1605</v>
      </c>
      <c r="B185" s="167" t="s">
        <v>2314</v>
      </c>
      <c r="C185" s="168">
        <v>11</v>
      </c>
      <c r="D185" s="167" t="s">
        <v>313</v>
      </c>
      <c r="E185" s="169" t="s">
        <v>2213</v>
      </c>
      <c r="F185" s="169" t="s">
        <v>2209</v>
      </c>
      <c r="G185" s="167"/>
      <c r="H185" s="167"/>
    </row>
    <row r="186" spans="1:8">
      <c r="A186" s="167" t="s">
        <v>1605</v>
      </c>
      <c r="B186" s="167" t="s">
        <v>2314</v>
      </c>
      <c r="C186" s="168">
        <v>12</v>
      </c>
      <c r="D186" s="167" t="s">
        <v>314</v>
      </c>
      <c r="E186" s="169" t="s">
        <v>2213</v>
      </c>
      <c r="F186" s="169" t="s">
        <v>2209</v>
      </c>
      <c r="G186" s="167"/>
      <c r="H186" s="167"/>
    </row>
    <row r="187" spans="1:8">
      <c r="A187" s="167" t="s">
        <v>1605</v>
      </c>
      <c r="B187" s="167" t="s">
        <v>2314</v>
      </c>
      <c r="C187" s="168">
        <v>13</v>
      </c>
      <c r="D187" s="167" t="s">
        <v>315</v>
      </c>
      <c r="E187" s="169" t="s">
        <v>2213</v>
      </c>
      <c r="F187" s="169" t="s">
        <v>2209</v>
      </c>
      <c r="G187" s="167"/>
      <c r="H187" s="167"/>
    </row>
    <row r="188" spans="1:8">
      <c r="A188" s="167" t="s">
        <v>1605</v>
      </c>
      <c r="B188" s="167" t="s">
        <v>2314</v>
      </c>
      <c r="C188" s="168">
        <v>14</v>
      </c>
      <c r="D188" s="167" t="s">
        <v>2176</v>
      </c>
      <c r="E188" s="169" t="s">
        <v>2213</v>
      </c>
      <c r="F188" s="169" t="s">
        <v>2209</v>
      </c>
      <c r="G188" s="167"/>
      <c r="H188" s="167"/>
    </row>
    <row r="189" spans="1:8">
      <c r="A189" s="167" t="s">
        <v>1605</v>
      </c>
      <c r="B189" s="167" t="s">
        <v>2314</v>
      </c>
      <c r="C189" s="168">
        <v>15</v>
      </c>
      <c r="D189" s="167" t="s">
        <v>316</v>
      </c>
      <c r="E189" s="169" t="s">
        <v>2213</v>
      </c>
      <c r="F189" s="169" t="s">
        <v>2209</v>
      </c>
      <c r="G189" s="167"/>
      <c r="H189" s="167" t="s">
        <v>2322</v>
      </c>
    </row>
    <row r="190" spans="1:8">
      <c r="A190" s="167" t="s">
        <v>1605</v>
      </c>
      <c r="B190" s="167" t="s">
        <v>2314</v>
      </c>
      <c r="C190" s="168">
        <v>16</v>
      </c>
      <c r="D190" s="167" t="s">
        <v>317</v>
      </c>
      <c r="E190" s="169" t="s">
        <v>2213</v>
      </c>
      <c r="F190" s="169" t="s">
        <v>2209</v>
      </c>
      <c r="G190" s="167"/>
      <c r="H190" s="167" t="s">
        <v>2323</v>
      </c>
    </row>
    <row r="191" spans="1:8">
      <c r="A191" s="167" t="s">
        <v>1605</v>
      </c>
      <c r="B191" s="167" t="s">
        <v>2314</v>
      </c>
      <c r="C191" s="168">
        <v>17</v>
      </c>
      <c r="D191" s="167" t="s">
        <v>318</v>
      </c>
      <c r="E191" s="169" t="s">
        <v>2213</v>
      </c>
      <c r="F191" s="169" t="s">
        <v>2192</v>
      </c>
      <c r="G191" s="167"/>
      <c r="H191" s="167" t="s">
        <v>2324</v>
      </c>
    </row>
    <row r="192" spans="1:8">
      <c r="A192" s="167" t="s">
        <v>1605</v>
      </c>
      <c r="B192" s="167" t="s">
        <v>2314</v>
      </c>
      <c r="C192" s="168">
        <v>18</v>
      </c>
      <c r="D192" s="167" t="s">
        <v>319</v>
      </c>
      <c r="E192" s="169" t="s">
        <v>2213</v>
      </c>
      <c r="F192" s="169" t="s">
        <v>2192</v>
      </c>
      <c r="G192" s="167"/>
      <c r="H192" s="167" t="s">
        <v>2325</v>
      </c>
    </row>
    <row r="193" spans="1:8">
      <c r="A193" s="167" t="s">
        <v>1605</v>
      </c>
      <c r="B193" s="167" t="s">
        <v>2314</v>
      </c>
      <c r="C193" s="168">
        <v>19</v>
      </c>
      <c r="D193" s="167" t="s">
        <v>320</v>
      </c>
      <c r="E193" s="169" t="s">
        <v>2213</v>
      </c>
      <c r="F193" s="169" t="s">
        <v>417</v>
      </c>
      <c r="G193" s="167" t="s">
        <v>417</v>
      </c>
      <c r="H193" s="167" t="s">
        <v>2326</v>
      </c>
    </row>
    <row r="194" spans="1:8">
      <c r="A194" s="167" t="s">
        <v>1605</v>
      </c>
      <c r="B194" s="167" t="s">
        <v>2314</v>
      </c>
      <c r="C194" s="168">
        <v>20</v>
      </c>
      <c r="D194" s="167" t="s">
        <v>321</v>
      </c>
      <c r="E194" s="169" t="s">
        <v>2213</v>
      </c>
      <c r="F194" s="169" t="s">
        <v>417</v>
      </c>
      <c r="G194" s="167"/>
      <c r="H194" s="167" t="s">
        <v>2327</v>
      </c>
    </row>
    <row r="195" spans="1:8">
      <c r="A195" s="167" t="s">
        <v>1605</v>
      </c>
      <c r="B195" s="167" t="s">
        <v>2314</v>
      </c>
      <c r="C195" s="168">
        <v>21</v>
      </c>
      <c r="D195" s="167" t="s">
        <v>322</v>
      </c>
      <c r="E195" s="169" t="s">
        <v>2191</v>
      </c>
      <c r="F195" s="169" t="s">
        <v>2192</v>
      </c>
      <c r="G195" s="167"/>
      <c r="H195" s="167" t="s">
        <v>2328</v>
      </c>
    </row>
    <row r="196" spans="1:8">
      <c r="A196" s="167" t="s">
        <v>1605</v>
      </c>
      <c r="B196" s="167" t="s">
        <v>2314</v>
      </c>
      <c r="C196" s="168">
        <v>22</v>
      </c>
      <c r="D196" s="167" t="s">
        <v>323</v>
      </c>
      <c r="E196" s="169" t="s">
        <v>2191</v>
      </c>
      <c r="F196" s="169" t="s">
        <v>2192</v>
      </c>
      <c r="G196" s="167" t="s">
        <v>2329</v>
      </c>
      <c r="H196" s="167" t="s">
        <v>2330</v>
      </c>
    </row>
    <row r="197" spans="1:8">
      <c r="A197" s="167" t="s">
        <v>2331</v>
      </c>
      <c r="B197" s="167" t="s">
        <v>2332</v>
      </c>
      <c r="C197" s="168">
        <v>1</v>
      </c>
      <c r="D197" s="167" t="s">
        <v>333</v>
      </c>
      <c r="E197" s="169" t="s">
        <v>2191</v>
      </c>
      <c r="F197" s="169" t="s">
        <v>2192</v>
      </c>
      <c r="G197" s="167"/>
      <c r="H197" s="167"/>
    </row>
    <row r="198" spans="1:8">
      <c r="A198" s="167" t="s">
        <v>2331</v>
      </c>
      <c r="B198" s="167" t="s">
        <v>2332</v>
      </c>
      <c r="C198" s="168">
        <v>2</v>
      </c>
      <c r="D198" s="167" t="s">
        <v>334</v>
      </c>
      <c r="E198" s="169" t="s">
        <v>2213</v>
      </c>
      <c r="F198" s="169" t="s">
        <v>2192</v>
      </c>
      <c r="G198" s="167"/>
      <c r="H198" s="167"/>
    </row>
    <row r="199" spans="1:8">
      <c r="A199" s="167" t="s">
        <v>2331</v>
      </c>
      <c r="B199" s="167" t="s">
        <v>2332</v>
      </c>
      <c r="C199" s="168">
        <v>3</v>
      </c>
      <c r="D199" s="167" t="s">
        <v>335</v>
      </c>
      <c r="E199" s="169" t="s">
        <v>2191</v>
      </c>
      <c r="F199" s="169" t="s">
        <v>2192</v>
      </c>
      <c r="G199" s="167" t="s">
        <v>2333</v>
      </c>
      <c r="H199" s="167"/>
    </row>
    <row r="200" spans="1:8">
      <c r="A200" s="167" t="s">
        <v>2331</v>
      </c>
      <c r="B200" s="167" t="s">
        <v>2332</v>
      </c>
      <c r="C200" s="168">
        <v>4</v>
      </c>
      <c r="D200" s="167" t="s">
        <v>336</v>
      </c>
      <c r="E200" s="169" t="s">
        <v>2191</v>
      </c>
      <c r="F200" s="169" t="s">
        <v>2192</v>
      </c>
      <c r="G200" s="167"/>
      <c r="H200" s="167"/>
    </row>
    <row r="201" spans="1:8">
      <c r="A201" s="167" t="s">
        <v>2331</v>
      </c>
      <c r="B201" s="167" t="s">
        <v>2332</v>
      </c>
      <c r="C201" s="168">
        <v>5</v>
      </c>
      <c r="D201" s="167" t="s">
        <v>337</v>
      </c>
      <c r="E201" s="169" t="s">
        <v>2191</v>
      </c>
      <c r="F201" s="169" t="s">
        <v>2192</v>
      </c>
      <c r="G201" s="167"/>
      <c r="H201" s="167"/>
    </row>
    <row r="202" spans="1:8" ht="22.8">
      <c r="A202" s="167" t="s">
        <v>2331</v>
      </c>
      <c r="B202" s="167" t="s">
        <v>2332</v>
      </c>
      <c r="C202" s="168">
        <v>6</v>
      </c>
      <c r="D202" s="167" t="s">
        <v>338</v>
      </c>
      <c r="E202" s="169" t="s">
        <v>2191</v>
      </c>
      <c r="F202" s="169" t="s">
        <v>2192</v>
      </c>
      <c r="G202" s="167" t="s">
        <v>2334</v>
      </c>
      <c r="H202" s="167"/>
    </row>
    <row r="203" spans="1:8">
      <c r="A203" s="167" t="s">
        <v>2331</v>
      </c>
      <c r="B203" s="167" t="s">
        <v>2332</v>
      </c>
      <c r="C203" s="168">
        <v>7</v>
      </c>
      <c r="D203" s="167" t="s">
        <v>339</v>
      </c>
      <c r="E203" s="169" t="s">
        <v>2191</v>
      </c>
      <c r="F203" s="169" t="s">
        <v>2192</v>
      </c>
      <c r="G203" s="167"/>
      <c r="H203" s="167"/>
    </row>
    <row r="204" spans="1:8" ht="22.8">
      <c r="A204" s="167" t="s">
        <v>2331</v>
      </c>
      <c r="B204" s="167" t="s">
        <v>2332</v>
      </c>
      <c r="C204" s="168">
        <v>8</v>
      </c>
      <c r="D204" s="167" t="s">
        <v>340</v>
      </c>
      <c r="E204" s="169" t="s">
        <v>2191</v>
      </c>
      <c r="F204" s="169" t="s">
        <v>2192</v>
      </c>
      <c r="G204" s="167"/>
      <c r="H204" s="167"/>
    </row>
    <row r="205" spans="1:8">
      <c r="A205" s="167" t="s">
        <v>2331</v>
      </c>
      <c r="B205" s="167" t="s">
        <v>2332</v>
      </c>
      <c r="C205" s="168">
        <v>9</v>
      </c>
      <c r="D205" s="167" t="s">
        <v>341</v>
      </c>
      <c r="E205" s="169" t="s">
        <v>2191</v>
      </c>
      <c r="F205" s="169" t="s">
        <v>2192</v>
      </c>
      <c r="G205" s="167"/>
      <c r="H205" s="167"/>
    </row>
    <row r="206" spans="1:8">
      <c r="A206" s="167" t="s">
        <v>2331</v>
      </c>
      <c r="B206" s="167" t="s">
        <v>2332</v>
      </c>
      <c r="C206" s="168">
        <v>10</v>
      </c>
      <c r="D206" s="167" t="s">
        <v>342</v>
      </c>
      <c r="E206" s="169" t="s">
        <v>2191</v>
      </c>
      <c r="F206" s="169" t="s">
        <v>2192</v>
      </c>
      <c r="G206" s="167"/>
      <c r="H206" s="167"/>
    </row>
    <row r="207" spans="1:8">
      <c r="A207" s="167" t="s">
        <v>2331</v>
      </c>
      <c r="B207" s="167" t="s">
        <v>2332</v>
      </c>
      <c r="C207" s="168">
        <v>11</v>
      </c>
      <c r="D207" s="167" t="s">
        <v>343</v>
      </c>
      <c r="E207" s="169" t="s">
        <v>2191</v>
      </c>
      <c r="F207" s="169" t="s">
        <v>2192</v>
      </c>
      <c r="G207" s="167"/>
      <c r="H207" s="167"/>
    </row>
    <row r="208" spans="1:8" ht="22.8">
      <c r="A208" s="167" t="s">
        <v>2331</v>
      </c>
      <c r="B208" s="167" t="s">
        <v>2332</v>
      </c>
      <c r="C208" s="168">
        <v>12</v>
      </c>
      <c r="D208" s="167" t="s">
        <v>344</v>
      </c>
      <c r="E208" s="169" t="s">
        <v>2191</v>
      </c>
      <c r="F208" s="169" t="s">
        <v>2192</v>
      </c>
      <c r="G208" s="167"/>
      <c r="H208" s="167"/>
    </row>
    <row r="209" spans="1:8">
      <c r="A209" s="167" t="s">
        <v>2331</v>
      </c>
      <c r="B209" s="167" t="s">
        <v>2332</v>
      </c>
      <c r="C209" s="168">
        <v>13</v>
      </c>
      <c r="D209" s="167" t="s">
        <v>345</v>
      </c>
      <c r="E209" s="169" t="s">
        <v>2191</v>
      </c>
      <c r="F209" s="169" t="s">
        <v>417</v>
      </c>
      <c r="G209" s="167" t="s">
        <v>417</v>
      </c>
      <c r="H209" s="167"/>
    </row>
    <row r="210" spans="1:8">
      <c r="A210" s="167" t="s">
        <v>2331</v>
      </c>
      <c r="B210" s="167" t="s">
        <v>2332</v>
      </c>
      <c r="C210" s="168">
        <v>14</v>
      </c>
      <c r="D210" s="167" t="s">
        <v>346</v>
      </c>
      <c r="E210" s="169" t="s">
        <v>2213</v>
      </c>
      <c r="F210" s="169" t="s">
        <v>2192</v>
      </c>
      <c r="G210" s="167"/>
      <c r="H210" s="167"/>
    </row>
    <row r="211" spans="1:8">
      <c r="A211" s="167" t="s">
        <v>364</v>
      </c>
      <c r="B211" s="167" t="s">
        <v>2335</v>
      </c>
      <c r="C211" s="168">
        <v>1</v>
      </c>
      <c r="D211" s="167" t="s">
        <v>33</v>
      </c>
      <c r="E211" s="169" t="s">
        <v>2191</v>
      </c>
      <c r="F211" s="169" t="s">
        <v>2192</v>
      </c>
      <c r="G211" s="167" t="s">
        <v>2336</v>
      </c>
      <c r="H211" s="167"/>
    </row>
    <row r="212" spans="1:8">
      <c r="A212" s="167" t="s">
        <v>364</v>
      </c>
      <c r="B212" s="167" t="s">
        <v>2335</v>
      </c>
      <c r="C212" s="168">
        <v>2</v>
      </c>
      <c r="D212" s="167" t="s">
        <v>354</v>
      </c>
      <c r="E212" s="169" t="s">
        <v>2191</v>
      </c>
      <c r="F212" s="169" t="s">
        <v>2192</v>
      </c>
      <c r="G212" s="167" t="s">
        <v>2337</v>
      </c>
      <c r="H212" s="167"/>
    </row>
    <row r="213" spans="1:8">
      <c r="A213" s="167" t="s">
        <v>364</v>
      </c>
      <c r="B213" s="167" t="s">
        <v>2335</v>
      </c>
      <c r="C213" s="168">
        <v>3</v>
      </c>
      <c r="D213" s="167" t="s">
        <v>355</v>
      </c>
      <c r="E213" s="169" t="s">
        <v>2191</v>
      </c>
      <c r="F213" s="169" t="s">
        <v>2192</v>
      </c>
      <c r="G213" s="167"/>
      <c r="H213" s="167"/>
    </row>
    <row r="214" spans="1:8">
      <c r="A214" s="167" t="s">
        <v>364</v>
      </c>
      <c r="B214" s="167" t="s">
        <v>2335</v>
      </c>
      <c r="C214" s="168">
        <v>4</v>
      </c>
      <c r="D214" s="167" t="s">
        <v>356</v>
      </c>
      <c r="E214" s="169" t="s">
        <v>2191</v>
      </c>
      <c r="F214" s="169" t="s">
        <v>2192</v>
      </c>
      <c r="G214" s="167"/>
      <c r="H214" s="167"/>
    </row>
    <row r="215" spans="1:8">
      <c r="A215" s="167" t="s">
        <v>364</v>
      </c>
      <c r="B215" s="167" t="s">
        <v>2335</v>
      </c>
      <c r="C215" s="168">
        <v>5</v>
      </c>
      <c r="D215" s="167" t="s">
        <v>357</v>
      </c>
      <c r="E215" s="169" t="s">
        <v>2191</v>
      </c>
      <c r="F215" s="169" t="s">
        <v>2192</v>
      </c>
      <c r="G215" s="167"/>
      <c r="H215" s="167"/>
    </row>
    <row r="216" spans="1:8">
      <c r="A216" s="167" t="s">
        <v>364</v>
      </c>
      <c r="B216" s="167" t="s">
        <v>2335</v>
      </c>
      <c r="C216" s="168">
        <v>6</v>
      </c>
      <c r="D216" s="167" t="s">
        <v>358</v>
      </c>
      <c r="E216" s="169" t="s">
        <v>2191</v>
      </c>
      <c r="F216" s="169" t="s">
        <v>2192</v>
      </c>
      <c r="G216" s="167"/>
      <c r="H216" s="167"/>
    </row>
    <row r="217" spans="1:8">
      <c r="A217" s="167" t="s">
        <v>364</v>
      </c>
      <c r="B217" s="167" t="s">
        <v>2335</v>
      </c>
      <c r="C217" s="168">
        <v>7</v>
      </c>
      <c r="D217" s="167" t="s">
        <v>279</v>
      </c>
      <c r="E217" s="169" t="s">
        <v>2191</v>
      </c>
      <c r="F217" s="169" t="s">
        <v>2192</v>
      </c>
      <c r="G217" s="167"/>
      <c r="H217" s="167"/>
    </row>
    <row r="218" spans="1:8">
      <c r="A218" s="167" t="s">
        <v>364</v>
      </c>
      <c r="B218" s="167" t="s">
        <v>2335</v>
      </c>
      <c r="C218" s="168">
        <v>8</v>
      </c>
      <c r="D218" s="167" t="s">
        <v>359</v>
      </c>
      <c r="E218" s="169" t="s">
        <v>2191</v>
      </c>
      <c r="F218" s="169" t="s">
        <v>2192</v>
      </c>
      <c r="G218" s="167"/>
      <c r="H218" s="167"/>
    </row>
    <row r="219" spans="1:8">
      <c r="A219" s="167" t="s">
        <v>364</v>
      </c>
      <c r="B219" s="167" t="s">
        <v>2335</v>
      </c>
      <c r="C219" s="168">
        <v>9</v>
      </c>
      <c r="D219" s="167" t="s">
        <v>360</v>
      </c>
      <c r="E219" s="169" t="s">
        <v>2191</v>
      </c>
      <c r="F219" s="169" t="s">
        <v>2192</v>
      </c>
      <c r="G219" s="167"/>
      <c r="H219" s="167"/>
    </row>
    <row r="220" spans="1:8">
      <c r="A220" s="167" t="s">
        <v>364</v>
      </c>
      <c r="B220" s="167" t="s">
        <v>2335</v>
      </c>
      <c r="C220" s="168">
        <v>10</v>
      </c>
      <c r="D220" s="167" t="s">
        <v>361</v>
      </c>
      <c r="E220" s="169" t="s">
        <v>2191</v>
      </c>
      <c r="F220" s="169" t="s">
        <v>417</v>
      </c>
      <c r="G220" s="167" t="s">
        <v>417</v>
      </c>
      <c r="H220" s="167"/>
    </row>
    <row r="221" spans="1:8">
      <c r="A221" s="167" t="s">
        <v>364</v>
      </c>
      <c r="B221" s="167" t="s">
        <v>2335</v>
      </c>
      <c r="C221" s="168">
        <v>11</v>
      </c>
      <c r="D221" s="167" t="s">
        <v>362</v>
      </c>
      <c r="E221" s="169" t="s">
        <v>2213</v>
      </c>
      <c r="F221" s="169" t="s">
        <v>417</v>
      </c>
      <c r="G221" s="167"/>
      <c r="H221" s="167"/>
    </row>
    <row r="222" spans="1:8">
      <c r="A222" s="167" t="s">
        <v>364</v>
      </c>
      <c r="B222" s="167" t="s">
        <v>2335</v>
      </c>
      <c r="C222" s="168">
        <v>12</v>
      </c>
      <c r="D222" s="167" t="s">
        <v>346</v>
      </c>
      <c r="E222" s="169" t="s">
        <v>2213</v>
      </c>
      <c r="F222" s="169" t="s">
        <v>2192</v>
      </c>
      <c r="G222" s="167"/>
      <c r="H222" s="167"/>
    </row>
    <row r="223" spans="1:8">
      <c r="A223" s="167" t="s">
        <v>364</v>
      </c>
      <c r="B223" s="167" t="s">
        <v>2335</v>
      </c>
      <c r="C223" s="168">
        <v>13</v>
      </c>
      <c r="D223" s="167" t="s">
        <v>363</v>
      </c>
      <c r="E223" s="169" t="s">
        <v>2191</v>
      </c>
      <c r="F223" s="169" t="s">
        <v>2192</v>
      </c>
      <c r="G223" s="167"/>
      <c r="H223" s="167"/>
    </row>
    <row r="224" spans="1:8">
      <c r="A224" s="167" t="s">
        <v>2338</v>
      </c>
      <c r="B224" s="167" t="s">
        <v>2339</v>
      </c>
      <c r="C224" s="168">
        <v>1</v>
      </c>
      <c r="D224" s="167" t="s">
        <v>2112</v>
      </c>
      <c r="E224" s="169" t="s">
        <v>2191</v>
      </c>
      <c r="F224" s="169" t="s">
        <v>2192</v>
      </c>
      <c r="G224" s="167"/>
      <c r="H224" s="167" t="s">
        <v>2340</v>
      </c>
    </row>
    <row r="225" spans="1:8">
      <c r="A225" s="167" t="s">
        <v>2338</v>
      </c>
      <c r="B225" s="167" t="s">
        <v>2339</v>
      </c>
      <c r="C225" s="168">
        <v>2</v>
      </c>
      <c r="D225" s="167" t="s">
        <v>2145</v>
      </c>
      <c r="E225" s="169" t="s">
        <v>2191</v>
      </c>
      <c r="F225" s="169" t="s">
        <v>417</v>
      </c>
      <c r="G225" s="167"/>
      <c r="H225" s="167" t="s">
        <v>2341</v>
      </c>
    </row>
    <row r="226" spans="1:8">
      <c r="A226" s="167" t="s">
        <v>2338</v>
      </c>
      <c r="B226" s="167" t="s">
        <v>2339</v>
      </c>
      <c r="C226" s="168">
        <v>3</v>
      </c>
      <c r="D226" s="167" t="s">
        <v>461</v>
      </c>
      <c r="E226" s="169" t="s">
        <v>2191</v>
      </c>
      <c r="F226" s="169" t="s">
        <v>2209</v>
      </c>
      <c r="G226" s="167"/>
      <c r="H226" s="167" t="s">
        <v>2342</v>
      </c>
    </row>
    <row r="227" spans="1:8">
      <c r="A227" s="167" t="s">
        <v>2338</v>
      </c>
      <c r="B227" s="167" t="s">
        <v>2339</v>
      </c>
      <c r="C227" s="168">
        <v>4</v>
      </c>
      <c r="D227" s="167" t="s">
        <v>1711</v>
      </c>
      <c r="E227" s="169" t="s">
        <v>2191</v>
      </c>
      <c r="F227" s="169" t="s">
        <v>2192</v>
      </c>
      <c r="G227" s="167"/>
      <c r="H227" s="167" t="s">
        <v>2343</v>
      </c>
    </row>
    <row r="228" spans="1:8">
      <c r="A228" s="167" t="s">
        <v>2344</v>
      </c>
      <c r="B228" s="167" t="s">
        <v>2345</v>
      </c>
      <c r="C228" s="168">
        <v>1</v>
      </c>
      <c r="D228" s="167" t="s">
        <v>1741</v>
      </c>
      <c r="E228" s="169" t="s">
        <v>2191</v>
      </c>
      <c r="F228" s="169" t="s">
        <v>2192</v>
      </c>
      <c r="G228" s="167"/>
      <c r="H228" s="167" t="s">
        <v>2346</v>
      </c>
    </row>
    <row r="229" spans="1:8">
      <c r="A229" s="167" t="s">
        <v>2344</v>
      </c>
      <c r="B229" s="167" t="s">
        <v>2345</v>
      </c>
      <c r="C229" s="168">
        <v>2</v>
      </c>
      <c r="D229" s="167" t="s">
        <v>20</v>
      </c>
      <c r="E229" s="169" t="s">
        <v>2191</v>
      </c>
      <c r="F229" s="169" t="s">
        <v>2192</v>
      </c>
      <c r="G229" s="167"/>
      <c r="H229" s="167" t="s">
        <v>2347</v>
      </c>
    </row>
    <row r="230" spans="1:8">
      <c r="A230" s="167" t="s">
        <v>2344</v>
      </c>
      <c r="B230" s="167" t="s">
        <v>2345</v>
      </c>
      <c r="C230" s="168">
        <v>3</v>
      </c>
      <c r="D230" s="167" t="s">
        <v>1742</v>
      </c>
      <c r="E230" s="169" t="s">
        <v>2191</v>
      </c>
      <c r="F230" s="169" t="s">
        <v>2192</v>
      </c>
      <c r="G230" s="167"/>
      <c r="H230" s="167"/>
    </row>
    <row r="231" spans="1:8">
      <c r="A231" s="167" t="s">
        <v>2344</v>
      </c>
      <c r="B231" s="167" t="s">
        <v>2345</v>
      </c>
      <c r="C231" s="168">
        <v>4</v>
      </c>
      <c r="D231" s="167" t="s">
        <v>1743</v>
      </c>
      <c r="E231" s="169" t="s">
        <v>2191</v>
      </c>
      <c r="F231" s="169" t="s">
        <v>2192</v>
      </c>
      <c r="G231" s="167"/>
      <c r="H231" s="167"/>
    </row>
    <row r="232" spans="1:8">
      <c r="A232" s="167" t="s">
        <v>2344</v>
      </c>
      <c r="B232" s="167" t="s">
        <v>2345</v>
      </c>
      <c r="C232" s="168">
        <v>5</v>
      </c>
      <c r="D232" s="167" t="s">
        <v>1744</v>
      </c>
      <c r="E232" s="169" t="s">
        <v>2191</v>
      </c>
      <c r="F232" s="169" t="s">
        <v>2192</v>
      </c>
      <c r="G232" s="167"/>
      <c r="H232" s="167"/>
    </row>
    <row r="233" spans="1:8">
      <c r="A233" s="167" t="s">
        <v>2344</v>
      </c>
      <c r="B233" s="167" t="s">
        <v>2345</v>
      </c>
      <c r="C233" s="168">
        <v>6</v>
      </c>
      <c r="D233" s="167" t="s">
        <v>1745</v>
      </c>
      <c r="E233" s="169" t="s">
        <v>2191</v>
      </c>
      <c r="F233" s="169" t="s">
        <v>2192</v>
      </c>
      <c r="G233" s="167"/>
      <c r="H233" s="167"/>
    </row>
    <row r="234" spans="1:8">
      <c r="A234" s="167" t="s">
        <v>2344</v>
      </c>
      <c r="B234" s="167" t="s">
        <v>2345</v>
      </c>
      <c r="C234" s="168">
        <v>7</v>
      </c>
      <c r="D234" s="167" t="s">
        <v>1746</v>
      </c>
      <c r="E234" s="169" t="s">
        <v>2191</v>
      </c>
      <c r="F234" s="169" t="s">
        <v>2192</v>
      </c>
      <c r="G234" s="167"/>
      <c r="H234" s="167" t="s">
        <v>2348</v>
      </c>
    </row>
    <row r="235" spans="1:8">
      <c r="A235" s="167" t="s">
        <v>2344</v>
      </c>
      <c r="B235" s="167" t="s">
        <v>2345</v>
      </c>
      <c r="C235" s="168">
        <v>8</v>
      </c>
      <c r="D235" s="167" t="s">
        <v>1747</v>
      </c>
      <c r="E235" s="169" t="s">
        <v>2213</v>
      </c>
      <c r="F235" s="169" t="s">
        <v>2209</v>
      </c>
      <c r="G235" s="167"/>
      <c r="H235" s="167"/>
    </row>
    <row r="236" spans="1:8">
      <c r="A236" s="167" t="s">
        <v>2344</v>
      </c>
      <c r="B236" s="167" t="s">
        <v>2345</v>
      </c>
      <c r="C236" s="168">
        <v>9</v>
      </c>
      <c r="D236" s="167" t="s">
        <v>1748</v>
      </c>
      <c r="E236" s="169" t="s">
        <v>2191</v>
      </c>
      <c r="F236" s="169" t="s">
        <v>2209</v>
      </c>
      <c r="G236" s="167" t="s">
        <v>2210</v>
      </c>
      <c r="H236" s="167" t="s">
        <v>2349</v>
      </c>
    </row>
    <row r="237" spans="1:8">
      <c r="A237" s="167" t="s">
        <v>2344</v>
      </c>
      <c r="B237" s="167" t="s">
        <v>2345</v>
      </c>
      <c r="C237" s="168">
        <v>10</v>
      </c>
      <c r="D237" s="167" t="s">
        <v>1749</v>
      </c>
      <c r="E237" s="169" t="s">
        <v>2213</v>
      </c>
      <c r="F237" s="169" t="s">
        <v>2192</v>
      </c>
      <c r="G237" s="167"/>
      <c r="H237" s="167"/>
    </row>
    <row r="238" spans="1:8">
      <c r="A238" s="167" t="s">
        <v>2344</v>
      </c>
      <c r="B238" s="167" t="s">
        <v>2345</v>
      </c>
      <c r="C238" s="168">
        <v>11</v>
      </c>
      <c r="D238" s="167" t="s">
        <v>614</v>
      </c>
      <c r="E238" s="169" t="s">
        <v>2191</v>
      </c>
      <c r="F238" s="169" t="s">
        <v>2192</v>
      </c>
      <c r="G238" s="167"/>
      <c r="H238" s="167" t="s">
        <v>2350</v>
      </c>
    </row>
    <row r="239" spans="1:8">
      <c r="A239" s="167" t="s">
        <v>2344</v>
      </c>
      <c r="B239" s="167" t="s">
        <v>2345</v>
      </c>
      <c r="C239" s="168">
        <v>12</v>
      </c>
      <c r="D239" s="167" t="s">
        <v>1675</v>
      </c>
      <c r="E239" s="169" t="s">
        <v>2191</v>
      </c>
      <c r="F239" s="169" t="s">
        <v>2192</v>
      </c>
      <c r="G239" s="167"/>
      <c r="H239" s="167" t="s">
        <v>2351</v>
      </c>
    </row>
    <row r="240" spans="1:8">
      <c r="A240" s="167" t="s">
        <v>2344</v>
      </c>
      <c r="B240" s="167" t="s">
        <v>2345</v>
      </c>
      <c r="C240" s="168">
        <v>13</v>
      </c>
      <c r="D240" s="167" t="s">
        <v>759</v>
      </c>
      <c r="E240" s="169" t="s">
        <v>2191</v>
      </c>
      <c r="F240" s="169" t="s">
        <v>2192</v>
      </c>
      <c r="G240" s="167"/>
      <c r="H240" s="167" t="s">
        <v>2352</v>
      </c>
    </row>
    <row r="241" spans="1:8">
      <c r="A241" s="167" t="s">
        <v>2344</v>
      </c>
      <c r="B241" s="167" t="s">
        <v>2345</v>
      </c>
      <c r="C241" s="168">
        <v>14</v>
      </c>
      <c r="D241" s="167" t="s">
        <v>1684</v>
      </c>
      <c r="E241" s="169" t="s">
        <v>2191</v>
      </c>
      <c r="F241" s="169" t="s">
        <v>2192</v>
      </c>
      <c r="G241" s="167"/>
      <c r="H241" s="167" t="s">
        <v>2353</v>
      </c>
    </row>
    <row r="242" spans="1:8">
      <c r="A242" s="167" t="s">
        <v>2344</v>
      </c>
      <c r="B242" s="167" t="s">
        <v>2345</v>
      </c>
      <c r="C242" s="168">
        <v>15</v>
      </c>
      <c r="D242" s="167" t="s">
        <v>1750</v>
      </c>
      <c r="E242" s="169" t="s">
        <v>2191</v>
      </c>
      <c r="F242" s="169" t="s">
        <v>2192</v>
      </c>
      <c r="G242" s="167"/>
      <c r="H242" s="167" t="s">
        <v>2354</v>
      </c>
    </row>
    <row r="243" spans="1:8">
      <c r="A243" s="167" t="s">
        <v>2344</v>
      </c>
      <c r="B243" s="167" t="s">
        <v>2345</v>
      </c>
      <c r="C243" s="168">
        <v>16</v>
      </c>
      <c r="D243" s="167" t="s">
        <v>1751</v>
      </c>
      <c r="E243" s="169" t="s">
        <v>2213</v>
      </c>
      <c r="F243" s="169" t="s">
        <v>2355</v>
      </c>
      <c r="G243" s="167"/>
      <c r="H243" s="167" t="s">
        <v>2356</v>
      </c>
    </row>
    <row r="244" spans="1:8">
      <c r="A244" s="167" t="s">
        <v>2344</v>
      </c>
      <c r="B244" s="167" t="s">
        <v>2345</v>
      </c>
      <c r="C244" s="168">
        <v>17</v>
      </c>
      <c r="D244" s="167" t="s">
        <v>33</v>
      </c>
      <c r="E244" s="169" t="s">
        <v>2213</v>
      </c>
      <c r="F244" s="169" t="s">
        <v>2209</v>
      </c>
      <c r="G244" s="167"/>
      <c r="H244" s="167" t="s">
        <v>2357</v>
      </c>
    </row>
    <row r="245" spans="1:8">
      <c r="A245" s="167" t="s">
        <v>2344</v>
      </c>
      <c r="B245" s="167" t="s">
        <v>2345</v>
      </c>
      <c r="C245" s="168">
        <v>18</v>
      </c>
      <c r="D245" s="167" t="s">
        <v>606</v>
      </c>
      <c r="E245" s="169" t="s">
        <v>2213</v>
      </c>
      <c r="F245" s="169" t="s">
        <v>2192</v>
      </c>
      <c r="G245" s="167"/>
      <c r="H245" s="167"/>
    </row>
    <row r="246" spans="1:8">
      <c r="A246" s="167" t="s">
        <v>2344</v>
      </c>
      <c r="B246" s="167" t="s">
        <v>2345</v>
      </c>
      <c r="C246" s="168">
        <v>19</v>
      </c>
      <c r="D246" s="167" t="s">
        <v>623</v>
      </c>
      <c r="E246" s="169" t="s">
        <v>2213</v>
      </c>
      <c r="F246" s="169" t="s">
        <v>2209</v>
      </c>
      <c r="G246" s="167"/>
      <c r="H246" s="167" t="s">
        <v>2358</v>
      </c>
    </row>
    <row r="247" spans="1:8" ht="22.8">
      <c r="A247" s="167" t="s">
        <v>2344</v>
      </c>
      <c r="B247" s="167" t="s">
        <v>2345</v>
      </c>
      <c r="C247" s="168">
        <v>20</v>
      </c>
      <c r="D247" s="167" t="s">
        <v>319</v>
      </c>
      <c r="E247" s="169" t="s">
        <v>2213</v>
      </c>
      <c r="F247" s="169" t="s">
        <v>2192</v>
      </c>
      <c r="G247" s="167"/>
      <c r="H247" s="167" t="s">
        <v>2359</v>
      </c>
    </row>
    <row r="248" spans="1:8">
      <c r="A248" s="167" t="s">
        <v>2344</v>
      </c>
      <c r="B248" s="167" t="s">
        <v>2345</v>
      </c>
      <c r="C248" s="168">
        <v>21</v>
      </c>
      <c r="D248" s="167" t="s">
        <v>665</v>
      </c>
      <c r="E248" s="169" t="s">
        <v>2213</v>
      </c>
      <c r="F248" s="169" t="s">
        <v>2209</v>
      </c>
      <c r="G248" s="167"/>
      <c r="H248" s="167" t="s">
        <v>2360</v>
      </c>
    </row>
    <row r="249" spans="1:8">
      <c r="A249" s="167" t="s">
        <v>2344</v>
      </c>
      <c r="B249" s="167" t="s">
        <v>2345</v>
      </c>
      <c r="C249" s="168">
        <v>22</v>
      </c>
      <c r="D249" s="167" t="s">
        <v>1752</v>
      </c>
      <c r="E249" s="169" t="s">
        <v>2191</v>
      </c>
      <c r="F249" s="169" t="s">
        <v>2192</v>
      </c>
      <c r="G249" s="167"/>
      <c r="H249" s="167"/>
    </row>
    <row r="250" spans="1:8">
      <c r="A250" s="167" t="s">
        <v>2344</v>
      </c>
      <c r="B250" s="167" t="s">
        <v>2345</v>
      </c>
      <c r="C250" s="168">
        <v>23</v>
      </c>
      <c r="D250" s="167" t="s">
        <v>1753</v>
      </c>
      <c r="E250" s="169" t="s">
        <v>2191</v>
      </c>
      <c r="F250" s="169" t="s">
        <v>2192</v>
      </c>
      <c r="G250" s="167"/>
      <c r="H250" s="167"/>
    </row>
    <row r="251" spans="1:8">
      <c r="A251" s="167" t="s">
        <v>2344</v>
      </c>
      <c r="B251" s="167" t="s">
        <v>2345</v>
      </c>
      <c r="C251" s="168">
        <v>24</v>
      </c>
      <c r="D251" s="167" t="s">
        <v>1754</v>
      </c>
      <c r="E251" s="169" t="s">
        <v>2191</v>
      </c>
      <c r="F251" s="169" t="s">
        <v>2192</v>
      </c>
      <c r="G251" s="167"/>
      <c r="H251" s="167"/>
    </row>
    <row r="252" spans="1:8">
      <c r="A252" s="167" t="s">
        <v>2344</v>
      </c>
      <c r="B252" s="167" t="s">
        <v>2345</v>
      </c>
      <c r="C252" s="168">
        <v>25</v>
      </c>
      <c r="D252" s="167" t="s">
        <v>3</v>
      </c>
      <c r="E252" s="169" t="s">
        <v>2191</v>
      </c>
      <c r="F252" s="169" t="s">
        <v>2192</v>
      </c>
      <c r="G252" s="167"/>
      <c r="H252" s="167"/>
    </row>
    <row r="253" spans="1:8">
      <c r="A253" s="167" t="s">
        <v>2344</v>
      </c>
      <c r="B253" s="167" t="s">
        <v>2345</v>
      </c>
      <c r="C253" s="168">
        <v>26</v>
      </c>
      <c r="D253" s="167" t="s">
        <v>291</v>
      </c>
      <c r="E253" s="169" t="s">
        <v>2191</v>
      </c>
      <c r="F253" s="169" t="s">
        <v>417</v>
      </c>
      <c r="G253" s="167"/>
      <c r="H253" s="167"/>
    </row>
    <row r="254" spans="1:8">
      <c r="A254" s="167" t="s">
        <v>2344</v>
      </c>
      <c r="B254" s="167" t="s">
        <v>2345</v>
      </c>
      <c r="C254" s="168">
        <v>27</v>
      </c>
      <c r="D254" s="167" t="s">
        <v>1755</v>
      </c>
      <c r="E254" s="169" t="s">
        <v>2213</v>
      </c>
      <c r="F254" s="169" t="s">
        <v>2209</v>
      </c>
      <c r="G254" s="167"/>
      <c r="H254" s="167"/>
    </row>
    <row r="255" spans="1:8">
      <c r="A255" s="167" t="s">
        <v>2344</v>
      </c>
      <c r="B255" s="167" t="s">
        <v>2345</v>
      </c>
      <c r="C255" s="168">
        <v>28</v>
      </c>
      <c r="D255" s="167" t="s">
        <v>1756</v>
      </c>
      <c r="E255" s="169" t="s">
        <v>2213</v>
      </c>
      <c r="F255" s="169" t="s">
        <v>2209</v>
      </c>
      <c r="G255" s="167"/>
      <c r="H255" s="167"/>
    </row>
    <row r="256" spans="1:8">
      <c r="A256" s="167" t="s">
        <v>2344</v>
      </c>
      <c r="B256" s="167" t="s">
        <v>2345</v>
      </c>
      <c r="C256" s="168">
        <v>29</v>
      </c>
      <c r="D256" s="167" t="s">
        <v>60</v>
      </c>
      <c r="E256" s="169" t="s">
        <v>2213</v>
      </c>
      <c r="F256" s="169" t="s">
        <v>2209</v>
      </c>
      <c r="G256" s="167"/>
      <c r="H256" s="167"/>
    </row>
    <row r="257" spans="1:8">
      <c r="A257" s="167" t="s">
        <v>2653</v>
      </c>
      <c r="B257" s="167" t="s">
        <v>2361</v>
      </c>
      <c r="C257" s="168">
        <v>1</v>
      </c>
      <c r="D257" s="167" t="s">
        <v>79</v>
      </c>
      <c r="E257" s="169" t="s">
        <v>2191</v>
      </c>
      <c r="F257" s="169" t="s">
        <v>2192</v>
      </c>
      <c r="G257" s="167"/>
      <c r="H257" s="167" t="s">
        <v>2362</v>
      </c>
    </row>
    <row r="258" spans="1:8">
      <c r="A258" s="167" t="s">
        <v>2653</v>
      </c>
      <c r="B258" s="167" t="s">
        <v>2361</v>
      </c>
      <c r="C258" s="168">
        <v>2</v>
      </c>
      <c r="D258" s="167" t="s">
        <v>417</v>
      </c>
      <c r="E258" s="169" t="s">
        <v>2191</v>
      </c>
      <c r="F258" s="169" t="s">
        <v>417</v>
      </c>
      <c r="G258" s="167"/>
      <c r="H258" s="167"/>
    </row>
    <row r="259" spans="1:8">
      <c r="A259" s="167" t="s">
        <v>2653</v>
      </c>
      <c r="B259" s="167" t="s">
        <v>2361</v>
      </c>
      <c r="C259" s="168">
        <v>3</v>
      </c>
      <c r="D259" s="167" t="s">
        <v>276</v>
      </c>
      <c r="E259" s="169" t="s">
        <v>2191</v>
      </c>
      <c r="F259" s="169" t="s">
        <v>2192</v>
      </c>
      <c r="G259" s="167"/>
      <c r="H259" s="167"/>
    </row>
    <row r="260" spans="1:8">
      <c r="A260" s="167" t="s">
        <v>2653</v>
      </c>
      <c r="B260" s="167" t="s">
        <v>2361</v>
      </c>
      <c r="C260" s="168">
        <v>4</v>
      </c>
      <c r="D260" s="167" t="s">
        <v>1764</v>
      </c>
      <c r="E260" s="169" t="s">
        <v>2191</v>
      </c>
      <c r="F260" s="169" t="s">
        <v>2192</v>
      </c>
      <c r="G260" s="167"/>
      <c r="H260" s="167"/>
    </row>
    <row r="261" spans="1:8">
      <c r="A261" s="167" t="s">
        <v>2653</v>
      </c>
      <c r="B261" s="167" t="s">
        <v>2361</v>
      </c>
      <c r="C261" s="168">
        <v>5</v>
      </c>
      <c r="D261" s="167" t="s">
        <v>354</v>
      </c>
      <c r="E261" s="169" t="s">
        <v>2191</v>
      </c>
      <c r="F261" s="169" t="s">
        <v>2192</v>
      </c>
      <c r="G261" s="167"/>
      <c r="H261" s="167"/>
    </row>
    <row r="262" spans="1:8">
      <c r="A262" s="167" t="s">
        <v>2653</v>
      </c>
      <c r="B262" s="167" t="s">
        <v>2361</v>
      </c>
      <c r="C262" s="168">
        <v>6</v>
      </c>
      <c r="D262" s="167" t="s">
        <v>1765</v>
      </c>
      <c r="E262" s="169" t="s">
        <v>2213</v>
      </c>
      <c r="F262" s="169" t="s">
        <v>2209</v>
      </c>
      <c r="G262" s="167"/>
      <c r="H262" s="167"/>
    </row>
    <row r="263" spans="1:8">
      <c r="A263" s="167" t="s">
        <v>2653</v>
      </c>
      <c r="B263" s="167" t="s">
        <v>2361</v>
      </c>
      <c r="C263" s="168">
        <v>7</v>
      </c>
      <c r="D263" s="167" t="s">
        <v>1766</v>
      </c>
      <c r="E263" s="169" t="s">
        <v>2213</v>
      </c>
      <c r="F263" s="169" t="s">
        <v>2209</v>
      </c>
      <c r="G263" s="167"/>
      <c r="H263" s="167"/>
    </row>
    <row r="264" spans="1:8">
      <c r="A264" s="167" t="s">
        <v>2653</v>
      </c>
      <c r="B264" s="167" t="s">
        <v>2361</v>
      </c>
      <c r="C264" s="168">
        <v>8</v>
      </c>
      <c r="D264" s="167" t="s">
        <v>1767</v>
      </c>
      <c r="E264" s="169" t="s">
        <v>2213</v>
      </c>
      <c r="F264" s="169" t="s">
        <v>2209</v>
      </c>
      <c r="G264" s="167"/>
      <c r="H264" s="167"/>
    </row>
    <row r="265" spans="1:8">
      <c r="A265" s="167" t="s">
        <v>2653</v>
      </c>
      <c r="B265" s="167" t="s">
        <v>2361</v>
      </c>
      <c r="C265" s="168">
        <v>9</v>
      </c>
      <c r="D265" s="167" t="s">
        <v>1768</v>
      </c>
      <c r="E265" s="169" t="s">
        <v>2213</v>
      </c>
      <c r="F265" s="169" t="s">
        <v>2209</v>
      </c>
      <c r="G265" s="167"/>
      <c r="H265" s="167"/>
    </row>
    <row r="266" spans="1:8">
      <c r="A266" s="167" t="s">
        <v>2653</v>
      </c>
      <c r="B266" s="167" t="s">
        <v>2361</v>
      </c>
      <c r="C266" s="168">
        <v>10</v>
      </c>
      <c r="D266" s="167" t="s">
        <v>1717</v>
      </c>
      <c r="E266" s="169" t="s">
        <v>2213</v>
      </c>
      <c r="F266" s="169" t="s">
        <v>2209</v>
      </c>
      <c r="G266" s="167"/>
      <c r="H266" s="167"/>
    </row>
    <row r="267" spans="1:8">
      <c r="A267" s="167" t="s">
        <v>2653</v>
      </c>
      <c r="B267" s="167" t="s">
        <v>2361</v>
      </c>
      <c r="C267" s="168">
        <v>11</v>
      </c>
      <c r="D267" s="167" t="s">
        <v>1769</v>
      </c>
      <c r="E267" s="169" t="s">
        <v>2213</v>
      </c>
      <c r="F267" s="169" t="s">
        <v>2209</v>
      </c>
      <c r="G267" s="167"/>
      <c r="H267" s="167"/>
    </row>
    <row r="268" spans="1:8">
      <c r="A268" s="167" t="s">
        <v>2653</v>
      </c>
      <c r="B268" s="167" t="s">
        <v>2361</v>
      </c>
      <c r="C268" s="168">
        <v>12</v>
      </c>
      <c r="D268" s="167" t="s">
        <v>1770</v>
      </c>
      <c r="E268" s="169" t="s">
        <v>2213</v>
      </c>
      <c r="F268" s="169" t="s">
        <v>2209</v>
      </c>
      <c r="G268" s="167"/>
      <c r="H268" s="167"/>
    </row>
    <row r="269" spans="1:8">
      <c r="A269" s="167" t="s">
        <v>2653</v>
      </c>
      <c r="B269" s="167" t="s">
        <v>2361</v>
      </c>
      <c r="C269" s="168">
        <v>13</v>
      </c>
      <c r="D269" s="167" t="s">
        <v>1751</v>
      </c>
      <c r="E269" s="169" t="s">
        <v>2213</v>
      </c>
      <c r="F269" s="169" t="s">
        <v>2355</v>
      </c>
      <c r="G269" s="167"/>
      <c r="H269" s="167" t="s">
        <v>2363</v>
      </c>
    </row>
    <row r="270" spans="1:8">
      <c r="A270" s="167" t="s">
        <v>2653</v>
      </c>
      <c r="B270" s="167" t="s">
        <v>2361</v>
      </c>
      <c r="C270" s="168">
        <v>14</v>
      </c>
      <c r="D270" s="167" t="s">
        <v>319</v>
      </c>
      <c r="E270" s="169" t="s">
        <v>2213</v>
      </c>
      <c r="F270" s="169" t="s">
        <v>2192</v>
      </c>
      <c r="G270" s="167"/>
      <c r="H270" s="167" t="s">
        <v>2364</v>
      </c>
    </row>
    <row r="271" spans="1:8">
      <c r="A271" s="167" t="s">
        <v>2653</v>
      </c>
      <c r="B271" s="167" t="s">
        <v>2361</v>
      </c>
      <c r="C271" s="168">
        <v>15</v>
      </c>
      <c r="D271" s="167" t="s">
        <v>1771</v>
      </c>
      <c r="E271" s="169" t="s">
        <v>2213</v>
      </c>
      <c r="F271" s="169" t="s">
        <v>2192</v>
      </c>
      <c r="G271" s="167"/>
      <c r="H271" s="167"/>
    </row>
    <row r="272" spans="1:8">
      <c r="A272" s="167" t="s">
        <v>2365</v>
      </c>
      <c r="B272" s="167" t="s">
        <v>2366</v>
      </c>
      <c r="C272" s="168">
        <v>1</v>
      </c>
      <c r="D272" s="167" t="s">
        <v>79</v>
      </c>
      <c r="E272" s="169" t="s">
        <v>2191</v>
      </c>
      <c r="F272" s="169" t="s">
        <v>2192</v>
      </c>
      <c r="G272" s="167"/>
      <c r="H272" s="167" t="s">
        <v>2654</v>
      </c>
    </row>
    <row r="273" spans="1:8">
      <c r="A273" s="167" t="s">
        <v>2365</v>
      </c>
      <c r="B273" s="167" t="s">
        <v>2366</v>
      </c>
      <c r="C273" s="168">
        <v>2</v>
      </c>
      <c r="D273" s="167" t="s">
        <v>20</v>
      </c>
      <c r="E273" s="169" t="s">
        <v>2191</v>
      </c>
      <c r="F273" s="169" t="s">
        <v>2192</v>
      </c>
      <c r="G273" s="167"/>
      <c r="H273" s="167" t="s">
        <v>2367</v>
      </c>
    </row>
    <row r="274" spans="1:8">
      <c r="A274" s="167" t="s">
        <v>2365</v>
      </c>
      <c r="B274" s="167" t="s">
        <v>2366</v>
      </c>
      <c r="C274" s="168">
        <v>3</v>
      </c>
      <c r="D274" s="167" t="s">
        <v>1742</v>
      </c>
      <c r="E274" s="169" t="s">
        <v>2191</v>
      </c>
      <c r="F274" s="169" t="s">
        <v>2192</v>
      </c>
      <c r="G274" s="167"/>
      <c r="H274" s="167"/>
    </row>
    <row r="275" spans="1:8">
      <c r="A275" s="167" t="s">
        <v>2365</v>
      </c>
      <c r="B275" s="167" t="s">
        <v>2366</v>
      </c>
      <c r="C275" s="168">
        <v>4</v>
      </c>
      <c r="D275" s="167" t="s">
        <v>1727</v>
      </c>
      <c r="E275" s="169" t="s">
        <v>2191</v>
      </c>
      <c r="F275" s="169" t="s">
        <v>2192</v>
      </c>
      <c r="G275" s="167"/>
      <c r="H275" s="167"/>
    </row>
    <row r="276" spans="1:8">
      <c r="A276" s="167" t="s">
        <v>2365</v>
      </c>
      <c r="B276" s="167" t="s">
        <v>2366</v>
      </c>
      <c r="C276" s="168">
        <v>5</v>
      </c>
      <c r="D276" s="167" t="s">
        <v>416</v>
      </c>
      <c r="E276" s="169" t="s">
        <v>2191</v>
      </c>
      <c r="F276" s="169" t="s">
        <v>2192</v>
      </c>
      <c r="G276" s="167"/>
      <c r="H276" s="167"/>
    </row>
    <row r="277" spans="1:8">
      <c r="A277" s="167" t="s">
        <v>2365</v>
      </c>
      <c r="B277" s="167" t="s">
        <v>2366</v>
      </c>
      <c r="C277" s="168">
        <v>6</v>
      </c>
      <c r="D277" s="167" t="s">
        <v>1746</v>
      </c>
      <c r="E277" s="169" t="s">
        <v>2191</v>
      </c>
      <c r="F277" s="169" t="s">
        <v>2192</v>
      </c>
      <c r="G277" s="167"/>
      <c r="H277" s="167"/>
    </row>
    <row r="278" spans="1:8">
      <c r="A278" s="167" t="s">
        <v>2365</v>
      </c>
      <c r="B278" s="167" t="s">
        <v>2366</v>
      </c>
      <c r="C278" s="168">
        <v>7</v>
      </c>
      <c r="D278" s="167" t="s">
        <v>1700</v>
      </c>
      <c r="E278" s="169" t="s">
        <v>2191</v>
      </c>
      <c r="F278" s="169" t="s">
        <v>2192</v>
      </c>
      <c r="G278" s="167"/>
      <c r="H278" s="167" t="s">
        <v>2368</v>
      </c>
    </row>
    <row r="279" spans="1:8">
      <c r="A279" s="167" t="s">
        <v>2365</v>
      </c>
      <c r="B279" s="167" t="s">
        <v>2366</v>
      </c>
      <c r="C279" s="168">
        <v>8</v>
      </c>
      <c r="D279" s="167" t="s">
        <v>69</v>
      </c>
      <c r="E279" s="169" t="s">
        <v>2191</v>
      </c>
      <c r="F279" s="169" t="s">
        <v>2192</v>
      </c>
      <c r="G279" s="167"/>
      <c r="H279" s="167" t="s">
        <v>2369</v>
      </c>
    </row>
    <row r="280" spans="1:8">
      <c r="A280" s="167" t="s">
        <v>2365</v>
      </c>
      <c r="B280" s="167" t="s">
        <v>2366</v>
      </c>
      <c r="C280" s="168">
        <v>9</v>
      </c>
      <c r="D280" s="167" t="s">
        <v>1758</v>
      </c>
      <c r="E280" s="169" t="s">
        <v>2191</v>
      </c>
      <c r="F280" s="169" t="s">
        <v>2192</v>
      </c>
      <c r="G280" s="167"/>
      <c r="H280" s="167" t="s">
        <v>2370</v>
      </c>
    </row>
    <row r="281" spans="1:8">
      <c r="A281" s="167" t="s">
        <v>2365</v>
      </c>
      <c r="B281" s="167" t="s">
        <v>2366</v>
      </c>
      <c r="C281" s="168">
        <v>10</v>
      </c>
      <c r="D281" s="167" t="s">
        <v>1702</v>
      </c>
      <c r="E281" s="169" t="s">
        <v>2213</v>
      </c>
      <c r="F281" s="169" t="s">
        <v>2209</v>
      </c>
      <c r="G281" s="167"/>
      <c r="H281" s="167" t="s">
        <v>2371</v>
      </c>
    </row>
    <row r="282" spans="1:8">
      <c r="A282" s="167" t="s">
        <v>2365</v>
      </c>
      <c r="B282" s="167" t="s">
        <v>2366</v>
      </c>
      <c r="C282" s="168">
        <v>11</v>
      </c>
      <c r="D282" s="167" t="s">
        <v>1747</v>
      </c>
      <c r="E282" s="169" t="s">
        <v>2213</v>
      </c>
      <c r="F282" s="169" t="s">
        <v>2209</v>
      </c>
      <c r="G282" s="167"/>
      <c r="H282" s="167" t="s">
        <v>2372</v>
      </c>
    </row>
    <row r="283" spans="1:8">
      <c r="A283" s="167" t="s">
        <v>2365</v>
      </c>
      <c r="B283" s="167" t="s">
        <v>2366</v>
      </c>
      <c r="C283" s="168">
        <v>12</v>
      </c>
      <c r="D283" s="167" t="s">
        <v>414</v>
      </c>
      <c r="E283" s="169" t="s">
        <v>2213</v>
      </c>
      <c r="F283" s="169" t="s">
        <v>2192</v>
      </c>
      <c r="G283" s="167"/>
      <c r="H283" s="167" t="s">
        <v>2373</v>
      </c>
    </row>
    <row r="284" spans="1:8">
      <c r="A284" s="167" t="s">
        <v>2365</v>
      </c>
      <c r="B284" s="167" t="s">
        <v>2366</v>
      </c>
      <c r="C284" s="168">
        <v>13</v>
      </c>
      <c r="D284" s="167" t="s">
        <v>276</v>
      </c>
      <c r="E284" s="169" t="s">
        <v>2213</v>
      </c>
      <c r="F284" s="169" t="s">
        <v>2192</v>
      </c>
      <c r="G284" s="167"/>
      <c r="H284" s="167"/>
    </row>
    <row r="285" spans="1:8">
      <c r="A285" s="167" t="s">
        <v>2365</v>
      </c>
      <c r="B285" s="167" t="s">
        <v>2366</v>
      </c>
      <c r="C285" s="168">
        <v>14</v>
      </c>
      <c r="D285" s="167" t="s">
        <v>417</v>
      </c>
      <c r="E285" s="169" t="s">
        <v>2213</v>
      </c>
      <c r="F285" s="169" t="s">
        <v>417</v>
      </c>
      <c r="G285" s="167"/>
      <c r="H285" s="167"/>
    </row>
    <row r="286" spans="1:8">
      <c r="A286" s="167" t="s">
        <v>2365</v>
      </c>
      <c r="B286" s="167" t="s">
        <v>2366</v>
      </c>
      <c r="C286" s="168">
        <v>15</v>
      </c>
      <c r="D286" s="167" t="s">
        <v>1759</v>
      </c>
      <c r="E286" s="169" t="s">
        <v>2191</v>
      </c>
      <c r="F286" s="169" t="s">
        <v>2192</v>
      </c>
      <c r="G286" s="167"/>
      <c r="H286" s="167" t="s">
        <v>2374</v>
      </c>
    </row>
    <row r="287" spans="1:8">
      <c r="A287" s="167" t="s">
        <v>2365</v>
      </c>
      <c r="B287" s="167" t="s">
        <v>2366</v>
      </c>
      <c r="C287" s="168">
        <v>16</v>
      </c>
      <c r="D287" s="167" t="s">
        <v>1760</v>
      </c>
      <c r="E287" s="169" t="s">
        <v>2191</v>
      </c>
      <c r="F287" s="169" t="s">
        <v>2192</v>
      </c>
      <c r="G287" s="167"/>
      <c r="H287" s="167" t="s">
        <v>2375</v>
      </c>
    </row>
    <row r="288" spans="1:8">
      <c r="A288" s="167" t="s">
        <v>2365</v>
      </c>
      <c r="B288" s="167" t="s">
        <v>2366</v>
      </c>
      <c r="C288" s="168">
        <v>17</v>
      </c>
      <c r="D288" s="167" t="s">
        <v>1761</v>
      </c>
      <c r="E288" s="169" t="s">
        <v>2191</v>
      </c>
      <c r="F288" s="169" t="s">
        <v>2192</v>
      </c>
      <c r="G288" s="167"/>
      <c r="H288" s="167" t="s">
        <v>2376</v>
      </c>
    </row>
    <row r="289" spans="1:8">
      <c r="A289" s="167" t="s">
        <v>2365</v>
      </c>
      <c r="B289" s="167" t="s">
        <v>2366</v>
      </c>
      <c r="C289" s="168">
        <v>18</v>
      </c>
      <c r="D289" s="167" t="s">
        <v>3</v>
      </c>
      <c r="E289" s="169" t="s">
        <v>2191</v>
      </c>
      <c r="F289" s="169" t="s">
        <v>2192</v>
      </c>
      <c r="G289" s="167"/>
      <c r="H289" s="167"/>
    </row>
    <row r="290" spans="1:8">
      <c r="A290" s="167" t="s">
        <v>2365</v>
      </c>
      <c r="B290" s="167" t="s">
        <v>2366</v>
      </c>
      <c r="C290" s="168">
        <v>19</v>
      </c>
      <c r="D290" s="167" t="s">
        <v>291</v>
      </c>
      <c r="E290" s="169" t="s">
        <v>2191</v>
      </c>
      <c r="F290" s="169" t="s">
        <v>417</v>
      </c>
      <c r="G290" s="167"/>
      <c r="H290" s="167"/>
    </row>
    <row r="291" spans="1:8">
      <c r="A291" s="167" t="s">
        <v>2365</v>
      </c>
      <c r="B291" s="167" t="s">
        <v>2366</v>
      </c>
      <c r="C291" s="168">
        <v>20</v>
      </c>
      <c r="D291" s="167" t="s">
        <v>339</v>
      </c>
      <c r="E291" s="169" t="s">
        <v>2191</v>
      </c>
      <c r="F291" s="169" t="s">
        <v>2192</v>
      </c>
      <c r="G291" s="167"/>
      <c r="H291" s="167" t="s">
        <v>2377</v>
      </c>
    </row>
    <row r="292" spans="1:8">
      <c r="A292" s="167" t="s">
        <v>2365</v>
      </c>
      <c r="B292" s="167" t="s">
        <v>2366</v>
      </c>
      <c r="C292" s="168">
        <v>21</v>
      </c>
      <c r="D292" s="167" t="s">
        <v>57</v>
      </c>
      <c r="E292" s="169" t="s">
        <v>2213</v>
      </c>
      <c r="F292" s="169" t="s">
        <v>2192</v>
      </c>
      <c r="G292" s="167"/>
      <c r="H292" s="167" t="s">
        <v>2378</v>
      </c>
    </row>
    <row r="293" spans="1:8">
      <c r="A293" s="167" t="s">
        <v>2365</v>
      </c>
      <c r="B293" s="167" t="s">
        <v>2366</v>
      </c>
      <c r="C293" s="168">
        <v>22</v>
      </c>
      <c r="D293" s="167" t="s">
        <v>1755</v>
      </c>
      <c r="E293" s="169" t="s">
        <v>2213</v>
      </c>
      <c r="F293" s="169" t="s">
        <v>2209</v>
      </c>
      <c r="G293" s="167"/>
      <c r="H293" s="167"/>
    </row>
    <row r="294" spans="1:8">
      <c r="A294" s="167" t="s">
        <v>2653</v>
      </c>
      <c r="B294" s="167" t="s">
        <v>2379</v>
      </c>
      <c r="C294" s="168">
        <v>1</v>
      </c>
      <c r="D294" s="167" t="s">
        <v>661</v>
      </c>
      <c r="E294" s="169" t="s">
        <v>2213</v>
      </c>
      <c r="F294" s="169" t="s">
        <v>2209</v>
      </c>
      <c r="G294" s="167"/>
      <c r="H294" s="167"/>
    </row>
    <row r="295" spans="1:8">
      <c r="A295" s="167" t="s">
        <v>2653</v>
      </c>
      <c r="B295" s="167" t="s">
        <v>2379</v>
      </c>
      <c r="C295" s="168">
        <v>2</v>
      </c>
      <c r="D295" s="167" t="s">
        <v>283</v>
      </c>
      <c r="E295" s="169" t="s">
        <v>2213</v>
      </c>
      <c r="F295" s="169" t="s">
        <v>2192</v>
      </c>
      <c r="G295" s="167"/>
      <c r="H295" s="167"/>
    </row>
    <row r="296" spans="1:8">
      <c r="A296" s="167" t="s">
        <v>2653</v>
      </c>
      <c r="B296" s="167" t="s">
        <v>2379</v>
      </c>
      <c r="C296" s="168">
        <v>3</v>
      </c>
      <c r="D296" s="167" t="s">
        <v>188</v>
      </c>
      <c r="E296" s="169" t="s">
        <v>2213</v>
      </c>
      <c r="F296" s="169" t="s">
        <v>2209</v>
      </c>
      <c r="G296" s="167"/>
      <c r="H296" s="167"/>
    </row>
    <row r="297" spans="1:8">
      <c r="A297" s="167" t="s">
        <v>2653</v>
      </c>
      <c r="B297" s="167" t="s">
        <v>2379</v>
      </c>
      <c r="C297" s="168">
        <v>4</v>
      </c>
      <c r="D297" s="167" t="s">
        <v>453</v>
      </c>
      <c r="E297" s="169" t="s">
        <v>2213</v>
      </c>
      <c r="F297" s="169" t="s">
        <v>2209</v>
      </c>
      <c r="G297" s="167"/>
      <c r="H297" s="167"/>
    </row>
    <row r="298" spans="1:8">
      <c r="A298" s="167" t="s">
        <v>2653</v>
      </c>
      <c r="B298" s="167" t="s">
        <v>2379</v>
      </c>
      <c r="C298" s="168">
        <v>5</v>
      </c>
      <c r="D298" s="167" t="s">
        <v>425</v>
      </c>
      <c r="E298" s="169" t="s">
        <v>2213</v>
      </c>
      <c r="F298" s="169" t="s">
        <v>2209</v>
      </c>
      <c r="G298" s="167"/>
      <c r="H298" s="167"/>
    </row>
    <row r="299" spans="1:8">
      <c r="A299" s="167" t="s">
        <v>2653</v>
      </c>
      <c r="B299" s="167" t="s">
        <v>2379</v>
      </c>
      <c r="C299" s="168">
        <v>6</v>
      </c>
      <c r="D299" s="167" t="s">
        <v>428</v>
      </c>
      <c r="E299" s="169" t="s">
        <v>2213</v>
      </c>
      <c r="F299" s="169" t="s">
        <v>2209</v>
      </c>
      <c r="G299" s="167"/>
      <c r="H299" s="167"/>
    </row>
    <row r="300" spans="1:8">
      <c r="A300" s="167" t="s">
        <v>2653</v>
      </c>
      <c r="B300" s="167" t="s">
        <v>2379</v>
      </c>
      <c r="C300" s="168">
        <v>7</v>
      </c>
      <c r="D300" s="167" t="s">
        <v>444</v>
      </c>
      <c r="E300" s="169" t="s">
        <v>2213</v>
      </c>
      <c r="F300" s="169" t="s">
        <v>2209</v>
      </c>
      <c r="G300" s="167"/>
      <c r="H300" s="167"/>
    </row>
    <row r="301" spans="1:8">
      <c r="A301" s="167" t="s">
        <v>2653</v>
      </c>
      <c r="B301" s="167" t="s">
        <v>2379</v>
      </c>
      <c r="C301" s="168">
        <v>8</v>
      </c>
      <c r="D301" s="167" t="s">
        <v>662</v>
      </c>
      <c r="E301" s="169" t="s">
        <v>2213</v>
      </c>
      <c r="F301" s="169" t="s">
        <v>2209</v>
      </c>
      <c r="G301" s="167"/>
      <c r="H301" s="167"/>
    </row>
    <row r="302" spans="1:8">
      <c r="A302" s="167" t="s">
        <v>2653</v>
      </c>
      <c r="B302" s="167" t="s">
        <v>2379</v>
      </c>
      <c r="C302" s="168">
        <v>9</v>
      </c>
      <c r="D302" s="167" t="s">
        <v>663</v>
      </c>
      <c r="E302" s="169" t="s">
        <v>2213</v>
      </c>
      <c r="F302" s="169" t="s">
        <v>2209</v>
      </c>
      <c r="G302" s="167"/>
      <c r="H302" s="167"/>
    </row>
    <row r="303" spans="1:8">
      <c r="A303" s="167" t="s">
        <v>2653</v>
      </c>
      <c r="B303" s="167" t="s">
        <v>2379</v>
      </c>
      <c r="C303" s="168">
        <v>10</v>
      </c>
      <c r="D303" s="167" t="s">
        <v>664</v>
      </c>
      <c r="E303" s="169" t="s">
        <v>2213</v>
      </c>
      <c r="F303" s="169" t="s">
        <v>2209</v>
      </c>
      <c r="G303" s="167"/>
      <c r="H303" s="167"/>
    </row>
    <row r="304" spans="1:8">
      <c r="A304" s="167" t="s">
        <v>2653</v>
      </c>
      <c r="B304" s="167" t="s">
        <v>2379</v>
      </c>
      <c r="C304" s="168">
        <v>11</v>
      </c>
      <c r="D304" s="167" t="s">
        <v>665</v>
      </c>
      <c r="E304" s="169" t="s">
        <v>2213</v>
      </c>
      <c r="F304" s="169" t="s">
        <v>2192</v>
      </c>
      <c r="G304" s="167"/>
      <c r="H304" s="167"/>
    </row>
    <row r="305" spans="1:8">
      <c r="A305" s="167" t="s">
        <v>2653</v>
      </c>
      <c r="B305" s="167" t="s">
        <v>2379</v>
      </c>
      <c r="C305" s="168">
        <v>12</v>
      </c>
      <c r="D305" s="167" t="s">
        <v>666</v>
      </c>
      <c r="E305" s="169" t="s">
        <v>2213</v>
      </c>
      <c r="F305" s="169" t="s">
        <v>2209</v>
      </c>
      <c r="G305" s="167"/>
      <c r="H305" s="167"/>
    </row>
    <row r="306" spans="1:8">
      <c r="A306" s="167" t="s">
        <v>2653</v>
      </c>
      <c r="B306" s="167" t="s">
        <v>2379</v>
      </c>
      <c r="C306" s="168">
        <v>13</v>
      </c>
      <c r="D306" s="167" t="s">
        <v>667</v>
      </c>
      <c r="E306" s="169" t="s">
        <v>2213</v>
      </c>
      <c r="F306" s="169" t="s">
        <v>417</v>
      </c>
      <c r="G306" s="167"/>
      <c r="H306" s="167"/>
    </row>
    <row r="307" spans="1:8">
      <c r="A307" s="167" t="s">
        <v>2653</v>
      </c>
      <c r="B307" s="167" t="s">
        <v>2379</v>
      </c>
      <c r="C307" s="168">
        <v>14</v>
      </c>
      <c r="D307" s="167" t="s">
        <v>668</v>
      </c>
      <c r="E307" s="169" t="s">
        <v>2213</v>
      </c>
      <c r="F307" s="169" t="s">
        <v>2355</v>
      </c>
      <c r="G307" s="167"/>
      <c r="H307" s="167"/>
    </row>
    <row r="308" spans="1:8">
      <c r="A308" s="167" t="s">
        <v>2653</v>
      </c>
      <c r="B308" s="167" t="s">
        <v>2379</v>
      </c>
      <c r="C308" s="168">
        <v>15</v>
      </c>
      <c r="D308" s="167" t="s">
        <v>669</v>
      </c>
      <c r="E308" s="169" t="s">
        <v>2213</v>
      </c>
      <c r="F308" s="169" t="s">
        <v>417</v>
      </c>
      <c r="G308" s="167"/>
      <c r="H308" s="167"/>
    </row>
    <row r="309" spans="1:8">
      <c r="A309" s="167" t="s">
        <v>2653</v>
      </c>
      <c r="B309" s="167" t="s">
        <v>2379</v>
      </c>
      <c r="C309" s="168">
        <v>16</v>
      </c>
      <c r="D309" s="167" t="s">
        <v>319</v>
      </c>
      <c r="E309" s="169" t="s">
        <v>2213</v>
      </c>
      <c r="F309" s="169" t="s">
        <v>2192</v>
      </c>
      <c r="G309" s="167"/>
      <c r="H309" s="167"/>
    </row>
    <row r="310" spans="1:8">
      <c r="A310" s="167" t="s">
        <v>2653</v>
      </c>
      <c r="B310" s="167" t="s">
        <v>2379</v>
      </c>
      <c r="C310" s="168">
        <v>17</v>
      </c>
      <c r="D310" s="167" t="s">
        <v>670</v>
      </c>
      <c r="E310" s="169" t="s">
        <v>2213</v>
      </c>
      <c r="F310" s="169" t="s">
        <v>2192</v>
      </c>
      <c r="G310" s="167"/>
      <c r="H310" s="167"/>
    </row>
    <row r="311" spans="1:8">
      <c r="A311" s="167" t="s">
        <v>2653</v>
      </c>
      <c r="B311" s="167" t="s">
        <v>2379</v>
      </c>
      <c r="C311" s="168">
        <v>18</v>
      </c>
      <c r="D311" s="167" t="s">
        <v>671</v>
      </c>
      <c r="E311" s="169" t="s">
        <v>2191</v>
      </c>
      <c r="F311" s="169" t="s">
        <v>2192</v>
      </c>
      <c r="G311" s="167"/>
      <c r="H311" s="167"/>
    </row>
    <row r="312" spans="1:8">
      <c r="A312" s="167" t="s">
        <v>2380</v>
      </c>
      <c r="B312" s="167" t="s">
        <v>2381</v>
      </c>
      <c r="C312" s="168">
        <v>1</v>
      </c>
      <c r="D312" s="167" t="s">
        <v>417</v>
      </c>
      <c r="E312" s="169" t="s">
        <v>2191</v>
      </c>
      <c r="F312" s="169" t="s">
        <v>417</v>
      </c>
      <c r="G312" s="167" t="s">
        <v>417</v>
      </c>
      <c r="H312" s="167" t="s">
        <v>2382</v>
      </c>
    </row>
    <row r="313" spans="1:8">
      <c r="A313" s="167" t="s">
        <v>2380</v>
      </c>
      <c r="B313" s="167" t="s">
        <v>2381</v>
      </c>
      <c r="C313" s="168">
        <v>2</v>
      </c>
      <c r="D313" s="167" t="s">
        <v>4</v>
      </c>
      <c r="E313" s="169" t="s">
        <v>2191</v>
      </c>
      <c r="F313" s="169" t="s">
        <v>2192</v>
      </c>
      <c r="G313" s="167"/>
      <c r="H313" s="167" t="s">
        <v>2383</v>
      </c>
    </row>
    <row r="314" spans="1:8">
      <c r="A314" s="167" t="s">
        <v>2380</v>
      </c>
      <c r="B314" s="167" t="s">
        <v>2381</v>
      </c>
      <c r="C314" s="168">
        <v>3</v>
      </c>
      <c r="D314" s="167" t="s">
        <v>576</v>
      </c>
      <c r="E314" s="169" t="s">
        <v>2191</v>
      </c>
      <c r="F314" s="169" t="s">
        <v>2192</v>
      </c>
      <c r="G314" s="167"/>
      <c r="H314" s="167" t="s">
        <v>2384</v>
      </c>
    </row>
    <row r="315" spans="1:8">
      <c r="A315" s="167" t="s">
        <v>2380</v>
      </c>
      <c r="B315" s="167" t="s">
        <v>2381</v>
      </c>
      <c r="C315" s="168">
        <v>4</v>
      </c>
      <c r="D315" s="167" t="s">
        <v>577</v>
      </c>
      <c r="E315" s="169" t="s">
        <v>2191</v>
      </c>
      <c r="F315" s="169" t="s">
        <v>2192</v>
      </c>
      <c r="G315" s="167"/>
      <c r="H315" s="167" t="s">
        <v>2385</v>
      </c>
    </row>
    <row r="316" spans="1:8">
      <c r="A316" s="167" t="s">
        <v>2380</v>
      </c>
      <c r="B316" s="167" t="s">
        <v>2381</v>
      </c>
      <c r="C316" s="168">
        <v>5</v>
      </c>
      <c r="D316" s="167" t="s">
        <v>578</v>
      </c>
      <c r="E316" s="169" t="s">
        <v>2191</v>
      </c>
      <c r="F316" s="169" t="s">
        <v>2192</v>
      </c>
      <c r="G316" s="167"/>
      <c r="H316" s="167"/>
    </row>
    <row r="317" spans="1:8">
      <c r="A317" s="167" t="s">
        <v>2380</v>
      </c>
      <c r="B317" s="167" t="s">
        <v>2381</v>
      </c>
      <c r="C317" s="168">
        <v>6</v>
      </c>
      <c r="D317" s="167" t="s">
        <v>579</v>
      </c>
      <c r="E317" s="169" t="s">
        <v>2191</v>
      </c>
      <c r="F317" s="169" t="s">
        <v>2192</v>
      </c>
      <c r="G317" s="167"/>
      <c r="H317" s="167"/>
    </row>
    <row r="318" spans="1:8">
      <c r="A318" s="167" t="s">
        <v>2380</v>
      </c>
      <c r="B318" s="167" t="s">
        <v>2381</v>
      </c>
      <c r="C318" s="168">
        <v>7</v>
      </c>
      <c r="D318" s="167" t="s">
        <v>580</v>
      </c>
      <c r="E318" s="169" t="s">
        <v>2191</v>
      </c>
      <c r="F318" s="169" t="s">
        <v>2192</v>
      </c>
      <c r="G318" s="167"/>
      <c r="H318" s="167" t="s">
        <v>2386</v>
      </c>
    </row>
    <row r="319" spans="1:8">
      <c r="A319" s="167" t="s">
        <v>2380</v>
      </c>
      <c r="B319" s="167" t="s">
        <v>2381</v>
      </c>
      <c r="C319" s="168">
        <v>8</v>
      </c>
      <c r="D319" s="167" t="s">
        <v>581</v>
      </c>
      <c r="E319" s="169" t="s">
        <v>2191</v>
      </c>
      <c r="F319" s="169" t="s">
        <v>417</v>
      </c>
      <c r="G319" s="167" t="s">
        <v>417</v>
      </c>
      <c r="H319" s="167"/>
    </row>
    <row r="320" spans="1:8">
      <c r="A320" s="167" t="s">
        <v>2380</v>
      </c>
      <c r="B320" s="167" t="s">
        <v>2381</v>
      </c>
      <c r="C320" s="168">
        <v>9</v>
      </c>
      <c r="D320" s="167" t="s">
        <v>582</v>
      </c>
      <c r="E320" s="169" t="s">
        <v>2191</v>
      </c>
      <c r="F320" s="169" t="s">
        <v>2192</v>
      </c>
      <c r="G320" s="167"/>
      <c r="H320" s="167"/>
    </row>
  </sheetData>
  <mergeCells count="2">
    <mergeCell ref="A1:H1"/>
    <mergeCell ref="A2:H2"/>
  </mergeCells>
  <pageMargins left="0.7" right="0.7" top="0.75" bottom="0.75" header="0.3" footer="0.3"/>
  <pageSetup paperSize="9" scale="5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16</vt:i4>
      </vt:variant>
      <vt:variant>
        <vt:lpstr>Intervalos com Nome</vt:lpstr>
      </vt:variant>
      <vt:variant>
        <vt:i4>79</vt:i4>
      </vt:variant>
    </vt:vector>
  </HeadingPairs>
  <TitlesOfParts>
    <vt:vector size="95" baseType="lpstr">
      <vt:lpstr>00_LEIA-ME</vt:lpstr>
      <vt:lpstr>Riscos</vt:lpstr>
      <vt:lpstr>Oportunidades</vt:lpstr>
      <vt:lpstr>Painel</vt:lpstr>
      <vt:lpstr>Planos</vt:lpstr>
      <vt:lpstr>KRI</vt:lpstr>
      <vt:lpstr>KRI_Coletas</vt:lpstr>
      <vt:lpstr>BowTie</vt:lpstr>
      <vt:lpstr>Monitoramento</vt:lpstr>
      <vt:lpstr>Politica_Apetite</vt:lpstr>
      <vt:lpstr>Maturidade_Auditoria</vt:lpstr>
      <vt:lpstr>Maturidade_Registro</vt:lpstr>
      <vt:lpstr>Auditoria_Registro</vt:lpstr>
      <vt:lpstr>Critérios</vt:lpstr>
      <vt:lpstr>Histórico</vt:lpstr>
      <vt:lpstr>Dicionário_Dados</vt:lpstr>
      <vt:lpstr>AcaoOport</vt:lpstr>
      <vt:lpstr>AcaoRisco</vt:lpstr>
      <vt:lpstr>ApetIdx</vt:lpstr>
      <vt:lpstr>Critérios!Área_de_Impressão</vt:lpstr>
      <vt:lpstr>Dicionário_Dados!Área_de_Impressão</vt:lpstr>
      <vt:lpstr>KRI!Área_de_Impressão</vt:lpstr>
      <vt:lpstr>KRI_Coletas!Área_de_Impressão</vt:lpstr>
      <vt:lpstr>Planos!Área_de_Impressão</vt:lpstr>
      <vt:lpstr>AudArea</vt:lpstr>
      <vt:lpstr>AudData</vt:lpstr>
      <vt:lpstr>AudIds</vt:lpstr>
      <vt:lpstr>AudPct</vt:lpstr>
      <vt:lpstr>BtEf</vt:lpstr>
      <vt:lpstr>BtId</vt:lpstr>
      <vt:lpstr>BtSit</vt:lpstr>
      <vt:lpstr>Ciclo_Atual</vt:lpstr>
      <vt:lpstr>CovMin</vt:lpstr>
      <vt:lpstr>DiasAlerta</vt:lpstr>
      <vt:lpstr>FreqDias</vt:lpstr>
      <vt:lpstr>GrauAud</vt:lpstr>
      <vt:lpstr>GrauMin</vt:lpstr>
      <vt:lpstr>GrauNome</vt:lpstr>
      <vt:lpstr>IdxExige</vt:lpstr>
      <vt:lpstr>KriChaves</vt:lpstr>
      <vt:lpstr>KriHoriz</vt:lpstr>
      <vt:lpstr>KriId</vt:lpstr>
      <vt:lpstr>KriSit</vt:lpstr>
      <vt:lpstr>Limites</vt:lpstr>
      <vt:lpstr>ListaAcaoOport</vt:lpstr>
      <vt:lpstr>ListaAcaoRisco</vt:lpstr>
      <vt:lpstr>ListaAlinh</vt:lpstr>
      <vt:lpstr>ListaAreas</vt:lpstr>
      <vt:lpstr>ListaCatOport</vt:lpstr>
      <vt:lpstr>ListaCatRisco</vt:lpstr>
      <vt:lpstr>ListaConf</vt:lpstr>
      <vt:lpstr>ListaEficacia</vt:lpstr>
      <vt:lpstr>ListaFacil</vt:lpstr>
      <vt:lpstr>ListaFreq</vt:lpstr>
      <vt:lpstr>ListaReducao</vt:lpstr>
      <vt:lpstr>ListaStatus</vt:lpstr>
      <vt:lpstr>ListaTipoCtrl</vt:lpstr>
      <vt:lpstr>ListaTipoRisco</vt:lpstr>
      <vt:lpstr>ListaVeloc</vt:lpstr>
      <vt:lpstr>ListaVolat</vt:lpstr>
      <vt:lpstr>LstCrit</vt:lpstr>
      <vt:lpstr>LstEficacia</vt:lpstr>
      <vt:lpstr>LstMetodo</vt:lpstr>
      <vt:lpstr>LstResultado</vt:lpstr>
      <vt:lpstr>LstTeste</vt:lpstr>
      <vt:lpstr>MatGrau</vt:lpstr>
      <vt:lpstr>MesesRev</vt:lpstr>
      <vt:lpstr>MetaGrau</vt:lpstr>
      <vt:lpstr>MinIdx</vt:lpstr>
      <vt:lpstr>MonSit</vt:lpstr>
      <vt:lpstr>Niveis</vt:lpstr>
      <vt:lpstr>OportId</vt:lpstr>
      <vt:lpstr>PlanosAbertura</vt:lpstr>
      <vt:lpstr>PlanosCod</vt:lpstr>
      <vt:lpstr>PlanosIdRef</vt:lpstr>
      <vt:lpstr>PlanosPrazo</vt:lpstr>
      <vt:lpstr>PlanosStatus</vt:lpstr>
      <vt:lpstr>PlanoUrl</vt:lpstr>
      <vt:lpstr>ProbMedia</vt:lpstr>
      <vt:lpstr>RiscosId</vt:lpstr>
      <vt:lpstr>SgaDecOport</vt:lpstr>
      <vt:lpstr>SgaDecRisco</vt:lpstr>
      <vt:lpstr>SgaLimOpSig</vt:lpstr>
      <vt:lpstr>SgaLimOpTol</vt:lpstr>
      <vt:lpstr>SgaLimRiSig</vt:lpstr>
      <vt:lpstr>SgaLimRiTol</vt:lpstr>
      <vt:lpstr>SgaProbNivel</vt:lpstr>
      <vt:lpstr>SgaProbValor</vt:lpstr>
      <vt:lpstr>SgaSevOpNivel</vt:lpstr>
      <vt:lpstr>SgaSevOpValor</vt:lpstr>
      <vt:lpstr>SgaSevRiNivel</vt:lpstr>
      <vt:lpstr>SgaSevRiValor</vt:lpstr>
      <vt:lpstr>SgaTipoAcao</vt:lpstr>
      <vt:lpstr>Oportunidades!Títulos_de_Impressão</vt:lpstr>
      <vt:lpstr>Riscos!Títulos_de_Impressão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Aline Meireles</cp:lastModifiedBy>
  <cp:revision>0</cp:revision>
  <cp:lastPrinted>2026-09-21T09:52:21Z</cp:lastPrinted>
  <dcterms:created xsi:type="dcterms:W3CDTF">2026-09-20T15:37:38Z</dcterms:created>
  <dcterms:modified xsi:type="dcterms:W3CDTF">2026-09-30T16:48:56Z</dcterms:modified>
  <dc:language>en-US</dc:language>
</cp:coreProperties>
</file>