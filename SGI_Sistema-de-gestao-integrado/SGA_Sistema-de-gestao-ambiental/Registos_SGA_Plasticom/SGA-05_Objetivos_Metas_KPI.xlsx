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F0D121EE-21D8-450E-9D89-B68D6DEB5182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olitica" sheetId="2" r:id="rId2"/>
    <sheet name="Catalogo_KPI" sheetId="3" r:id="rId3"/>
    <sheet name="Objetivos_SMART" sheetId="4" r:id="rId4"/>
    <sheet name="Acompanhamento_Mensal" sheetId="5" r:id="rId5"/>
    <sheet name="Resumo_Atividade_3_4" sheetId="6" r:id="rId6"/>
    <sheet name="Listas" sheetId="7" r:id="rId7"/>
    <sheet name="Dicionario_Dados" sheetId="8" r:id="rId8"/>
  </sheets>
  <definedNames>
    <definedName name="DataRef">Listas!$A$3</definedName>
    <definedName name="lst_DataReferencia">Listas!$A$3:$A$3</definedName>
    <definedName name="lst_Estado">Listas!$H$3:$H$7</definedName>
    <definedName name="lst_Frequencia">Listas!$F$3:$F$7</definedName>
    <definedName name="lst_Funcao">Listas!$I$3:$I$24</definedName>
    <definedName name="lst_MetaTipo">Listas!$G$3:$G$5</definedName>
    <definedName name="lst_OrigemTipo">Listas!$C$3:$C$8</definedName>
    <definedName name="lst_Polaridade">Listas!$D$3:$D$5</definedName>
    <definedName name="lst_Politica">Listas!$B$3:$B$9</definedName>
    <definedName name="lst_SimNao">Listas!$J$3:$J$4</definedName>
    <definedName name="lst_TipoISO14031">Listas!$E$3:$E$5</definedName>
    <definedName name="_xlnm.Print_Titles" localSheetId="4">Acompanhamento_Mensal!$1:$1</definedName>
    <definedName name="_xlnm.Print_Titles" localSheetId="2">Catalogo_KPI!$1:$1</definedName>
    <definedName name="_xlnm.Print_Titles" localSheetId="3">Objetivos_SMART!$4:$4</definedName>
    <definedName name="_xlnm.Print_Titles" localSheetId="1">Politica!$1:$1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6" l="1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9" i="6"/>
  <c r="D8" i="6"/>
  <c r="C8" i="6"/>
  <c r="B8" i="6"/>
  <c r="D7" i="6"/>
  <c r="C7" i="6"/>
  <c r="B7" i="6"/>
  <c r="D6" i="6"/>
  <c r="C6" i="6"/>
  <c r="B6" i="6"/>
  <c r="H89" i="5"/>
  <c r="G89" i="5"/>
  <c r="I89" i="5" s="1"/>
  <c r="H88" i="5"/>
  <c r="G88" i="5"/>
  <c r="I88" i="5" s="1"/>
  <c r="H87" i="5"/>
  <c r="G87" i="5"/>
  <c r="I87" i="5" s="1"/>
  <c r="H86" i="5"/>
  <c r="G86" i="5"/>
  <c r="I86" i="5" s="1"/>
  <c r="H85" i="5"/>
  <c r="G85" i="5"/>
  <c r="I85" i="5" s="1"/>
  <c r="H84" i="5"/>
  <c r="G84" i="5"/>
  <c r="I84" i="5" s="1"/>
  <c r="H83" i="5"/>
  <c r="G83" i="5"/>
  <c r="I83" i="5" s="1"/>
  <c r="I82" i="5"/>
  <c r="H82" i="5"/>
  <c r="G82" i="5"/>
  <c r="I81" i="5"/>
  <c r="H81" i="5"/>
  <c r="G81" i="5"/>
  <c r="H80" i="5"/>
  <c r="G80" i="5"/>
  <c r="I80" i="5" s="1"/>
  <c r="H79" i="5"/>
  <c r="G79" i="5"/>
  <c r="I79" i="5" s="1"/>
  <c r="H78" i="5"/>
  <c r="G78" i="5"/>
  <c r="I78" i="5" s="1"/>
  <c r="H77" i="5"/>
  <c r="G77" i="5"/>
  <c r="I77" i="5" s="1"/>
  <c r="H76" i="5"/>
  <c r="G76" i="5"/>
  <c r="I76" i="5" s="1"/>
  <c r="H75" i="5"/>
  <c r="G75" i="5"/>
  <c r="I75" i="5" s="1"/>
  <c r="I74" i="5"/>
  <c r="H74" i="5"/>
  <c r="G74" i="5"/>
  <c r="I73" i="5"/>
  <c r="H73" i="5"/>
  <c r="G73" i="5"/>
  <c r="H72" i="5"/>
  <c r="G72" i="5"/>
  <c r="I72" i="5" s="1"/>
  <c r="H71" i="5"/>
  <c r="G71" i="5"/>
  <c r="I71" i="5" s="1"/>
  <c r="H70" i="5"/>
  <c r="G70" i="5"/>
  <c r="I70" i="5" s="1"/>
  <c r="H69" i="5"/>
  <c r="G69" i="5"/>
  <c r="I69" i="5" s="1"/>
  <c r="H68" i="5"/>
  <c r="G68" i="5"/>
  <c r="I68" i="5" s="1"/>
  <c r="H67" i="5"/>
  <c r="G67" i="5"/>
  <c r="I67" i="5" s="1"/>
  <c r="I66" i="5"/>
  <c r="H66" i="5"/>
  <c r="G66" i="5"/>
  <c r="I65" i="5"/>
  <c r="H65" i="5"/>
  <c r="G65" i="5"/>
  <c r="H64" i="5"/>
  <c r="G64" i="5"/>
  <c r="I64" i="5" s="1"/>
  <c r="H63" i="5"/>
  <c r="G63" i="5"/>
  <c r="I63" i="5" s="1"/>
  <c r="H62" i="5"/>
  <c r="G62" i="5"/>
  <c r="I62" i="5" s="1"/>
  <c r="H61" i="5"/>
  <c r="G61" i="5"/>
  <c r="I61" i="5" s="1"/>
  <c r="H60" i="5"/>
  <c r="G60" i="5"/>
  <c r="I60" i="5" s="1"/>
  <c r="H59" i="5"/>
  <c r="G59" i="5"/>
  <c r="I59" i="5" s="1"/>
  <c r="I58" i="5"/>
  <c r="H58" i="5"/>
  <c r="G58" i="5"/>
  <c r="I57" i="5"/>
  <c r="H57" i="5"/>
  <c r="G57" i="5"/>
  <c r="H56" i="5"/>
  <c r="G56" i="5"/>
  <c r="I56" i="5" s="1"/>
  <c r="H55" i="5"/>
  <c r="G55" i="5"/>
  <c r="I55" i="5" s="1"/>
  <c r="H54" i="5"/>
  <c r="G54" i="5"/>
  <c r="I54" i="5" s="1"/>
  <c r="H53" i="5"/>
  <c r="G53" i="5"/>
  <c r="I53" i="5" s="1"/>
  <c r="H52" i="5"/>
  <c r="G52" i="5"/>
  <c r="I52" i="5" s="1"/>
  <c r="H51" i="5"/>
  <c r="G51" i="5"/>
  <c r="I51" i="5" s="1"/>
  <c r="I50" i="5"/>
  <c r="H50" i="5"/>
  <c r="G50" i="5"/>
  <c r="I49" i="5"/>
  <c r="H49" i="5"/>
  <c r="G49" i="5"/>
  <c r="H48" i="5"/>
  <c r="G48" i="5"/>
  <c r="I48" i="5" s="1"/>
  <c r="H47" i="5"/>
  <c r="G47" i="5"/>
  <c r="I47" i="5" s="1"/>
  <c r="H46" i="5"/>
  <c r="G46" i="5"/>
  <c r="I46" i="5" s="1"/>
  <c r="H45" i="5"/>
  <c r="G45" i="5"/>
  <c r="I45" i="5" s="1"/>
  <c r="H44" i="5"/>
  <c r="G44" i="5"/>
  <c r="I44" i="5" s="1"/>
  <c r="H43" i="5"/>
  <c r="G43" i="5"/>
  <c r="I43" i="5" s="1"/>
  <c r="I42" i="5"/>
  <c r="H42" i="5"/>
  <c r="G42" i="5"/>
  <c r="I41" i="5"/>
  <c r="H41" i="5"/>
  <c r="G41" i="5"/>
  <c r="H40" i="5"/>
  <c r="G40" i="5"/>
  <c r="I40" i="5" s="1"/>
  <c r="H39" i="5"/>
  <c r="G39" i="5"/>
  <c r="I39" i="5" s="1"/>
  <c r="H38" i="5"/>
  <c r="G38" i="5"/>
  <c r="I38" i="5" s="1"/>
  <c r="H37" i="5"/>
  <c r="G37" i="5"/>
  <c r="I37" i="5" s="1"/>
  <c r="H36" i="5"/>
  <c r="G36" i="5"/>
  <c r="I36" i="5" s="1"/>
  <c r="H35" i="5"/>
  <c r="G35" i="5"/>
  <c r="I35" i="5" s="1"/>
  <c r="I34" i="5"/>
  <c r="H34" i="5"/>
  <c r="G34" i="5"/>
  <c r="I33" i="5"/>
  <c r="H33" i="5"/>
  <c r="G33" i="5"/>
  <c r="H32" i="5"/>
  <c r="G32" i="5"/>
  <c r="I32" i="5" s="1"/>
  <c r="H31" i="5"/>
  <c r="G31" i="5"/>
  <c r="I31" i="5" s="1"/>
  <c r="H30" i="5"/>
  <c r="G30" i="5"/>
  <c r="I30" i="5" s="1"/>
  <c r="H29" i="5"/>
  <c r="G29" i="5"/>
  <c r="I29" i="5" s="1"/>
  <c r="H28" i="5"/>
  <c r="G28" i="5"/>
  <c r="I28" i="5" s="1"/>
  <c r="H27" i="5"/>
  <c r="G27" i="5"/>
  <c r="I27" i="5" s="1"/>
  <c r="I26" i="5"/>
  <c r="H26" i="5"/>
  <c r="G26" i="5"/>
  <c r="I25" i="5"/>
  <c r="H25" i="5"/>
  <c r="G25" i="5"/>
  <c r="H24" i="5"/>
  <c r="G24" i="5"/>
  <c r="I24" i="5" s="1"/>
  <c r="H23" i="5"/>
  <c r="G23" i="5"/>
  <c r="I23" i="5" s="1"/>
  <c r="H22" i="5"/>
  <c r="G22" i="5"/>
  <c r="I22" i="5" s="1"/>
  <c r="H21" i="5"/>
  <c r="G21" i="5"/>
  <c r="I21" i="5" s="1"/>
  <c r="H20" i="5"/>
  <c r="G20" i="5"/>
  <c r="I20" i="5" s="1"/>
  <c r="H19" i="5"/>
  <c r="G19" i="5"/>
  <c r="I19" i="5" s="1"/>
  <c r="I18" i="5"/>
  <c r="H18" i="5"/>
  <c r="G18" i="5"/>
  <c r="I17" i="5"/>
  <c r="H17" i="5"/>
  <c r="G17" i="5"/>
  <c r="H16" i="5"/>
  <c r="G16" i="5"/>
  <c r="I16" i="5" s="1"/>
  <c r="H15" i="5"/>
  <c r="G15" i="5"/>
  <c r="I15" i="5" s="1"/>
  <c r="H14" i="5"/>
  <c r="G14" i="5"/>
  <c r="I14" i="5" s="1"/>
  <c r="H13" i="5"/>
  <c r="G13" i="5"/>
  <c r="I13" i="5" s="1"/>
  <c r="H12" i="5"/>
  <c r="G12" i="5"/>
  <c r="I12" i="5" s="1"/>
  <c r="H11" i="5"/>
  <c r="G11" i="5"/>
  <c r="I11" i="5" s="1"/>
  <c r="I10" i="5"/>
  <c r="H10" i="5"/>
  <c r="G10" i="5"/>
  <c r="I9" i="5"/>
  <c r="H9" i="5"/>
  <c r="G9" i="5"/>
  <c r="H8" i="5"/>
  <c r="G8" i="5"/>
  <c r="I8" i="5" s="1"/>
  <c r="H7" i="5"/>
  <c r="G7" i="5"/>
  <c r="I7" i="5" s="1"/>
  <c r="H6" i="5"/>
  <c r="G6" i="5"/>
  <c r="I6" i="5" s="1"/>
  <c r="H5" i="5"/>
  <c r="G5" i="5"/>
  <c r="I5" i="5" s="1"/>
  <c r="H4" i="5"/>
  <c r="G4" i="5"/>
  <c r="I4" i="5" s="1"/>
  <c r="H3" i="5"/>
  <c r="G3" i="5"/>
  <c r="I3" i="5" s="1"/>
  <c r="I2" i="5"/>
  <c r="H2" i="5"/>
  <c r="G2" i="5"/>
  <c r="AA11" i="4"/>
  <c r="Z11" i="4"/>
  <c r="Y11" i="4"/>
  <c r="X11" i="4"/>
  <c r="W11" i="4"/>
  <c r="V11" i="4"/>
  <c r="L11" i="4"/>
  <c r="I11" i="4"/>
  <c r="H11" i="4"/>
  <c r="AA10" i="4"/>
  <c r="Z10" i="4"/>
  <c r="Y10" i="4"/>
  <c r="X10" i="4"/>
  <c r="W10" i="4"/>
  <c r="AB10" i="4" s="1"/>
  <c r="V10" i="4"/>
  <c r="L10" i="4"/>
  <c r="I10" i="4"/>
  <c r="H10" i="4"/>
  <c r="AA9" i="4"/>
  <c r="Z9" i="4"/>
  <c r="Y9" i="4"/>
  <c r="X9" i="4"/>
  <c r="AB9" i="4" s="1"/>
  <c r="W9" i="4"/>
  <c r="V9" i="4"/>
  <c r="L9" i="4"/>
  <c r="U9" i="4" s="1"/>
  <c r="I9" i="4"/>
  <c r="H9" i="4"/>
  <c r="AA8" i="4"/>
  <c r="Z8" i="4"/>
  <c r="Y8" i="4"/>
  <c r="X8" i="4"/>
  <c r="W8" i="4"/>
  <c r="V8" i="4"/>
  <c r="L8" i="4"/>
  <c r="D11" i="6" s="1"/>
  <c r="I8" i="4"/>
  <c r="D10" i="6" s="1"/>
  <c r="H8" i="4"/>
  <c r="AA7" i="4"/>
  <c r="Z7" i="4"/>
  <c r="Y7" i="4"/>
  <c r="X7" i="4"/>
  <c r="W7" i="4"/>
  <c r="AB7" i="4" s="1"/>
  <c r="C19" i="6" s="1"/>
  <c r="V7" i="4"/>
  <c r="I7" i="4"/>
  <c r="C10" i="6" s="1"/>
  <c r="H7" i="4"/>
  <c r="C9" i="6" s="1"/>
  <c r="AA6" i="4"/>
  <c r="Z6" i="4"/>
  <c r="Y6" i="4"/>
  <c r="X6" i="4"/>
  <c r="W6" i="4"/>
  <c r="AB6" i="4" s="1"/>
  <c r="V6" i="4"/>
  <c r="I6" i="4"/>
  <c r="L6" i="4" s="1"/>
  <c r="U6" i="4" s="1"/>
  <c r="H6" i="4"/>
  <c r="AA5" i="4"/>
  <c r="Z5" i="4"/>
  <c r="Y5" i="4"/>
  <c r="X5" i="4"/>
  <c r="W5" i="4"/>
  <c r="V5" i="4"/>
  <c r="I5" i="4"/>
  <c r="B10" i="6" s="1"/>
  <c r="H5" i="4"/>
  <c r="B9" i="6" s="1"/>
  <c r="C8" i="2"/>
  <c r="C7" i="2"/>
  <c r="C6" i="2"/>
  <c r="C5" i="2"/>
  <c r="C4" i="2"/>
  <c r="C3" i="2"/>
  <c r="C2" i="2"/>
  <c r="L5" i="4" l="1"/>
  <c r="AB5" i="4"/>
  <c r="B19" i="6" s="1"/>
  <c r="U10" i="4"/>
  <c r="AB11" i="4"/>
  <c r="AB8" i="4"/>
  <c r="D19" i="6" s="1"/>
  <c r="U11" i="4"/>
  <c r="L7" i="4"/>
  <c r="U8" i="4"/>
  <c r="B11" i="6" l="1"/>
  <c r="U5" i="4"/>
  <c r="C11" i="6"/>
  <c r="U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Compromisso da política ambiental.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Texto do compromisso (Política Ambiental Plasticom, rev. 2026).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N.º de objetivos que concretizam o compromisso.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Identificador do indicador.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Nome do indicador.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Numerador ÷ denominador (definição operacional).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Sentido desejado.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Tipologia ISO 14031.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Frequência de cálculo.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Origem dos dados.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Responsável pelo indicador.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Linha de base (média set/2025–ago/2026 salvo indicação).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Objetivo que o indicador mede.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Parâmetro do plano de monitorização.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Identificador do objetivo.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Compromisso da política de origem.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Tipo de origem (AAS, risco legal...).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IDs de aspetos, riscos e requisitos legais de origem.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Origem do objetivo (enunciado: 'Qual o item da Política, Aspeto ou Lei que lhe deu origem?').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Verbo de ação + substantivo + meta + prazo.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Indicador (régua).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Nome e unidade do KPI.
[calculado]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Linha de base (do catálogo de KPI).
[calculado]</t>
        </r>
      </text>
    </comment>
    <comment ref="J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Tipo de meta.</t>
        </r>
      </text>
    </comment>
    <comment ref="K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Variação relativa (ex.: -8%) ou valor absoluto (ex.: 100%).</t>
        </r>
      </text>
    </comment>
    <comment ref="L4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Valor numérico do KPI a atingir.
[calculado]</t>
        </r>
      </text>
    </comment>
    <comment ref="M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Data limite.</t>
        </r>
      </text>
    </comment>
    <comment ref="N4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Pessoas envolvidas.</t>
        </r>
      </text>
    </comment>
    <comment ref="O4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Equipamentos e materiais.</t>
        </r>
      </text>
    </comment>
    <comment ref="P4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Orçamento aprovado (CAPEX + OPEX).</t>
        </r>
      </text>
    </comment>
    <comment ref="Q4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Responsável pelo objetivo.</t>
        </r>
      </text>
    </comment>
    <comment ref="R4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Ações do programa no PAM.</t>
        </r>
      </text>
    </comment>
    <comment ref="S4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Estado do objetivo.</t>
        </r>
      </text>
    </comment>
    <comment ref="T4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Último valor do KPI (média out–dez/2026; água: ano civil de 2026 por causa da sazonalidade; PPWR/granulado: situação em 31/12/2026).</t>
        </r>
      </text>
    </comment>
    <comment ref="U4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Percentagem do caminho baseline → meta já percorrido (negativo = afastou-se).
[calculado]</t>
        </r>
      </text>
    </comment>
    <comment ref="V4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Dias até ao prazo.
[calculado]</t>
        </r>
      </text>
    </comment>
    <comment ref="W4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S: declaração clara e ligada a um indicador.
[calculado]</t>
        </r>
      </text>
    </comment>
    <comment ref="X4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M: meta numérica.
[calculado]</t>
        </r>
      </text>
    </comment>
    <comment ref="Y4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A: recursos, responsável e ações planeadas.
[calculado]</t>
        </r>
      </text>
    </comment>
    <comment ref="Z4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R: nasce de aspeto/risco/lei e da política.
[calculado]</t>
        </r>
      </text>
    </comment>
    <comment ref="AA4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T: data limite.
[calculado]</t>
        </r>
      </text>
    </comment>
    <comment ref="AB4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SMART se os 5 critérios estiverem cumpridos.
[calculado]</t>
        </r>
      </text>
    </comment>
    <comment ref="AC4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Data de aprovação pela gestão.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Objetivo.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Indicador.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Mês.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Valor mensal do KPI (dados RG-SGA-13).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Linha de base.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Meta no prazo.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Variação face à baseline.
[calculado]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Média móvel de 3 meses.
[calculado]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Leitura rápida do desvio.
[calculado]</t>
        </r>
      </text>
    </comment>
  </commentList>
</comments>
</file>

<file path=xl/sharedStrings.xml><?xml version="1.0" encoding="utf-8"?>
<sst xmlns="http://schemas.openxmlformats.org/spreadsheetml/2006/main" count="1113" uniqueCount="446">
  <si>
    <t>RG-SGA-05 — Objetivos Ambientais, Metas e Indicadores (KPI)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</si>
  <si>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</si>
  <si>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</si>
  <si>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</si>
  <si>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RG-SGA-05</t>
  </si>
  <si>
    <t>Título</t>
  </si>
  <si>
    <t>Objetivos Ambientais, Metas e Indicadores (KPI)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</si>
  <si>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</si>
  <si>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</si>
  <si>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</si>
  <si>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</si>
  <si>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</si>
  <si>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</si>
  <si>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</si>
  <si>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</si>
  <si>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</si>
  <si>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</si>
  <si>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</si>
  <si>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</si>
  <si>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</si>
  <si>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</si>
  <si>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</si>
  <si>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Transformar aspetos significativos, riscos e requisitos legais em objetivos SMART, com indicador (a 'régua'), baseline medida, meta numérica, prazo, recursos e responsável; acompanhar a trajetória até à meta. O catálogo de KPI segue a tipologia da ISO 14031 (indicadores de desempenho operacional, de gestão e de condição ambiental).</t>
  </si>
  <si>
    <t>Atividades do curso</t>
  </si>
  <si>
    <t>Atividade 3.4 — Planeamento de Objetivos Ambientais e Definição de KPIs (objetivos SMART OBJ-01 a OBJ-06; ficha da atividade com OBJ-01, OBJ-03 e OBJ-04).</t>
  </si>
  <si>
    <t>Requisitos ISO 14001:2026</t>
  </si>
  <si>
    <t>6.2.1 Objetivos ambientais; 6.2.2 Planeamento de ações para atingir os objetivos; 9.1.1 (indicadores); 5.2 (ligação à política)</t>
  </si>
  <si>
    <t>ESTRUTURA DO FICHEIRO</t>
  </si>
  <si>
    <t>Politica</t>
  </si>
  <si>
    <t>Compromissos da Política Ambiental (5.2) que dão origem aos objetivos.</t>
  </si>
  <si>
    <t>Catalogo_KPI</t>
  </si>
  <si>
    <t>Catálogo de indicadores ambientais (definição operacional de cada 'régua').</t>
  </si>
  <si>
    <t>Objetivos_SMART</t>
  </si>
  <si>
    <t>Registo de objetivos ambientais SMART (1 linha por objetivo) com validação automática SMART e progresso.</t>
  </si>
  <si>
    <t>Acompanhamento_Mensal</t>
  </si>
  <si>
    <t>Série mensal dos KPI dos objetivos (formato longo) com desvio, média móvel e sinal — base para gráficos e previsão.</t>
  </si>
  <si>
    <t>Resumo_Atividade_3_4</t>
  </si>
  <si>
    <t>Ficha da Atividade 3.4 com os campos do enunciado para OBJ-01, OBJ-03 e OBJ-04 (calculada).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</si>
  <si>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</si>
  <si>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</si>
  <si>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</si>
  <si>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</si>
  <si>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</si>
  <si>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</si>
  <si>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</si>
  <si>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</si>
  <si>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</si>
  <si>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</si>
  <si>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</si>
  <si>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</si>
  <si>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</si>
  <si>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</si>
  <si>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</si>
  <si>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</si>
  <si>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</si>
  <si>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</si>
  <si>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RG-SGA-02 / RG-SGA-03 / RG-SGA-04</t>
  </si>
  <si>
    <t>Origem_IDs aponta para riscos (RO), aspetos (AA) e requisitos legais (LEG).</t>
  </si>
  <si>
    <t>RG-SGA-06 PAM</t>
  </si>
  <si>
    <t>Acoes_PAM lista as ações do programa para atingir cada objetivo.</t>
  </si>
  <si>
    <t>RG-SGA-13 Monitorização</t>
  </si>
  <si>
    <t>Baselines calculadas com os dados mensais do RG-SGA-13 (set/2025–ago/2026).</t>
  </si>
  <si>
    <t>ID_Politica</t>
  </si>
  <si>
    <t>Compromisso</t>
  </si>
  <si>
    <t>N_Objetivos</t>
  </si>
  <si>
    <t>POL-01</t>
  </si>
  <si>
    <t>Proteger o ambiente e prevenir a poluição, incluindo a perda de granulado de plástico e os derrames de produtos químicos.</t>
  </si>
  <si>
    <t>POL-02</t>
  </si>
  <si>
    <t>Cumprir (meet) as obrigações de conformidade legais e os requisitos ambientais assumidos com clientes.</t>
  </si>
  <si>
    <t>POL-03</t>
  </si>
  <si>
    <t>Usar de forma eficiente a energia, a água e os materiais e reduzir as emissões de gases com efeito de estufa.</t>
  </si>
  <si>
    <t>POL-04</t>
  </si>
  <si>
    <t>Aplicar a perspetiva de ciclo de vida: embalagens concebidas para a reciclagem, com conteúdo reciclado e menos material.</t>
  </si>
  <si>
    <t>POL-05</t>
  </si>
  <si>
    <t>Melhorar continuamente o SGA e o desempenho ambiental, com decisões baseadas em dados.</t>
  </si>
  <si>
    <t>POL-06</t>
  </si>
  <si>
    <t>Proteger a biodiversidade e a saúde dos ecossistemas envolventes (Pinhal de Leiria, rio Lis, costa).</t>
  </si>
  <si>
    <t>POL-07</t>
  </si>
  <si>
    <t>Envolver trabalhadores, fornecedores e clientes na melhoria ambiental.</t>
  </si>
  <si>
    <t>ID_KPI</t>
  </si>
  <si>
    <t>Nome</t>
  </si>
  <si>
    <t>Formula_Calculo</t>
  </si>
  <si>
    <t>Unidade</t>
  </si>
  <si>
    <t>Polaridade</t>
  </si>
  <si>
    <t>Tipo_ISO14031</t>
  </si>
  <si>
    <t>Frequencia</t>
  </si>
  <si>
    <t>Fonte_Dados</t>
  </si>
  <si>
    <t>Responsavel</t>
  </si>
  <si>
    <t>Baseline</t>
  </si>
  <si>
    <t>ID_OBJ</t>
  </si>
  <si>
    <t>ID_MED</t>
  </si>
  <si>
    <t>KPI-01</t>
  </si>
  <si>
    <t>Intensidade energética</t>
  </si>
  <si>
    <t>Eletricidade total (kWh) ÷ unidades produzidas em injeção + sopro (milhares)</t>
  </si>
  <si>
    <t>kWh/1.000 un</t>
  </si>
  <si>
    <t>Menor é melhor</t>
  </si>
  <si>
    <t>ODI — desempenho operacional</t>
  </si>
  <si>
    <t>Mensal</t>
  </si>
  <si>
    <t>Fatura + dataset de produção</t>
  </si>
  <si>
    <t>Gerente de Manutenção</t>
  </si>
  <si>
    <t>OBJ-01</t>
  </si>
  <si>
    <t>MED-01</t>
  </si>
  <si>
    <t>KPI-02</t>
  </si>
  <si>
    <t>Intensidade hídrica</t>
  </si>
  <si>
    <t>Água de rede (m³) ÷ unidades produzidas (milhares)</t>
  </si>
  <si>
    <t>m³/1.000 un</t>
  </si>
  <si>
    <t>Fatura da água + produção</t>
  </si>
  <si>
    <t>OBJ-05</t>
  </si>
  <si>
    <t>MED-08</t>
  </si>
  <si>
    <t>KPI-03</t>
  </si>
  <si>
    <t>Intensidade de scrap</t>
  </si>
  <si>
    <t>Scrap gerado (kg) ÷ unidades produzidas (milhares)</t>
  </si>
  <si>
    <t>kg/1.000 un</t>
  </si>
  <si>
    <t>Pesagens + produção</t>
  </si>
  <si>
    <t>Gerente de Produção</t>
  </si>
  <si>
    <t>OBJ-02</t>
  </si>
  <si>
    <t>MED-03</t>
  </si>
  <si>
    <t>KPI-04</t>
  </si>
  <si>
    <t>Taxa de reintegração de scrap</t>
  </si>
  <si>
    <t>Scrap reintegrado (kg) ÷ scrap gerado (kg)</t>
  </si>
  <si>
    <t>%</t>
  </si>
  <si>
    <t>Maior é melhor</t>
  </si>
  <si>
    <t>Pesagens nos moinhos</t>
  </si>
  <si>
    <t>KPI-05</t>
  </si>
  <si>
    <t>Taxa de valorização de resíduos</t>
  </si>
  <si>
    <t>Resíduos com operação R (kg) ÷ resíduos totais (kg)</t>
  </si>
  <si>
    <t>e-GAR / pesagens</t>
  </si>
  <si>
    <t>Gestor do SGA / EHS (Responsável Ambiental)</t>
  </si>
  <si>
    <t>MED-04</t>
  </si>
  <si>
    <t>KPI-06</t>
  </si>
  <si>
    <t>Solvente de limpeza na serigrafia</t>
  </si>
  <si>
    <t>Solvente consumido (kg) ÷ peças serigrafadas (milhares)</t>
  </si>
  <si>
    <t>kg/1.000 peças</t>
  </si>
  <si>
    <t>Inventário de solvente + produção SER</t>
  </si>
  <si>
    <t>OBJ-03</t>
  </si>
  <si>
    <t>MED-06</t>
  </si>
  <si>
    <t>KPI-07</t>
  </si>
  <si>
    <t>Resíduos perigosos</t>
  </si>
  <si>
    <t>Soma dos resíduos com código LER * (kg)</t>
  </si>
  <si>
    <t>kg/mês</t>
  </si>
  <si>
    <t>Pesagens / e-GAR</t>
  </si>
  <si>
    <t>KPI-08</t>
  </si>
  <si>
    <t>Emissões GEE do âmbito 2</t>
  </si>
  <si>
    <t>kWh × fator de emissão da rede</t>
  </si>
  <si>
    <t>tCO2e</t>
  </si>
  <si>
    <t>RG-SGA-13 Indicadores_Mensais (kWh) × FE-01 do RG-SGA-19; total anual oficial no RG-SGA-19 tbl_inventario_gee</t>
  </si>
  <si>
    <t>KPI-09</t>
  </si>
  <si>
    <t>Quota de energia renovável</t>
  </si>
  <si>
    <t>kWh renováveis ÷ kWh totais</t>
  </si>
  <si>
    <t>Anual</t>
  </si>
  <si>
    <t>Rótulo de energia</t>
  </si>
  <si>
    <t>Diretor Financeiro</t>
  </si>
  <si>
    <t>KPI-10</t>
  </si>
  <si>
    <t>Conformidade das rondas ambientais</t>
  </si>
  <si>
    <t>Pontos conformes ÷ pontos verificados</t>
  </si>
  <si>
    <t>MPI — desempenho de gestão</t>
  </si>
  <si>
    <t>RG-SGA-10</t>
  </si>
  <si>
    <t>MED-10</t>
  </si>
  <si>
    <t>KPI-11</t>
  </si>
  <si>
    <t>Incidentes ambientais</t>
  </si>
  <si>
    <t>N.º de derrames, fugas e perdas de contenção registados</t>
  </si>
  <si>
    <t>n.º/mês</t>
  </si>
  <si>
    <t>Zero é o alvo</t>
  </si>
  <si>
    <t>Registo de incidentes</t>
  </si>
  <si>
    <t>KPI-12</t>
  </si>
  <si>
    <t>Famílias com conformidade PPWR</t>
  </si>
  <si>
    <t>Famílias com documentação técnica e declaração UE ÷ total de famílias</t>
  </si>
  <si>
    <t>Dossier de produto</t>
  </si>
  <si>
    <t>Responsável de R&amp;D</t>
  </si>
  <si>
    <t>OBJ-04</t>
  </si>
  <si>
    <t>MED-12</t>
  </si>
  <si>
    <t>KPI-13</t>
  </si>
  <si>
    <t>Pontos críticos de granulado com contenção</t>
  </si>
  <si>
    <t>Pontos com contenção ÷ pontos críticos (14)</t>
  </si>
  <si>
    <t>Autoavaliação OCS</t>
  </si>
  <si>
    <t>OBJ-06</t>
  </si>
  <si>
    <t>MED-09</t>
  </si>
  <si>
    <t>KPI-14</t>
  </si>
  <si>
    <t>Taxa de conformidade legal</t>
  </si>
  <si>
    <t>Requisitos conformes ÷ requisitos aplicáveis</t>
  </si>
  <si>
    <t>RG-SGA-04</t>
  </si>
  <si>
    <t>KPI-15</t>
  </si>
  <si>
    <t>Ações do PAM no prazo</t>
  </si>
  <si>
    <t>Ações concluídas no prazo ÷ ações com prazo vencido</t>
  </si>
  <si>
    <t>RG-SGA-06</t>
  </si>
  <si>
    <t>KPI-17</t>
  </si>
  <si>
    <t>SKUs com avaliação de reciclabilidade</t>
  </si>
  <si>
    <t>SKUs de frascos e potes com autoavaliação RecyClass ÷ SKUs ativos</t>
  </si>
  <si>
    <t>RG-SGA-20 tbl_recyclass</t>
  </si>
  <si>
    <t>KPI-18</t>
  </si>
  <si>
    <t>SKUs com grau PPWR indicativo A–C</t>
  </si>
  <si>
    <t>SKUs não isentos com grau A, B ou C ÷ SKUs não isentos</t>
  </si>
  <si>
    <t>OBJ-07</t>
  </si>
  <si>
    <t>KPI-19</t>
  </si>
  <si>
    <t>Conteúdo reciclado no polímero</t>
  </si>
  <si>
    <t>Polímero reciclado pós-consumo (kg) ÷ polímero consumido (kg)</t>
  </si>
  <si>
    <t>RG-SGA-13 PCR_KG / POLIMERO_KG; RG-SGA-20</t>
  </si>
  <si>
    <t>Responsável de Compras</t>
  </si>
  <si>
    <t>KPI-20</t>
  </si>
  <si>
    <t>Massa vendida com grau PPWR A–C</t>
  </si>
  <si>
    <t>Massa de corpos vendida com grau A–C ÷ massa vendida (não isentos)</t>
  </si>
  <si>
    <t>KPI-21</t>
  </si>
  <si>
    <t>Certificados de reciclado válidos</t>
  </si>
  <si>
    <t>Materiais com PCR com certificado EN 15343 válido ÷ materiais com PCR</t>
  </si>
  <si>
    <t>RG-SGA-20 tbl_certificados_pcr</t>
  </si>
  <si>
    <t>KPI-16</t>
  </si>
  <si>
    <t>Temperatura média exterior</t>
  </si>
  <si>
    <t>Média mensal (°C) — variável explicativa de energia e água</t>
  </si>
  <si>
    <t>°C</t>
  </si>
  <si>
    <t>ECI — condição ambiental</t>
  </si>
  <si>
    <t>IPMA (estação mais próxima)</t>
  </si>
  <si>
    <t>OBJETIVOS AMBIENTAIS SMART — PLASTICOM 2026-2027</t>
  </si>
  <si>
    <t>Objetivo = resultado pretendido · Indicador = régua com que se mede · Validação SMART calculada · Valor_Atual: média out–dez/2026 (fecho do ano)</t>
  </si>
  <si>
    <t>Origem_Tipo</t>
  </si>
  <si>
    <t>Origem_IDs</t>
  </si>
  <si>
    <t>Origem_Descricao</t>
  </si>
  <si>
    <t>Declaracao_Objetivo</t>
  </si>
  <si>
    <t>Indicador_KPI</t>
  </si>
  <si>
    <t>Meta_Tipo</t>
  </si>
  <si>
    <t>Meta_Valor</t>
  </si>
  <si>
    <t>Meta_Numerica</t>
  </si>
  <si>
    <t>Prazo</t>
  </si>
  <si>
    <t>Recursos_Humanos</t>
  </si>
  <si>
    <t>Recursos_Materiais</t>
  </si>
  <si>
    <t>Recursos_Financeiros_EUR</t>
  </si>
  <si>
    <t>Acoes_PAM</t>
  </si>
  <si>
    <t>Valor_Atual</t>
  </si>
  <si>
    <t>Progresso</t>
  </si>
  <si>
    <t>Dias_ate_Prazo</t>
  </si>
  <si>
    <t>S_Especifico</t>
  </si>
  <si>
    <t>M_Mensuravel</t>
  </si>
  <si>
    <t>A_Atingivel</t>
  </si>
  <si>
    <t>R_Relevante</t>
  </si>
  <si>
    <t>T_Temporal</t>
  </si>
  <si>
    <t>Validacao_SMART</t>
  </si>
  <si>
    <t>Data_Aprovacao</t>
  </si>
  <si>
    <t>Aspeto moderado</t>
  </si>
  <si>
    <t>AA-007; AA-010; AA-021; RO-02; LEG-08</t>
  </si>
  <si>
    <t>Consumo elevado de energia elétrica (≈ 7,8 GWh em 2026, 1.º custo ambiental) nos processos de injeção, sopro e ar comprimido.</t>
  </si>
  <si>
    <t>Reduzir o consumo específico de eletricidade (kWh por 1.000 unidades produzidas) em 8% até 31/12/2027, face à média set/2025–ago/2026.</t>
  </si>
  <si>
    <t>Redução relativa</t>
  </si>
  <si>
    <t>Gerente de Manutenção (líder), técnico de utilidades (0,2 ETI), equipa Kaizen de turno.</t>
  </si>
  <si>
    <t>Detetor ultrassónico de fugas, 6 analisadores de energia, variador de velocidade no compressor CMP-02.</t>
  </si>
  <si>
    <t>PAM-26-01; PAM-26-02; PAM-26-06</t>
  </si>
  <si>
    <t>Em curso</t>
  </si>
  <si>
    <t>AA-008; AA-011; AA-020; RO-11</t>
  </si>
  <si>
    <t>Scrap plástico ≈ 31 t/ano; taxa de reintegração interna de apenas ≈ 37%.</t>
  </si>
  <si>
    <t>Reduzir o scrap gerado (kg por 1.000 unidades) em 12% até 30/06/2027, mantendo a taxa de rejeição ≤ 2,0%.</t>
  </si>
  <si>
    <t>Gerente de Produção, Eng.ª de Processo (DOE), chefes de turno.</t>
  </si>
  <si>
    <t>Caixas coloridas para segregar scrap por cor/polímero, receitas de arranque validadas.</t>
  </si>
  <si>
    <t>PAM-26-12</t>
  </si>
  <si>
    <t>Aspeto significativo (AAS)</t>
  </si>
  <si>
    <t>AA-014; AA-006; LEG-04; LEG-12</t>
  </si>
  <si>
    <t>Emissão difusa de COV na limpeza de ecrãs da serigrafia (AAS, IRA 40) e subida recente do consumo de solvente.</t>
  </si>
  <si>
    <t>Reduzir o consumo de solvente de limpeza na serigrafia (kg por 1.000 peças serigrafadas) em 20% até 30/06/2027, face à média set/2025–mai/2026.</t>
  </si>
  <si>
    <t>Gestor do SGA/EHS, chefe da serigrafia, operadores SS-001/SS-002 (formação de 2 h).</t>
  </si>
  <si>
    <t>Dispensadores de segurança com tampa, panos pré-dosados, unidade de recuperação de solvente (destilador).</t>
  </si>
  <si>
    <t>PAM-26-07; PAM-26-08; PAM-26-13</t>
  </si>
  <si>
    <t>Risco legal</t>
  </si>
  <si>
    <t>LEG-09; RO-06; AA-038</t>
  </si>
  <si>
    <t>PPWR (Reg. (UE) 2025/40) aplicável desde 12/08/2026: só 9 de 22 famílias têm documentação técnica e declaração UE de conformidade (NC legal).</t>
  </si>
  <si>
    <t>Garantir que 100% das famílias de embalagem têm documentação técnica e declaração UE de conformidade PPWR até 31/12/2026.</t>
  </si>
  <si>
    <t>Valor absoluto</t>
  </si>
  <si>
    <t>Responsável de R&amp;D, técnico de qualidade/ambiente (0,5 ETI), consultor externo PPWR.</t>
  </si>
  <si>
    <t>Ensaios de metais pesados por família em laboratório acreditado; modelo de dossier técnico.</t>
  </si>
  <si>
    <t>PAM-26-10</t>
  </si>
  <si>
    <t>Risco</t>
  </si>
  <si>
    <t>AA-023; RO-04; PES-08; PES-09</t>
  </si>
  <si>
    <t>Consumo de água da torre de arrefecimento (≈ 80% da água) sensível às ondas de calor e à escassez hídrica.</t>
  </si>
  <si>
    <t>Reduzir o consumo específico de água (m³ por 1.000 unidades) em 10% até 31/12/2027, face à média set/2025–ago/2026.</t>
  </si>
  <si>
    <t>Diretor Industrial, técnico de utilidades, empresa de tratamento de água.</t>
  </si>
  <si>
    <t>Controlo automático da purga por condutividade; estudo de torre adiabática em circuito fechado.</t>
  </si>
  <si>
    <t>Diretor Industrial</t>
  </si>
  <si>
    <t>PAM-26-14</t>
  </si>
  <si>
    <t>Planeado</t>
  </si>
  <si>
    <t>AA-003; RO-07; LEG-10</t>
  </si>
  <si>
    <t>Perdas de granulado para a rede pluvial (microplásticos) e regulamento europeu de granulados a aplicar.</t>
  </si>
  <si>
    <t>Garantir contenção em 100% dos 14 pontos críticos de manuseamento de granulado até 31/03/2027, com zero granulado visível nas sarjetas nas inspeções semanais.</t>
  </si>
  <si>
    <t>Gestor do SGA/EHS, operadores de armazém, manutenção.</t>
  </si>
  <si>
    <t>Filtros de sarjeta, tabuleiros de descarga de big bags, aspirador industrial, kits de recolha.</t>
  </si>
  <si>
    <t>PAM-26-11</t>
  </si>
  <si>
    <t>LEG-09; LEG-21; RO-06</t>
  </si>
  <si>
    <t>PPWR art. 6.º: a partir de 2030 só embalagens com grau A–C. A autoavaliação RecyClass (RG-SGA-20) mostra SKUs em classe F (PVC, PETG, preto de carbono) e abaixo de C (decoração direta em PET).</t>
  </si>
  <si>
    <t>Garantir que 100% dos SKUs de embalagem não isentos têm grau PPWR indicativo A–C até 31/12/2028, eliminando PVC, PETG e preto de carbono e substituindo a decoração direta em PET.</t>
  </si>
  <si>
    <t>Responsável de R&amp;D (líder), área comercial, Responsável de Compras, técnico de qualidade.</t>
  </si>
  <si>
    <t>Moldes de PET/PP para substituir PVC e PETG, masterbatch preto detetável por NIR, rótulos PE/PP, certificação RecyClass das famílias principais.</t>
  </si>
  <si>
    <t>PAM-26-22; PAM-26-23; PAM-26-24</t>
  </si>
  <si>
    <t>Mes</t>
  </si>
  <si>
    <t>Valor_Real</t>
  </si>
  <si>
    <t>Meta_Final</t>
  </si>
  <si>
    <t>Desvio_vs_Baseline</t>
  </si>
  <si>
    <t>Media_Movel_3M</t>
  </si>
  <si>
    <t>Sinal</t>
  </si>
  <si>
    <t>ATIVIDADE 3.4 — OBJETIVOS AMBIENTAIS SMART E KPIs</t>
  </si>
  <si>
    <t>OBJ-01 nasce de aspetos moderados de energia + risco RO-02; OBJ-03 de um AAS (COV); OBJ-04 de um risco legal (PPWR). Calculado a partir de tbl_objetivos.</t>
  </si>
  <si>
    <t>Campo</t>
  </si>
  <si>
    <t>Objetivo 1</t>
  </si>
  <si>
    <t>Objetivo 2</t>
  </si>
  <si>
    <t>Objetivo 3</t>
  </si>
  <si>
    <t>ID</t>
  </si>
  <si>
    <t>Origem do Objetivo</t>
  </si>
  <si>
    <t>IDs de origem</t>
  </si>
  <si>
    <t>Declaração do Objetivo</t>
  </si>
  <si>
    <t>Indicador (KPI)</t>
  </si>
  <si>
    <t>Meta (Target)</t>
  </si>
  <si>
    <t>Meta (variação)</t>
  </si>
  <si>
    <t>Recursos — humanos</t>
  </si>
  <si>
    <t>Recursos — materiais</t>
  </si>
  <si>
    <t>Recursos — financeiros (€)</t>
  </si>
  <si>
    <t>Responsável</t>
  </si>
  <si>
    <t>Ações no PAM</t>
  </si>
  <si>
    <t>Validação SMART</t>
  </si>
  <si>
    <t>S (Específico)</t>
  </si>
  <si>
    <t>Uma variável, um âmbito e um indicador definidos (ex.: kWh por 1.000 unidades de injeção + sopro).</t>
  </si>
  <si>
    <t>M (Mensurável)</t>
  </si>
  <si>
    <t>Meta numérica face a uma baseline medida (não 'a medir').</t>
  </si>
  <si>
    <t>A (Atingível)</t>
  </si>
  <si>
    <t>Orçamento aprovado, responsável e ações planeadas no PAM.</t>
  </si>
  <si>
    <t>R (Relevante)</t>
  </si>
  <si>
    <t>Nasce de um AAS, de um risco ou de uma obrigação legal e de um compromisso da política.</t>
  </si>
  <si>
    <t>T (Temporal)</t>
  </si>
  <si>
    <t>Data limite explícita.</t>
  </si>
  <si>
    <t>Objetivo vs indicador</t>
  </si>
  <si>
    <t>O objetivo é o resultado pretendido (ex.: -8% de energia específica); o indicador é a régua (kWh/1.000 un) com que se mede o progresso.</t>
  </si>
  <si>
    <t>LISTAS CONTROLADAS (domínios de validação de dados) — editar aqui para alterar opções</t>
  </si>
  <si>
    <t>DataReferencia</t>
  </si>
  <si>
    <t>OrigemTipo</t>
  </si>
  <si>
    <t>TipoISO14031</t>
  </si>
  <si>
    <t>MetaTipo</t>
  </si>
  <si>
    <t>Funcao</t>
  </si>
  <si>
    <t>SimNao</t>
  </si>
  <si>
    <t>Diretor Geral (Gestão de Topo)</t>
  </si>
  <si>
    <t>Sim</t>
  </si>
  <si>
    <t>Trimestral</t>
  </si>
  <si>
    <t>Aumento relativo</t>
  </si>
  <si>
    <t>Não</t>
  </si>
  <si>
    <t>Semestral</t>
  </si>
  <si>
    <t>Atingido</t>
  </si>
  <si>
    <t>Não atingido</t>
  </si>
  <si>
    <t>Oportunidade</t>
  </si>
  <si>
    <t>Por ocorrência</t>
  </si>
  <si>
    <t>Cancelado</t>
  </si>
  <si>
    <t>Parte interessada</t>
  </si>
  <si>
    <t>Gerente da Qualidade</t>
  </si>
  <si>
    <t>Responsável de Armazém e Logística</t>
  </si>
  <si>
    <t>Responsável de Recursos Humanos</t>
  </si>
  <si>
    <t>Operador de Serigrafia</t>
  </si>
  <si>
    <t>Operador de Injeção</t>
  </si>
  <si>
    <t>Operador de Sopro (ISBM)</t>
  </si>
  <si>
    <t>Operador de Hot Foil</t>
  </si>
  <si>
    <t>Técnico de Manutenção</t>
  </si>
  <si>
    <t>Técnico de Utilidades</t>
  </si>
  <si>
    <t>Operador de Armazém / Empilhador</t>
  </si>
  <si>
    <t>Chefe de Turno</t>
  </si>
  <si>
    <t>Auditor Interno do SGA</t>
  </si>
  <si>
    <t>Representante dos Trabalhadores (SST/Ambiente)</t>
  </si>
  <si>
    <t>Técnico de Qualidade/Ambiente</t>
  </si>
  <si>
    <t>Folha</t>
  </si>
  <si>
    <t>Tabela</t>
  </si>
  <si>
    <t>Coluna</t>
  </si>
  <si>
    <t>Tipo</t>
  </si>
  <si>
    <t>Origem</t>
  </si>
  <si>
    <t>Descricao</t>
  </si>
  <si>
    <t>Dominio_Unidade</t>
  </si>
  <si>
    <t>Obrigatorio</t>
  </si>
  <si>
    <t>Chave</t>
  </si>
  <si>
    <t>tbl_politica</t>
  </si>
  <si>
    <t>Texto</t>
  </si>
  <si>
    <t>Entrada</t>
  </si>
  <si>
    <t>Compromisso da política ambiental.</t>
  </si>
  <si>
    <t>PK</t>
  </si>
  <si>
    <t>Texto do compromisso (Política Ambiental Plasticom, rev. 2026).</t>
  </si>
  <si>
    <t>Inteiro</t>
  </si>
  <si>
    <t>Calculado (fórmula)</t>
  </si>
  <si>
    <t>N.º de objetivos que concretizam o compromisso.</t>
  </si>
  <si>
    <t>tbl_kpi</t>
  </si>
  <si>
    <t>Identificador do indicador.</t>
  </si>
  <si>
    <t>Nome do indicador.</t>
  </si>
  <si>
    <t>Numerador ÷ denominador (definição operacional).</t>
  </si>
  <si>
    <t>Unidade.</t>
  </si>
  <si>
    <t>Sentido desejado.</t>
  </si>
  <si>
    <t>Lista lst_Polaridade</t>
  </si>
  <si>
    <t>Tipologia ISO 14031.</t>
  </si>
  <si>
    <t>Lista lst_TipoISO14031</t>
  </si>
  <si>
    <t>Frequência de cálculo.</t>
  </si>
  <si>
    <t>Lista lst_Frequencia</t>
  </si>
  <si>
    <t>Origem dos dados.</t>
  </si>
  <si>
    <t>Responsável pelo indicador.</t>
  </si>
  <si>
    <t>Lista lst_Funcao</t>
  </si>
  <si>
    <t>Decimal</t>
  </si>
  <si>
    <t>Linha de base (média set/2025–ago/2026 salvo indicação).</t>
  </si>
  <si>
    <t>Objetivo que o indicador mede.</t>
  </si>
  <si>
    <t>FK → tbl_objetivos</t>
  </si>
  <si>
    <t>Parâmetro do plano de monitorização.</t>
  </si>
  <si>
    <t>FK → RG-SGA-13</t>
  </si>
  <si>
    <t>tbl_objetivos</t>
  </si>
  <si>
    <t>Identificador do objetivo.</t>
  </si>
  <si>
    <t>Compromisso da política de origem.</t>
  </si>
  <si>
    <t>Lista lst_Politica</t>
  </si>
  <si>
    <t>FK → tbl_politica</t>
  </si>
  <si>
    <t>Tipo de origem (AAS, risco legal...).</t>
  </si>
  <si>
    <t>Lista lst_OrigemTipo</t>
  </si>
  <si>
    <t>IDs de aspetos, riscos e requisitos legais de origem.</t>
  </si>
  <si>
    <t>FK → RG-SGA-02/03/04</t>
  </si>
  <si>
    <t>Origem do objetivo (enunciado: 'Qual o item da Política, Aspeto ou Lei que lhe deu origem?').</t>
  </si>
  <si>
    <t>Verbo de ação + substantivo + meta + prazo.</t>
  </si>
  <si>
    <t>Indicador (régua).</t>
  </si>
  <si>
    <t>FK → tbl_kpi</t>
  </si>
  <si>
    <t>Nome e unidade do KPI.</t>
  </si>
  <si>
    <t>Linha de base (do catálogo de KPI).</t>
  </si>
  <si>
    <t>Tipo de meta.</t>
  </si>
  <si>
    <t>Lista lst_MetaTipo</t>
  </si>
  <si>
    <t>Percentagem (fração 0-1)</t>
  </si>
  <si>
    <t>Variação relativa (ex.: -8%) ou valor absoluto (ex.: 100%).</t>
  </si>
  <si>
    <t>Valor numérico do KPI a atingir.</t>
  </si>
  <si>
    <t>Data (aaaa-mm-dd)</t>
  </si>
  <si>
    <t>Data limite.</t>
  </si>
  <si>
    <t>Pessoas envolvidas.</t>
  </si>
  <si>
    <t>Equipamentos e materiais.</t>
  </si>
  <si>
    <t>Moeda (EUR)</t>
  </si>
  <si>
    <t>Orçamento aprovado (CAPEX + OPEX).</t>
  </si>
  <si>
    <t>Responsável pelo objetivo.</t>
  </si>
  <si>
    <t>Ações do programa no PAM.</t>
  </si>
  <si>
    <t>FK → RG-SGA-06</t>
  </si>
  <si>
    <t>Estado do objetivo.</t>
  </si>
  <si>
    <t>Lista lst_Estado</t>
  </si>
  <si>
    <t>Último valor do KPI (média out–dez/2026; água: ano civil de 2026 por causa da sazonalidade; PPWR/granulado: situação em 31/12/2026).</t>
  </si>
  <si>
    <t>Percentagem do caminho baseline → meta já percorrido (negativo = afastou-se).</t>
  </si>
  <si>
    <t>Dias até ao prazo.</t>
  </si>
  <si>
    <t>S: declaração clara e ligada a um indicador.</t>
  </si>
  <si>
    <t>M: meta numérica.</t>
  </si>
  <si>
    <t>A: recursos, responsável e ações planeadas.</t>
  </si>
  <si>
    <t>R: nasce de aspeto/risco/lei e da política.</t>
  </si>
  <si>
    <t>T: data limite.</t>
  </si>
  <si>
    <t>SMART se os 5 critérios estiverem cumpridos.</t>
  </si>
  <si>
    <t>Data de aprovação pela gestão.</t>
  </si>
  <si>
    <t>tbl_acomp_objetivos</t>
  </si>
  <si>
    <t>Objetivo.</t>
  </si>
  <si>
    <t>Indicador.</t>
  </si>
  <si>
    <t>Mês.</t>
  </si>
  <si>
    <t>Valor mensal do KPI (dados RG-SGA-13).</t>
  </si>
  <si>
    <t>Linha de base.</t>
  </si>
  <si>
    <t>Meta no prazo.</t>
  </si>
  <si>
    <t>Variação face à baseline.</t>
  </si>
  <si>
    <t>Média móvel de 3 meses.</t>
  </si>
  <si>
    <t>Leitura rápida do desvio.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</si>
</sst>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yyyy\-mm\-dd"/>
    <numFmt numFmtId="166" formatCode="#,##0\ \€"/>
    <numFmt numFmtId="167" formatCode="0.0%"/>
    <numFmt numFmtId="168" formatCode="0.000"/>
    <numFmt numFmtId="169" formatCode="\+0%;\-0%;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4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5" fontId="2" fillId="0" borderId="0" xfId="0" applyNumberFormat="1" applyFont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vertical="top" wrapText="1"/>
    </xf>
    <xf numFmtId="1" fontId="2" fillId="4" borderId="1" xfId="0" applyNumberFormat="1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49" fontId="2" fillId="4" borderId="1" xfId="0" applyNumberFormat="1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6" fontId="2" fillId="0" borderId="1" xfId="0" applyNumberFormat="1" applyFont="1" applyBorder="1" applyAlignment="1">
      <alignment vertical="top" wrapText="1"/>
    </xf>
    <xf numFmtId="9" fontId="2" fillId="4" borderId="1" xfId="0" applyNumberFormat="1" applyFont="1" applyFill="1" applyBorder="1" applyAlignment="1">
      <alignment vertical="top" wrapText="1"/>
    </xf>
    <xf numFmtId="167" fontId="2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5" fillId="5" borderId="1" xfId="0" applyFont="1" applyFill="1" applyBorder="1"/>
    <xf numFmtId="0" fontId="2" fillId="0" borderId="1" xfId="0" applyFont="1" applyBorder="1" applyAlignment="1">
      <alignment vertical="top" wrapText="1"/>
    </xf>
    <xf numFmtId="168" fontId="2" fillId="0" borderId="1" xfId="0" applyNumberFormat="1" applyFont="1" applyBorder="1" applyAlignment="1">
      <alignment vertical="top" wrapText="1"/>
    </xf>
    <xf numFmtId="169" fontId="2" fillId="0" borderId="1" xfId="0" applyNumberFormat="1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165" fontId="2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9"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olitica" displayName="tbl_politica" ref="A1:C8">
  <autoFilter ref="A1:C8" xr:uid="{00000000-0009-0000-0100-000001000000}"/>
  <tableColumns count="3">
    <tableColumn id="1" xr3:uid="{00000000-0010-0000-0000-000001000000}" name="ID_Politica"/>
    <tableColumn id="2" xr3:uid="{00000000-0010-0000-0000-000002000000}" name="Compromisso"/>
    <tableColumn id="3" xr3:uid="{00000000-0010-0000-0000-000003000000}" name="N_Objetivo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kpi" displayName="tbl_kpi" ref="A1:L22">
  <autoFilter ref="A1:L22" xr:uid="{00000000-0009-0000-0100-000002000000}"/>
  <tableColumns count="12">
    <tableColumn id="1" xr3:uid="{00000000-0010-0000-0100-000001000000}" name="ID_KPI"/>
    <tableColumn id="2" xr3:uid="{00000000-0010-0000-0100-000002000000}" name="Nome"/>
    <tableColumn id="3" xr3:uid="{00000000-0010-0000-0100-000003000000}" name="Formula_Calculo"/>
    <tableColumn id="4" xr3:uid="{00000000-0010-0000-0100-000004000000}" name="Unidade"/>
    <tableColumn id="5" xr3:uid="{00000000-0010-0000-0100-000005000000}" name="Polaridade"/>
    <tableColumn id="6" xr3:uid="{00000000-0010-0000-0100-000006000000}" name="Tipo_ISO14031"/>
    <tableColumn id="7" xr3:uid="{00000000-0010-0000-0100-000007000000}" name="Frequencia"/>
    <tableColumn id="8" xr3:uid="{00000000-0010-0000-0100-000008000000}" name="Fonte_Dados"/>
    <tableColumn id="9" xr3:uid="{00000000-0010-0000-0100-000009000000}" name="Responsavel"/>
    <tableColumn id="10" xr3:uid="{00000000-0010-0000-0100-00000A000000}" name="Baseline"/>
    <tableColumn id="11" xr3:uid="{00000000-0010-0000-0100-00000B000000}" name="ID_OBJ"/>
    <tableColumn id="12" xr3:uid="{00000000-0010-0000-0100-00000C000000}" name="ID_ME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objetivos" displayName="tbl_objetivos" ref="A4:AC11">
  <autoFilter ref="A4:AC11" xr:uid="{00000000-0009-0000-0100-000003000000}"/>
  <tableColumns count="29">
    <tableColumn id="1" xr3:uid="{00000000-0010-0000-0200-000001000000}" name="ID_OBJ"/>
    <tableColumn id="2" xr3:uid="{00000000-0010-0000-0200-000002000000}" name="ID_Politica"/>
    <tableColumn id="3" xr3:uid="{00000000-0010-0000-0200-000003000000}" name="Origem_Tipo"/>
    <tableColumn id="4" xr3:uid="{00000000-0010-0000-0200-000004000000}" name="Origem_IDs"/>
    <tableColumn id="5" xr3:uid="{00000000-0010-0000-0200-000005000000}" name="Origem_Descricao"/>
    <tableColumn id="6" xr3:uid="{00000000-0010-0000-0200-000006000000}" name="Declaracao_Objetivo"/>
    <tableColumn id="7" xr3:uid="{00000000-0010-0000-0200-000007000000}" name="ID_KPI"/>
    <tableColumn id="8" xr3:uid="{00000000-0010-0000-0200-000008000000}" name="Indicador_KPI"/>
    <tableColumn id="9" xr3:uid="{00000000-0010-0000-0200-000009000000}" name="Baseline"/>
    <tableColumn id="10" xr3:uid="{00000000-0010-0000-0200-00000A000000}" name="Meta_Tipo"/>
    <tableColumn id="11" xr3:uid="{00000000-0010-0000-0200-00000B000000}" name="Meta_Valor"/>
    <tableColumn id="12" xr3:uid="{00000000-0010-0000-0200-00000C000000}" name="Meta_Numerica"/>
    <tableColumn id="13" xr3:uid="{00000000-0010-0000-0200-00000D000000}" name="Prazo"/>
    <tableColumn id="14" xr3:uid="{00000000-0010-0000-0200-00000E000000}" name="Recursos_Humanos"/>
    <tableColumn id="15" xr3:uid="{00000000-0010-0000-0200-00000F000000}" name="Recursos_Materiais"/>
    <tableColumn id="16" xr3:uid="{00000000-0010-0000-0200-000010000000}" name="Recursos_Financeiros_EUR"/>
    <tableColumn id="17" xr3:uid="{00000000-0010-0000-0200-000011000000}" name="Responsavel"/>
    <tableColumn id="18" xr3:uid="{00000000-0010-0000-0200-000012000000}" name="Acoes_PAM"/>
    <tableColumn id="19" xr3:uid="{00000000-0010-0000-0200-000013000000}" name="Estado"/>
    <tableColumn id="20" xr3:uid="{00000000-0010-0000-0200-000014000000}" name="Valor_Atual"/>
    <tableColumn id="21" xr3:uid="{00000000-0010-0000-0200-000015000000}" name="Progresso"/>
    <tableColumn id="22" xr3:uid="{00000000-0010-0000-0200-000016000000}" name="Dias_ate_Prazo"/>
    <tableColumn id="23" xr3:uid="{00000000-0010-0000-0200-000017000000}" name="S_Especifico"/>
    <tableColumn id="24" xr3:uid="{00000000-0010-0000-0200-000018000000}" name="M_Mensuravel"/>
    <tableColumn id="25" xr3:uid="{00000000-0010-0000-0200-000019000000}" name="A_Atingivel"/>
    <tableColumn id="26" xr3:uid="{00000000-0010-0000-0200-00001A000000}" name="R_Relevante"/>
    <tableColumn id="27" xr3:uid="{00000000-0010-0000-0200-00001B000000}" name="T_Temporal"/>
    <tableColumn id="28" xr3:uid="{00000000-0010-0000-0200-00001C000000}" name="Validacao_SMART"/>
    <tableColumn id="29" xr3:uid="{00000000-0010-0000-0200-00001D000000}" name="Data_Aprovaca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acomp_objetivos" displayName="tbl_acomp_objetivos" ref="A1:I89">
  <autoFilter ref="A1:I89" xr:uid="{00000000-0009-0000-0100-000004000000}"/>
  <tableColumns count="9">
    <tableColumn id="1" xr3:uid="{00000000-0010-0000-0300-000001000000}" name="ID_OBJ"/>
    <tableColumn id="2" xr3:uid="{00000000-0010-0000-0300-000002000000}" name="ID_KPI"/>
    <tableColumn id="3" xr3:uid="{00000000-0010-0000-0300-000003000000}" name="Mes"/>
    <tableColumn id="4" xr3:uid="{00000000-0010-0000-0300-000004000000}" name="Valor_Real"/>
    <tableColumn id="5" xr3:uid="{00000000-0010-0000-0300-000005000000}" name="Baseline"/>
    <tableColumn id="6" xr3:uid="{00000000-0010-0000-0300-000006000000}" name="Meta_Final"/>
    <tableColumn id="7" xr3:uid="{00000000-0010-0000-0300-000007000000}" name="Desvio_vs_Baseline"/>
    <tableColumn id="8" xr3:uid="{00000000-0010-0000-0300-000008000000}" name="Media_Movel_3M"/>
    <tableColumn id="9" xr3:uid="{00000000-0010-0000-0300-000009000000}" name="Sinal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cionario" displayName="tbl_dicionario" ref="A1:I54">
  <autoFilter ref="A1:I54" xr:uid="{00000000-0009-0000-0100-000005000000}"/>
  <tableColumns count="9">
    <tableColumn id="1" xr3:uid="{00000000-0010-0000-0400-000001000000}" name="Folha"/>
    <tableColumn id="2" xr3:uid="{00000000-0010-0000-0400-000002000000}" name="Tabela"/>
    <tableColumn id="3" xr3:uid="{00000000-0010-0000-0400-000003000000}" name="Coluna"/>
    <tableColumn id="4" xr3:uid="{00000000-0010-0000-0400-000004000000}" name="Tipo"/>
    <tableColumn id="5" xr3:uid="{00000000-0010-0000-0400-000005000000}" name="Origem"/>
    <tableColumn id="6" xr3:uid="{00000000-0010-0000-0400-000006000000}" name="Descricao"/>
    <tableColumn id="7" xr3:uid="{00000000-0010-0000-0400-000007000000}" name="Dominio_Unidade"/>
    <tableColumn id="8" xr3:uid="{00000000-0010-0000-0400-000008000000}" name="Obrigatorio"/>
    <tableColumn id="9" xr3:uid="{00000000-0010-0000-04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0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7" spans="1:2" x14ac:dyDescent="0.3">
      <c r="A27" s="5" t="s">
        <v>40</v>
      </c>
      <c r="B27" s="6" t="s">
        <v>41</v>
      </c>
    </row>
    <row r="29" spans="1:2" x14ac:dyDescent="0.3">
      <c r="A29" s="3" t="s">
        <v>42</v>
      </c>
      <c r="B29" s="4"/>
    </row>
    <row r="30" spans="1:2" ht="26.4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ht="26.4" x14ac:dyDescent="0.3">
      <c r="A33" s="5" t="s">
        <v>49</v>
      </c>
      <c r="B33" s="6" t="s">
        <v>50</v>
      </c>
    </row>
    <row r="34" spans="1:2" ht="26.4" x14ac:dyDescent="0.3">
      <c r="A34" s="5" t="s">
        <v>51</v>
      </c>
      <c r="B34" s="6" t="s">
        <v>52</v>
      </c>
    </row>
    <row r="35" spans="1:2" ht="26.4" x14ac:dyDescent="0.3">
      <c r="A35" s="5" t="s">
        <v>53</v>
      </c>
      <c r="B35" s="6" t="s">
        <v>54</v>
      </c>
    </row>
    <row r="37" spans="1:2" x14ac:dyDescent="0.3">
      <c r="A37" s="3" t="s">
        <v>55</v>
      </c>
      <c r="B37" s="4"/>
    </row>
    <row r="38" spans="1:2" ht="26.4" x14ac:dyDescent="0.3">
      <c r="A38" s="5" t="s">
        <v>56</v>
      </c>
      <c r="B38" s="6" t="s">
        <v>57</v>
      </c>
    </row>
    <row r="39" spans="1:2" x14ac:dyDescent="0.3">
      <c r="A39" s="5" t="s">
        <v>58</v>
      </c>
      <c r="B39" s="6" t="s">
        <v>59</v>
      </c>
    </row>
    <row r="40" spans="1:2" x14ac:dyDescent="0.3">
      <c r="A40" s="5" t="s">
        <v>60</v>
      </c>
      <c r="B40" s="6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8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00" customWidth="1"/>
    <col min="3" max="3" width="11" customWidth="1"/>
  </cols>
  <sheetData>
    <row r="1" spans="1:3" ht="26.4" x14ac:dyDescent="0.3">
      <c r="A1" s="8" t="s">
        <v>62</v>
      </c>
      <c r="B1" s="8" t="s">
        <v>63</v>
      </c>
      <c r="C1" s="9" t="s">
        <v>64</v>
      </c>
    </row>
    <row r="2" spans="1:3" ht="26.4" x14ac:dyDescent="0.3">
      <c r="A2" s="10" t="s">
        <v>65</v>
      </c>
      <c r="B2" s="10" t="s">
        <v>66</v>
      </c>
      <c r="C2" s="11">
        <f>COUNTIF(tbl_objetivos[ID_Politica],A2)</f>
        <v>1</v>
      </c>
    </row>
    <row r="3" spans="1:3" x14ac:dyDescent="0.3">
      <c r="A3" s="10" t="s">
        <v>67</v>
      </c>
      <c r="B3" s="10" t="s">
        <v>68</v>
      </c>
      <c r="C3" s="11">
        <f>COUNTIF(tbl_objetivos[ID_Politica],A3)</f>
        <v>1</v>
      </c>
    </row>
    <row r="4" spans="1:3" x14ac:dyDescent="0.3">
      <c r="A4" s="10" t="s">
        <v>69</v>
      </c>
      <c r="B4" s="10" t="s">
        <v>70</v>
      </c>
      <c r="C4" s="11">
        <f>COUNTIF(tbl_objetivos[ID_Politica],A4)</f>
        <v>2</v>
      </c>
    </row>
    <row r="5" spans="1:3" ht="26.4" x14ac:dyDescent="0.3">
      <c r="A5" s="10" t="s">
        <v>71</v>
      </c>
      <c r="B5" s="10" t="s">
        <v>72</v>
      </c>
      <c r="C5" s="11">
        <f>COUNTIF(tbl_objetivos[ID_Politica],A5)</f>
        <v>2</v>
      </c>
    </row>
    <row r="6" spans="1:3" x14ac:dyDescent="0.3">
      <c r="A6" s="10" t="s">
        <v>73</v>
      </c>
      <c r="B6" s="10" t="s">
        <v>74</v>
      </c>
      <c r="C6" s="11">
        <f>COUNTIF(tbl_objetivos[ID_Politica],A6)</f>
        <v>0</v>
      </c>
    </row>
    <row r="7" spans="1:3" x14ac:dyDescent="0.3">
      <c r="A7" s="10" t="s">
        <v>75</v>
      </c>
      <c r="B7" s="10" t="s">
        <v>76</v>
      </c>
      <c r="C7" s="11">
        <f>COUNTIF(tbl_objetivos[ID_Politica],A7)</f>
        <v>1</v>
      </c>
    </row>
    <row r="8" spans="1:3" x14ac:dyDescent="0.3">
      <c r="A8" s="10" t="s">
        <v>77</v>
      </c>
      <c r="B8" s="10" t="s">
        <v>78</v>
      </c>
      <c r="C8" s="11">
        <f>COUNTIF(tbl_objetivos[ID_Politica],A8)</f>
        <v>0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2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0" customWidth="1"/>
    <col min="3" max="3" width="50" customWidth="1"/>
    <col min="4" max="5" width="14" customWidth="1"/>
    <col min="6" max="6" width="26" customWidth="1"/>
    <col min="7" max="7" width="11" customWidth="1"/>
    <col min="8" max="8" width="30" customWidth="1"/>
    <col min="9" max="9" width="28" customWidth="1"/>
    <col min="10" max="10" width="11" customWidth="1"/>
    <col min="11" max="12" width="8" customWidth="1"/>
  </cols>
  <sheetData>
    <row r="1" spans="1:12" x14ac:dyDescent="0.3">
      <c r="A1" s="8" t="s">
        <v>79</v>
      </c>
      <c r="B1" s="8" t="s">
        <v>80</v>
      </c>
      <c r="C1" s="8" t="s">
        <v>81</v>
      </c>
      <c r="D1" s="8" t="s">
        <v>82</v>
      </c>
      <c r="E1" s="8" t="s">
        <v>83</v>
      </c>
      <c r="F1" s="8" t="s">
        <v>84</v>
      </c>
      <c r="G1" s="8" t="s">
        <v>85</v>
      </c>
      <c r="H1" s="8" t="s">
        <v>86</v>
      </c>
      <c r="I1" s="8" t="s">
        <v>87</v>
      </c>
      <c r="J1" s="8" t="s">
        <v>88</v>
      </c>
      <c r="K1" s="8" t="s">
        <v>89</v>
      </c>
      <c r="L1" s="8" t="s">
        <v>90</v>
      </c>
    </row>
    <row r="2" spans="1:12" ht="34.049999999999997" customHeight="1" x14ac:dyDescent="0.3">
      <c r="A2" s="10" t="s">
        <v>91</v>
      </c>
      <c r="B2" s="10" t="s">
        <v>92</v>
      </c>
      <c r="C2" s="10" t="s">
        <v>93</v>
      </c>
      <c r="D2" s="10" t="s">
        <v>94</v>
      </c>
      <c r="E2" s="10" t="s">
        <v>95</v>
      </c>
      <c r="F2" s="10" t="s">
        <v>96</v>
      </c>
      <c r="G2" s="10" t="s">
        <v>97</v>
      </c>
      <c r="H2" s="10" t="s">
        <v>98</v>
      </c>
      <c r="I2" s="10" t="s">
        <v>99</v>
      </c>
      <c r="J2" s="12">
        <v>110.4918</v>
      </c>
      <c r="K2" s="10" t="s">
        <v>100</v>
      </c>
      <c r="L2" s="10" t="s">
        <v>101</v>
      </c>
    </row>
    <row r="3" spans="1:12" ht="34.049999999999997" customHeight="1" x14ac:dyDescent="0.3">
      <c r="A3" s="10" t="s">
        <v>102</v>
      </c>
      <c r="B3" s="10" t="s">
        <v>103</v>
      </c>
      <c r="C3" s="10" t="s">
        <v>104</v>
      </c>
      <c r="D3" s="10" t="s">
        <v>105</v>
      </c>
      <c r="E3" s="10" t="s">
        <v>95</v>
      </c>
      <c r="F3" s="10" t="s">
        <v>96</v>
      </c>
      <c r="G3" s="10" t="s">
        <v>97</v>
      </c>
      <c r="H3" s="10" t="s">
        <v>106</v>
      </c>
      <c r="I3" s="10" t="s">
        <v>99</v>
      </c>
      <c r="J3" s="12">
        <v>0.1429</v>
      </c>
      <c r="K3" s="10" t="s">
        <v>107</v>
      </c>
      <c r="L3" s="10" t="s">
        <v>108</v>
      </c>
    </row>
    <row r="4" spans="1:12" ht="34.049999999999997" customHeight="1" x14ac:dyDescent="0.3">
      <c r="A4" s="10" t="s">
        <v>109</v>
      </c>
      <c r="B4" s="10" t="s">
        <v>110</v>
      </c>
      <c r="C4" s="10" t="s">
        <v>111</v>
      </c>
      <c r="D4" s="10" t="s">
        <v>112</v>
      </c>
      <c r="E4" s="10" t="s">
        <v>95</v>
      </c>
      <c r="F4" s="10" t="s">
        <v>96</v>
      </c>
      <c r="G4" s="10" t="s">
        <v>97</v>
      </c>
      <c r="H4" s="10" t="s">
        <v>113</v>
      </c>
      <c r="I4" s="10" t="s">
        <v>114</v>
      </c>
      <c r="J4" s="12">
        <v>0.48120000000000002</v>
      </c>
      <c r="K4" s="10" t="s">
        <v>115</v>
      </c>
      <c r="L4" s="10" t="s">
        <v>116</v>
      </c>
    </row>
    <row r="5" spans="1:12" ht="34.049999999999997" customHeight="1" x14ac:dyDescent="0.3">
      <c r="A5" s="10" t="s">
        <v>117</v>
      </c>
      <c r="B5" s="10" t="s">
        <v>118</v>
      </c>
      <c r="C5" s="10" t="s">
        <v>119</v>
      </c>
      <c r="D5" s="10" t="s">
        <v>120</v>
      </c>
      <c r="E5" s="10" t="s">
        <v>121</v>
      </c>
      <c r="F5" s="10" t="s">
        <v>96</v>
      </c>
      <c r="G5" s="10" t="s">
        <v>97</v>
      </c>
      <c r="H5" s="10" t="s">
        <v>122</v>
      </c>
      <c r="I5" s="10" t="s">
        <v>114</v>
      </c>
      <c r="J5" s="12"/>
      <c r="K5" s="10" t="s">
        <v>115</v>
      </c>
      <c r="L5" s="10" t="s">
        <v>116</v>
      </c>
    </row>
    <row r="6" spans="1:12" ht="34.049999999999997" customHeight="1" x14ac:dyDescent="0.3">
      <c r="A6" s="10" t="s">
        <v>123</v>
      </c>
      <c r="B6" s="10" t="s">
        <v>124</v>
      </c>
      <c r="C6" s="10" t="s">
        <v>125</v>
      </c>
      <c r="D6" s="10" t="s">
        <v>120</v>
      </c>
      <c r="E6" s="10" t="s">
        <v>121</v>
      </c>
      <c r="F6" s="10" t="s">
        <v>96</v>
      </c>
      <c r="G6" s="10" t="s">
        <v>97</v>
      </c>
      <c r="H6" s="10" t="s">
        <v>126</v>
      </c>
      <c r="I6" s="10" t="s">
        <v>127</v>
      </c>
      <c r="J6" s="12"/>
      <c r="K6" s="10"/>
      <c r="L6" s="10" t="s">
        <v>128</v>
      </c>
    </row>
    <row r="7" spans="1:12" ht="34.049999999999997" customHeight="1" x14ac:dyDescent="0.3">
      <c r="A7" s="10" t="s">
        <v>129</v>
      </c>
      <c r="B7" s="10" t="s">
        <v>130</v>
      </c>
      <c r="C7" s="10" t="s">
        <v>131</v>
      </c>
      <c r="D7" s="10" t="s">
        <v>132</v>
      </c>
      <c r="E7" s="10" t="s">
        <v>95</v>
      </c>
      <c r="F7" s="10" t="s">
        <v>96</v>
      </c>
      <c r="G7" s="10" t="s">
        <v>97</v>
      </c>
      <c r="H7" s="10" t="s">
        <v>133</v>
      </c>
      <c r="I7" s="10" t="s">
        <v>127</v>
      </c>
      <c r="J7" s="12">
        <v>0.1605</v>
      </c>
      <c r="K7" s="10" t="s">
        <v>134</v>
      </c>
      <c r="L7" s="10" t="s">
        <v>135</v>
      </c>
    </row>
    <row r="8" spans="1:12" ht="34.049999999999997" customHeight="1" x14ac:dyDescent="0.3">
      <c r="A8" s="10" t="s">
        <v>136</v>
      </c>
      <c r="B8" s="10" t="s">
        <v>137</v>
      </c>
      <c r="C8" s="10" t="s">
        <v>138</v>
      </c>
      <c r="D8" s="10" t="s">
        <v>139</v>
      </c>
      <c r="E8" s="10" t="s">
        <v>95</v>
      </c>
      <c r="F8" s="10" t="s">
        <v>96</v>
      </c>
      <c r="G8" s="10" t="s">
        <v>97</v>
      </c>
      <c r="H8" s="10" t="s">
        <v>140</v>
      </c>
      <c r="I8" s="10" t="s">
        <v>127</v>
      </c>
      <c r="J8" s="12"/>
      <c r="K8" s="10"/>
      <c r="L8" s="10" t="s">
        <v>128</v>
      </c>
    </row>
    <row r="9" spans="1:12" ht="34.049999999999997" customHeight="1" x14ac:dyDescent="0.3">
      <c r="A9" s="10" t="s">
        <v>141</v>
      </c>
      <c r="B9" s="10" t="s">
        <v>142</v>
      </c>
      <c r="C9" s="10" t="s">
        <v>143</v>
      </c>
      <c r="D9" s="10" t="s">
        <v>144</v>
      </c>
      <c r="E9" s="10" t="s">
        <v>95</v>
      </c>
      <c r="F9" s="10" t="s">
        <v>96</v>
      </c>
      <c r="G9" s="10" t="s">
        <v>97</v>
      </c>
      <c r="H9" s="10" t="s">
        <v>145</v>
      </c>
      <c r="I9" s="10" t="s">
        <v>127</v>
      </c>
      <c r="J9" s="12"/>
      <c r="K9" s="10" t="s">
        <v>100</v>
      </c>
      <c r="L9" s="10" t="s">
        <v>101</v>
      </c>
    </row>
    <row r="10" spans="1:12" ht="34.049999999999997" customHeight="1" x14ac:dyDescent="0.3">
      <c r="A10" s="10" t="s">
        <v>146</v>
      </c>
      <c r="B10" s="10" t="s">
        <v>147</v>
      </c>
      <c r="C10" s="10" t="s">
        <v>148</v>
      </c>
      <c r="D10" s="10" t="s">
        <v>120</v>
      </c>
      <c r="E10" s="10" t="s">
        <v>121</v>
      </c>
      <c r="F10" s="10" t="s">
        <v>96</v>
      </c>
      <c r="G10" s="10" t="s">
        <v>149</v>
      </c>
      <c r="H10" s="10" t="s">
        <v>150</v>
      </c>
      <c r="I10" s="10" t="s">
        <v>151</v>
      </c>
      <c r="J10" s="12">
        <v>0.55000000000000004</v>
      </c>
      <c r="K10" s="10"/>
      <c r="L10" s="10" t="s">
        <v>101</v>
      </c>
    </row>
    <row r="11" spans="1:12" ht="34.049999999999997" customHeight="1" x14ac:dyDescent="0.3">
      <c r="A11" s="10" t="s">
        <v>152</v>
      </c>
      <c r="B11" s="10" t="s">
        <v>153</v>
      </c>
      <c r="C11" s="10" t="s">
        <v>154</v>
      </c>
      <c r="D11" s="10" t="s">
        <v>120</v>
      </c>
      <c r="E11" s="10" t="s">
        <v>121</v>
      </c>
      <c r="F11" s="10" t="s">
        <v>155</v>
      </c>
      <c r="G11" s="10" t="s">
        <v>97</v>
      </c>
      <c r="H11" s="10" t="s">
        <v>156</v>
      </c>
      <c r="I11" s="10" t="s">
        <v>127</v>
      </c>
      <c r="J11" s="12"/>
      <c r="K11" s="10"/>
      <c r="L11" s="10" t="s">
        <v>157</v>
      </c>
    </row>
    <row r="12" spans="1:12" ht="34.049999999999997" customHeight="1" x14ac:dyDescent="0.3">
      <c r="A12" s="10" t="s">
        <v>158</v>
      </c>
      <c r="B12" s="10" t="s">
        <v>159</v>
      </c>
      <c r="C12" s="10" t="s">
        <v>160</v>
      </c>
      <c r="D12" s="10" t="s">
        <v>161</v>
      </c>
      <c r="E12" s="10" t="s">
        <v>162</v>
      </c>
      <c r="F12" s="10" t="s">
        <v>155</v>
      </c>
      <c r="G12" s="10" t="s">
        <v>97</v>
      </c>
      <c r="H12" s="10" t="s">
        <v>163</v>
      </c>
      <c r="I12" s="10" t="s">
        <v>127</v>
      </c>
      <c r="J12" s="12"/>
      <c r="K12" s="10"/>
      <c r="L12" s="10" t="s">
        <v>157</v>
      </c>
    </row>
    <row r="13" spans="1:12" ht="34.049999999999997" customHeight="1" x14ac:dyDescent="0.3">
      <c r="A13" s="10" t="s">
        <v>164</v>
      </c>
      <c r="B13" s="10" t="s">
        <v>165</v>
      </c>
      <c r="C13" s="10" t="s">
        <v>166</v>
      </c>
      <c r="D13" s="10" t="s">
        <v>120</v>
      </c>
      <c r="E13" s="10" t="s">
        <v>121</v>
      </c>
      <c r="F13" s="10" t="s">
        <v>155</v>
      </c>
      <c r="G13" s="10" t="s">
        <v>97</v>
      </c>
      <c r="H13" s="10" t="s">
        <v>167</v>
      </c>
      <c r="I13" s="10" t="s">
        <v>168</v>
      </c>
      <c r="J13" s="12">
        <v>0.40910000000000002</v>
      </c>
      <c r="K13" s="10" t="s">
        <v>169</v>
      </c>
      <c r="L13" s="10" t="s">
        <v>170</v>
      </c>
    </row>
    <row r="14" spans="1:12" ht="34.049999999999997" customHeight="1" x14ac:dyDescent="0.3">
      <c r="A14" s="10" t="s">
        <v>171</v>
      </c>
      <c r="B14" s="10" t="s">
        <v>172</v>
      </c>
      <c r="C14" s="10" t="s">
        <v>173</v>
      </c>
      <c r="D14" s="10" t="s">
        <v>120</v>
      </c>
      <c r="E14" s="10" t="s">
        <v>121</v>
      </c>
      <c r="F14" s="10" t="s">
        <v>155</v>
      </c>
      <c r="G14" s="10" t="s">
        <v>97</v>
      </c>
      <c r="H14" s="10" t="s">
        <v>174</v>
      </c>
      <c r="I14" s="10" t="s">
        <v>127</v>
      </c>
      <c r="J14" s="12">
        <v>0.42859999999999998</v>
      </c>
      <c r="K14" s="10" t="s">
        <v>175</v>
      </c>
      <c r="L14" s="10" t="s">
        <v>176</v>
      </c>
    </row>
    <row r="15" spans="1:12" ht="34.049999999999997" customHeight="1" x14ac:dyDescent="0.3">
      <c r="A15" s="10" t="s">
        <v>177</v>
      </c>
      <c r="B15" s="10" t="s">
        <v>178</v>
      </c>
      <c r="C15" s="10" t="s">
        <v>179</v>
      </c>
      <c r="D15" s="10" t="s">
        <v>120</v>
      </c>
      <c r="E15" s="10" t="s">
        <v>121</v>
      </c>
      <c r="F15" s="10" t="s">
        <v>155</v>
      </c>
      <c r="G15" s="10" t="s">
        <v>149</v>
      </c>
      <c r="H15" s="10" t="s">
        <v>180</v>
      </c>
      <c r="I15" s="10" t="s">
        <v>127</v>
      </c>
      <c r="J15" s="12"/>
      <c r="K15" s="10"/>
      <c r="L15" s="10"/>
    </row>
    <row r="16" spans="1:12" ht="34.049999999999997" customHeight="1" x14ac:dyDescent="0.3">
      <c r="A16" s="10" t="s">
        <v>181</v>
      </c>
      <c r="B16" s="10" t="s">
        <v>182</v>
      </c>
      <c r="C16" s="10" t="s">
        <v>183</v>
      </c>
      <c r="D16" s="10" t="s">
        <v>120</v>
      </c>
      <c r="E16" s="10" t="s">
        <v>121</v>
      </c>
      <c r="F16" s="10" t="s">
        <v>155</v>
      </c>
      <c r="G16" s="10" t="s">
        <v>97</v>
      </c>
      <c r="H16" s="10" t="s">
        <v>184</v>
      </c>
      <c r="I16" s="10" t="s">
        <v>127</v>
      </c>
      <c r="J16" s="12"/>
      <c r="K16" s="10"/>
      <c r="L16" s="10"/>
    </row>
    <row r="17" spans="1:12" ht="34.049999999999997" customHeight="1" x14ac:dyDescent="0.3">
      <c r="A17" s="10" t="s">
        <v>185</v>
      </c>
      <c r="B17" s="10" t="s">
        <v>186</v>
      </c>
      <c r="C17" s="10" t="s">
        <v>187</v>
      </c>
      <c r="D17" s="10" t="s">
        <v>120</v>
      </c>
      <c r="E17" s="10" t="s">
        <v>121</v>
      </c>
      <c r="F17" s="10" t="s">
        <v>155</v>
      </c>
      <c r="G17" s="10" t="s">
        <v>149</v>
      </c>
      <c r="H17" s="10" t="s">
        <v>188</v>
      </c>
      <c r="I17" s="10" t="s">
        <v>168</v>
      </c>
      <c r="J17" s="12">
        <v>1</v>
      </c>
      <c r="K17" s="10"/>
      <c r="L17" s="10"/>
    </row>
    <row r="18" spans="1:12" ht="34.049999999999997" customHeight="1" x14ac:dyDescent="0.3">
      <c r="A18" s="10" t="s">
        <v>189</v>
      </c>
      <c r="B18" s="10" t="s">
        <v>190</v>
      </c>
      <c r="C18" s="10" t="s">
        <v>191</v>
      </c>
      <c r="D18" s="10" t="s">
        <v>120</v>
      </c>
      <c r="E18" s="10" t="s">
        <v>121</v>
      </c>
      <c r="F18" s="10" t="s">
        <v>96</v>
      </c>
      <c r="G18" s="10" t="s">
        <v>149</v>
      </c>
      <c r="H18" s="10" t="s">
        <v>188</v>
      </c>
      <c r="I18" s="10" t="s">
        <v>168</v>
      </c>
      <c r="J18" s="12">
        <v>0.66359999999999997</v>
      </c>
      <c r="K18" s="10" t="s">
        <v>192</v>
      </c>
      <c r="L18" s="10"/>
    </row>
    <row r="19" spans="1:12" ht="34.049999999999997" customHeight="1" x14ac:dyDescent="0.3">
      <c r="A19" s="10" t="s">
        <v>193</v>
      </c>
      <c r="B19" s="10" t="s">
        <v>194</v>
      </c>
      <c r="C19" s="10" t="s">
        <v>195</v>
      </c>
      <c r="D19" s="10" t="s">
        <v>120</v>
      </c>
      <c r="E19" s="10" t="s">
        <v>121</v>
      </c>
      <c r="F19" s="10" t="s">
        <v>96</v>
      </c>
      <c r="G19" s="10" t="s">
        <v>97</v>
      </c>
      <c r="H19" s="10" t="s">
        <v>196</v>
      </c>
      <c r="I19" s="10" t="s">
        <v>197</v>
      </c>
      <c r="J19" s="12">
        <v>0.1134</v>
      </c>
      <c r="K19" s="10"/>
      <c r="L19" s="10"/>
    </row>
    <row r="20" spans="1:12" ht="34.049999999999997" customHeight="1" x14ac:dyDescent="0.3">
      <c r="A20" s="10" t="s">
        <v>198</v>
      </c>
      <c r="B20" s="10" t="s">
        <v>199</v>
      </c>
      <c r="C20" s="10" t="s">
        <v>200</v>
      </c>
      <c r="D20" s="10" t="s">
        <v>120</v>
      </c>
      <c r="E20" s="10" t="s">
        <v>121</v>
      </c>
      <c r="F20" s="10" t="s">
        <v>96</v>
      </c>
      <c r="G20" s="10" t="s">
        <v>149</v>
      </c>
      <c r="H20" s="10" t="s">
        <v>188</v>
      </c>
      <c r="I20" s="10" t="s">
        <v>168</v>
      </c>
      <c r="J20" s="12">
        <v>0.59750000000000003</v>
      </c>
      <c r="K20" s="10" t="s">
        <v>192</v>
      </c>
      <c r="L20" s="10"/>
    </row>
    <row r="21" spans="1:12" ht="34.049999999999997" customHeight="1" x14ac:dyDescent="0.3">
      <c r="A21" s="10" t="s">
        <v>201</v>
      </c>
      <c r="B21" s="10" t="s">
        <v>202</v>
      </c>
      <c r="C21" s="10" t="s">
        <v>203</v>
      </c>
      <c r="D21" s="10" t="s">
        <v>120</v>
      </c>
      <c r="E21" s="10" t="s">
        <v>121</v>
      </c>
      <c r="F21" s="10" t="s">
        <v>155</v>
      </c>
      <c r="G21" s="10" t="s">
        <v>97</v>
      </c>
      <c r="H21" s="10" t="s">
        <v>204</v>
      </c>
      <c r="I21" s="10" t="s">
        <v>197</v>
      </c>
      <c r="J21" s="12">
        <v>0.66669999999999996</v>
      </c>
      <c r="K21" s="10"/>
      <c r="L21" s="10"/>
    </row>
    <row r="22" spans="1:12" ht="34.049999999999997" customHeight="1" x14ac:dyDescent="0.3">
      <c r="A22" s="10" t="s">
        <v>205</v>
      </c>
      <c r="B22" s="10" t="s">
        <v>206</v>
      </c>
      <c r="C22" s="10" t="s">
        <v>207</v>
      </c>
      <c r="D22" s="10" t="s">
        <v>208</v>
      </c>
      <c r="E22" s="10" t="s">
        <v>95</v>
      </c>
      <c r="F22" s="10" t="s">
        <v>209</v>
      </c>
      <c r="G22" s="10" t="s">
        <v>97</v>
      </c>
      <c r="H22" s="10" t="s">
        <v>210</v>
      </c>
      <c r="I22" s="10" t="s">
        <v>127</v>
      </c>
      <c r="J22" s="12"/>
      <c r="K22" s="10"/>
      <c r="L22" s="10"/>
    </row>
  </sheetData>
  <dataValidations count="4">
    <dataValidation type="list" allowBlank="1" showErrorMessage="1" errorTitle="Valor inválido" error="Valor fora da lista controlada (ver folha Listas)." sqref="E2:E222" xr:uid="{00000000-0002-0000-0200-000000000000}">
      <formula1>lst_Polaridade</formula1>
    </dataValidation>
    <dataValidation type="list" allowBlank="1" showErrorMessage="1" errorTitle="Valor inválido" error="Valor fora da lista controlada (ver folha Listas)." sqref="F2:F222" xr:uid="{00000000-0002-0000-0200-000001000000}">
      <formula1>lst_TipoISO14031</formula1>
    </dataValidation>
    <dataValidation type="list" allowBlank="1" showErrorMessage="1" errorTitle="Valor inválido" error="Valor fora da lista controlada (ver folha Listas)." sqref="G2:G222" xr:uid="{00000000-0002-0000-0200-000002000000}">
      <formula1>lst_Frequencia</formula1>
    </dataValidation>
    <dataValidation type="list" allowBlank="1" showErrorMessage="1" errorTitle="Valor inválido" error="Valor fora da lista controlada (ver folha Listas)." sqref="I2:I222" xr:uid="{00000000-0002-0000-0200-000003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1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9" customWidth="1"/>
    <col min="3" max="3" width="18" customWidth="1"/>
    <col min="4" max="4" width="20" customWidth="1"/>
    <col min="5" max="5" width="40" customWidth="1"/>
    <col min="6" max="6" width="50" customWidth="1"/>
    <col min="7" max="7" width="8" customWidth="1"/>
    <col min="8" max="8" width="26" customWidth="1"/>
    <col min="9" max="9" width="10" customWidth="1"/>
    <col min="10" max="10" width="14" customWidth="1"/>
    <col min="11" max="11" width="9" customWidth="1"/>
    <col min="12" max="13" width="11" customWidth="1"/>
    <col min="14" max="15" width="32" customWidth="1"/>
    <col min="16" max="16" width="11" customWidth="1"/>
    <col min="17" max="17" width="26" customWidth="1"/>
    <col min="18" max="18" width="22" customWidth="1"/>
    <col min="19" max="20" width="10" customWidth="1"/>
    <col min="21" max="22" width="9" customWidth="1"/>
    <col min="23" max="27" width="8" customWidth="1"/>
    <col min="28" max="28" width="12" customWidth="1"/>
    <col min="29" max="29" width="11" customWidth="1"/>
  </cols>
  <sheetData>
    <row r="1" spans="1:29" ht="17.399999999999999" x14ac:dyDescent="0.3">
      <c r="A1" s="1" t="s">
        <v>211</v>
      </c>
    </row>
    <row r="2" spans="1:29" x14ac:dyDescent="0.3">
      <c r="A2" s="2" t="s">
        <v>212</v>
      </c>
    </row>
    <row r="4" spans="1:29" ht="39.6" x14ac:dyDescent="0.3">
      <c r="A4" s="8" t="s">
        <v>89</v>
      </c>
      <c r="B4" s="8" t="s">
        <v>62</v>
      </c>
      <c r="C4" s="8" t="s">
        <v>213</v>
      </c>
      <c r="D4" s="8" t="s">
        <v>214</v>
      </c>
      <c r="E4" s="8" t="s">
        <v>215</v>
      </c>
      <c r="F4" s="8" t="s">
        <v>216</v>
      </c>
      <c r="G4" s="8" t="s">
        <v>79</v>
      </c>
      <c r="H4" s="9" t="s">
        <v>217</v>
      </c>
      <c r="I4" s="9" t="s">
        <v>88</v>
      </c>
      <c r="J4" s="8" t="s">
        <v>218</v>
      </c>
      <c r="K4" s="8" t="s">
        <v>219</v>
      </c>
      <c r="L4" s="9" t="s">
        <v>220</v>
      </c>
      <c r="M4" s="8" t="s">
        <v>221</v>
      </c>
      <c r="N4" s="8" t="s">
        <v>222</v>
      </c>
      <c r="O4" s="8" t="s">
        <v>223</v>
      </c>
      <c r="P4" s="8" t="s">
        <v>224</v>
      </c>
      <c r="Q4" s="8" t="s">
        <v>87</v>
      </c>
      <c r="R4" s="8" t="s">
        <v>225</v>
      </c>
      <c r="S4" s="8" t="s">
        <v>14</v>
      </c>
      <c r="T4" s="8" t="s">
        <v>226</v>
      </c>
      <c r="U4" s="9" t="s">
        <v>227</v>
      </c>
      <c r="V4" s="9" t="s">
        <v>228</v>
      </c>
      <c r="W4" s="9" t="s">
        <v>229</v>
      </c>
      <c r="X4" s="9" t="s">
        <v>230</v>
      </c>
      <c r="Y4" s="9" t="s">
        <v>231</v>
      </c>
      <c r="Z4" s="9" t="s">
        <v>232</v>
      </c>
      <c r="AA4" s="9" t="s">
        <v>233</v>
      </c>
      <c r="AB4" s="9" t="s">
        <v>234</v>
      </c>
      <c r="AC4" s="8" t="s">
        <v>235</v>
      </c>
    </row>
    <row r="5" spans="1:29" ht="94.95" customHeight="1" x14ac:dyDescent="0.3">
      <c r="A5" s="10" t="s">
        <v>100</v>
      </c>
      <c r="B5" s="10" t="s">
        <v>69</v>
      </c>
      <c r="C5" s="10" t="s">
        <v>236</v>
      </c>
      <c r="D5" s="10" t="s">
        <v>237</v>
      </c>
      <c r="E5" s="10" t="s">
        <v>238</v>
      </c>
      <c r="F5" s="10" t="s">
        <v>239</v>
      </c>
      <c r="G5" s="10" t="s">
        <v>91</v>
      </c>
      <c r="H5" s="13" t="str">
        <f>IFERROR(INDEX(tbl_kpi[Nome],MATCH(G5,tbl_kpi[ID_KPI],0))&amp;" ("&amp;INDEX(tbl_kpi[Unidade],MATCH(G5,tbl_kpi[ID_KPI],0))&amp;")","")</f>
        <v>Intensidade energética (kWh/1.000 un)</v>
      </c>
      <c r="I5" s="14">
        <f>IFERROR(INDEX(tbl_kpi[Baseline],MATCH(G5,tbl_kpi[ID_KPI],0)),"")</f>
        <v>110.4918</v>
      </c>
      <c r="J5" s="10" t="s">
        <v>240</v>
      </c>
      <c r="K5" s="15">
        <v>-0.08</v>
      </c>
      <c r="L5" s="14">
        <f t="shared" ref="L5:L11" si="0">IF(J5="Valor absoluto",K5,IF(I5="","",I5*(1+K5)))</f>
        <v>101.652456</v>
      </c>
      <c r="M5" s="16">
        <v>46752</v>
      </c>
      <c r="N5" s="10" t="s">
        <v>241</v>
      </c>
      <c r="O5" s="10" t="s">
        <v>242</v>
      </c>
      <c r="P5" s="17">
        <v>42000</v>
      </c>
      <c r="Q5" s="10" t="s">
        <v>99</v>
      </c>
      <c r="R5" s="10" t="s">
        <v>243</v>
      </c>
      <c r="S5" s="10" t="s">
        <v>244</v>
      </c>
      <c r="T5" s="12">
        <v>99.975999999999999</v>
      </c>
      <c r="U5" s="18">
        <f t="shared" ref="U5:U11" si="1">IF(OR(T5="",L5="",I5=""),"",IF(L5=I5,"",MAX(-1,MIN(1,(T5-I5)/(L5-I5)))))</f>
        <v>1</v>
      </c>
      <c r="V5" s="11">
        <f t="shared" ref="V5:V11" si="2">M5-DataRef</f>
        <v>365</v>
      </c>
      <c r="W5" s="13" t="str">
        <f t="shared" ref="W5:W11" si="3">IF(AND(LEN(F5)&gt;40,G5&lt;&gt;""),"✔","✘")</f>
        <v>✔</v>
      </c>
      <c r="X5" s="13" t="str">
        <f t="shared" ref="X5:X11" si="4">IF(ISNUMBER(K5),"✔","✘")</f>
        <v>✔</v>
      </c>
      <c r="Y5" s="13" t="str">
        <f t="shared" ref="Y5:Y11" si="5">IF(AND(P5&gt;0,Q5&lt;&gt;"",R5&lt;&gt;""),"✔","✘")</f>
        <v>✔</v>
      </c>
      <c r="Z5" s="13" t="str">
        <f t="shared" ref="Z5:Z11" si="6">IF(AND(D5&lt;&gt;"",B5&lt;&gt;""),"✔","✘")</f>
        <v>✔</v>
      </c>
      <c r="AA5" s="13" t="str">
        <f t="shared" ref="AA5:AA11" si="7">IF(ISNUMBER(M5),"✔","✘")</f>
        <v>✔</v>
      </c>
      <c r="AB5" s="13" t="str">
        <f t="shared" ref="AB5:AB11" si="8">IF((W5="✔")+(X5="✔")+(Y5="✔")+(Z5="✔")+(AA5="✔")=5,"SMART","Rever")</f>
        <v>SMART</v>
      </c>
      <c r="AC5" s="16">
        <v>46188</v>
      </c>
    </row>
    <row r="6" spans="1:29" ht="94.95" customHeight="1" x14ac:dyDescent="0.3">
      <c r="A6" s="10" t="s">
        <v>115</v>
      </c>
      <c r="B6" s="10" t="s">
        <v>71</v>
      </c>
      <c r="C6" s="10" t="s">
        <v>236</v>
      </c>
      <c r="D6" s="10" t="s">
        <v>245</v>
      </c>
      <c r="E6" s="10" t="s">
        <v>246</v>
      </c>
      <c r="F6" s="10" t="s">
        <v>247</v>
      </c>
      <c r="G6" s="10" t="s">
        <v>109</v>
      </c>
      <c r="H6" s="13" t="str">
        <f>IFERROR(INDEX(tbl_kpi[Nome],MATCH(G6,tbl_kpi[ID_KPI],0))&amp;" ("&amp;INDEX(tbl_kpi[Unidade],MATCH(G6,tbl_kpi[ID_KPI],0))&amp;")","")</f>
        <v>Intensidade de scrap (kg/1.000 un)</v>
      </c>
      <c r="I6" s="14">
        <f>IFERROR(INDEX(tbl_kpi[Baseline],MATCH(G6,tbl_kpi[ID_KPI],0)),"")</f>
        <v>0.48120000000000002</v>
      </c>
      <c r="J6" s="10" t="s">
        <v>240</v>
      </c>
      <c r="K6" s="15">
        <v>-0.12</v>
      </c>
      <c r="L6" s="14">
        <f t="shared" si="0"/>
        <v>0.423456</v>
      </c>
      <c r="M6" s="16">
        <v>46568</v>
      </c>
      <c r="N6" s="10" t="s">
        <v>248</v>
      </c>
      <c r="O6" s="10" t="s">
        <v>249</v>
      </c>
      <c r="P6" s="17">
        <v>8500</v>
      </c>
      <c r="Q6" s="10" t="s">
        <v>114</v>
      </c>
      <c r="R6" s="10" t="s">
        <v>250</v>
      </c>
      <c r="S6" s="10" t="s">
        <v>244</v>
      </c>
      <c r="T6" s="12">
        <v>0.44440000000000002</v>
      </c>
      <c r="U6" s="18">
        <f t="shared" si="1"/>
        <v>0.6372956497644775</v>
      </c>
      <c r="V6" s="11">
        <f t="shared" si="2"/>
        <v>181</v>
      </c>
      <c r="W6" s="13" t="str">
        <f t="shared" si="3"/>
        <v>✔</v>
      </c>
      <c r="X6" s="13" t="str">
        <f t="shared" si="4"/>
        <v>✔</v>
      </c>
      <c r="Y6" s="13" t="str">
        <f t="shared" si="5"/>
        <v>✔</v>
      </c>
      <c r="Z6" s="13" t="str">
        <f t="shared" si="6"/>
        <v>✔</v>
      </c>
      <c r="AA6" s="13" t="str">
        <f t="shared" si="7"/>
        <v>✔</v>
      </c>
      <c r="AB6" s="13" t="str">
        <f t="shared" si="8"/>
        <v>SMART</v>
      </c>
      <c r="AC6" s="16">
        <v>46188</v>
      </c>
    </row>
    <row r="7" spans="1:29" ht="94.95" customHeight="1" x14ac:dyDescent="0.3">
      <c r="A7" s="10" t="s">
        <v>134</v>
      </c>
      <c r="B7" s="10" t="s">
        <v>65</v>
      </c>
      <c r="C7" s="10" t="s">
        <v>251</v>
      </c>
      <c r="D7" s="10" t="s">
        <v>252</v>
      </c>
      <c r="E7" s="10" t="s">
        <v>253</v>
      </c>
      <c r="F7" s="10" t="s">
        <v>254</v>
      </c>
      <c r="G7" s="10" t="s">
        <v>129</v>
      </c>
      <c r="H7" s="13" t="str">
        <f>IFERROR(INDEX(tbl_kpi[Nome],MATCH(G7,tbl_kpi[ID_KPI],0))&amp;" ("&amp;INDEX(tbl_kpi[Unidade],MATCH(G7,tbl_kpi[ID_KPI],0))&amp;")","")</f>
        <v>Solvente de limpeza na serigrafia (kg/1.000 peças)</v>
      </c>
      <c r="I7" s="14">
        <f>IFERROR(INDEX(tbl_kpi[Baseline],MATCH(G7,tbl_kpi[ID_KPI],0)),"")</f>
        <v>0.1605</v>
      </c>
      <c r="J7" s="10" t="s">
        <v>240</v>
      </c>
      <c r="K7" s="15">
        <v>-0.2</v>
      </c>
      <c r="L7" s="14">
        <f t="shared" si="0"/>
        <v>0.12840000000000001</v>
      </c>
      <c r="M7" s="16">
        <v>46568</v>
      </c>
      <c r="N7" s="10" t="s">
        <v>255</v>
      </c>
      <c r="O7" s="10" t="s">
        <v>256</v>
      </c>
      <c r="P7" s="17">
        <v>18500</v>
      </c>
      <c r="Q7" s="10" t="s">
        <v>127</v>
      </c>
      <c r="R7" s="10" t="s">
        <v>257</v>
      </c>
      <c r="S7" s="10" t="s">
        <v>244</v>
      </c>
      <c r="T7" s="12">
        <v>0.16350000000000001</v>
      </c>
      <c r="U7" s="18">
        <f t="shared" si="1"/>
        <v>-9.3457943925233752E-2</v>
      </c>
      <c r="V7" s="11">
        <f t="shared" si="2"/>
        <v>181</v>
      </c>
      <c r="W7" s="13" t="str">
        <f t="shared" si="3"/>
        <v>✔</v>
      </c>
      <c r="X7" s="13" t="str">
        <f t="shared" si="4"/>
        <v>✔</v>
      </c>
      <c r="Y7" s="13" t="str">
        <f t="shared" si="5"/>
        <v>✔</v>
      </c>
      <c r="Z7" s="13" t="str">
        <f t="shared" si="6"/>
        <v>✔</v>
      </c>
      <c r="AA7" s="13" t="str">
        <f t="shared" si="7"/>
        <v>✔</v>
      </c>
      <c r="AB7" s="13" t="str">
        <f t="shared" si="8"/>
        <v>SMART</v>
      </c>
      <c r="AC7" s="16">
        <v>46188</v>
      </c>
    </row>
    <row r="8" spans="1:29" ht="94.95" customHeight="1" x14ac:dyDescent="0.3">
      <c r="A8" s="10" t="s">
        <v>169</v>
      </c>
      <c r="B8" s="10" t="s">
        <v>67</v>
      </c>
      <c r="C8" s="10" t="s">
        <v>258</v>
      </c>
      <c r="D8" s="10" t="s">
        <v>259</v>
      </c>
      <c r="E8" s="10" t="s">
        <v>260</v>
      </c>
      <c r="F8" s="10" t="s">
        <v>261</v>
      </c>
      <c r="G8" s="10" t="s">
        <v>164</v>
      </c>
      <c r="H8" s="13" t="str">
        <f>IFERROR(INDEX(tbl_kpi[Nome],MATCH(G8,tbl_kpi[ID_KPI],0))&amp;" ("&amp;INDEX(tbl_kpi[Unidade],MATCH(G8,tbl_kpi[ID_KPI],0))&amp;")","")</f>
        <v>Famílias com conformidade PPWR (%)</v>
      </c>
      <c r="I8" s="14">
        <f>IFERROR(INDEX(tbl_kpi[Baseline],MATCH(G8,tbl_kpi[ID_KPI],0)),"")</f>
        <v>0.40910000000000002</v>
      </c>
      <c r="J8" s="10" t="s">
        <v>262</v>
      </c>
      <c r="K8" s="15">
        <v>1</v>
      </c>
      <c r="L8" s="14">
        <f t="shared" si="0"/>
        <v>1</v>
      </c>
      <c r="M8" s="16">
        <v>46387</v>
      </c>
      <c r="N8" s="10" t="s">
        <v>263</v>
      </c>
      <c r="O8" s="10" t="s">
        <v>264</v>
      </c>
      <c r="P8" s="17">
        <v>26000</v>
      </c>
      <c r="Q8" s="10" t="s">
        <v>168</v>
      </c>
      <c r="R8" s="10" t="s">
        <v>265</v>
      </c>
      <c r="S8" s="10" t="s">
        <v>244</v>
      </c>
      <c r="T8" s="12">
        <v>0.77270000000000005</v>
      </c>
      <c r="U8" s="18">
        <f t="shared" si="1"/>
        <v>0.61533254357759359</v>
      </c>
      <c r="V8" s="11">
        <f t="shared" si="2"/>
        <v>0</v>
      </c>
      <c r="W8" s="13" t="str">
        <f t="shared" si="3"/>
        <v>✔</v>
      </c>
      <c r="X8" s="13" t="str">
        <f t="shared" si="4"/>
        <v>✔</v>
      </c>
      <c r="Y8" s="13" t="str">
        <f t="shared" si="5"/>
        <v>✔</v>
      </c>
      <c r="Z8" s="13" t="str">
        <f t="shared" si="6"/>
        <v>✔</v>
      </c>
      <c r="AA8" s="13" t="str">
        <f t="shared" si="7"/>
        <v>✔</v>
      </c>
      <c r="AB8" s="13" t="str">
        <f t="shared" si="8"/>
        <v>SMART</v>
      </c>
      <c r="AC8" s="16">
        <v>46188</v>
      </c>
    </row>
    <row r="9" spans="1:29" ht="94.95" customHeight="1" x14ac:dyDescent="0.3">
      <c r="A9" s="10" t="s">
        <v>107</v>
      </c>
      <c r="B9" s="10" t="s">
        <v>69</v>
      </c>
      <c r="C9" s="10" t="s">
        <v>266</v>
      </c>
      <c r="D9" s="10" t="s">
        <v>267</v>
      </c>
      <c r="E9" s="10" t="s">
        <v>268</v>
      </c>
      <c r="F9" s="10" t="s">
        <v>269</v>
      </c>
      <c r="G9" s="10" t="s">
        <v>102</v>
      </c>
      <c r="H9" s="13" t="str">
        <f>IFERROR(INDEX(tbl_kpi[Nome],MATCH(G9,tbl_kpi[ID_KPI],0))&amp;" ("&amp;INDEX(tbl_kpi[Unidade],MATCH(G9,tbl_kpi[ID_KPI],0))&amp;")","")</f>
        <v>Intensidade hídrica (m³/1.000 un)</v>
      </c>
      <c r="I9" s="14">
        <f>IFERROR(INDEX(tbl_kpi[Baseline],MATCH(G9,tbl_kpi[ID_KPI],0)),"")</f>
        <v>0.1429</v>
      </c>
      <c r="J9" s="10" t="s">
        <v>240</v>
      </c>
      <c r="K9" s="15">
        <v>-0.1</v>
      </c>
      <c r="L9" s="14">
        <f t="shared" si="0"/>
        <v>0.12861</v>
      </c>
      <c r="M9" s="16">
        <v>46752</v>
      </c>
      <c r="N9" s="10" t="s">
        <v>270</v>
      </c>
      <c r="O9" s="10" t="s">
        <v>271</v>
      </c>
      <c r="P9" s="17">
        <v>65000</v>
      </c>
      <c r="Q9" s="10" t="s">
        <v>272</v>
      </c>
      <c r="R9" s="10" t="s">
        <v>273</v>
      </c>
      <c r="S9" s="10" t="s">
        <v>274</v>
      </c>
      <c r="T9" s="12">
        <v>0.13880000000000001</v>
      </c>
      <c r="U9" s="18">
        <f t="shared" si="1"/>
        <v>0.28691392582225284</v>
      </c>
      <c r="V9" s="11">
        <f t="shared" si="2"/>
        <v>365</v>
      </c>
      <c r="W9" s="13" t="str">
        <f t="shared" si="3"/>
        <v>✔</v>
      </c>
      <c r="X9" s="13" t="str">
        <f t="shared" si="4"/>
        <v>✔</v>
      </c>
      <c r="Y9" s="13" t="str">
        <f t="shared" si="5"/>
        <v>✔</v>
      </c>
      <c r="Z9" s="13" t="str">
        <f t="shared" si="6"/>
        <v>✔</v>
      </c>
      <c r="AA9" s="13" t="str">
        <f t="shared" si="7"/>
        <v>✔</v>
      </c>
      <c r="AB9" s="13" t="str">
        <f t="shared" si="8"/>
        <v>SMART</v>
      </c>
      <c r="AC9" s="16">
        <v>46188</v>
      </c>
    </row>
    <row r="10" spans="1:29" ht="94.95" customHeight="1" x14ac:dyDescent="0.3">
      <c r="A10" s="10" t="s">
        <v>175</v>
      </c>
      <c r="B10" s="10" t="s">
        <v>75</v>
      </c>
      <c r="C10" s="10" t="s">
        <v>258</v>
      </c>
      <c r="D10" s="10" t="s">
        <v>275</v>
      </c>
      <c r="E10" s="10" t="s">
        <v>276</v>
      </c>
      <c r="F10" s="10" t="s">
        <v>277</v>
      </c>
      <c r="G10" s="10" t="s">
        <v>171</v>
      </c>
      <c r="H10" s="13" t="str">
        <f>IFERROR(INDEX(tbl_kpi[Nome],MATCH(G10,tbl_kpi[ID_KPI],0))&amp;" ("&amp;INDEX(tbl_kpi[Unidade],MATCH(G10,tbl_kpi[ID_KPI],0))&amp;")","")</f>
        <v>Pontos críticos de granulado com contenção (%)</v>
      </c>
      <c r="I10" s="14">
        <f>IFERROR(INDEX(tbl_kpi[Baseline],MATCH(G10,tbl_kpi[ID_KPI],0)),"")</f>
        <v>0.42859999999999998</v>
      </c>
      <c r="J10" s="10" t="s">
        <v>262</v>
      </c>
      <c r="K10" s="15">
        <v>1</v>
      </c>
      <c r="L10" s="14">
        <f t="shared" si="0"/>
        <v>1</v>
      </c>
      <c r="M10" s="16">
        <v>46477</v>
      </c>
      <c r="N10" s="10" t="s">
        <v>278</v>
      </c>
      <c r="O10" s="10" t="s">
        <v>279</v>
      </c>
      <c r="P10" s="17">
        <v>14000</v>
      </c>
      <c r="Q10" s="10" t="s">
        <v>127</v>
      </c>
      <c r="R10" s="10" t="s">
        <v>280</v>
      </c>
      <c r="S10" s="10" t="s">
        <v>244</v>
      </c>
      <c r="T10" s="12">
        <v>0.78569999999999995</v>
      </c>
      <c r="U10" s="18">
        <f t="shared" si="1"/>
        <v>0.62495624781239056</v>
      </c>
      <c r="V10" s="11">
        <f t="shared" si="2"/>
        <v>90</v>
      </c>
      <c r="W10" s="13" t="str">
        <f t="shared" si="3"/>
        <v>✔</v>
      </c>
      <c r="X10" s="13" t="str">
        <f t="shared" si="4"/>
        <v>✔</v>
      </c>
      <c r="Y10" s="13" t="str">
        <f t="shared" si="5"/>
        <v>✔</v>
      </c>
      <c r="Z10" s="13" t="str">
        <f t="shared" si="6"/>
        <v>✔</v>
      </c>
      <c r="AA10" s="13" t="str">
        <f t="shared" si="7"/>
        <v>✔</v>
      </c>
      <c r="AB10" s="13" t="str">
        <f t="shared" si="8"/>
        <v>SMART</v>
      </c>
      <c r="AC10" s="16">
        <v>46188</v>
      </c>
    </row>
    <row r="11" spans="1:29" ht="94.95" customHeight="1" x14ac:dyDescent="0.3">
      <c r="A11" s="10" t="s">
        <v>192</v>
      </c>
      <c r="B11" s="10" t="s">
        <v>71</v>
      </c>
      <c r="C11" s="10" t="s">
        <v>258</v>
      </c>
      <c r="D11" s="10" t="s">
        <v>281</v>
      </c>
      <c r="E11" s="10" t="s">
        <v>282</v>
      </c>
      <c r="F11" s="10" t="s">
        <v>283</v>
      </c>
      <c r="G11" s="10" t="s">
        <v>189</v>
      </c>
      <c r="H11" s="13" t="str">
        <f>IFERROR(INDEX(tbl_kpi[Nome],MATCH(G11,tbl_kpi[ID_KPI],0))&amp;" ("&amp;INDEX(tbl_kpi[Unidade],MATCH(G11,tbl_kpi[ID_KPI],0))&amp;")","")</f>
        <v>SKUs com grau PPWR indicativo A–C (%)</v>
      </c>
      <c r="I11" s="14">
        <f>IFERROR(INDEX(tbl_kpi[Baseline],MATCH(G11,tbl_kpi[ID_KPI],0)),"")</f>
        <v>0.66359999999999997</v>
      </c>
      <c r="J11" s="10" t="s">
        <v>262</v>
      </c>
      <c r="K11" s="15">
        <v>1</v>
      </c>
      <c r="L11" s="14">
        <f t="shared" si="0"/>
        <v>1</v>
      </c>
      <c r="M11" s="16">
        <v>47118</v>
      </c>
      <c r="N11" s="10" t="s">
        <v>284</v>
      </c>
      <c r="O11" s="10" t="s">
        <v>285</v>
      </c>
      <c r="P11" s="17">
        <v>85000</v>
      </c>
      <c r="Q11" s="10" t="s">
        <v>168</v>
      </c>
      <c r="R11" s="10" t="s">
        <v>286</v>
      </c>
      <c r="S11" s="10" t="s">
        <v>244</v>
      </c>
      <c r="T11" s="12">
        <v>0.66359999999999997</v>
      </c>
      <c r="U11" s="18">
        <f t="shared" si="1"/>
        <v>0</v>
      </c>
      <c r="V11" s="11">
        <f t="shared" si="2"/>
        <v>731</v>
      </c>
      <c r="W11" s="13" t="str">
        <f t="shared" si="3"/>
        <v>✔</v>
      </c>
      <c r="X11" s="13" t="str">
        <f t="shared" si="4"/>
        <v>✔</v>
      </c>
      <c r="Y11" s="13" t="str">
        <f t="shared" si="5"/>
        <v>✔</v>
      </c>
      <c r="Z11" s="13" t="str">
        <f t="shared" si="6"/>
        <v>✔</v>
      </c>
      <c r="AA11" s="13" t="str">
        <f t="shared" si="7"/>
        <v>✔</v>
      </c>
      <c r="AB11" s="13" t="str">
        <f t="shared" si="8"/>
        <v>SMART</v>
      </c>
      <c r="AC11" s="16">
        <v>46188</v>
      </c>
    </row>
  </sheetData>
  <conditionalFormatting sqref="C5:C211">
    <cfRule type="expression" dxfId="8" priority="5">
      <formula>ISNUMBER(SEARCH("AAS",C5))</formula>
    </cfRule>
    <cfRule type="expression" dxfId="7" priority="6">
      <formula>ISNUMBER(SEARCH("legal",C5))</formula>
    </cfRule>
  </conditionalFormatting>
  <conditionalFormatting sqref="U5:U211">
    <cfRule type="expression" dxfId="6" priority="3">
      <formula>AND(ISNUMBER(U5),U5&lt;0)</formula>
    </cfRule>
    <cfRule type="expression" dxfId="5" priority="4">
      <formula>AND(ISNUMBER(U5),U5&gt;=0.5)</formula>
    </cfRule>
  </conditionalFormatting>
  <conditionalFormatting sqref="AB5:AB211">
    <cfRule type="expression" dxfId="4" priority="1">
      <formula>ISNUMBER(SEARCH("SMART",AB5))</formula>
    </cfRule>
    <cfRule type="expression" dxfId="3" priority="2">
      <formula>ISNUMBER(SEARCH("Rever",AB5))</formula>
    </cfRule>
  </conditionalFormatting>
  <dataValidations count="5">
    <dataValidation type="list" allowBlank="1" showErrorMessage="1" errorTitle="Valor inválido" error="Valor fora da lista controlada (ver folha Listas)." sqref="B5:B211" xr:uid="{00000000-0002-0000-0300-000000000000}">
      <formula1>lst_Politica</formula1>
    </dataValidation>
    <dataValidation type="list" allowBlank="1" showErrorMessage="1" errorTitle="Valor inválido" error="Valor fora da lista controlada (ver folha Listas)." sqref="C5:C211" xr:uid="{00000000-0002-0000-0300-000001000000}">
      <formula1>lst_OrigemTipo</formula1>
    </dataValidation>
    <dataValidation type="list" allowBlank="1" showErrorMessage="1" errorTitle="Valor inválido" error="Valor fora da lista controlada (ver folha Listas)." sqref="J5:J211" xr:uid="{00000000-0002-0000-0300-000002000000}">
      <formula1>lst_MetaTipo</formula1>
    </dataValidation>
    <dataValidation type="list" allowBlank="1" showErrorMessage="1" errorTitle="Valor inválido" error="Valor fora da lista controlada (ver folha Listas)." sqref="Q5:Q211" xr:uid="{00000000-0002-0000-0300-000003000000}">
      <formula1>lst_Funcao</formula1>
    </dataValidation>
    <dataValidation type="list" allowBlank="1" showErrorMessage="1" errorTitle="Valor inválido" error="Valor fora da lista controlada (ver folha Listas)." sqref="S5:S211" xr:uid="{00000000-0002-0000-0300-000004000000}">
      <formula1>lst_Estado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89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8" customWidth="1"/>
    <col min="3" max="3" width="11" customWidth="1"/>
    <col min="4" max="6" width="10" customWidth="1"/>
    <col min="7" max="8" width="11" customWidth="1"/>
    <col min="9" max="9" width="14" customWidth="1"/>
  </cols>
  <sheetData>
    <row r="1" spans="1:9" ht="26.4" x14ac:dyDescent="0.3">
      <c r="A1" s="8" t="s">
        <v>89</v>
      </c>
      <c r="B1" s="8" t="s">
        <v>79</v>
      </c>
      <c r="C1" s="8" t="s">
        <v>287</v>
      </c>
      <c r="D1" s="8" t="s">
        <v>288</v>
      </c>
      <c r="E1" s="8" t="s">
        <v>88</v>
      </c>
      <c r="F1" s="8" t="s">
        <v>289</v>
      </c>
      <c r="G1" s="9" t="s">
        <v>290</v>
      </c>
      <c r="H1" s="9" t="s">
        <v>291</v>
      </c>
      <c r="I1" s="9" t="s">
        <v>292</v>
      </c>
    </row>
    <row r="2" spans="1:9" x14ac:dyDescent="0.3">
      <c r="A2" s="10" t="s">
        <v>100</v>
      </c>
      <c r="B2" s="10" t="s">
        <v>91</v>
      </c>
      <c r="C2" s="16">
        <v>45717</v>
      </c>
      <c r="D2" s="12">
        <v>109.3702</v>
      </c>
      <c r="E2" s="12">
        <v>110.4918</v>
      </c>
      <c r="F2" s="12">
        <v>101.6525</v>
      </c>
      <c r="G2" s="19">
        <f t="shared" ref="G2:G33" si="0">IF(E2=0,"",D2/E2-1)</f>
        <v>-1.0150979529702675E-2</v>
      </c>
      <c r="H2" s="14" t="str">
        <f t="shared" ref="H2:H33" si="1">IF(COUNTIFS($A$2:$A$89,A2,$C$2:$C$89,"&lt;="&amp;C2)&lt;3,"",AVERAGEIFS($D$2:$D$89,$A$2:$A$89,A2,$C$2:$C$89,"&lt;="&amp;C2,$C$2:$C$89,"&gt;"&amp;EDATE(C2,-3)))</f>
        <v/>
      </c>
      <c r="I2" s="13" t="str">
        <f t="shared" ref="I2:I33" si="2">IF(G2="","",IF(G2&gt;=0.1,"▲ Alerta (≥+10%)",IF(G2&lt;=0,"▼ Favorável","≈ Estável")))</f>
        <v>▼ Favorável</v>
      </c>
    </row>
    <row r="3" spans="1:9" x14ac:dyDescent="0.3">
      <c r="A3" s="10" t="s">
        <v>100</v>
      </c>
      <c r="B3" s="10" t="s">
        <v>91</v>
      </c>
      <c r="C3" s="16">
        <v>45748</v>
      </c>
      <c r="D3" s="12">
        <v>112.0513</v>
      </c>
      <c r="E3" s="12">
        <v>110.4918</v>
      </c>
      <c r="F3" s="12">
        <v>101.6525</v>
      </c>
      <c r="G3" s="19">
        <f t="shared" si="0"/>
        <v>1.411416955828404E-2</v>
      </c>
      <c r="H3" s="14" t="str">
        <f t="shared" si="1"/>
        <v/>
      </c>
      <c r="I3" s="13" t="str">
        <f t="shared" si="2"/>
        <v>≈ Estável</v>
      </c>
    </row>
    <row r="4" spans="1:9" x14ac:dyDescent="0.3">
      <c r="A4" s="10" t="s">
        <v>100</v>
      </c>
      <c r="B4" s="10" t="s">
        <v>91</v>
      </c>
      <c r="C4" s="16">
        <v>45778</v>
      </c>
      <c r="D4" s="12">
        <v>106.9508</v>
      </c>
      <c r="E4" s="12">
        <v>110.4918</v>
      </c>
      <c r="F4" s="12">
        <v>101.6525</v>
      </c>
      <c r="G4" s="19">
        <f t="shared" si="0"/>
        <v>-3.2047627063727768E-2</v>
      </c>
      <c r="H4" s="14">
        <f t="shared" si="1"/>
        <v>109.45743333333333</v>
      </c>
      <c r="I4" s="13" t="str">
        <f t="shared" si="2"/>
        <v>▼ Favorável</v>
      </c>
    </row>
    <row r="5" spans="1:9" x14ac:dyDescent="0.3">
      <c r="A5" s="10" t="s">
        <v>100</v>
      </c>
      <c r="B5" s="10" t="s">
        <v>91</v>
      </c>
      <c r="C5" s="16">
        <v>45809</v>
      </c>
      <c r="D5" s="12">
        <v>113.4307</v>
      </c>
      <c r="E5" s="12">
        <v>110.4918</v>
      </c>
      <c r="F5" s="12">
        <v>101.6525</v>
      </c>
      <c r="G5" s="19">
        <f t="shared" si="0"/>
        <v>2.6598353904995653E-2</v>
      </c>
      <c r="H5" s="14">
        <f t="shared" si="1"/>
        <v>110.81093333333332</v>
      </c>
      <c r="I5" s="13" t="str">
        <f t="shared" si="2"/>
        <v>≈ Estável</v>
      </c>
    </row>
    <row r="6" spans="1:9" x14ac:dyDescent="0.3">
      <c r="A6" s="10" t="s">
        <v>100</v>
      </c>
      <c r="B6" s="10" t="s">
        <v>91</v>
      </c>
      <c r="C6" s="16">
        <v>45839</v>
      </c>
      <c r="D6" s="12">
        <v>117.7465</v>
      </c>
      <c r="E6" s="12">
        <v>110.4918</v>
      </c>
      <c r="F6" s="12">
        <v>101.6525</v>
      </c>
      <c r="G6" s="19">
        <f t="shared" si="0"/>
        <v>6.5658266043272073E-2</v>
      </c>
      <c r="H6" s="14">
        <f t="shared" si="1"/>
        <v>112.70933333333335</v>
      </c>
      <c r="I6" s="13" t="str">
        <f t="shared" si="2"/>
        <v>≈ Estável</v>
      </c>
    </row>
    <row r="7" spans="1:9" x14ac:dyDescent="0.3">
      <c r="A7" s="10" t="s">
        <v>100</v>
      </c>
      <c r="B7" s="10" t="s">
        <v>91</v>
      </c>
      <c r="C7" s="16">
        <v>45870</v>
      </c>
      <c r="D7" s="12">
        <v>107.8137</v>
      </c>
      <c r="E7" s="12">
        <v>110.4918</v>
      </c>
      <c r="F7" s="12">
        <v>101.6525</v>
      </c>
      <c r="G7" s="19">
        <f t="shared" si="0"/>
        <v>-2.4237997751869411E-2</v>
      </c>
      <c r="H7" s="14">
        <f t="shared" si="1"/>
        <v>112.99696666666667</v>
      </c>
      <c r="I7" s="13" t="str">
        <f t="shared" si="2"/>
        <v>▼ Favorável</v>
      </c>
    </row>
    <row r="8" spans="1:9" x14ac:dyDescent="0.3">
      <c r="A8" s="10" t="s">
        <v>100</v>
      </c>
      <c r="B8" s="10" t="s">
        <v>91</v>
      </c>
      <c r="C8" s="16">
        <v>45901</v>
      </c>
      <c r="D8" s="12">
        <v>112.47490000000001</v>
      </c>
      <c r="E8" s="12">
        <v>110.4918</v>
      </c>
      <c r="F8" s="12">
        <v>101.6525</v>
      </c>
      <c r="G8" s="19">
        <f t="shared" si="0"/>
        <v>1.7947938218039861E-2</v>
      </c>
      <c r="H8" s="14">
        <f t="shared" si="1"/>
        <v>112.67836666666666</v>
      </c>
      <c r="I8" s="13" t="str">
        <f t="shared" si="2"/>
        <v>≈ Estável</v>
      </c>
    </row>
    <row r="9" spans="1:9" x14ac:dyDescent="0.3">
      <c r="A9" s="10" t="s">
        <v>100</v>
      </c>
      <c r="B9" s="10" t="s">
        <v>91</v>
      </c>
      <c r="C9" s="16">
        <v>45931</v>
      </c>
      <c r="D9" s="12">
        <v>110.25239999999999</v>
      </c>
      <c r="E9" s="12">
        <v>110.4918</v>
      </c>
      <c r="F9" s="12">
        <v>101.6525</v>
      </c>
      <c r="G9" s="19">
        <f t="shared" si="0"/>
        <v>-2.166676622156638E-3</v>
      </c>
      <c r="H9" s="14">
        <f t="shared" si="1"/>
        <v>110.18033333333334</v>
      </c>
      <c r="I9" s="13" t="str">
        <f t="shared" si="2"/>
        <v>▼ Favorável</v>
      </c>
    </row>
    <row r="10" spans="1:9" x14ac:dyDescent="0.3">
      <c r="A10" s="10" t="s">
        <v>100</v>
      </c>
      <c r="B10" s="10" t="s">
        <v>91</v>
      </c>
      <c r="C10" s="16">
        <v>45962</v>
      </c>
      <c r="D10" s="12">
        <v>112.9136</v>
      </c>
      <c r="E10" s="12">
        <v>110.4918</v>
      </c>
      <c r="F10" s="12">
        <v>101.6525</v>
      </c>
      <c r="G10" s="19">
        <f t="shared" si="0"/>
        <v>2.1918368602918958E-2</v>
      </c>
      <c r="H10" s="14">
        <f t="shared" si="1"/>
        <v>111.88029999999999</v>
      </c>
      <c r="I10" s="13" t="str">
        <f t="shared" si="2"/>
        <v>≈ Estável</v>
      </c>
    </row>
    <row r="11" spans="1:9" x14ac:dyDescent="0.3">
      <c r="A11" s="10" t="s">
        <v>100</v>
      </c>
      <c r="B11" s="10" t="s">
        <v>91</v>
      </c>
      <c r="C11" s="16">
        <v>45992</v>
      </c>
      <c r="D11" s="12">
        <v>111.5682</v>
      </c>
      <c r="E11" s="12">
        <v>110.4918</v>
      </c>
      <c r="F11" s="12">
        <v>101.6525</v>
      </c>
      <c r="G11" s="19">
        <f t="shared" si="0"/>
        <v>9.7418993988693803E-3</v>
      </c>
      <c r="H11" s="14">
        <f t="shared" si="1"/>
        <v>111.57806666666666</v>
      </c>
      <c r="I11" s="13" t="str">
        <f t="shared" si="2"/>
        <v>≈ Estável</v>
      </c>
    </row>
    <row r="12" spans="1:9" x14ac:dyDescent="0.3">
      <c r="A12" s="10" t="s">
        <v>100</v>
      </c>
      <c r="B12" s="10" t="s">
        <v>91</v>
      </c>
      <c r="C12" s="16">
        <v>46023</v>
      </c>
      <c r="D12" s="12">
        <v>107.5912</v>
      </c>
      <c r="E12" s="12">
        <v>110.4918</v>
      </c>
      <c r="F12" s="12">
        <v>101.6525</v>
      </c>
      <c r="G12" s="19">
        <f t="shared" si="0"/>
        <v>-2.6251721847232123E-2</v>
      </c>
      <c r="H12" s="14">
        <f t="shared" si="1"/>
        <v>110.69100000000002</v>
      </c>
      <c r="I12" s="13" t="str">
        <f t="shared" si="2"/>
        <v>▼ Favorável</v>
      </c>
    </row>
    <row r="13" spans="1:9" x14ac:dyDescent="0.3">
      <c r="A13" s="10" t="s">
        <v>100</v>
      </c>
      <c r="B13" s="10" t="s">
        <v>91</v>
      </c>
      <c r="C13" s="16">
        <v>46054</v>
      </c>
      <c r="D13" s="12">
        <v>110.9337</v>
      </c>
      <c r="E13" s="12">
        <v>110.4918</v>
      </c>
      <c r="F13" s="12">
        <v>101.6525</v>
      </c>
      <c r="G13" s="19">
        <f t="shared" si="0"/>
        <v>3.999391810070918E-3</v>
      </c>
      <c r="H13" s="14">
        <f t="shared" si="1"/>
        <v>110.03103333333333</v>
      </c>
      <c r="I13" s="13" t="str">
        <f t="shared" si="2"/>
        <v>≈ Estável</v>
      </c>
    </row>
    <row r="14" spans="1:9" x14ac:dyDescent="0.3">
      <c r="A14" s="10" t="s">
        <v>100</v>
      </c>
      <c r="B14" s="10" t="s">
        <v>91</v>
      </c>
      <c r="C14" s="16">
        <v>46082</v>
      </c>
      <c r="D14" s="12">
        <v>108.74420000000001</v>
      </c>
      <c r="E14" s="12">
        <v>110.4918</v>
      </c>
      <c r="F14" s="12">
        <v>101.6525</v>
      </c>
      <c r="G14" s="19">
        <f t="shared" si="0"/>
        <v>-1.5816558332835462E-2</v>
      </c>
      <c r="H14" s="14">
        <f t="shared" si="1"/>
        <v>109.08969999999999</v>
      </c>
      <c r="I14" s="13" t="str">
        <f t="shared" si="2"/>
        <v>▼ Favorável</v>
      </c>
    </row>
    <row r="15" spans="1:9" x14ac:dyDescent="0.3">
      <c r="A15" s="10" t="s">
        <v>100</v>
      </c>
      <c r="B15" s="10" t="s">
        <v>91</v>
      </c>
      <c r="C15" s="16">
        <v>46113</v>
      </c>
      <c r="D15" s="12">
        <v>111.7206</v>
      </c>
      <c r="E15" s="12">
        <v>110.4918</v>
      </c>
      <c r="F15" s="12">
        <v>101.6525</v>
      </c>
      <c r="G15" s="19">
        <f t="shared" si="0"/>
        <v>1.1121187273625877E-2</v>
      </c>
      <c r="H15" s="14">
        <f t="shared" si="1"/>
        <v>110.46616666666667</v>
      </c>
      <c r="I15" s="13" t="str">
        <f t="shared" si="2"/>
        <v>≈ Estável</v>
      </c>
    </row>
    <row r="16" spans="1:9" x14ac:dyDescent="0.3">
      <c r="A16" s="10" t="s">
        <v>100</v>
      </c>
      <c r="B16" s="10" t="s">
        <v>91</v>
      </c>
      <c r="C16" s="16">
        <v>46143</v>
      </c>
      <c r="D16" s="12">
        <v>112.1121</v>
      </c>
      <c r="E16" s="12">
        <v>110.4918</v>
      </c>
      <c r="F16" s="12">
        <v>101.6525</v>
      </c>
      <c r="G16" s="19">
        <f t="shared" si="0"/>
        <v>1.4664436636926848E-2</v>
      </c>
      <c r="H16" s="14">
        <f t="shared" si="1"/>
        <v>110.85896666666667</v>
      </c>
      <c r="I16" s="13" t="str">
        <f t="shared" si="2"/>
        <v>≈ Estável</v>
      </c>
    </row>
    <row r="17" spans="1:9" x14ac:dyDescent="0.3">
      <c r="A17" s="10" t="s">
        <v>100</v>
      </c>
      <c r="B17" s="10" t="s">
        <v>91</v>
      </c>
      <c r="C17" s="16">
        <v>46174</v>
      </c>
      <c r="D17" s="12">
        <v>112.11409999999999</v>
      </c>
      <c r="E17" s="12">
        <v>110.4918</v>
      </c>
      <c r="F17" s="12">
        <v>101.6525</v>
      </c>
      <c r="G17" s="19">
        <f t="shared" si="0"/>
        <v>1.4682537527671791E-2</v>
      </c>
      <c r="H17" s="14">
        <f t="shared" si="1"/>
        <v>111.98226666666666</v>
      </c>
      <c r="I17" s="13" t="str">
        <f t="shared" si="2"/>
        <v>≈ Estável</v>
      </c>
    </row>
    <row r="18" spans="1:9" x14ac:dyDescent="0.3">
      <c r="A18" s="10" t="s">
        <v>100</v>
      </c>
      <c r="B18" s="10" t="s">
        <v>91</v>
      </c>
      <c r="C18" s="16">
        <v>46204</v>
      </c>
      <c r="D18" s="12">
        <v>106.90779999999999</v>
      </c>
      <c r="E18" s="12">
        <v>110.4918</v>
      </c>
      <c r="F18" s="12">
        <v>101.6525</v>
      </c>
      <c r="G18" s="19">
        <f t="shared" si="0"/>
        <v>-3.2436796214741714E-2</v>
      </c>
      <c r="H18" s="14">
        <f t="shared" si="1"/>
        <v>110.378</v>
      </c>
      <c r="I18" s="13" t="str">
        <f t="shared" si="2"/>
        <v>▼ Favorável</v>
      </c>
    </row>
    <row r="19" spans="1:9" x14ac:dyDescent="0.3">
      <c r="A19" s="10" t="s">
        <v>100</v>
      </c>
      <c r="B19" s="10" t="s">
        <v>91</v>
      </c>
      <c r="C19" s="16">
        <v>46235</v>
      </c>
      <c r="D19" s="12">
        <v>108.5693</v>
      </c>
      <c r="E19" s="12">
        <v>110.4918</v>
      </c>
      <c r="F19" s="12">
        <v>101.6525</v>
      </c>
      <c r="G19" s="19">
        <f t="shared" si="0"/>
        <v>-1.7399481228471236E-2</v>
      </c>
      <c r="H19" s="14">
        <f t="shared" si="1"/>
        <v>109.19706666666666</v>
      </c>
      <c r="I19" s="13" t="str">
        <f t="shared" si="2"/>
        <v>▼ Favorável</v>
      </c>
    </row>
    <row r="20" spans="1:9" x14ac:dyDescent="0.3">
      <c r="A20" s="10" t="s">
        <v>100</v>
      </c>
      <c r="B20" s="10" t="s">
        <v>91</v>
      </c>
      <c r="C20" s="16">
        <v>46266</v>
      </c>
      <c r="D20" s="12">
        <v>106.0432</v>
      </c>
      <c r="E20" s="12">
        <v>110.4918</v>
      </c>
      <c r="F20" s="12">
        <v>101.6525</v>
      </c>
      <c r="G20" s="19">
        <f t="shared" si="0"/>
        <v>-4.0261811283733295E-2</v>
      </c>
      <c r="H20" s="14">
        <f t="shared" si="1"/>
        <v>107.17343333333334</v>
      </c>
      <c r="I20" s="13" t="str">
        <f t="shared" si="2"/>
        <v>▼ Favorável</v>
      </c>
    </row>
    <row r="21" spans="1:9" x14ac:dyDescent="0.3">
      <c r="A21" s="10" t="s">
        <v>100</v>
      </c>
      <c r="B21" s="10" t="s">
        <v>91</v>
      </c>
      <c r="C21" s="16">
        <v>46296</v>
      </c>
      <c r="D21" s="12">
        <v>99.954700000000003</v>
      </c>
      <c r="E21" s="12">
        <v>110.4918</v>
      </c>
      <c r="F21" s="12">
        <v>101.6525</v>
      </c>
      <c r="G21" s="19">
        <f t="shared" si="0"/>
        <v>-9.5365447933692726E-2</v>
      </c>
      <c r="H21" s="14">
        <f t="shared" si="1"/>
        <v>104.85573333333333</v>
      </c>
      <c r="I21" s="13" t="str">
        <f t="shared" si="2"/>
        <v>▼ Favorável</v>
      </c>
    </row>
    <row r="22" spans="1:9" x14ac:dyDescent="0.3">
      <c r="A22" s="10" t="s">
        <v>100</v>
      </c>
      <c r="B22" s="10" t="s">
        <v>91</v>
      </c>
      <c r="C22" s="16">
        <v>46327</v>
      </c>
      <c r="D22" s="12">
        <v>102.20959999999999</v>
      </c>
      <c r="E22" s="12">
        <v>110.4918</v>
      </c>
      <c r="F22" s="12">
        <v>101.6525</v>
      </c>
      <c r="G22" s="19">
        <f t="shared" si="0"/>
        <v>-7.4957598663430214E-2</v>
      </c>
      <c r="H22" s="14">
        <f t="shared" si="1"/>
        <v>102.73583333333333</v>
      </c>
      <c r="I22" s="13" t="str">
        <f t="shared" si="2"/>
        <v>▼ Favorável</v>
      </c>
    </row>
    <row r="23" spans="1:9" x14ac:dyDescent="0.3">
      <c r="A23" s="10" t="s">
        <v>100</v>
      </c>
      <c r="B23" s="10" t="s">
        <v>91</v>
      </c>
      <c r="C23" s="16">
        <v>46357</v>
      </c>
      <c r="D23" s="12">
        <v>97.763800000000003</v>
      </c>
      <c r="E23" s="12">
        <v>110.4918</v>
      </c>
      <c r="F23" s="12">
        <v>101.6525</v>
      </c>
      <c r="G23" s="19">
        <f t="shared" si="0"/>
        <v>-0.11519406870012072</v>
      </c>
      <c r="H23" s="14">
        <f t="shared" si="1"/>
        <v>99.976033333333319</v>
      </c>
      <c r="I23" s="13" t="str">
        <f t="shared" si="2"/>
        <v>▼ Favorável</v>
      </c>
    </row>
    <row r="24" spans="1:9" x14ac:dyDescent="0.3">
      <c r="A24" s="10" t="s">
        <v>115</v>
      </c>
      <c r="B24" s="10" t="s">
        <v>109</v>
      </c>
      <c r="C24" s="16">
        <v>45717</v>
      </c>
      <c r="D24" s="12">
        <v>0.49869999999999998</v>
      </c>
      <c r="E24" s="12">
        <v>0.48120000000000002</v>
      </c>
      <c r="F24" s="12">
        <v>0.4234</v>
      </c>
      <c r="G24" s="19">
        <f t="shared" si="0"/>
        <v>3.6367414796342423E-2</v>
      </c>
      <c r="H24" s="14" t="str">
        <f t="shared" si="1"/>
        <v/>
      </c>
      <c r="I24" s="13" t="str">
        <f t="shared" si="2"/>
        <v>≈ Estável</v>
      </c>
    </row>
    <row r="25" spans="1:9" x14ac:dyDescent="0.3">
      <c r="A25" s="10" t="s">
        <v>115</v>
      </c>
      <c r="B25" s="10" t="s">
        <v>109</v>
      </c>
      <c r="C25" s="16">
        <v>45748</v>
      </c>
      <c r="D25" s="12">
        <v>0.4854</v>
      </c>
      <c r="E25" s="12">
        <v>0.48120000000000002</v>
      </c>
      <c r="F25" s="12">
        <v>0.4234</v>
      </c>
      <c r="G25" s="19">
        <f t="shared" si="0"/>
        <v>8.7281795511222615E-3</v>
      </c>
      <c r="H25" s="14" t="str">
        <f t="shared" si="1"/>
        <v/>
      </c>
      <c r="I25" s="13" t="str">
        <f t="shared" si="2"/>
        <v>≈ Estável</v>
      </c>
    </row>
    <row r="26" spans="1:9" x14ac:dyDescent="0.3">
      <c r="A26" s="10" t="s">
        <v>115</v>
      </c>
      <c r="B26" s="10" t="s">
        <v>109</v>
      </c>
      <c r="C26" s="16">
        <v>45778</v>
      </c>
      <c r="D26" s="12">
        <v>0.49120000000000003</v>
      </c>
      <c r="E26" s="12">
        <v>0.48120000000000002</v>
      </c>
      <c r="F26" s="12">
        <v>0.4234</v>
      </c>
      <c r="G26" s="19">
        <f t="shared" si="0"/>
        <v>2.0781379883624274E-2</v>
      </c>
      <c r="H26" s="14">
        <f t="shared" si="1"/>
        <v>0.49176666666666669</v>
      </c>
      <c r="I26" s="13" t="str">
        <f t="shared" si="2"/>
        <v>≈ Estável</v>
      </c>
    </row>
    <row r="27" spans="1:9" x14ac:dyDescent="0.3">
      <c r="A27" s="10" t="s">
        <v>115</v>
      </c>
      <c r="B27" s="10" t="s">
        <v>109</v>
      </c>
      <c r="C27" s="16">
        <v>45809</v>
      </c>
      <c r="D27" s="12">
        <v>0.52010000000000001</v>
      </c>
      <c r="E27" s="12">
        <v>0.48120000000000002</v>
      </c>
      <c r="F27" s="12">
        <v>0.4234</v>
      </c>
      <c r="G27" s="19">
        <f t="shared" si="0"/>
        <v>8.0839567747298391E-2</v>
      </c>
      <c r="H27" s="14">
        <f t="shared" si="1"/>
        <v>0.49890000000000007</v>
      </c>
      <c r="I27" s="13" t="str">
        <f t="shared" si="2"/>
        <v>≈ Estável</v>
      </c>
    </row>
    <row r="28" spans="1:9" x14ac:dyDescent="0.3">
      <c r="A28" s="10" t="s">
        <v>115</v>
      </c>
      <c r="B28" s="10" t="s">
        <v>109</v>
      </c>
      <c r="C28" s="16">
        <v>45839</v>
      </c>
      <c r="D28" s="12">
        <v>0.50039999999999996</v>
      </c>
      <c r="E28" s="12">
        <v>0.48120000000000002</v>
      </c>
      <c r="F28" s="12">
        <v>0.4234</v>
      </c>
      <c r="G28" s="19">
        <f t="shared" si="0"/>
        <v>3.9900249376558561E-2</v>
      </c>
      <c r="H28" s="14">
        <f t="shared" si="1"/>
        <v>0.50390000000000001</v>
      </c>
      <c r="I28" s="13" t="str">
        <f t="shared" si="2"/>
        <v>≈ Estável</v>
      </c>
    </row>
    <row r="29" spans="1:9" x14ac:dyDescent="0.3">
      <c r="A29" s="10" t="s">
        <v>115</v>
      </c>
      <c r="B29" s="10" t="s">
        <v>109</v>
      </c>
      <c r="C29" s="16">
        <v>45870</v>
      </c>
      <c r="D29" s="12">
        <v>0.502</v>
      </c>
      <c r="E29" s="12">
        <v>0.48120000000000002</v>
      </c>
      <c r="F29" s="12">
        <v>0.4234</v>
      </c>
      <c r="G29" s="19">
        <f t="shared" si="0"/>
        <v>4.3225270157938533E-2</v>
      </c>
      <c r="H29" s="14">
        <f t="shared" si="1"/>
        <v>0.50749999999999995</v>
      </c>
      <c r="I29" s="13" t="str">
        <f t="shared" si="2"/>
        <v>≈ Estável</v>
      </c>
    </row>
    <row r="30" spans="1:9" x14ac:dyDescent="0.3">
      <c r="A30" s="10" t="s">
        <v>115</v>
      </c>
      <c r="B30" s="10" t="s">
        <v>109</v>
      </c>
      <c r="C30" s="16">
        <v>45901</v>
      </c>
      <c r="D30" s="12">
        <v>0.49790000000000001</v>
      </c>
      <c r="E30" s="12">
        <v>0.48120000000000002</v>
      </c>
      <c r="F30" s="12">
        <v>0.4234</v>
      </c>
      <c r="G30" s="19">
        <f t="shared" si="0"/>
        <v>3.4704904405652437E-2</v>
      </c>
      <c r="H30" s="14">
        <f t="shared" si="1"/>
        <v>0.50009999999999999</v>
      </c>
      <c r="I30" s="13" t="str">
        <f t="shared" si="2"/>
        <v>≈ Estável</v>
      </c>
    </row>
    <row r="31" spans="1:9" x14ac:dyDescent="0.3">
      <c r="A31" s="10" t="s">
        <v>115</v>
      </c>
      <c r="B31" s="10" t="s">
        <v>109</v>
      </c>
      <c r="C31" s="16">
        <v>45931</v>
      </c>
      <c r="D31" s="12">
        <v>0.49490000000000001</v>
      </c>
      <c r="E31" s="12">
        <v>0.48120000000000002</v>
      </c>
      <c r="F31" s="12">
        <v>0.4234</v>
      </c>
      <c r="G31" s="19">
        <f t="shared" si="0"/>
        <v>2.8470490440565266E-2</v>
      </c>
      <c r="H31" s="14">
        <f t="shared" si="1"/>
        <v>0.49826666666666669</v>
      </c>
      <c r="I31" s="13" t="str">
        <f t="shared" si="2"/>
        <v>≈ Estável</v>
      </c>
    </row>
    <row r="32" spans="1:9" x14ac:dyDescent="0.3">
      <c r="A32" s="10" t="s">
        <v>115</v>
      </c>
      <c r="B32" s="10" t="s">
        <v>109</v>
      </c>
      <c r="C32" s="16">
        <v>45962</v>
      </c>
      <c r="D32" s="12">
        <v>0.54110000000000003</v>
      </c>
      <c r="E32" s="12">
        <v>0.48120000000000002</v>
      </c>
      <c r="F32" s="12">
        <v>0.4234</v>
      </c>
      <c r="G32" s="19">
        <f t="shared" si="0"/>
        <v>0.12448046550290948</v>
      </c>
      <c r="H32" s="14">
        <f t="shared" si="1"/>
        <v>0.51129999999999998</v>
      </c>
      <c r="I32" s="13" t="str">
        <f t="shared" si="2"/>
        <v>▲ Alerta (≥+10%)</v>
      </c>
    </row>
    <row r="33" spans="1:9" x14ac:dyDescent="0.3">
      <c r="A33" s="10" t="s">
        <v>115</v>
      </c>
      <c r="B33" s="10" t="s">
        <v>109</v>
      </c>
      <c r="C33" s="16">
        <v>45992</v>
      </c>
      <c r="D33" s="12">
        <v>0.49049999999999999</v>
      </c>
      <c r="E33" s="12">
        <v>0.48120000000000002</v>
      </c>
      <c r="F33" s="12">
        <v>0.4234</v>
      </c>
      <c r="G33" s="19">
        <f t="shared" si="0"/>
        <v>1.9326683291770452E-2</v>
      </c>
      <c r="H33" s="14">
        <f t="shared" si="1"/>
        <v>0.50883333333333336</v>
      </c>
      <c r="I33" s="13" t="str">
        <f t="shared" si="2"/>
        <v>≈ Estável</v>
      </c>
    </row>
    <row r="34" spans="1:9" x14ac:dyDescent="0.3">
      <c r="A34" s="10" t="s">
        <v>115</v>
      </c>
      <c r="B34" s="10" t="s">
        <v>109</v>
      </c>
      <c r="C34" s="16">
        <v>46023</v>
      </c>
      <c r="D34" s="12">
        <v>0.45279999999999998</v>
      </c>
      <c r="E34" s="12">
        <v>0.48120000000000002</v>
      </c>
      <c r="F34" s="12">
        <v>0.4234</v>
      </c>
      <c r="G34" s="19">
        <f t="shared" ref="G34:G65" si="3">IF(E34=0,"",D34/E34-1)</f>
        <v>-5.9019118869492959E-2</v>
      </c>
      <c r="H34" s="14">
        <f t="shared" ref="H34:H65" si="4">IF(COUNTIFS($A$2:$A$89,A34,$C$2:$C$89,"&lt;="&amp;C34)&lt;3,"",AVERAGEIFS($D$2:$D$89,$A$2:$A$89,A34,$C$2:$C$89,"&lt;="&amp;C34,$C$2:$C$89,"&gt;"&amp;EDATE(C34,-3)))</f>
        <v>0.49479999999999996</v>
      </c>
      <c r="I34" s="13" t="str">
        <f t="shared" ref="I34:I65" si="5">IF(G34="","",IF(G34&gt;=0.1,"▲ Alerta (≥+10%)",IF(G34&lt;=0,"▼ Favorável","≈ Estável")))</f>
        <v>▼ Favorável</v>
      </c>
    </row>
    <row r="35" spans="1:9" x14ac:dyDescent="0.3">
      <c r="A35" s="10" t="s">
        <v>115</v>
      </c>
      <c r="B35" s="10" t="s">
        <v>109</v>
      </c>
      <c r="C35" s="16">
        <v>46054</v>
      </c>
      <c r="D35" s="12">
        <v>0.48110000000000003</v>
      </c>
      <c r="E35" s="12">
        <v>0.48120000000000002</v>
      </c>
      <c r="F35" s="12">
        <v>0.4234</v>
      </c>
      <c r="G35" s="19">
        <f t="shared" si="3"/>
        <v>-2.0781379883616502E-4</v>
      </c>
      <c r="H35" s="14">
        <f t="shared" si="4"/>
        <v>0.47480000000000006</v>
      </c>
      <c r="I35" s="13" t="str">
        <f t="shared" si="5"/>
        <v>▼ Favorável</v>
      </c>
    </row>
    <row r="36" spans="1:9" x14ac:dyDescent="0.3">
      <c r="A36" s="10" t="s">
        <v>115</v>
      </c>
      <c r="B36" s="10" t="s">
        <v>109</v>
      </c>
      <c r="C36" s="16">
        <v>46082</v>
      </c>
      <c r="D36" s="12">
        <v>0.46660000000000001</v>
      </c>
      <c r="E36" s="12">
        <v>0.48120000000000002</v>
      </c>
      <c r="F36" s="12">
        <v>0.4234</v>
      </c>
      <c r="G36" s="19">
        <f t="shared" si="3"/>
        <v>-3.0340814630091417E-2</v>
      </c>
      <c r="H36" s="14">
        <f t="shared" si="4"/>
        <v>0.46683333333333338</v>
      </c>
      <c r="I36" s="13" t="str">
        <f t="shared" si="5"/>
        <v>▼ Favorável</v>
      </c>
    </row>
    <row r="37" spans="1:9" x14ac:dyDescent="0.3">
      <c r="A37" s="10" t="s">
        <v>115</v>
      </c>
      <c r="B37" s="10" t="s">
        <v>109</v>
      </c>
      <c r="C37" s="16">
        <v>46113</v>
      </c>
      <c r="D37" s="12">
        <v>0.52539999999999998</v>
      </c>
      <c r="E37" s="12">
        <v>0.48120000000000002</v>
      </c>
      <c r="F37" s="12">
        <v>0.4234</v>
      </c>
      <c r="G37" s="19">
        <f t="shared" si="3"/>
        <v>9.1853699085619134E-2</v>
      </c>
      <c r="H37" s="14">
        <f t="shared" si="4"/>
        <v>0.49103333333333338</v>
      </c>
      <c r="I37" s="13" t="str">
        <f t="shared" si="5"/>
        <v>≈ Estável</v>
      </c>
    </row>
    <row r="38" spans="1:9" x14ac:dyDescent="0.3">
      <c r="A38" s="10" t="s">
        <v>115</v>
      </c>
      <c r="B38" s="10" t="s">
        <v>109</v>
      </c>
      <c r="C38" s="16">
        <v>46143</v>
      </c>
      <c r="D38" s="12">
        <v>0.49469999999999997</v>
      </c>
      <c r="E38" s="12">
        <v>0.48120000000000002</v>
      </c>
      <c r="F38" s="12">
        <v>0.4234</v>
      </c>
      <c r="G38" s="19">
        <f t="shared" si="3"/>
        <v>2.8054862842892714E-2</v>
      </c>
      <c r="H38" s="14">
        <f t="shared" si="4"/>
        <v>0.49556666666666666</v>
      </c>
      <c r="I38" s="13" t="str">
        <f t="shared" si="5"/>
        <v>≈ Estável</v>
      </c>
    </row>
    <row r="39" spans="1:9" x14ac:dyDescent="0.3">
      <c r="A39" s="10" t="s">
        <v>115</v>
      </c>
      <c r="B39" s="10" t="s">
        <v>109</v>
      </c>
      <c r="C39" s="16">
        <v>46174</v>
      </c>
      <c r="D39" s="12">
        <v>0.4778</v>
      </c>
      <c r="E39" s="12">
        <v>0.48120000000000002</v>
      </c>
      <c r="F39" s="12">
        <v>0.4234</v>
      </c>
      <c r="G39" s="19">
        <f t="shared" si="3"/>
        <v>-7.0656691604322752E-3</v>
      </c>
      <c r="H39" s="14">
        <f t="shared" si="4"/>
        <v>0.49930000000000002</v>
      </c>
      <c r="I39" s="13" t="str">
        <f t="shared" si="5"/>
        <v>▼ Favorável</v>
      </c>
    </row>
    <row r="40" spans="1:9" x14ac:dyDescent="0.3">
      <c r="A40" s="10" t="s">
        <v>115</v>
      </c>
      <c r="B40" s="10" t="s">
        <v>109</v>
      </c>
      <c r="C40" s="16">
        <v>46204</v>
      </c>
      <c r="D40" s="12">
        <v>0.43140000000000001</v>
      </c>
      <c r="E40" s="12">
        <v>0.48120000000000002</v>
      </c>
      <c r="F40" s="12">
        <v>0.4234</v>
      </c>
      <c r="G40" s="19">
        <f t="shared" si="3"/>
        <v>-0.10349127182044893</v>
      </c>
      <c r="H40" s="14">
        <f t="shared" si="4"/>
        <v>0.46796666666666664</v>
      </c>
      <c r="I40" s="13" t="str">
        <f t="shared" si="5"/>
        <v>▼ Favorável</v>
      </c>
    </row>
    <row r="41" spans="1:9" x14ac:dyDescent="0.3">
      <c r="A41" s="10" t="s">
        <v>115</v>
      </c>
      <c r="B41" s="10" t="s">
        <v>109</v>
      </c>
      <c r="C41" s="16">
        <v>46235</v>
      </c>
      <c r="D41" s="12">
        <v>0.41959999999999997</v>
      </c>
      <c r="E41" s="12">
        <v>0.48120000000000002</v>
      </c>
      <c r="F41" s="12">
        <v>0.4234</v>
      </c>
      <c r="G41" s="19">
        <f t="shared" si="3"/>
        <v>-0.12801330008312561</v>
      </c>
      <c r="H41" s="14">
        <f t="shared" si="4"/>
        <v>0.44293333333333335</v>
      </c>
      <c r="I41" s="13" t="str">
        <f t="shared" si="5"/>
        <v>▼ Favorável</v>
      </c>
    </row>
    <row r="42" spans="1:9" x14ac:dyDescent="0.3">
      <c r="A42" s="10" t="s">
        <v>115</v>
      </c>
      <c r="B42" s="10" t="s">
        <v>109</v>
      </c>
      <c r="C42" s="16">
        <v>46266</v>
      </c>
      <c r="D42" s="12">
        <v>0.4728</v>
      </c>
      <c r="E42" s="12">
        <v>0.48120000000000002</v>
      </c>
      <c r="F42" s="12">
        <v>0.4234</v>
      </c>
      <c r="G42" s="19">
        <f t="shared" si="3"/>
        <v>-1.7456359102244412E-2</v>
      </c>
      <c r="H42" s="14">
        <f t="shared" si="4"/>
        <v>0.44126666666666664</v>
      </c>
      <c r="I42" s="13" t="str">
        <f t="shared" si="5"/>
        <v>▼ Favorável</v>
      </c>
    </row>
    <row r="43" spans="1:9" x14ac:dyDescent="0.3">
      <c r="A43" s="10" t="s">
        <v>115</v>
      </c>
      <c r="B43" s="10" t="s">
        <v>109</v>
      </c>
      <c r="C43" s="16">
        <v>46296</v>
      </c>
      <c r="D43" s="12">
        <v>0.43790000000000001</v>
      </c>
      <c r="E43" s="12">
        <v>0.48120000000000002</v>
      </c>
      <c r="F43" s="12">
        <v>0.4234</v>
      </c>
      <c r="G43" s="19">
        <f t="shared" si="3"/>
        <v>-8.9983374896093093E-2</v>
      </c>
      <c r="H43" s="14">
        <f t="shared" si="4"/>
        <v>0.44343333333333335</v>
      </c>
      <c r="I43" s="13" t="str">
        <f t="shared" si="5"/>
        <v>▼ Favorável</v>
      </c>
    </row>
    <row r="44" spans="1:9" x14ac:dyDescent="0.3">
      <c r="A44" s="10" t="s">
        <v>115</v>
      </c>
      <c r="B44" s="10" t="s">
        <v>109</v>
      </c>
      <c r="C44" s="16">
        <v>46327</v>
      </c>
      <c r="D44" s="12">
        <v>0.45660000000000001</v>
      </c>
      <c r="E44" s="12">
        <v>0.48120000000000002</v>
      </c>
      <c r="F44" s="12">
        <v>0.4234</v>
      </c>
      <c r="G44" s="19">
        <f t="shared" si="3"/>
        <v>-5.1122194513715691E-2</v>
      </c>
      <c r="H44" s="14">
        <f t="shared" si="4"/>
        <v>0.45576666666666671</v>
      </c>
      <c r="I44" s="13" t="str">
        <f t="shared" si="5"/>
        <v>▼ Favorável</v>
      </c>
    </row>
    <row r="45" spans="1:9" x14ac:dyDescent="0.3">
      <c r="A45" s="10" t="s">
        <v>115</v>
      </c>
      <c r="B45" s="10" t="s">
        <v>109</v>
      </c>
      <c r="C45" s="16">
        <v>46357</v>
      </c>
      <c r="D45" s="12">
        <v>0.43859999999999999</v>
      </c>
      <c r="E45" s="12">
        <v>0.48120000000000002</v>
      </c>
      <c r="F45" s="12">
        <v>0.4234</v>
      </c>
      <c r="G45" s="19">
        <f t="shared" si="3"/>
        <v>-8.8528678304239494E-2</v>
      </c>
      <c r="H45" s="14">
        <f t="shared" si="4"/>
        <v>0.44436666666666663</v>
      </c>
      <c r="I45" s="13" t="str">
        <f t="shared" si="5"/>
        <v>▼ Favorável</v>
      </c>
    </row>
    <row r="46" spans="1:9" x14ac:dyDescent="0.3">
      <c r="A46" s="10" t="s">
        <v>134</v>
      </c>
      <c r="B46" s="10" t="s">
        <v>129</v>
      </c>
      <c r="C46" s="16">
        <v>45717</v>
      </c>
      <c r="D46" s="12">
        <v>0.16220000000000001</v>
      </c>
      <c r="E46" s="12">
        <v>0.1605</v>
      </c>
      <c r="F46" s="12">
        <v>0.12839999999999999</v>
      </c>
      <c r="G46" s="19">
        <f t="shared" si="3"/>
        <v>1.0591900311526459E-2</v>
      </c>
      <c r="H46" s="14" t="str">
        <f t="shared" si="4"/>
        <v/>
      </c>
      <c r="I46" s="13" t="str">
        <f t="shared" si="5"/>
        <v>≈ Estável</v>
      </c>
    </row>
    <row r="47" spans="1:9" x14ac:dyDescent="0.3">
      <c r="A47" s="10" t="s">
        <v>134</v>
      </c>
      <c r="B47" s="10" t="s">
        <v>129</v>
      </c>
      <c r="C47" s="16">
        <v>45748</v>
      </c>
      <c r="D47" s="12">
        <v>0.17019999999999999</v>
      </c>
      <c r="E47" s="12">
        <v>0.1605</v>
      </c>
      <c r="F47" s="12">
        <v>0.12839999999999999</v>
      </c>
      <c r="G47" s="19">
        <f t="shared" si="3"/>
        <v>6.0436137071651075E-2</v>
      </c>
      <c r="H47" s="14" t="str">
        <f t="shared" si="4"/>
        <v/>
      </c>
      <c r="I47" s="13" t="str">
        <f t="shared" si="5"/>
        <v>≈ Estável</v>
      </c>
    </row>
    <row r="48" spans="1:9" x14ac:dyDescent="0.3">
      <c r="A48" s="10" t="s">
        <v>134</v>
      </c>
      <c r="B48" s="10" t="s">
        <v>129</v>
      </c>
      <c r="C48" s="16">
        <v>45778</v>
      </c>
      <c r="D48" s="12">
        <v>0.1593</v>
      </c>
      <c r="E48" s="12">
        <v>0.1605</v>
      </c>
      <c r="F48" s="12">
        <v>0.12839999999999999</v>
      </c>
      <c r="G48" s="19">
        <f t="shared" si="3"/>
        <v>-7.4766355140187812E-3</v>
      </c>
      <c r="H48" s="14">
        <f t="shared" si="4"/>
        <v>0.16390000000000002</v>
      </c>
      <c r="I48" s="13" t="str">
        <f t="shared" si="5"/>
        <v>▼ Favorável</v>
      </c>
    </row>
    <row r="49" spans="1:9" x14ac:dyDescent="0.3">
      <c r="A49" s="10" t="s">
        <v>134</v>
      </c>
      <c r="B49" s="10" t="s">
        <v>129</v>
      </c>
      <c r="C49" s="16">
        <v>45809</v>
      </c>
      <c r="D49" s="12">
        <v>0.15679999999999999</v>
      </c>
      <c r="E49" s="12">
        <v>0.1605</v>
      </c>
      <c r="F49" s="12">
        <v>0.12839999999999999</v>
      </c>
      <c r="G49" s="19">
        <f t="shared" si="3"/>
        <v>-2.3052959501557724E-2</v>
      </c>
      <c r="H49" s="14">
        <f t="shared" si="4"/>
        <v>0.16209999999999999</v>
      </c>
      <c r="I49" s="13" t="str">
        <f t="shared" si="5"/>
        <v>▼ Favorável</v>
      </c>
    </row>
    <row r="50" spans="1:9" x14ac:dyDescent="0.3">
      <c r="A50" s="10" t="s">
        <v>134</v>
      </c>
      <c r="B50" s="10" t="s">
        <v>129</v>
      </c>
      <c r="C50" s="16">
        <v>45839</v>
      </c>
      <c r="D50" s="12">
        <v>0.15429999999999999</v>
      </c>
      <c r="E50" s="12">
        <v>0.1605</v>
      </c>
      <c r="F50" s="12">
        <v>0.12839999999999999</v>
      </c>
      <c r="G50" s="19">
        <f t="shared" si="3"/>
        <v>-3.8629283489096666E-2</v>
      </c>
      <c r="H50" s="14">
        <f t="shared" si="4"/>
        <v>0.15679999999999999</v>
      </c>
      <c r="I50" s="13" t="str">
        <f t="shared" si="5"/>
        <v>▼ Favorável</v>
      </c>
    </row>
    <row r="51" spans="1:9" x14ac:dyDescent="0.3">
      <c r="A51" s="10" t="s">
        <v>134</v>
      </c>
      <c r="B51" s="10" t="s">
        <v>129</v>
      </c>
      <c r="C51" s="16">
        <v>45870</v>
      </c>
      <c r="D51" s="12">
        <v>0.1573</v>
      </c>
      <c r="E51" s="12">
        <v>0.1605</v>
      </c>
      <c r="F51" s="12">
        <v>0.12839999999999999</v>
      </c>
      <c r="G51" s="19">
        <f t="shared" si="3"/>
        <v>-1.9937694704049935E-2</v>
      </c>
      <c r="H51" s="14">
        <f t="shared" si="4"/>
        <v>0.15613333333333332</v>
      </c>
      <c r="I51" s="13" t="str">
        <f t="shared" si="5"/>
        <v>▼ Favorável</v>
      </c>
    </row>
    <row r="52" spans="1:9" x14ac:dyDescent="0.3">
      <c r="A52" s="10" t="s">
        <v>134</v>
      </c>
      <c r="B52" s="10" t="s">
        <v>129</v>
      </c>
      <c r="C52" s="16">
        <v>45901</v>
      </c>
      <c r="D52" s="12">
        <v>0.16059999999999999</v>
      </c>
      <c r="E52" s="12">
        <v>0.1605</v>
      </c>
      <c r="F52" s="12">
        <v>0.12839999999999999</v>
      </c>
      <c r="G52" s="19">
        <f t="shared" si="3"/>
        <v>6.2305295950149109E-4</v>
      </c>
      <c r="H52" s="14">
        <f t="shared" si="4"/>
        <v>0.15739999999999998</v>
      </c>
      <c r="I52" s="13" t="str">
        <f t="shared" si="5"/>
        <v>≈ Estável</v>
      </c>
    </row>
    <row r="53" spans="1:9" x14ac:dyDescent="0.3">
      <c r="A53" s="10" t="s">
        <v>134</v>
      </c>
      <c r="B53" s="10" t="s">
        <v>129</v>
      </c>
      <c r="C53" s="16">
        <v>45931</v>
      </c>
      <c r="D53" s="12">
        <v>0.16830000000000001</v>
      </c>
      <c r="E53" s="12">
        <v>0.1605</v>
      </c>
      <c r="F53" s="12">
        <v>0.12839999999999999</v>
      </c>
      <c r="G53" s="19">
        <f t="shared" si="3"/>
        <v>4.8598130841121412E-2</v>
      </c>
      <c r="H53" s="14">
        <f t="shared" si="4"/>
        <v>0.16206666666666666</v>
      </c>
      <c r="I53" s="13" t="str">
        <f t="shared" si="5"/>
        <v>≈ Estável</v>
      </c>
    </row>
    <row r="54" spans="1:9" x14ac:dyDescent="0.3">
      <c r="A54" s="10" t="s">
        <v>134</v>
      </c>
      <c r="B54" s="10" t="s">
        <v>129</v>
      </c>
      <c r="C54" s="16">
        <v>45962</v>
      </c>
      <c r="D54" s="12">
        <v>0.1573</v>
      </c>
      <c r="E54" s="12">
        <v>0.1605</v>
      </c>
      <c r="F54" s="12">
        <v>0.12839999999999999</v>
      </c>
      <c r="G54" s="19">
        <f t="shared" si="3"/>
        <v>-1.9937694704049935E-2</v>
      </c>
      <c r="H54" s="14">
        <f t="shared" si="4"/>
        <v>0.16206666666666666</v>
      </c>
      <c r="I54" s="13" t="str">
        <f t="shared" si="5"/>
        <v>▼ Favorável</v>
      </c>
    </row>
    <row r="55" spans="1:9" x14ac:dyDescent="0.3">
      <c r="A55" s="10" t="s">
        <v>134</v>
      </c>
      <c r="B55" s="10" t="s">
        <v>129</v>
      </c>
      <c r="C55" s="16">
        <v>45992</v>
      </c>
      <c r="D55" s="12">
        <v>0.16109999999999999</v>
      </c>
      <c r="E55" s="12">
        <v>0.1605</v>
      </c>
      <c r="F55" s="12">
        <v>0.12839999999999999</v>
      </c>
      <c r="G55" s="19">
        <f t="shared" si="3"/>
        <v>3.7383177570093906E-3</v>
      </c>
      <c r="H55" s="14">
        <f t="shared" si="4"/>
        <v>0.16223333333333334</v>
      </c>
      <c r="I55" s="13" t="str">
        <f t="shared" si="5"/>
        <v>≈ Estável</v>
      </c>
    </row>
    <row r="56" spans="1:9" x14ac:dyDescent="0.3">
      <c r="A56" s="10" t="s">
        <v>134</v>
      </c>
      <c r="B56" s="10" t="s">
        <v>129</v>
      </c>
      <c r="C56" s="16">
        <v>46023</v>
      </c>
      <c r="D56" s="12">
        <v>0.1593</v>
      </c>
      <c r="E56" s="12">
        <v>0.1605</v>
      </c>
      <c r="F56" s="12">
        <v>0.12839999999999999</v>
      </c>
      <c r="G56" s="19">
        <f t="shared" si="3"/>
        <v>-7.4766355140187812E-3</v>
      </c>
      <c r="H56" s="14">
        <f t="shared" si="4"/>
        <v>0.15923333333333334</v>
      </c>
      <c r="I56" s="13" t="str">
        <f t="shared" si="5"/>
        <v>▼ Favorável</v>
      </c>
    </row>
    <row r="57" spans="1:9" x14ac:dyDescent="0.3">
      <c r="A57" s="10" t="s">
        <v>134</v>
      </c>
      <c r="B57" s="10" t="s">
        <v>129</v>
      </c>
      <c r="C57" s="16">
        <v>46054</v>
      </c>
      <c r="D57" s="12">
        <v>0.161</v>
      </c>
      <c r="E57" s="12">
        <v>0.1605</v>
      </c>
      <c r="F57" s="12">
        <v>0.12839999999999999</v>
      </c>
      <c r="G57" s="19">
        <f t="shared" si="3"/>
        <v>3.1152647975078995E-3</v>
      </c>
      <c r="H57" s="14">
        <f t="shared" si="4"/>
        <v>0.16046666666666667</v>
      </c>
      <c r="I57" s="13" t="str">
        <f t="shared" si="5"/>
        <v>≈ Estável</v>
      </c>
    </row>
    <row r="58" spans="1:9" x14ac:dyDescent="0.3">
      <c r="A58" s="10" t="s">
        <v>134</v>
      </c>
      <c r="B58" s="10" t="s">
        <v>129</v>
      </c>
      <c r="C58" s="16">
        <v>46082</v>
      </c>
      <c r="D58" s="12">
        <v>0.16250000000000001</v>
      </c>
      <c r="E58" s="12">
        <v>0.1605</v>
      </c>
      <c r="F58" s="12">
        <v>0.12839999999999999</v>
      </c>
      <c r="G58" s="19">
        <f t="shared" si="3"/>
        <v>1.2461059190031154E-2</v>
      </c>
      <c r="H58" s="14">
        <f t="shared" si="4"/>
        <v>0.16093333333333334</v>
      </c>
      <c r="I58" s="13" t="str">
        <f t="shared" si="5"/>
        <v>≈ Estável</v>
      </c>
    </row>
    <row r="59" spans="1:9" x14ac:dyDescent="0.3">
      <c r="A59" s="10" t="s">
        <v>134</v>
      </c>
      <c r="B59" s="10" t="s">
        <v>129</v>
      </c>
      <c r="C59" s="16">
        <v>46113</v>
      </c>
      <c r="D59" s="12">
        <v>0.15720000000000001</v>
      </c>
      <c r="E59" s="12">
        <v>0.1605</v>
      </c>
      <c r="F59" s="12">
        <v>0.12839999999999999</v>
      </c>
      <c r="G59" s="19">
        <f t="shared" si="3"/>
        <v>-2.0560747663551426E-2</v>
      </c>
      <c r="H59" s="14">
        <f t="shared" si="4"/>
        <v>0.16023333333333334</v>
      </c>
      <c r="I59" s="13" t="str">
        <f t="shared" si="5"/>
        <v>▼ Favorável</v>
      </c>
    </row>
    <row r="60" spans="1:9" x14ac:dyDescent="0.3">
      <c r="A60" s="10" t="s">
        <v>134</v>
      </c>
      <c r="B60" s="10" t="s">
        <v>129</v>
      </c>
      <c r="C60" s="16">
        <v>46143</v>
      </c>
      <c r="D60" s="12">
        <v>0.15690000000000001</v>
      </c>
      <c r="E60" s="12">
        <v>0.1605</v>
      </c>
      <c r="F60" s="12">
        <v>0.12839999999999999</v>
      </c>
      <c r="G60" s="19">
        <f t="shared" si="3"/>
        <v>-2.2429906542056011E-2</v>
      </c>
      <c r="H60" s="14">
        <f t="shared" si="4"/>
        <v>0.15886666666666668</v>
      </c>
      <c r="I60" s="13" t="str">
        <f t="shared" si="5"/>
        <v>▼ Favorável</v>
      </c>
    </row>
    <row r="61" spans="1:9" x14ac:dyDescent="0.3">
      <c r="A61" s="10" t="s">
        <v>134</v>
      </c>
      <c r="B61" s="10" t="s">
        <v>129</v>
      </c>
      <c r="C61" s="16">
        <v>46174</v>
      </c>
      <c r="D61" s="12">
        <v>0.1774</v>
      </c>
      <c r="E61" s="12">
        <v>0.1605</v>
      </c>
      <c r="F61" s="12">
        <v>0.12839999999999999</v>
      </c>
      <c r="G61" s="19">
        <f t="shared" si="3"/>
        <v>0.10529595015576332</v>
      </c>
      <c r="H61" s="14">
        <f t="shared" si="4"/>
        <v>0.16383333333333336</v>
      </c>
      <c r="I61" s="13" t="str">
        <f t="shared" si="5"/>
        <v>▲ Alerta (≥+10%)</v>
      </c>
    </row>
    <row r="62" spans="1:9" x14ac:dyDescent="0.3">
      <c r="A62" s="10" t="s">
        <v>134</v>
      </c>
      <c r="B62" s="10" t="s">
        <v>129</v>
      </c>
      <c r="C62" s="16">
        <v>46204</v>
      </c>
      <c r="D62" s="12">
        <v>0.18090000000000001</v>
      </c>
      <c r="E62" s="12">
        <v>0.1605</v>
      </c>
      <c r="F62" s="12">
        <v>0.12839999999999999</v>
      </c>
      <c r="G62" s="19">
        <f t="shared" si="3"/>
        <v>0.12710280373831773</v>
      </c>
      <c r="H62" s="14">
        <f t="shared" si="4"/>
        <v>0.17173333333333338</v>
      </c>
      <c r="I62" s="13" t="str">
        <f t="shared" si="5"/>
        <v>▲ Alerta (≥+10%)</v>
      </c>
    </row>
    <row r="63" spans="1:9" x14ac:dyDescent="0.3">
      <c r="A63" s="10" t="s">
        <v>134</v>
      </c>
      <c r="B63" s="10" t="s">
        <v>129</v>
      </c>
      <c r="C63" s="16">
        <v>46235</v>
      </c>
      <c r="D63" s="12">
        <v>0.1903</v>
      </c>
      <c r="E63" s="12">
        <v>0.1605</v>
      </c>
      <c r="F63" s="12">
        <v>0.12839999999999999</v>
      </c>
      <c r="G63" s="19">
        <f t="shared" si="3"/>
        <v>0.18566978193146411</v>
      </c>
      <c r="H63" s="14">
        <f t="shared" si="4"/>
        <v>0.18286666666666665</v>
      </c>
      <c r="I63" s="13" t="str">
        <f t="shared" si="5"/>
        <v>▲ Alerta (≥+10%)</v>
      </c>
    </row>
    <row r="64" spans="1:9" x14ac:dyDescent="0.3">
      <c r="A64" s="10" t="s">
        <v>134</v>
      </c>
      <c r="B64" s="10" t="s">
        <v>129</v>
      </c>
      <c r="C64" s="16">
        <v>46266</v>
      </c>
      <c r="D64" s="12">
        <v>0.1704</v>
      </c>
      <c r="E64" s="12">
        <v>0.1605</v>
      </c>
      <c r="F64" s="12">
        <v>0.12839999999999999</v>
      </c>
      <c r="G64" s="19">
        <f t="shared" si="3"/>
        <v>6.1682242990654057E-2</v>
      </c>
      <c r="H64" s="14">
        <f t="shared" si="4"/>
        <v>0.18053333333333332</v>
      </c>
      <c r="I64" s="13" t="str">
        <f t="shared" si="5"/>
        <v>≈ Estável</v>
      </c>
    </row>
    <row r="65" spans="1:9" x14ac:dyDescent="0.3">
      <c r="A65" s="10" t="s">
        <v>134</v>
      </c>
      <c r="B65" s="10" t="s">
        <v>129</v>
      </c>
      <c r="C65" s="16">
        <v>46296</v>
      </c>
      <c r="D65" s="12">
        <v>0.1663</v>
      </c>
      <c r="E65" s="12">
        <v>0.1605</v>
      </c>
      <c r="F65" s="12">
        <v>0.12839999999999999</v>
      </c>
      <c r="G65" s="19">
        <f t="shared" si="3"/>
        <v>3.6137071651090258E-2</v>
      </c>
      <c r="H65" s="14">
        <f t="shared" si="4"/>
        <v>0.17566666666666667</v>
      </c>
      <c r="I65" s="13" t="str">
        <f t="shared" si="5"/>
        <v>≈ Estável</v>
      </c>
    </row>
    <row r="66" spans="1:9" x14ac:dyDescent="0.3">
      <c r="A66" s="10" t="s">
        <v>134</v>
      </c>
      <c r="B66" s="10" t="s">
        <v>129</v>
      </c>
      <c r="C66" s="16">
        <v>46327</v>
      </c>
      <c r="D66" s="12">
        <v>0.16400000000000001</v>
      </c>
      <c r="E66" s="12">
        <v>0.1605</v>
      </c>
      <c r="F66" s="12">
        <v>0.12839999999999999</v>
      </c>
      <c r="G66" s="19">
        <f t="shared" ref="G66:G89" si="6">IF(E66=0,"",D66/E66-1)</f>
        <v>2.1806853582554631E-2</v>
      </c>
      <c r="H66" s="14">
        <f t="shared" ref="H66:H89" si="7">IF(COUNTIFS($A$2:$A$89,A66,$C$2:$C$89,"&lt;="&amp;C66)&lt;3,"",AVERAGEIFS($D$2:$D$89,$A$2:$A$89,A66,$C$2:$C$89,"&lt;="&amp;C66,$C$2:$C$89,"&gt;"&amp;EDATE(C66,-3)))</f>
        <v>0.16690000000000002</v>
      </c>
      <c r="I66" s="13" t="str">
        <f t="shared" ref="I66:I89" si="8">IF(G66="","",IF(G66&gt;=0.1,"▲ Alerta (≥+10%)",IF(G66&lt;=0,"▼ Favorável","≈ Estável")))</f>
        <v>≈ Estável</v>
      </c>
    </row>
    <row r="67" spans="1:9" x14ac:dyDescent="0.3">
      <c r="A67" s="10" t="s">
        <v>134</v>
      </c>
      <c r="B67" s="10" t="s">
        <v>129</v>
      </c>
      <c r="C67" s="16">
        <v>46357</v>
      </c>
      <c r="D67" s="12">
        <v>0.1603</v>
      </c>
      <c r="E67" s="12">
        <v>0.1605</v>
      </c>
      <c r="F67" s="12">
        <v>0.12839999999999999</v>
      </c>
      <c r="G67" s="19">
        <f t="shared" si="6"/>
        <v>-1.2461059190032042E-3</v>
      </c>
      <c r="H67" s="14">
        <f t="shared" si="7"/>
        <v>0.16353333333333334</v>
      </c>
      <c r="I67" s="13" t="str">
        <f t="shared" si="8"/>
        <v>▼ Favorável</v>
      </c>
    </row>
    <row r="68" spans="1:9" x14ac:dyDescent="0.3">
      <c r="A68" s="10" t="s">
        <v>107</v>
      </c>
      <c r="B68" s="10" t="s">
        <v>102</v>
      </c>
      <c r="C68" s="16">
        <v>45717</v>
      </c>
      <c r="D68" s="12">
        <v>0.1278</v>
      </c>
      <c r="E68" s="12">
        <v>0.1429</v>
      </c>
      <c r="F68" s="12">
        <v>0.12859999999999999</v>
      </c>
      <c r="G68" s="19">
        <f t="shared" si="6"/>
        <v>-0.105668299510147</v>
      </c>
      <c r="H68" s="14" t="str">
        <f t="shared" si="7"/>
        <v/>
      </c>
      <c r="I68" s="13" t="str">
        <f t="shared" si="8"/>
        <v>▼ Favorável</v>
      </c>
    </row>
    <row r="69" spans="1:9" x14ac:dyDescent="0.3">
      <c r="A69" s="10" t="s">
        <v>107</v>
      </c>
      <c r="B69" s="10" t="s">
        <v>102</v>
      </c>
      <c r="C69" s="16">
        <v>45748</v>
      </c>
      <c r="D69" s="12">
        <v>0.1426</v>
      </c>
      <c r="E69" s="12">
        <v>0.1429</v>
      </c>
      <c r="F69" s="12">
        <v>0.12859999999999999</v>
      </c>
      <c r="G69" s="19">
        <f t="shared" si="6"/>
        <v>-2.0993701889432392E-3</v>
      </c>
      <c r="H69" s="14" t="str">
        <f t="shared" si="7"/>
        <v/>
      </c>
      <c r="I69" s="13" t="str">
        <f t="shared" si="8"/>
        <v>▼ Favorável</v>
      </c>
    </row>
    <row r="70" spans="1:9" x14ac:dyDescent="0.3">
      <c r="A70" s="10" t="s">
        <v>107</v>
      </c>
      <c r="B70" s="10" t="s">
        <v>102</v>
      </c>
      <c r="C70" s="16">
        <v>45778</v>
      </c>
      <c r="D70" s="12">
        <v>0.14000000000000001</v>
      </c>
      <c r="E70" s="12">
        <v>0.1429</v>
      </c>
      <c r="F70" s="12">
        <v>0.12859999999999999</v>
      </c>
      <c r="G70" s="19">
        <f t="shared" si="6"/>
        <v>-2.0293911826452016E-2</v>
      </c>
      <c r="H70" s="14">
        <f t="shared" si="7"/>
        <v>0.1368</v>
      </c>
      <c r="I70" s="13" t="str">
        <f t="shared" si="8"/>
        <v>▼ Favorável</v>
      </c>
    </row>
    <row r="71" spans="1:9" x14ac:dyDescent="0.3">
      <c r="A71" s="10" t="s">
        <v>107</v>
      </c>
      <c r="B71" s="10" t="s">
        <v>102</v>
      </c>
      <c r="C71" s="16">
        <v>45809</v>
      </c>
      <c r="D71" s="12">
        <v>0.1595</v>
      </c>
      <c r="E71" s="12">
        <v>0.1429</v>
      </c>
      <c r="F71" s="12">
        <v>0.12859999999999999</v>
      </c>
      <c r="G71" s="19">
        <f t="shared" si="6"/>
        <v>0.11616515045486353</v>
      </c>
      <c r="H71" s="14">
        <f t="shared" si="7"/>
        <v>0.14736666666666667</v>
      </c>
      <c r="I71" s="13" t="str">
        <f t="shared" si="8"/>
        <v>▲ Alerta (≥+10%)</v>
      </c>
    </row>
    <row r="72" spans="1:9" x14ac:dyDescent="0.3">
      <c r="A72" s="10" t="s">
        <v>107</v>
      </c>
      <c r="B72" s="10" t="s">
        <v>102</v>
      </c>
      <c r="C72" s="16">
        <v>45839</v>
      </c>
      <c r="D72" s="12">
        <v>0.17730000000000001</v>
      </c>
      <c r="E72" s="12">
        <v>0.1429</v>
      </c>
      <c r="F72" s="12">
        <v>0.12859999999999999</v>
      </c>
      <c r="G72" s="19">
        <f t="shared" si="6"/>
        <v>0.24072778166550046</v>
      </c>
      <c r="H72" s="14">
        <f t="shared" si="7"/>
        <v>0.15893333333333334</v>
      </c>
      <c r="I72" s="13" t="str">
        <f t="shared" si="8"/>
        <v>▲ Alerta (≥+10%)</v>
      </c>
    </row>
    <row r="73" spans="1:9" x14ac:dyDescent="0.3">
      <c r="A73" s="10" t="s">
        <v>107</v>
      </c>
      <c r="B73" s="10" t="s">
        <v>102</v>
      </c>
      <c r="C73" s="16">
        <v>45870</v>
      </c>
      <c r="D73" s="12">
        <v>0.16789999999999999</v>
      </c>
      <c r="E73" s="12">
        <v>0.1429</v>
      </c>
      <c r="F73" s="12">
        <v>0.12859999999999999</v>
      </c>
      <c r="G73" s="19">
        <f t="shared" si="6"/>
        <v>0.17494751574527645</v>
      </c>
      <c r="H73" s="14">
        <f t="shared" si="7"/>
        <v>0.16823333333333332</v>
      </c>
      <c r="I73" s="13" t="str">
        <f t="shared" si="8"/>
        <v>▲ Alerta (≥+10%)</v>
      </c>
    </row>
    <row r="74" spans="1:9" x14ac:dyDescent="0.3">
      <c r="A74" s="10" t="s">
        <v>107</v>
      </c>
      <c r="B74" s="10" t="s">
        <v>102</v>
      </c>
      <c r="C74" s="16">
        <v>45901</v>
      </c>
      <c r="D74" s="12">
        <v>0.16880000000000001</v>
      </c>
      <c r="E74" s="12">
        <v>0.1429</v>
      </c>
      <c r="F74" s="12">
        <v>0.12859999999999999</v>
      </c>
      <c r="G74" s="19">
        <f t="shared" si="6"/>
        <v>0.1812456263121065</v>
      </c>
      <c r="H74" s="14">
        <f t="shared" si="7"/>
        <v>0.17133333333333334</v>
      </c>
      <c r="I74" s="13" t="str">
        <f t="shared" si="8"/>
        <v>▲ Alerta (≥+10%)</v>
      </c>
    </row>
    <row r="75" spans="1:9" x14ac:dyDescent="0.3">
      <c r="A75" s="10" t="s">
        <v>107</v>
      </c>
      <c r="B75" s="10" t="s">
        <v>102</v>
      </c>
      <c r="C75" s="16">
        <v>45931</v>
      </c>
      <c r="D75" s="12">
        <v>0.15379999999999999</v>
      </c>
      <c r="E75" s="12">
        <v>0.1429</v>
      </c>
      <c r="F75" s="12">
        <v>0.12859999999999999</v>
      </c>
      <c r="G75" s="19">
        <f t="shared" si="6"/>
        <v>7.6277116864940542E-2</v>
      </c>
      <c r="H75" s="14">
        <f t="shared" si="7"/>
        <v>0.16350000000000001</v>
      </c>
      <c r="I75" s="13" t="str">
        <f t="shared" si="8"/>
        <v>≈ Estável</v>
      </c>
    </row>
    <row r="76" spans="1:9" x14ac:dyDescent="0.3">
      <c r="A76" s="10" t="s">
        <v>107</v>
      </c>
      <c r="B76" s="10" t="s">
        <v>102</v>
      </c>
      <c r="C76" s="16">
        <v>45962</v>
      </c>
      <c r="D76" s="12">
        <v>0.1265</v>
      </c>
      <c r="E76" s="12">
        <v>0.1429</v>
      </c>
      <c r="F76" s="12">
        <v>0.12859999999999999</v>
      </c>
      <c r="G76" s="19">
        <f t="shared" si="6"/>
        <v>-0.11476557032890133</v>
      </c>
      <c r="H76" s="14">
        <f t="shared" si="7"/>
        <v>0.1497</v>
      </c>
      <c r="I76" s="13" t="str">
        <f t="shared" si="8"/>
        <v>▼ Favorável</v>
      </c>
    </row>
    <row r="77" spans="1:9" x14ac:dyDescent="0.3">
      <c r="A77" s="10" t="s">
        <v>107</v>
      </c>
      <c r="B77" s="10" t="s">
        <v>102</v>
      </c>
      <c r="C77" s="16">
        <v>45992</v>
      </c>
      <c r="D77" s="12">
        <v>0.1205</v>
      </c>
      <c r="E77" s="12">
        <v>0.1429</v>
      </c>
      <c r="F77" s="12">
        <v>0.12859999999999999</v>
      </c>
      <c r="G77" s="19">
        <f t="shared" si="6"/>
        <v>-0.15675297410776767</v>
      </c>
      <c r="H77" s="14">
        <f t="shared" si="7"/>
        <v>0.1336</v>
      </c>
      <c r="I77" s="13" t="str">
        <f t="shared" si="8"/>
        <v>▼ Favorável</v>
      </c>
    </row>
    <row r="78" spans="1:9" x14ac:dyDescent="0.3">
      <c r="A78" s="10" t="s">
        <v>107</v>
      </c>
      <c r="B78" s="10" t="s">
        <v>102</v>
      </c>
      <c r="C78" s="16">
        <v>46023</v>
      </c>
      <c r="D78" s="12">
        <v>0.11169999999999999</v>
      </c>
      <c r="E78" s="12">
        <v>0.1429</v>
      </c>
      <c r="F78" s="12">
        <v>0.12859999999999999</v>
      </c>
      <c r="G78" s="19">
        <f t="shared" si="6"/>
        <v>-0.21833449965010499</v>
      </c>
      <c r="H78" s="14">
        <f t="shared" si="7"/>
        <v>0.11956666666666667</v>
      </c>
      <c r="I78" s="13" t="str">
        <f t="shared" si="8"/>
        <v>▼ Favorável</v>
      </c>
    </row>
    <row r="79" spans="1:9" x14ac:dyDescent="0.3">
      <c r="A79" s="10" t="s">
        <v>107</v>
      </c>
      <c r="B79" s="10" t="s">
        <v>102</v>
      </c>
      <c r="C79" s="16">
        <v>46054</v>
      </c>
      <c r="D79" s="12">
        <v>0.11890000000000001</v>
      </c>
      <c r="E79" s="12">
        <v>0.1429</v>
      </c>
      <c r="F79" s="12">
        <v>0.12859999999999999</v>
      </c>
      <c r="G79" s="19">
        <f t="shared" si="6"/>
        <v>-0.16794961511546536</v>
      </c>
      <c r="H79" s="14">
        <f t="shared" si="7"/>
        <v>0.11703333333333332</v>
      </c>
      <c r="I79" s="13" t="str">
        <f t="shared" si="8"/>
        <v>▼ Favorável</v>
      </c>
    </row>
    <row r="80" spans="1:9" x14ac:dyDescent="0.3">
      <c r="A80" s="10" t="s">
        <v>107</v>
      </c>
      <c r="B80" s="10" t="s">
        <v>102</v>
      </c>
      <c r="C80" s="16">
        <v>46082</v>
      </c>
      <c r="D80" s="12">
        <v>0.13170000000000001</v>
      </c>
      <c r="E80" s="12">
        <v>0.1429</v>
      </c>
      <c r="F80" s="12">
        <v>0.12859999999999999</v>
      </c>
      <c r="G80" s="19">
        <f t="shared" si="6"/>
        <v>-7.8376487053883781E-2</v>
      </c>
      <c r="H80" s="14">
        <f t="shared" si="7"/>
        <v>0.12076666666666667</v>
      </c>
      <c r="I80" s="13" t="str">
        <f t="shared" si="8"/>
        <v>▼ Favorável</v>
      </c>
    </row>
    <row r="81" spans="1:9" x14ac:dyDescent="0.3">
      <c r="A81" s="10" t="s">
        <v>107</v>
      </c>
      <c r="B81" s="10" t="s">
        <v>102</v>
      </c>
      <c r="C81" s="16">
        <v>46113</v>
      </c>
      <c r="D81" s="12">
        <v>0.1358</v>
      </c>
      <c r="E81" s="12">
        <v>0.1429</v>
      </c>
      <c r="F81" s="12">
        <v>0.12859999999999999</v>
      </c>
      <c r="G81" s="19">
        <f t="shared" si="6"/>
        <v>-4.9685094471658475E-2</v>
      </c>
      <c r="H81" s="14">
        <f t="shared" si="7"/>
        <v>0.12880000000000003</v>
      </c>
      <c r="I81" s="13" t="str">
        <f t="shared" si="8"/>
        <v>▼ Favorável</v>
      </c>
    </row>
    <row r="82" spans="1:9" x14ac:dyDescent="0.3">
      <c r="A82" s="10" t="s">
        <v>107</v>
      </c>
      <c r="B82" s="10" t="s">
        <v>102</v>
      </c>
      <c r="C82" s="16">
        <v>46143</v>
      </c>
      <c r="D82" s="12">
        <v>0.15260000000000001</v>
      </c>
      <c r="E82" s="12">
        <v>0.1429</v>
      </c>
      <c r="F82" s="12">
        <v>0.12859999999999999</v>
      </c>
      <c r="G82" s="19">
        <f t="shared" si="6"/>
        <v>6.7879636109167363E-2</v>
      </c>
      <c r="H82" s="14">
        <f t="shared" si="7"/>
        <v>0.14003333333333334</v>
      </c>
      <c r="I82" s="13" t="str">
        <f t="shared" si="8"/>
        <v>≈ Estável</v>
      </c>
    </row>
    <row r="83" spans="1:9" x14ac:dyDescent="0.3">
      <c r="A83" s="10" t="s">
        <v>107</v>
      </c>
      <c r="B83" s="10" t="s">
        <v>102</v>
      </c>
      <c r="C83" s="16">
        <v>46174</v>
      </c>
      <c r="D83" s="12">
        <v>0.16930000000000001</v>
      </c>
      <c r="E83" s="12">
        <v>0.1429</v>
      </c>
      <c r="F83" s="12">
        <v>0.12859999999999999</v>
      </c>
      <c r="G83" s="19">
        <f t="shared" si="6"/>
        <v>0.18474457662701194</v>
      </c>
      <c r="H83" s="14">
        <f t="shared" si="7"/>
        <v>0.15256666666666666</v>
      </c>
      <c r="I83" s="13" t="str">
        <f t="shared" si="8"/>
        <v>▲ Alerta (≥+10%)</v>
      </c>
    </row>
    <row r="84" spans="1:9" x14ac:dyDescent="0.3">
      <c r="A84" s="10" t="s">
        <v>107</v>
      </c>
      <c r="B84" s="10" t="s">
        <v>102</v>
      </c>
      <c r="C84" s="16">
        <v>46204</v>
      </c>
      <c r="D84" s="12">
        <v>0.16059999999999999</v>
      </c>
      <c r="E84" s="12">
        <v>0.1429</v>
      </c>
      <c r="F84" s="12">
        <v>0.12859999999999999</v>
      </c>
      <c r="G84" s="19">
        <f t="shared" si="6"/>
        <v>0.12386284114765567</v>
      </c>
      <c r="H84" s="14">
        <f t="shared" si="7"/>
        <v>0.16083333333333336</v>
      </c>
      <c r="I84" s="13" t="str">
        <f t="shared" si="8"/>
        <v>▲ Alerta (≥+10%)</v>
      </c>
    </row>
    <row r="85" spans="1:9" x14ac:dyDescent="0.3">
      <c r="A85" s="10" t="s">
        <v>107</v>
      </c>
      <c r="B85" s="10" t="s">
        <v>102</v>
      </c>
      <c r="C85" s="16">
        <v>46235</v>
      </c>
      <c r="D85" s="12">
        <v>0.16500000000000001</v>
      </c>
      <c r="E85" s="12">
        <v>0.1429</v>
      </c>
      <c r="F85" s="12">
        <v>0.12859999999999999</v>
      </c>
      <c r="G85" s="19">
        <f t="shared" si="6"/>
        <v>0.15465360391882443</v>
      </c>
      <c r="H85" s="14">
        <f t="shared" si="7"/>
        <v>0.16496666666666668</v>
      </c>
      <c r="I85" s="13" t="str">
        <f t="shared" si="8"/>
        <v>▲ Alerta (≥+10%)</v>
      </c>
    </row>
    <row r="86" spans="1:9" x14ac:dyDescent="0.3">
      <c r="A86" s="10" t="s">
        <v>107</v>
      </c>
      <c r="B86" s="10" t="s">
        <v>102</v>
      </c>
      <c r="C86" s="16">
        <v>46266</v>
      </c>
      <c r="D86" s="12">
        <v>0.1593</v>
      </c>
      <c r="E86" s="12">
        <v>0.1429</v>
      </c>
      <c r="F86" s="12">
        <v>0.12859999999999999</v>
      </c>
      <c r="G86" s="19">
        <f t="shared" si="6"/>
        <v>0.11476557032890122</v>
      </c>
      <c r="H86" s="14">
        <f t="shared" si="7"/>
        <v>0.16163333333333332</v>
      </c>
      <c r="I86" s="13" t="str">
        <f t="shared" si="8"/>
        <v>▲ Alerta (≥+10%)</v>
      </c>
    </row>
    <row r="87" spans="1:9" x14ac:dyDescent="0.3">
      <c r="A87" s="10" t="s">
        <v>107</v>
      </c>
      <c r="B87" s="10" t="s">
        <v>102</v>
      </c>
      <c r="C87" s="16">
        <v>46296</v>
      </c>
      <c r="D87" s="12">
        <v>0.13900000000000001</v>
      </c>
      <c r="E87" s="12">
        <v>0.1429</v>
      </c>
      <c r="F87" s="12">
        <v>0.12859999999999999</v>
      </c>
      <c r="G87" s="19">
        <f t="shared" si="6"/>
        <v>-2.7291812456262998E-2</v>
      </c>
      <c r="H87" s="14">
        <f t="shared" si="7"/>
        <v>0.15443333333333334</v>
      </c>
      <c r="I87" s="13" t="str">
        <f t="shared" si="8"/>
        <v>▼ Favorável</v>
      </c>
    </row>
    <row r="88" spans="1:9" x14ac:dyDescent="0.3">
      <c r="A88" s="10" t="s">
        <v>107</v>
      </c>
      <c r="B88" s="10" t="s">
        <v>102</v>
      </c>
      <c r="C88" s="16">
        <v>46327</v>
      </c>
      <c r="D88" s="12">
        <v>0.1202</v>
      </c>
      <c r="E88" s="12">
        <v>0.1429</v>
      </c>
      <c r="F88" s="12">
        <v>0.12859999999999999</v>
      </c>
      <c r="G88" s="19">
        <f t="shared" si="6"/>
        <v>-0.15885234429671102</v>
      </c>
      <c r="H88" s="14">
        <f t="shared" si="7"/>
        <v>0.13949999999999999</v>
      </c>
      <c r="I88" s="13" t="str">
        <f t="shared" si="8"/>
        <v>▼ Favorável</v>
      </c>
    </row>
    <row r="89" spans="1:9" x14ac:dyDescent="0.3">
      <c r="A89" s="10" t="s">
        <v>107</v>
      </c>
      <c r="B89" s="10" t="s">
        <v>102</v>
      </c>
      <c r="C89" s="16">
        <v>46357</v>
      </c>
      <c r="D89" s="12">
        <v>0.1014</v>
      </c>
      <c r="E89" s="12">
        <v>0.1429</v>
      </c>
      <c r="F89" s="12">
        <v>0.12859999999999999</v>
      </c>
      <c r="G89" s="19">
        <f t="shared" si="6"/>
        <v>-0.29041287613715883</v>
      </c>
      <c r="H89" s="14">
        <f t="shared" si="7"/>
        <v>0.12019999999999999</v>
      </c>
      <c r="I89" s="13" t="str">
        <f t="shared" si="8"/>
        <v>▼ Favorável</v>
      </c>
    </row>
  </sheetData>
  <conditionalFormatting sqref="I2:I289">
    <cfRule type="expression" dxfId="2" priority="1">
      <formula>ISNUMBER(SEARCH("Alerta",I2))</formula>
    </cfRule>
    <cfRule type="expression" dxfId="1" priority="2">
      <formula>ISNUMBER(SEARCH("Favorável",I2))</formula>
    </cfRule>
    <cfRule type="expression" dxfId="0" priority="3">
      <formula>ISNUMBER(SEARCH("Estável",I2))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D26"/>
  <sheetViews>
    <sheetView showGridLines="0" workbookViewId="0"/>
  </sheetViews>
  <sheetFormatPr defaultRowHeight="14.4" x14ac:dyDescent="0.3"/>
  <cols>
    <col min="1" max="1" width="30" customWidth="1"/>
    <col min="2" max="4" width="52" customWidth="1"/>
  </cols>
  <sheetData>
    <row r="1" spans="1:4" ht="17.399999999999999" x14ac:dyDescent="0.3">
      <c r="A1" s="1" t="s">
        <v>293</v>
      </c>
    </row>
    <row r="2" spans="1:4" x14ac:dyDescent="0.3">
      <c r="A2" s="2" t="s">
        <v>294</v>
      </c>
    </row>
    <row r="4" spans="1:4" x14ac:dyDescent="0.3">
      <c r="A4" s="8" t="s">
        <v>295</v>
      </c>
      <c r="B4" s="8" t="s">
        <v>296</v>
      </c>
      <c r="C4" s="8" t="s">
        <v>297</v>
      </c>
      <c r="D4" s="8" t="s">
        <v>298</v>
      </c>
    </row>
    <row r="5" spans="1:4" x14ac:dyDescent="0.3">
      <c r="A5" s="20" t="s">
        <v>299</v>
      </c>
      <c r="B5" s="20" t="s">
        <v>100</v>
      </c>
      <c r="C5" s="20" t="s">
        <v>134</v>
      </c>
      <c r="D5" s="20" t="s">
        <v>169</v>
      </c>
    </row>
    <row r="6" spans="1:4" ht="60" customHeight="1" x14ac:dyDescent="0.3">
      <c r="A6" s="21" t="s">
        <v>300</v>
      </c>
      <c r="B6" s="22" t="str">
        <f>INDEX(Objetivos_SMART!$E$5:$E$11,MATCH(B$5,Objetivos_SMART!$A$5:$A$11,0))</f>
        <v>Consumo elevado de energia elétrica (≈ 7,8 GWh em 2026, 1.º custo ambiental) nos processos de injeção, sopro e ar comprimido.</v>
      </c>
      <c r="C6" s="22" t="str">
        <f>INDEX(Objetivos_SMART!$E$5:$E$11,MATCH(C$5,Objetivos_SMART!$A$5:$A$11,0))</f>
        <v>Emissão difusa de COV na limpeza de ecrãs da serigrafia (AAS, IRA 40) e subida recente do consumo de solvente.</v>
      </c>
      <c r="D6" s="22" t="str">
        <f>INDEX(Objetivos_SMART!$E$5:$E$11,MATCH(D$5,Objetivos_SMART!$A$5:$A$11,0))</f>
        <v>PPWR (Reg. (UE) 2025/40) aplicável desde 12/08/2026: só 9 de 22 famílias têm documentação técnica e declaração UE de conformidade (NC legal).</v>
      </c>
    </row>
    <row r="7" spans="1:4" x14ac:dyDescent="0.3">
      <c r="A7" s="21" t="s">
        <v>301</v>
      </c>
      <c r="B7" s="22" t="str">
        <f>INDEX(Objetivos_SMART!$D$5:$D$11,MATCH(B$5,Objetivos_SMART!$A$5:$A$11,0))</f>
        <v>AA-007; AA-010; AA-021; RO-02; LEG-08</v>
      </c>
      <c r="C7" s="22" t="str">
        <f>INDEX(Objetivos_SMART!$D$5:$D$11,MATCH(C$5,Objetivos_SMART!$A$5:$A$11,0))</f>
        <v>AA-014; AA-006; LEG-04; LEG-12</v>
      </c>
      <c r="D7" s="22" t="str">
        <f>INDEX(Objetivos_SMART!$D$5:$D$11,MATCH(D$5,Objetivos_SMART!$A$5:$A$11,0))</f>
        <v>LEG-09; RO-06; AA-038</v>
      </c>
    </row>
    <row r="8" spans="1:4" ht="60" customHeight="1" x14ac:dyDescent="0.3">
      <c r="A8" s="21" t="s">
        <v>302</v>
      </c>
      <c r="B8" s="22" t="str">
        <f>INDEX(Objetivos_SMART!$F$5:$F$11,MATCH(B$5,Objetivos_SMART!$A$5:$A$11,0))</f>
        <v>Reduzir o consumo específico de eletricidade (kWh por 1.000 unidades produzidas) em 8% até 31/12/2027, face à média set/2025–ago/2026.</v>
      </c>
      <c r="C8" s="22" t="str">
        <f>INDEX(Objetivos_SMART!$F$5:$F$11,MATCH(C$5,Objetivos_SMART!$A$5:$A$11,0))</f>
        <v>Reduzir o consumo de solvente de limpeza na serigrafia (kg por 1.000 peças serigrafadas) em 20% até 30/06/2027, face à média set/2025–mai/2026.</v>
      </c>
      <c r="D8" s="22" t="str">
        <f>INDEX(Objetivos_SMART!$F$5:$F$11,MATCH(D$5,Objetivos_SMART!$A$5:$A$11,0))</f>
        <v>Garantir que 100% das famílias de embalagem têm documentação técnica e declaração UE de conformidade PPWR até 31/12/2026.</v>
      </c>
    </row>
    <row r="9" spans="1:4" x14ac:dyDescent="0.3">
      <c r="A9" s="21" t="s">
        <v>303</v>
      </c>
      <c r="B9" s="22" t="str">
        <f>INDEX(Objetivos_SMART!$H$5:$H$11,MATCH(B$5,Objetivos_SMART!$A$5:$A$11,0))</f>
        <v>Intensidade energética (kWh/1.000 un)</v>
      </c>
      <c r="C9" s="22" t="str">
        <f>INDEX(Objetivos_SMART!$H$5:$H$11,MATCH(C$5,Objetivos_SMART!$A$5:$A$11,0))</f>
        <v>Solvente de limpeza na serigrafia (kg/1.000 peças)</v>
      </c>
      <c r="D9" s="22" t="str">
        <f>INDEX(Objetivos_SMART!$H$5:$H$11,MATCH(D$5,Objetivos_SMART!$A$5:$A$11,0))</f>
        <v>Famílias com conformidade PPWR (%)</v>
      </c>
    </row>
    <row r="10" spans="1:4" x14ac:dyDescent="0.3">
      <c r="A10" s="21" t="s">
        <v>88</v>
      </c>
      <c r="B10" s="23">
        <f>INDEX(Objetivos_SMART!$I$5:$I$11,MATCH(B$5,Objetivos_SMART!$A$5:$A$11,0))</f>
        <v>110.4918</v>
      </c>
      <c r="C10" s="23">
        <f>INDEX(Objetivos_SMART!$I$5:$I$11,MATCH(C$5,Objetivos_SMART!$A$5:$A$11,0))</f>
        <v>0.1605</v>
      </c>
      <c r="D10" s="23">
        <f>INDEX(Objetivos_SMART!$I$5:$I$11,MATCH(D$5,Objetivos_SMART!$A$5:$A$11,0))</f>
        <v>0.40910000000000002</v>
      </c>
    </row>
    <row r="11" spans="1:4" x14ac:dyDescent="0.3">
      <c r="A11" s="21" t="s">
        <v>304</v>
      </c>
      <c r="B11" s="23">
        <f>INDEX(Objetivos_SMART!$L$5:$L$11,MATCH(B$5,Objetivos_SMART!$A$5:$A$11,0))</f>
        <v>101.652456</v>
      </c>
      <c r="C11" s="23">
        <f>INDEX(Objetivos_SMART!$L$5:$L$11,MATCH(C$5,Objetivos_SMART!$A$5:$A$11,0))</f>
        <v>0.12840000000000001</v>
      </c>
      <c r="D11" s="23">
        <f>INDEX(Objetivos_SMART!$L$5:$L$11,MATCH(D$5,Objetivos_SMART!$A$5:$A$11,0))</f>
        <v>1</v>
      </c>
    </row>
    <row r="12" spans="1:4" x14ac:dyDescent="0.3">
      <c r="A12" s="21" t="s">
        <v>305</v>
      </c>
      <c r="B12" s="24">
        <f>INDEX(Objetivos_SMART!$K$5:$K$11,MATCH(B$5,Objetivos_SMART!$A$5:$A$11,0))</f>
        <v>-0.08</v>
      </c>
      <c r="C12" s="24">
        <f>INDEX(Objetivos_SMART!$K$5:$K$11,MATCH(C$5,Objetivos_SMART!$A$5:$A$11,0))</f>
        <v>-0.2</v>
      </c>
      <c r="D12" s="24">
        <f>INDEX(Objetivos_SMART!$K$5:$K$11,MATCH(D$5,Objetivos_SMART!$A$5:$A$11,0))</f>
        <v>1</v>
      </c>
    </row>
    <row r="13" spans="1:4" x14ac:dyDescent="0.3">
      <c r="A13" s="21" t="s">
        <v>221</v>
      </c>
      <c r="B13" s="25">
        <f>INDEX(Objetivos_SMART!$M$5:$M$11,MATCH(B$5,Objetivos_SMART!$A$5:$A$11,0))</f>
        <v>46752</v>
      </c>
      <c r="C13" s="25">
        <f>INDEX(Objetivos_SMART!$M$5:$M$11,MATCH(C$5,Objetivos_SMART!$A$5:$A$11,0))</f>
        <v>46568</v>
      </c>
      <c r="D13" s="25">
        <f>INDEX(Objetivos_SMART!$M$5:$M$11,MATCH(D$5,Objetivos_SMART!$A$5:$A$11,0))</f>
        <v>46387</v>
      </c>
    </row>
    <row r="14" spans="1:4" ht="60" customHeight="1" x14ac:dyDescent="0.3">
      <c r="A14" s="21" t="s">
        <v>306</v>
      </c>
      <c r="B14" s="22" t="str">
        <f>INDEX(Objetivos_SMART!$N$5:$N$11,MATCH(B$5,Objetivos_SMART!$A$5:$A$11,0))</f>
        <v>Gerente de Manutenção (líder), técnico de utilidades (0,2 ETI), equipa Kaizen de turno.</v>
      </c>
      <c r="C14" s="22" t="str">
        <f>INDEX(Objetivos_SMART!$N$5:$N$11,MATCH(C$5,Objetivos_SMART!$A$5:$A$11,0))</f>
        <v>Gestor do SGA/EHS, chefe da serigrafia, operadores SS-001/SS-002 (formação de 2 h).</v>
      </c>
      <c r="D14" s="22" t="str">
        <f>INDEX(Objetivos_SMART!$N$5:$N$11,MATCH(D$5,Objetivos_SMART!$A$5:$A$11,0))</f>
        <v>Responsável de R&amp;D, técnico de qualidade/ambiente (0,5 ETI), consultor externo PPWR.</v>
      </c>
    </row>
    <row r="15" spans="1:4" ht="60" customHeight="1" x14ac:dyDescent="0.3">
      <c r="A15" s="21" t="s">
        <v>307</v>
      </c>
      <c r="B15" s="22" t="str">
        <f>INDEX(Objetivos_SMART!$O$5:$O$11,MATCH(B$5,Objetivos_SMART!$A$5:$A$11,0))</f>
        <v>Detetor ultrassónico de fugas, 6 analisadores de energia, variador de velocidade no compressor CMP-02.</v>
      </c>
      <c r="C15" s="22" t="str">
        <f>INDEX(Objetivos_SMART!$O$5:$O$11,MATCH(C$5,Objetivos_SMART!$A$5:$A$11,0))</f>
        <v>Dispensadores de segurança com tampa, panos pré-dosados, unidade de recuperação de solvente (destilador).</v>
      </c>
      <c r="D15" s="22" t="str">
        <f>INDEX(Objetivos_SMART!$O$5:$O$11,MATCH(D$5,Objetivos_SMART!$A$5:$A$11,0))</f>
        <v>Ensaios de metais pesados por família em laboratório acreditado; modelo de dossier técnico.</v>
      </c>
    </row>
    <row r="16" spans="1:4" x14ac:dyDescent="0.3">
      <c r="A16" s="21" t="s">
        <v>308</v>
      </c>
      <c r="B16" s="17">
        <f>INDEX(Objetivos_SMART!$P$5:$P$11,MATCH(B$5,Objetivos_SMART!$A$5:$A$11,0))</f>
        <v>42000</v>
      </c>
      <c r="C16" s="17">
        <f>INDEX(Objetivos_SMART!$P$5:$P$11,MATCH(C$5,Objetivos_SMART!$A$5:$A$11,0))</f>
        <v>18500</v>
      </c>
      <c r="D16" s="17">
        <f>INDEX(Objetivos_SMART!$P$5:$P$11,MATCH(D$5,Objetivos_SMART!$A$5:$A$11,0))</f>
        <v>26000</v>
      </c>
    </row>
    <row r="17" spans="1:4" x14ac:dyDescent="0.3">
      <c r="A17" s="21" t="s">
        <v>309</v>
      </c>
      <c r="B17" s="22" t="str">
        <f>INDEX(Objetivos_SMART!$Q$5:$Q$11,MATCH(B$5,Objetivos_SMART!$A$5:$A$11,0))</f>
        <v>Gerente de Manutenção</v>
      </c>
      <c r="C17" s="22" t="str">
        <f>INDEX(Objetivos_SMART!$Q$5:$Q$11,MATCH(C$5,Objetivos_SMART!$A$5:$A$11,0))</f>
        <v>Gestor do SGA / EHS (Responsável Ambiental)</v>
      </c>
      <c r="D17" s="22" t="str">
        <f>INDEX(Objetivos_SMART!$Q$5:$Q$11,MATCH(D$5,Objetivos_SMART!$A$5:$A$11,0))</f>
        <v>Responsável de R&amp;D</v>
      </c>
    </row>
    <row r="18" spans="1:4" x14ac:dyDescent="0.3">
      <c r="A18" s="21" t="s">
        <v>310</v>
      </c>
      <c r="B18" s="22" t="str">
        <f>INDEX(Objetivos_SMART!$R$5:$R$11,MATCH(B$5,Objetivos_SMART!$A$5:$A$11,0))</f>
        <v>PAM-26-01; PAM-26-02; PAM-26-06</v>
      </c>
      <c r="C18" s="22" t="str">
        <f>INDEX(Objetivos_SMART!$R$5:$R$11,MATCH(C$5,Objetivos_SMART!$A$5:$A$11,0))</f>
        <v>PAM-26-07; PAM-26-08; PAM-26-13</v>
      </c>
      <c r="D18" s="22" t="str">
        <f>INDEX(Objetivos_SMART!$R$5:$R$11,MATCH(D$5,Objetivos_SMART!$A$5:$A$11,0))</f>
        <v>PAM-26-10</v>
      </c>
    </row>
    <row r="19" spans="1:4" x14ac:dyDescent="0.3">
      <c r="A19" s="21" t="s">
        <v>311</v>
      </c>
      <c r="B19" s="22" t="str">
        <f>INDEX(Objetivos_SMART!$AB$5:$AB$11,MATCH(B$5,Objetivos_SMART!$A$5:$A$11,0))</f>
        <v>SMART</v>
      </c>
      <c r="C19" s="22" t="str">
        <f>INDEX(Objetivos_SMART!$AB$5:$AB$11,MATCH(C$5,Objetivos_SMART!$A$5:$A$11,0))</f>
        <v>SMART</v>
      </c>
      <c r="D19" s="22" t="str">
        <f>INDEX(Objetivos_SMART!$AB$5:$AB$11,MATCH(D$5,Objetivos_SMART!$A$5:$A$11,0))</f>
        <v>SMART</v>
      </c>
    </row>
    <row r="21" spans="1:4" x14ac:dyDescent="0.3">
      <c r="A21" s="20" t="s">
        <v>312</v>
      </c>
      <c r="B21" s="28" t="s">
        <v>313</v>
      </c>
      <c r="C21" s="29"/>
      <c r="D21" s="29"/>
    </row>
    <row r="22" spans="1:4" x14ac:dyDescent="0.3">
      <c r="A22" s="20" t="s">
        <v>314</v>
      </c>
      <c r="B22" s="28" t="s">
        <v>315</v>
      </c>
      <c r="C22" s="29"/>
      <c r="D22" s="29"/>
    </row>
    <row r="23" spans="1:4" x14ac:dyDescent="0.3">
      <c r="A23" s="20" t="s">
        <v>316</v>
      </c>
      <c r="B23" s="28" t="s">
        <v>317</v>
      </c>
      <c r="C23" s="29"/>
      <c r="D23" s="29"/>
    </row>
    <row r="24" spans="1:4" x14ac:dyDescent="0.3">
      <c r="A24" s="20" t="s">
        <v>318</v>
      </c>
      <c r="B24" s="28" t="s">
        <v>319</v>
      </c>
      <c r="C24" s="29"/>
      <c r="D24" s="29"/>
    </row>
    <row r="25" spans="1:4" x14ac:dyDescent="0.3">
      <c r="A25" s="20" t="s">
        <v>320</v>
      </c>
      <c r="B25" s="28" t="s">
        <v>321</v>
      </c>
      <c r="C25" s="29"/>
      <c r="D25" s="29"/>
    </row>
    <row r="26" spans="1:4" x14ac:dyDescent="0.3">
      <c r="A26" s="20" t="s">
        <v>322</v>
      </c>
      <c r="B26" s="28" t="s">
        <v>323</v>
      </c>
      <c r="C26" s="29"/>
      <c r="D26" s="29"/>
    </row>
  </sheetData>
  <mergeCells count="6">
    <mergeCell ref="B23:D23"/>
    <mergeCell ref="B22:D22"/>
    <mergeCell ref="B26:D26"/>
    <mergeCell ref="B21:D21"/>
    <mergeCell ref="B25:D25"/>
    <mergeCell ref="B24:D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28" customWidth="1"/>
    <col min="4" max="4" width="16" customWidth="1"/>
    <col min="5" max="5" width="30" customWidth="1"/>
    <col min="6" max="6" width="16" customWidth="1"/>
    <col min="7" max="7" width="18" customWidth="1"/>
    <col min="8" max="8" width="16" customWidth="1"/>
    <col min="9" max="9" width="48" customWidth="1"/>
    <col min="10" max="10" width="16" customWidth="1"/>
  </cols>
  <sheetData>
    <row r="1" spans="1:10" x14ac:dyDescent="0.3">
      <c r="A1" s="20" t="s">
        <v>324</v>
      </c>
    </row>
    <row r="2" spans="1:10" x14ac:dyDescent="0.3">
      <c r="A2" s="26" t="s">
        <v>325</v>
      </c>
      <c r="B2" s="26" t="s">
        <v>28</v>
      </c>
      <c r="C2" s="26" t="s">
        <v>326</v>
      </c>
      <c r="D2" s="26" t="s">
        <v>83</v>
      </c>
      <c r="E2" s="26" t="s">
        <v>327</v>
      </c>
      <c r="F2" s="26" t="s">
        <v>85</v>
      </c>
      <c r="G2" s="26" t="s">
        <v>328</v>
      </c>
      <c r="H2" s="26" t="s">
        <v>14</v>
      </c>
      <c r="I2" s="26" t="s">
        <v>329</v>
      </c>
      <c r="J2" s="26" t="s">
        <v>330</v>
      </c>
    </row>
    <row r="3" spans="1:10" x14ac:dyDescent="0.3">
      <c r="A3" s="27">
        <v>46387</v>
      </c>
      <c r="B3" s="6" t="s">
        <v>65</v>
      </c>
      <c r="C3" s="6" t="s">
        <v>251</v>
      </c>
      <c r="D3" s="6" t="s">
        <v>95</v>
      </c>
      <c r="E3" s="6" t="s">
        <v>96</v>
      </c>
      <c r="F3" s="6" t="s">
        <v>97</v>
      </c>
      <c r="G3" s="6" t="s">
        <v>240</v>
      </c>
      <c r="H3" s="6" t="s">
        <v>274</v>
      </c>
      <c r="I3" s="6" t="s">
        <v>331</v>
      </c>
      <c r="J3" s="6" t="s">
        <v>332</v>
      </c>
    </row>
    <row r="4" spans="1:10" x14ac:dyDescent="0.3">
      <c r="B4" s="6" t="s">
        <v>67</v>
      </c>
      <c r="C4" s="6" t="s">
        <v>236</v>
      </c>
      <c r="D4" s="6" t="s">
        <v>121</v>
      </c>
      <c r="E4" s="6" t="s">
        <v>155</v>
      </c>
      <c r="F4" s="6" t="s">
        <v>333</v>
      </c>
      <c r="G4" s="6" t="s">
        <v>334</v>
      </c>
      <c r="H4" s="6" t="s">
        <v>244</v>
      </c>
      <c r="I4" s="6" t="s">
        <v>272</v>
      </c>
      <c r="J4" s="6" t="s">
        <v>335</v>
      </c>
    </row>
    <row r="5" spans="1:10" x14ac:dyDescent="0.3">
      <c r="B5" s="6" t="s">
        <v>69</v>
      </c>
      <c r="C5" s="6" t="s">
        <v>258</v>
      </c>
      <c r="D5" s="6" t="s">
        <v>162</v>
      </c>
      <c r="E5" s="6" t="s">
        <v>209</v>
      </c>
      <c r="F5" s="6" t="s">
        <v>336</v>
      </c>
      <c r="G5" s="6" t="s">
        <v>262</v>
      </c>
      <c r="H5" s="6" t="s">
        <v>337</v>
      </c>
      <c r="I5" s="6" t="s">
        <v>127</v>
      </c>
    </row>
    <row r="6" spans="1:10" x14ac:dyDescent="0.3">
      <c r="B6" s="6" t="s">
        <v>71</v>
      </c>
      <c r="C6" s="6" t="s">
        <v>266</v>
      </c>
      <c r="F6" s="6" t="s">
        <v>149</v>
      </c>
      <c r="H6" s="6" t="s">
        <v>338</v>
      </c>
      <c r="I6" s="6" t="s">
        <v>114</v>
      </c>
    </row>
    <row r="7" spans="1:10" x14ac:dyDescent="0.3">
      <c r="B7" s="6" t="s">
        <v>73</v>
      </c>
      <c r="C7" s="6" t="s">
        <v>339</v>
      </c>
      <c r="F7" s="6" t="s">
        <v>340</v>
      </c>
      <c r="H7" s="6" t="s">
        <v>341</v>
      </c>
      <c r="I7" s="6" t="s">
        <v>99</v>
      </c>
    </row>
    <row r="8" spans="1:10" x14ac:dyDescent="0.3">
      <c r="B8" s="6" t="s">
        <v>75</v>
      </c>
      <c r="C8" s="6" t="s">
        <v>342</v>
      </c>
      <c r="I8" s="6" t="s">
        <v>343</v>
      </c>
    </row>
    <row r="9" spans="1:10" x14ac:dyDescent="0.3">
      <c r="B9" s="6" t="s">
        <v>77</v>
      </c>
      <c r="I9" s="6" t="s">
        <v>344</v>
      </c>
    </row>
    <row r="10" spans="1:10" x14ac:dyDescent="0.3">
      <c r="I10" s="6" t="s">
        <v>197</v>
      </c>
    </row>
    <row r="11" spans="1:10" x14ac:dyDescent="0.3">
      <c r="I11" s="6" t="s">
        <v>168</v>
      </c>
    </row>
    <row r="12" spans="1:10" x14ac:dyDescent="0.3">
      <c r="I12" s="6" t="s">
        <v>345</v>
      </c>
    </row>
    <row r="13" spans="1:10" x14ac:dyDescent="0.3">
      <c r="I13" s="6" t="s">
        <v>151</v>
      </c>
    </row>
    <row r="14" spans="1:10" x14ac:dyDescent="0.3">
      <c r="I14" s="6" t="s">
        <v>346</v>
      </c>
    </row>
    <row r="15" spans="1:10" x14ac:dyDescent="0.3">
      <c r="I15" s="6" t="s">
        <v>347</v>
      </c>
    </row>
    <row r="16" spans="1:10" x14ac:dyDescent="0.3">
      <c r="I16" s="6" t="s">
        <v>348</v>
      </c>
    </row>
    <row r="17" spans="9:9" x14ac:dyDescent="0.3">
      <c r="I17" s="6" t="s">
        <v>349</v>
      </c>
    </row>
    <row r="18" spans="9:9" x14ac:dyDescent="0.3">
      <c r="I18" s="6" t="s">
        <v>350</v>
      </c>
    </row>
    <row r="19" spans="9:9" x14ac:dyDescent="0.3">
      <c r="I19" s="6" t="s">
        <v>351</v>
      </c>
    </row>
    <row r="20" spans="9:9" x14ac:dyDescent="0.3">
      <c r="I20" s="6" t="s">
        <v>352</v>
      </c>
    </row>
    <row r="21" spans="9:9" x14ac:dyDescent="0.3">
      <c r="I21" s="6" t="s">
        <v>353</v>
      </c>
    </row>
    <row r="22" spans="9:9" x14ac:dyDescent="0.3">
      <c r="I22" s="6" t="s">
        <v>354</v>
      </c>
    </row>
    <row r="23" spans="9:9" x14ac:dyDescent="0.3">
      <c r="I23" s="6" t="s">
        <v>355</v>
      </c>
    </row>
    <row r="24" spans="9:9" x14ac:dyDescent="0.3">
      <c r="I24" s="6" t="s">
        <v>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357</v>
      </c>
      <c r="B1" s="8" t="s">
        <v>358</v>
      </c>
      <c r="C1" s="8" t="s">
        <v>359</v>
      </c>
      <c r="D1" s="8" t="s">
        <v>360</v>
      </c>
      <c r="E1" s="8" t="s">
        <v>361</v>
      </c>
      <c r="F1" s="8" t="s">
        <v>362</v>
      </c>
      <c r="G1" s="8" t="s">
        <v>363</v>
      </c>
      <c r="H1" s="8" t="s">
        <v>364</v>
      </c>
      <c r="I1" s="8" t="s">
        <v>365</v>
      </c>
    </row>
    <row r="2" spans="1:9" x14ac:dyDescent="0.3">
      <c r="A2" s="22" t="s">
        <v>28</v>
      </c>
      <c r="B2" s="22" t="s">
        <v>366</v>
      </c>
      <c r="C2" s="22" t="s">
        <v>62</v>
      </c>
      <c r="D2" s="22" t="s">
        <v>367</v>
      </c>
      <c r="E2" s="22" t="s">
        <v>368</v>
      </c>
      <c r="F2" s="22" t="s">
        <v>369</v>
      </c>
      <c r="G2" s="22"/>
      <c r="H2" s="22" t="s">
        <v>332</v>
      </c>
      <c r="I2" s="22" t="s">
        <v>370</v>
      </c>
    </row>
    <row r="3" spans="1:9" x14ac:dyDescent="0.3">
      <c r="A3" s="22" t="s">
        <v>28</v>
      </c>
      <c r="B3" s="22" t="s">
        <v>366</v>
      </c>
      <c r="C3" s="22" t="s">
        <v>63</v>
      </c>
      <c r="D3" s="22" t="s">
        <v>367</v>
      </c>
      <c r="E3" s="22" t="s">
        <v>368</v>
      </c>
      <c r="F3" s="22" t="s">
        <v>371</v>
      </c>
      <c r="G3" s="22"/>
      <c r="H3" s="22" t="s">
        <v>332</v>
      </c>
      <c r="I3" s="22"/>
    </row>
    <row r="4" spans="1:9" x14ac:dyDescent="0.3">
      <c r="A4" s="22" t="s">
        <v>28</v>
      </c>
      <c r="B4" s="22" t="s">
        <v>366</v>
      </c>
      <c r="C4" s="22" t="s">
        <v>64</v>
      </c>
      <c r="D4" s="22" t="s">
        <v>372</v>
      </c>
      <c r="E4" s="22" t="s">
        <v>373</v>
      </c>
      <c r="F4" s="22" t="s">
        <v>374</v>
      </c>
      <c r="G4" s="22"/>
      <c r="H4" s="22" t="s">
        <v>332</v>
      </c>
      <c r="I4" s="22"/>
    </row>
    <row r="5" spans="1:9" x14ac:dyDescent="0.3">
      <c r="A5" s="22" t="s">
        <v>30</v>
      </c>
      <c r="B5" s="22" t="s">
        <v>375</v>
      </c>
      <c r="C5" s="22" t="s">
        <v>79</v>
      </c>
      <c r="D5" s="22" t="s">
        <v>367</v>
      </c>
      <c r="E5" s="22" t="s">
        <v>368</v>
      </c>
      <c r="F5" s="22" t="s">
        <v>376</v>
      </c>
      <c r="G5" s="22"/>
      <c r="H5" s="22" t="s">
        <v>332</v>
      </c>
      <c r="I5" s="22" t="s">
        <v>370</v>
      </c>
    </row>
    <row r="6" spans="1:9" x14ac:dyDescent="0.3">
      <c r="A6" s="22" t="s">
        <v>30</v>
      </c>
      <c r="B6" s="22" t="s">
        <v>375</v>
      </c>
      <c r="C6" s="22" t="s">
        <v>80</v>
      </c>
      <c r="D6" s="22" t="s">
        <v>367</v>
      </c>
      <c r="E6" s="22" t="s">
        <v>368</v>
      </c>
      <c r="F6" s="22" t="s">
        <v>377</v>
      </c>
      <c r="G6" s="22"/>
      <c r="H6" s="22" t="s">
        <v>332</v>
      </c>
      <c r="I6" s="22"/>
    </row>
    <row r="7" spans="1:9" x14ac:dyDescent="0.3">
      <c r="A7" s="22" t="s">
        <v>30</v>
      </c>
      <c r="B7" s="22" t="s">
        <v>375</v>
      </c>
      <c r="C7" s="22" t="s">
        <v>81</v>
      </c>
      <c r="D7" s="22" t="s">
        <v>367</v>
      </c>
      <c r="E7" s="22" t="s">
        <v>368</v>
      </c>
      <c r="F7" s="22" t="s">
        <v>378</v>
      </c>
      <c r="G7" s="22"/>
      <c r="H7" s="22" t="s">
        <v>332</v>
      </c>
      <c r="I7" s="22"/>
    </row>
    <row r="8" spans="1:9" x14ac:dyDescent="0.3">
      <c r="A8" s="22" t="s">
        <v>30</v>
      </c>
      <c r="B8" s="22" t="s">
        <v>375</v>
      </c>
      <c r="C8" s="22" t="s">
        <v>82</v>
      </c>
      <c r="D8" s="22" t="s">
        <v>367</v>
      </c>
      <c r="E8" s="22" t="s">
        <v>368</v>
      </c>
      <c r="F8" s="22" t="s">
        <v>379</v>
      </c>
      <c r="G8" s="22"/>
      <c r="H8" s="22" t="s">
        <v>332</v>
      </c>
      <c r="I8" s="22"/>
    </row>
    <row r="9" spans="1:9" x14ac:dyDescent="0.3">
      <c r="A9" s="22" t="s">
        <v>30</v>
      </c>
      <c r="B9" s="22" t="s">
        <v>375</v>
      </c>
      <c r="C9" s="22" t="s">
        <v>83</v>
      </c>
      <c r="D9" s="22" t="s">
        <v>367</v>
      </c>
      <c r="E9" s="22" t="s">
        <v>368</v>
      </c>
      <c r="F9" s="22" t="s">
        <v>380</v>
      </c>
      <c r="G9" s="22" t="s">
        <v>381</v>
      </c>
      <c r="H9" s="22" t="s">
        <v>332</v>
      </c>
      <c r="I9" s="22"/>
    </row>
    <row r="10" spans="1:9" x14ac:dyDescent="0.3">
      <c r="A10" s="22" t="s">
        <v>30</v>
      </c>
      <c r="B10" s="22" t="s">
        <v>375</v>
      </c>
      <c r="C10" s="22" t="s">
        <v>84</v>
      </c>
      <c r="D10" s="22" t="s">
        <v>367</v>
      </c>
      <c r="E10" s="22" t="s">
        <v>368</v>
      </c>
      <c r="F10" s="22" t="s">
        <v>382</v>
      </c>
      <c r="G10" s="22" t="s">
        <v>383</v>
      </c>
      <c r="H10" s="22" t="s">
        <v>332</v>
      </c>
      <c r="I10" s="22"/>
    </row>
    <row r="11" spans="1:9" x14ac:dyDescent="0.3">
      <c r="A11" s="22" t="s">
        <v>30</v>
      </c>
      <c r="B11" s="22" t="s">
        <v>375</v>
      </c>
      <c r="C11" s="22" t="s">
        <v>85</v>
      </c>
      <c r="D11" s="22" t="s">
        <v>367</v>
      </c>
      <c r="E11" s="22" t="s">
        <v>368</v>
      </c>
      <c r="F11" s="22" t="s">
        <v>384</v>
      </c>
      <c r="G11" s="22" t="s">
        <v>385</v>
      </c>
      <c r="H11" s="22" t="s">
        <v>332</v>
      </c>
      <c r="I11" s="22"/>
    </row>
    <row r="12" spans="1:9" x14ac:dyDescent="0.3">
      <c r="A12" s="22" t="s">
        <v>30</v>
      </c>
      <c r="B12" s="22" t="s">
        <v>375</v>
      </c>
      <c r="C12" s="22" t="s">
        <v>86</v>
      </c>
      <c r="D12" s="22" t="s">
        <v>367</v>
      </c>
      <c r="E12" s="22" t="s">
        <v>368</v>
      </c>
      <c r="F12" s="22" t="s">
        <v>386</v>
      </c>
      <c r="G12" s="22"/>
      <c r="H12" s="22" t="s">
        <v>332</v>
      </c>
      <c r="I12" s="22"/>
    </row>
    <row r="13" spans="1:9" x14ac:dyDescent="0.3">
      <c r="A13" s="22" t="s">
        <v>30</v>
      </c>
      <c r="B13" s="22" t="s">
        <v>375</v>
      </c>
      <c r="C13" s="22" t="s">
        <v>87</v>
      </c>
      <c r="D13" s="22" t="s">
        <v>367</v>
      </c>
      <c r="E13" s="22" t="s">
        <v>368</v>
      </c>
      <c r="F13" s="22" t="s">
        <v>387</v>
      </c>
      <c r="G13" s="22" t="s">
        <v>388</v>
      </c>
      <c r="H13" s="22" t="s">
        <v>332</v>
      </c>
      <c r="I13" s="22"/>
    </row>
    <row r="14" spans="1:9" x14ac:dyDescent="0.3">
      <c r="A14" s="22" t="s">
        <v>30</v>
      </c>
      <c r="B14" s="22" t="s">
        <v>375</v>
      </c>
      <c r="C14" s="22" t="s">
        <v>88</v>
      </c>
      <c r="D14" s="22" t="s">
        <v>389</v>
      </c>
      <c r="E14" s="22" t="s">
        <v>368</v>
      </c>
      <c r="F14" s="22" t="s">
        <v>390</v>
      </c>
      <c r="G14" s="22"/>
      <c r="H14" s="22" t="s">
        <v>335</v>
      </c>
      <c r="I14" s="22"/>
    </row>
    <row r="15" spans="1:9" ht="26.4" x14ac:dyDescent="0.3">
      <c r="A15" s="22" t="s">
        <v>30</v>
      </c>
      <c r="B15" s="22" t="s">
        <v>375</v>
      </c>
      <c r="C15" s="22" t="s">
        <v>89</v>
      </c>
      <c r="D15" s="22" t="s">
        <v>367</v>
      </c>
      <c r="E15" s="22" t="s">
        <v>368</v>
      </c>
      <c r="F15" s="22" t="s">
        <v>391</v>
      </c>
      <c r="G15" s="22"/>
      <c r="H15" s="22" t="s">
        <v>335</v>
      </c>
      <c r="I15" s="22" t="s">
        <v>392</v>
      </c>
    </row>
    <row r="16" spans="1:9" ht="26.4" x14ac:dyDescent="0.3">
      <c r="A16" s="22" t="s">
        <v>30</v>
      </c>
      <c r="B16" s="22" t="s">
        <v>375</v>
      </c>
      <c r="C16" s="22" t="s">
        <v>90</v>
      </c>
      <c r="D16" s="22" t="s">
        <v>367</v>
      </c>
      <c r="E16" s="22" t="s">
        <v>368</v>
      </c>
      <c r="F16" s="22" t="s">
        <v>393</v>
      </c>
      <c r="G16" s="22"/>
      <c r="H16" s="22" t="s">
        <v>335</v>
      </c>
      <c r="I16" s="22" t="s">
        <v>394</v>
      </c>
    </row>
    <row r="17" spans="1:9" x14ac:dyDescent="0.3">
      <c r="A17" s="22" t="s">
        <v>32</v>
      </c>
      <c r="B17" s="22" t="s">
        <v>395</v>
      </c>
      <c r="C17" s="22" t="s">
        <v>89</v>
      </c>
      <c r="D17" s="22" t="s">
        <v>367</v>
      </c>
      <c r="E17" s="22" t="s">
        <v>368</v>
      </c>
      <c r="F17" s="22" t="s">
        <v>396</v>
      </c>
      <c r="G17" s="22"/>
      <c r="H17" s="22" t="s">
        <v>332</v>
      </c>
      <c r="I17" s="22" t="s">
        <v>370</v>
      </c>
    </row>
    <row r="18" spans="1:9" ht="26.4" x14ac:dyDescent="0.3">
      <c r="A18" s="22" t="s">
        <v>32</v>
      </c>
      <c r="B18" s="22" t="s">
        <v>395</v>
      </c>
      <c r="C18" s="22" t="s">
        <v>62</v>
      </c>
      <c r="D18" s="22" t="s">
        <v>367</v>
      </c>
      <c r="E18" s="22" t="s">
        <v>368</v>
      </c>
      <c r="F18" s="22" t="s">
        <v>397</v>
      </c>
      <c r="G18" s="22" t="s">
        <v>398</v>
      </c>
      <c r="H18" s="22" t="s">
        <v>332</v>
      </c>
      <c r="I18" s="22" t="s">
        <v>399</v>
      </c>
    </row>
    <row r="19" spans="1:9" x14ac:dyDescent="0.3">
      <c r="A19" s="22" t="s">
        <v>32</v>
      </c>
      <c r="B19" s="22" t="s">
        <v>395</v>
      </c>
      <c r="C19" s="22" t="s">
        <v>213</v>
      </c>
      <c r="D19" s="22" t="s">
        <v>367</v>
      </c>
      <c r="E19" s="22" t="s">
        <v>368</v>
      </c>
      <c r="F19" s="22" t="s">
        <v>400</v>
      </c>
      <c r="G19" s="22" t="s">
        <v>401</v>
      </c>
      <c r="H19" s="22" t="s">
        <v>332</v>
      </c>
      <c r="I19" s="22"/>
    </row>
    <row r="20" spans="1:9" ht="39.6" x14ac:dyDescent="0.3">
      <c r="A20" s="22" t="s">
        <v>32</v>
      </c>
      <c r="B20" s="22" t="s">
        <v>395</v>
      </c>
      <c r="C20" s="22" t="s">
        <v>214</v>
      </c>
      <c r="D20" s="22" t="s">
        <v>367</v>
      </c>
      <c r="E20" s="22" t="s">
        <v>368</v>
      </c>
      <c r="F20" s="22" t="s">
        <v>402</v>
      </c>
      <c r="G20" s="22"/>
      <c r="H20" s="22" t="s">
        <v>332</v>
      </c>
      <c r="I20" s="22" t="s">
        <v>403</v>
      </c>
    </row>
    <row r="21" spans="1:9" ht="26.4" x14ac:dyDescent="0.3">
      <c r="A21" s="22" t="s">
        <v>32</v>
      </c>
      <c r="B21" s="22" t="s">
        <v>395</v>
      </c>
      <c r="C21" s="22" t="s">
        <v>215</v>
      </c>
      <c r="D21" s="22" t="s">
        <v>367</v>
      </c>
      <c r="E21" s="22" t="s">
        <v>368</v>
      </c>
      <c r="F21" s="22" t="s">
        <v>404</v>
      </c>
      <c r="G21" s="22"/>
      <c r="H21" s="22" t="s">
        <v>332</v>
      </c>
      <c r="I21" s="22"/>
    </row>
    <row r="22" spans="1:9" x14ac:dyDescent="0.3">
      <c r="A22" s="22" t="s">
        <v>32</v>
      </c>
      <c r="B22" s="22" t="s">
        <v>395</v>
      </c>
      <c r="C22" s="22" t="s">
        <v>216</v>
      </c>
      <c r="D22" s="22" t="s">
        <v>367</v>
      </c>
      <c r="E22" s="22" t="s">
        <v>368</v>
      </c>
      <c r="F22" s="22" t="s">
        <v>405</v>
      </c>
      <c r="G22" s="22"/>
      <c r="H22" s="22" t="s">
        <v>332</v>
      </c>
      <c r="I22" s="22"/>
    </row>
    <row r="23" spans="1:9" x14ac:dyDescent="0.3">
      <c r="A23" s="22" t="s">
        <v>32</v>
      </c>
      <c r="B23" s="22" t="s">
        <v>395</v>
      </c>
      <c r="C23" s="22" t="s">
        <v>79</v>
      </c>
      <c r="D23" s="22" t="s">
        <v>367</v>
      </c>
      <c r="E23" s="22" t="s">
        <v>368</v>
      </c>
      <c r="F23" s="22" t="s">
        <v>406</v>
      </c>
      <c r="G23" s="22"/>
      <c r="H23" s="22" t="s">
        <v>332</v>
      </c>
      <c r="I23" s="22" t="s">
        <v>407</v>
      </c>
    </row>
    <row r="24" spans="1:9" x14ac:dyDescent="0.3">
      <c r="A24" s="22" t="s">
        <v>32</v>
      </c>
      <c r="B24" s="22" t="s">
        <v>395</v>
      </c>
      <c r="C24" s="22" t="s">
        <v>217</v>
      </c>
      <c r="D24" s="22" t="s">
        <v>367</v>
      </c>
      <c r="E24" s="22" t="s">
        <v>373</v>
      </c>
      <c r="F24" s="22" t="s">
        <v>408</v>
      </c>
      <c r="G24" s="22"/>
      <c r="H24" s="22" t="s">
        <v>332</v>
      </c>
      <c r="I24" s="22"/>
    </row>
    <row r="25" spans="1:9" x14ac:dyDescent="0.3">
      <c r="A25" s="22" t="s">
        <v>32</v>
      </c>
      <c r="B25" s="22" t="s">
        <v>395</v>
      </c>
      <c r="C25" s="22" t="s">
        <v>88</v>
      </c>
      <c r="D25" s="22" t="s">
        <v>389</v>
      </c>
      <c r="E25" s="22" t="s">
        <v>373</v>
      </c>
      <c r="F25" s="22" t="s">
        <v>409</v>
      </c>
      <c r="G25" s="22"/>
      <c r="H25" s="22" t="s">
        <v>332</v>
      </c>
      <c r="I25" s="22"/>
    </row>
    <row r="26" spans="1:9" x14ac:dyDescent="0.3">
      <c r="A26" s="22" t="s">
        <v>32</v>
      </c>
      <c r="B26" s="22" t="s">
        <v>395</v>
      </c>
      <c r="C26" s="22" t="s">
        <v>218</v>
      </c>
      <c r="D26" s="22" t="s">
        <v>367</v>
      </c>
      <c r="E26" s="22" t="s">
        <v>368</v>
      </c>
      <c r="F26" s="22" t="s">
        <v>410</v>
      </c>
      <c r="G26" s="22" t="s">
        <v>411</v>
      </c>
      <c r="H26" s="22" t="s">
        <v>332</v>
      </c>
      <c r="I26" s="22"/>
    </row>
    <row r="27" spans="1:9" ht="26.4" x14ac:dyDescent="0.3">
      <c r="A27" s="22" t="s">
        <v>32</v>
      </c>
      <c r="B27" s="22" t="s">
        <v>395</v>
      </c>
      <c r="C27" s="22" t="s">
        <v>219</v>
      </c>
      <c r="D27" s="22" t="s">
        <v>412</v>
      </c>
      <c r="E27" s="22" t="s">
        <v>368</v>
      </c>
      <c r="F27" s="22" t="s">
        <v>413</v>
      </c>
      <c r="G27" s="22"/>
      <c r="H27" s="22" t="s">
        <v>332</v>
      </c>
      <c r="I27" s="22"/>
    </row>
    <row r="28" spans="1:9" x14ac:dyDescent="0.3">
      <c r="A28" s="22" t="s">
        <v>32</v>
      </c>
      <c r="B28" s="22" t="s">
        <v>395</v>
      </c>
      <c r="C28" s="22" t="s">
        <v>220</v>
      </c>
      <c r="D28" s="22" t="s">
        <v>389</v>
      </c>
      <c r="E28" s="22" t="s">
        <v>373</v>
      </c>
      <c r="F28" s="22" t="s">
        <v>414</v>
      </c>
      <c r="G28" s="22"/>
      <c r="H28" s="22" t="s">
        <v>332</v>
      </c>
      <c r="I28" s="22"/>
    </row>
    <row r="29" spans="1:9" ht="26.4" x14ac:dyDescent="0.3">
      <c r="A29" s="22" t="s">
        <v>32</v>
      </c>
      <c r="B29" s="22" t="s">
        <v>395</v>
      </c>
      <c r="C29" s="22" t="s">
        <v>221</v>
      </c>
      <c r="D29" s="22" t="s">
        <v>415</v>
      </c>
      <c r="E29" s="22" t="s">
        <v>368</v>
      </c>
      <c r="F29" s="22" t="s">
        <v>416</v>
      </c>
      <c r="G29" s="22"/>
      <c r="H29" s="22" t="s">
        <v>332</v>
      </c>
      <c r="I29" s="22"/>
    </row>
    <row r="30" spans="1:9" x14ac:dyDescent="0.3">
      <c r="A30" s="22" t="s">
        <v>32</v>
      </c>
      <c r="B30" s="22" t="s">
        <v>395</v>
      </c>
      <c r="C30" s="22" t="s">
        <v>222</v>
      </c>
      <c r="D30" s="22" t="s">
        <v>367</v>
      </c>
      <c r="E30" s="22" t="s">
        <v>368</v>
      </c>
      <c r="F30" s="22" t="s">
        <v>417</v>
      </c>
      <c r="G30" s="22"/>
      <c r="H30" s="22" t="s">
        <v>332</v>
      </c>
      <c r="I30" s="22"/>
    </row>
    <row r="31" spans="1:9" x14ac:dyDescent="0.3">
      <c r="A31" s="22" t="s">
        <v>32</v>
      </c>
      <c r="B31" s="22" t="s">
        <v>395</v>
      </c>
      <c r="C31" s="22" t="s">
        <v>223</v>
      </c>
      <c r="D31" s="22" t="s">
        <v>367</v>
      </c>
      <c r="E31" s="22" t="s">
        <v>368</v>
      </c>
      <c r="F31" s="22" t="s">
        <v>418</v>
      </c>
      <c r="G31" s="22"/>
      <c r="H31" s="22" t="s">
        <v>332</v>
      </c>
      <c r="I31" s="22"/>
    </row>
    <row r="32" spans="1:9" x14ac:dyDescent="0.3">
      <c r="A32" s="22" t="s">
        <v>32</v>
      </c>
      <c r="B32" s="22" t="s">
        <v>395</v>
      </c>
      <c r="C32" s="22" t="s">
        <v>224</v>
      </c>
      <c r="D32" s="22" t="s">
        <v>419</v>
      </c>
      <c r="E32" s="22" t="s">
        <v>368</v>
      </c>
      <c r="F32" s="22" t="s">
        <v>420</v>
      </c>
      <c r="G32" s="22"/>
      <c r="H32" s="22" t="s">
        <v>332</v>
      </c>
      <c r="I32" s="22"/>
    </row>
    <row r="33" spans="1:9" x14ac:dyDescent="0.3">
      <c r="A33" s="22" t="s">
        <v>32</v>
      </c>
      <c r="B33" s="22" t="s">
        <v>395</v>
      </c>
      <c r="C33" s="22" t="s">
        <v>87</v>
      </c>
      <c r="D33" s="22" t="s">
        <v>367</v>
      </c>
      <c r="E33" s="22" t="s">
        <v>368</v>
      </c>
      <c r="F33" s="22" t="s">
        <v>421</v>
      </c>
      <c r="G33" s="22" t="s">
        <v>388</v>
      </c>
      <c r="H33" s="22" t="s">
        <v>332</v>
      </c>
      <c r="I33" s="22"/>
    </row>
    <row r="34" spans="1:9" ht="26.4" x14ac:dyDescent="0.3">
      <c r="A34" s="22" t="s">
        <v>32</v>
      </c>
      <c r="B34" s="22" t="s">
        <v>395</v>
      </c>
      <c r="C34" s="22" t="s">
        <v>225</v>
      </c>
      <c r="D34" s="22" t="s">
        <v>367</v>
      </c>
      <c r="E34" s="22" t="s">
        <v>368</v>
      </c>
      <c r="F34" s="22" t="s">
        <v>422</v>
      </c>
      <c r="G34" s="22"/>
      <c r="H34" s="22" t="s">
        <v>332</v>
      </c>
      <c r="I34" s="22" t="s">
        <v>423</v>
      </c>
    </row>
    <row r="35" spans="1:9" x14ac:dyDescent="0.3">
      <c r="A35" s="22" t="s">
        <v>32</v>
      </c>
      <c r="B35" s="22" t="s">
        <v>395</v>
      </c>
      <c r="C35" s="22" t="s">
        <v>14</v>
      </c>
      <c r="D35" s="22" t="s">
        <v>367</v>
      </c>
      <c r="E35" s="22" t="s">
        <v>368</v>
      </c>
      <c r="F35" s="22" t="s">
        <v>424</v>
      </c>
      <c r="G35" s="22" t="s">
        <v>425</v>
      </c>
      <c r="H35" s="22" t="s">
        <v>332</v>
      </c>
      <c r="I35" s="22"/>
    </row>
    <row r="36" spans="1:9" ht="26.4" x14ac:dyDescent="0.3">
      <c r="A36" s="22" t="s">
        <v>32</v>
      </c>
      <c r="B36" s="22" t="s">
        <v>395</v>
      </c>
      <c r="C36" s="22" t="s">
        <v>226</v>
      </c>
      <c r="D36" s="22" t="s">
        <v>389</v>
      </c>
      <c r="E36" s="22" t="s">
        <v>368</v>
      </c>
      <c r="F36" s="22" t="s">
        <v>426</v>
      </c>
      <c r="G36" s="22"/>
      <c r="H36" s="22" t="s">
        <v>335</v>
      </c>
      <c r="I36" s="22"/>
    </row>
    <row r="37" spans="1:9" ht="26.4" x14ac:dyDescent="0.3">
      <c r="A37" s="22" t="s">
        <v>32</v>
      </c>
      <c r="B37" s="22" t="s">
        <v>395</v>
      </c>
      <c r="C37" s="22" t="s">
        <v>227</v>
      </c>
      <c r="D37" s="22" t="s">
        <v>412</v>
      </c>
      <c r="E37" s="22" t="s">
        <v>373</v>
      </c>
      <c r="F37" s="22" t="s">
        <v>427</v>
      </c>
      <c r="G37" s="22"/>
      <c r="H37" s="22" t="s">
        <v>332</v>
      </c>
      <c r="I37" s="22"/>
    </row>
    <row r="38" spans="1:9" x14ac:dyDescent="0.3">
      <c r="A38" s="22" t="s">
        <v>32</v>
      </c>
      <c r="B38" s="22" t="s">
        <v>395</v>
      </c>
      <c r="C38" s="22" t="s">
        <v>228</v>
      </c>
      <c r="D38" s="22" t="s">
        <v>372</v>
      </c>
      <c r="E38" s="22" t="s">
        <v>373</v>
      </c>
      <c r="F38" s="22" t="s">
        <v>428</v>
      </c>
      <c r="G38" s="22"/>
      <c r="H38" s="22" t="s">
        <v>332</v>
      </c>
      <c r="I38" s="22"/>
    </row>
    <row r="39" spans="1:9" x14ac:dyDescent="0.3">
      <c r="A39" s="22" t="s">
        <v>32</v>
      </c>
      <c r="B39" s="22" t="s">
        <v>395</v>
      </c>
      <c r="C39" s="22" t="s">
        <v>229</v>
      </c>
      <c r="D39" s="22" t="s">
        <v>367</v>
      </c>
      <c r="E39" s="22" t="s">
        <v>373</v>
      </c>
      <c r="F39" s="22" t="s">
        <v>429</v>
      </c>
      <c r="G39" s="22"/>
      <c r="H39" s="22" t="s">
        <v>332</v>
      </c>
      <c r="I39" s="22"/>
    </row>
    <row r="40" spans="1:9" x14ac:dyDescent="0.3">
      <c r="A40" s="22" t="s">
        <v>32</v>
      </c>
      <c r="B40" s="22" t="s">
        <v>395</v>
      </c>
      <c r="C40" s="22" t="s">
        <v>230</v>
      </c>
      <c r="D40" s="22" t="s">
        <v>367</v>
      </c>
      <c r="E40" s="22" t="s">
        <v>373</v>
      </c>
      <c r="F40" s="22" t="s">
        <v>430</v>
      </c>
      <c r="G40" s="22"/>
      <c r="H40" s="22" t="s">
        <v>332</v>
      </c>
      <c r="I40" s="22"/>
    </row>
    <row r="41" spans="1:9" x14ac:dyDescent="0.3">
      <c r="A41" s="22" t="s">
        <v>32</v>
      </c>
      <c r="B41" s="22" t="s">
        <v>395</v>
      </c>
      <c r="C41" s="22" t="s">
        <v>231</v>
      </c>
      <c r="D41" s="22" t="s">
        <v>367</v>
      </c>
      <c r="E41" s="22" t="s">
        <v>373</v>
      </c>
      <c r="F41" s="22" t="s">
        <v>431</v>
      </c>
      <c r="G41" s="22"/>
      <c r="H41" s="22" t="s">
        <v>332</v>
      </c>
      <c r="I41" s="22"/>
    </row>
    <row r="42" spans="1:9" x14ac:dyDescent="0.3">
      <c r="A42" s="22" t="s">
        <v>32</v>
      </c>
      <c r="B42" s="22" t="s">
        <v>395</v>
      </c>
      <c r="C42" s="22" t="s">
        <v>232</v>
      </c>
      <c r="D42" s="22" t="s">
        <v>367</v>
      </c>
      <c r="E42" s="22" t="s">
        <v>373</v>
      </c>
      <c r="F42" s="22" t="s">
        <v>432</v>
      </c>
      <c r="G42" s="22"/>
      <c r="H42" s="22" t="s">
        <v>332</v>
      </c>
      <c r="I42" s="22"/>
    </row>
    <row r="43" spans="1:9" x14ac:dyDescent="0.3">
      <c r="A43" s="22" t="s">
        <v>32</v>
      </c>
      <c r="B43" s="22" t="s">
        <v>395</v>
      </c>
      <c r="C43" s="22" t="s">
        <v>233</v>
      </c>
      <c r="D43" s="22" t="s">
        <v>367</v>
      </c>
      <c r="E43" s="22" t="s">
        <v>373</v>
      </c>
      <c r="F43" s="22" t="s">
        <v>433</v>
      </c>
      <c r="G43" s="22"/>
      <c r="H43" s="22" t="s">
        <v>332</v>
      </c>
      <c r="I43" s="22"/>
    </row>
    <row r="44" spans="1:9" x14ac:dyDescent="0.3">
      <c r="A44" s="22" t="s">
        <v>32</v>
      </c>
      <c r="B44" s="22" t="s">
        <v>395</v>
      </c>
      <c r="C44" s="22" t="s">
        <v>234</v>
      </c>
      <c r="D44" s="22" t="s">
        <v>367</v>
      </c>
      <c r="E44" s="22" t="s">
        <v>373</v>
      </c>
      <c r="F44" s="22" t="s">
        <v>434</v>
      </c>
      <c r="G44" s="22"/>
      <c r="H44" s="22" t="s">
        <v>332</v>
      </c>
      <c r="I44" s="22"/>
    </row>
    <row r="45" spans="1:9" ht="26.4" x14ac:dyDescent="0.3">
      <c r="A45" s="22" t="s">
        <v>32</v>
      </c>
      <c r="B45" s="22" t="s">
        <v>395</v>
      </c>
      <c r="C45" s="22" t="s">
        <v>235</v>
      </c>
      <c r="D45" s="22" t="s">
        <v>415</v>
      </c>
      <c r="E45" s="22" t="s">
        <v>368</v>
      </c>
      <c r="F45" s="22" t="s">
        <v>435</v>
      </c>
      <c r="G45" s="22"/>
      <c r="H45" s="22" t="s">
        <v>332</v>
      </c>
      <c r="I45" s="22"/>
    </row>
    <row r="46" spans="1:9" ht="26.4" x14ac:dyDescent="0.3">
      <c r="A46" s="22" t="s">
        <v>34</v>
      </c>
      <c r="B46" s="22" t="s">
        <v>436</v>
      </c>
      <c r="C46" s="22" t="s">
        <v>89</v>
      </c>
      <c r="D46" s="22" t="s">
        <v>367</v>
      </c>
      <c r="E46" s="22" t="s">
        <v>368</v>
      </c>
      <c r="F46" s="22" t="s">
        <v>437</v>
      </c>
      <c r="G46" s="22"/>
      <c r="H46" s="22" t="s">
        <v>332</v>
      </c>
      <c r="I46" s="22" t="s">
        <v>392</v>
      </c>
    </row>
    <row r="47" spans="1:9" ht="26.4" x14ac:dyDescent="0.3">
      <c r="A47" s="22" t="s">
        <v>34</v>
      </c>
      <c r="B47" s="22" t="s">
        <v>436</v>
      </c>
      <c r="C47" s="22" t="s">
        <v>79</v>
      </c>
      <c r="D47" s="22" t="s">
        <v>367</v>
      </c>
      <c r="E47" s="22" t="s">
        <v>368</v>
      </c>
      <c r="F47" s="22" t="s">
        <v>438</v>
      </c>
      <c r="G47" s="22"/>
      <c r="H47" s="22" t="s">
        <v>332</v>
      </c>
      <c r="I47" s="22" t="s">
        <v>407</v>
      </c>
    </row>
    <row r="48" spans="1:9" ht="26.4" x14ac:dyDescent="0.3">
      <c r="A48" s="22" t="s">
        <v>34</v>
      </c>
      <c r="B48" s="22" t="s">
        <v>436</v>
      </c>
      <c r="C48" s="22" t="s">
        <v>287</v>
      </c>
      <c r="D48" s="22" t="s">
        <v>415</v>
      </c>
      <c r="E48" s="22" t="s">
        <v>368</v>
      </c>
      <c r="F48" s="22" t="s">
        <v>439</v>
      </c>
      <c r="G48" s="22"/>
      <c r="H48" s="22" t="s">
        <v>332</v>
      </c>
      <c r="I48" s="22"/>
    </row>
    <row r="49" spans="1:9" ht="26.4" x14ac:dyDescent="0.3">
      <c r="A49" s="22" t="s">
        <v>34</v>
      </c>
      <c r="B49" s="22" t="s">
        <v>436</v>
      </c>
      <c r="C49" s="22" t="s">
        <v>288</v>
      </c>
      <c r="D49" s="22" t="s">
        <v>389</v>
      </c>
      <c r="E49" s="22" t="s">
        <v>368</v>
      </c>
      <c r="F49" s="22" t="s">
        <v>440</v>
      </c>
      <c r="G49" s="22"/>
      <c r="H49" s="22" t="s">
        <v>332</v>
      </c>
      <c r="I49" s="22"/>
    </row>
    <row r="50" spans="1:9" ht="26.4" x14ac:dyDescent="0.3">
      <c r="A50" s="22" t="s">
        <v>34</v>
      </c>
      <c r="B50" s="22" t="s">
        <v>436</v>
      </c>
      <c r="C50" s="22" t="s">
        <v>88</v>
      </c>
      <c r="D50" s="22" t="s">
        <v>389</v>
      </c>
      <c r="E50" s="22" t="s">
        <v>368</v>
      </c>
      <c r="F50" s="22" t="s">
        <v>441</v>
      </c>
      <c r="G50" s="22"/>
      <c r="H50" s="22" t="s">
        <v>332</v>
      </c>
      <c r="I50" s="22"/>
    </row>
    <row r="51" spans="1:9" ht="26.4" x14ac:dyDescent="0.3">
      <c r="A51" s="22" t="s">
        <v>34</v>
      </c>
      <c r="B51" s="22" t="s">
        <v>436</v>
      </c>
      <c r="C51" s="22" t="s">
        <v>289</v>
      </c>
      <c r="D51" s="22" t="s">
        <v>389</v>
      </c>
      <c r="E51" s="22" t="s">
        <v>368</v>
      </c>
      <c r="F51" s="22" t="s">
        <v>442</v>
      </c>
      <c r="G51" s="22"/>
      <c r="H51" s="22" t="s">
        <v>332</v>
      </c>
      <c r="I51" s="22"/>
    </row>
    <row r="52" spans="1:9" ht="26.4" x14ac:dyDescent="0.3">
      <c r="A52" s="22" t="s">
        <v>34</v>
      </c>
      <c r="B52" s="22" t="s">
        <v>436</v>
      </c>
      <c r="C52" s="22" t="s">
        <v>290</v>
      </c>
      <c r="D52" s="22" t="s">
        <v>412</v>
      </c>
      <c r="E52" s="22" t="s">
        <v>373</v>
      </c>
      <c r="F52" s="22" t="s">
        <v>443</v>
      </c>
      <c r="G52" s="22"/>
      <c r="H52" s="22" t="s">
        <v>332</v>
      </c>
      <c r="I52" s="22"/>
    </row>
    <row r="53" spans="1:9" ht="26.4" x14ac:dyDescent="0.3">
      <c r="A53" s="22" t="s">
        <v>34</v>
      </c>
      <c r="B53" s="22" t="s">
        <v>436</v>
      </c>
      <c r="C53" s="22" t="s">
        <v>291</v>
      </c>
      <c r="D53" s="22" t="s">
        <v>389</v>
      </c>
      <c r="E53" s="22" t="s">
        <v>373</v>
      </c>
      <c r="F53" s="22" t="s">
        <v>444</v>
      </c>
      <c r="G53" s="22"/>
      <c r="H53" s="22" t="s">
        <v>332</v>
      </c>
      <c r="I53" s="22"/>
    </row>
    <row r="54" spans="1:9" ht="26.4" x14ac:dyDescent="0.3">
      <c r="A54" s="22" t="s">
        <v>34</v>
      </c>
      <c r="B54" s="22" t="s">
        <v>436</v>
      </c>
      <c r="C54" s="22" t="s">
        <v>292</v>
      </c>
      <c r="D54" s="22" t="s">
        <v>367</v>
      </c>
      <c r="E54" s="22" t="s">
        <v>373</v>
      </c>
      <c r="F54" s="22" t="s">
        <v>445</v>
      </c>
      <c r="G54" s="22"/>
      <c r="H54" s="22" t="s">
        <v>332</v>
      </c>
      <c r="I54" s="2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15</vt:i4>
      </vt:variant>
    </vt:vector>
  </HeadingPairs>
  <TitlesOfParts>
    <vt:vector size="23" baseType="lpstr">
      <vt:lpstr>00_LEIA-ME</vt:lpstr>
      <vt:lpstr>Politica</vt:lpstr>
      <vt:lpstr>Catalogo_KPI</vt:lpstr>
      <vt:lpstr>Objetivos_SMART</vt:lpstr>
      <vt:lpstr>Acompanhamento_Mensal</vt:lpstr>
      <vt:lpstr>Resumo_Atividade_3_4</vt:lpstr>
      <vt:lpstr>Listas</vt:lpstr>
      <vt:lpstr>Dicionario_Dados</vt:lpstr>
      <vt:lpstr>DataRef</vt:lpstr>
      <vt:lpstr>lst_DataReferencia</vt:lpstr>
      <vt:lpstr>lst_Estado</vt:lpstr>
      <vt:lpstr>lst_Frequencia</vt:lpstr>
      <vt:lpstr>lst_Funcao</vt:lpstr>
      <vt:lpstr>lst_MetaTipo</vt:lpstr>
      <vt:lpstr>lst_OrigemTipo</vt:lpstr>
      <vt:lpstr>lst_Polaridade</vt:lpstr>
      <vt:lpstr>lst_Politica</vt:lpstr>
      <vt:lpstr>lst_SimNao</vt:lpstr>
      <vt:lpstr>lst_TipoISO14031</vt:lpstr>
      <vt:lpstr>Acompanhamento_Mensal!Títulos_de_Impressão</vt:lpstr>
      <vt:lpstr>Catalogo_KPI!Títulos_de_Impressão</vt:lpstr>
      <vt:lpstr>Objetivos_SMART!Títulos_de_Impressão</vt:lpstr>
      <vt:lpstr>Politica!Títulos_de_Impressão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RG-SGA-05 Objetivos Ambientais, Metas e Indicadores (KPI)</dc:title>
  <dc:subject>SGA NP EN ISO 14001:2026 — Plasticom</dc:subject>
  <dc:creator>Gestor(a) do SGA / EHS</dc:creator>
  <cp:lastModifiedBy>Aline Meireles</cp:lastModifiedBy>
  <dcterms:created xsi:type="dcterms:W3CDTF">2026-09-30T16:48:42Z</dcterms:created>
  <dcterms:modified xsi:type="dcterms:W3CDTF">2026-09-30T16:48:57Z</dcterms:modified>
</cp:coreProperties>
</file>