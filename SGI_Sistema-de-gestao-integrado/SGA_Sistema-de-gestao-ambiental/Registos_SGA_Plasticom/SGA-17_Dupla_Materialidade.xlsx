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7B2FFF01-0623-4C7B-BA82-DE6F6C4117A8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ainel" sheetId="2" r:id="rId2"/>
    <sheet name="Temas" sheetId="3" r:id="rId3"/>
    <sheet name="IRO" sheetId="4" r:id="rId4"/>
    <sheet name="Evidencias" sheetId="5" r:id="rId5"/>
    <sheet name="Consultas" sheetId="6" r:id="rId6"/>
    <sheet name="Listas" sheetId="7" r:id="rId7"/>
    <sheet name="Dicionario_Dados" sheetId="8" r:id="rId8"/>
  </sheets>
  <definedNames>
    <definedName name="DataRef">Listas!$A$3</definedName>
    <definedName name="esc_Fin_Limite">Listas!$E$49:$E$53</definedName>
    <definedName name="esc_Prob_Media">Listas!$F$44:$F$48</definedName>
    <definedName name="lst_DataReferencia">Listas!$A$3:$A$3</definedName>
    <definedName name="lst_Escala">Listas!$I$3:$I$7</definedName>
    <definedName name="lst_EstadoValidacao">Listas!$M$3:$M$5</definedName>
    <definedName name="lst_Etapa">Listas!$F$3:$F$7</definedName>
    <definedName name="lst_FEtapa">Listas!$U$3:$U$8</definedName>
    <definedName name="lst_FHorizonte">Listas!$V$3:$V$6</definedName>
    <definedName name="lst_FPilar">Listas!$S$3:$S$6</definedName>
    <definedName name="lst_FTipo">Listas!$W$3:$W$7</definedName>
    <definedName name="lst_FTopico">Listas!$T$3:$T$14</definedName>
    <definedName name="lst_Funcao">Listas!$R$3:$R$24</definedName>
    <definedName name="lst_Horizonte">Listas!$G$3:$G$5</definedName>
    <definedName name="lst_Metodo">Listas!$P$3:$P$8</definedName>
    <definedName name="lst_Natureza">Listas!$E$3:$E$4</definedName>
    <definedName name="lst_Parte">Listas!$O$3:$O$10</definedName>
    <definedName name="lst_Pilar">Listas!$B$3:$B$5</definedName>
    <definedName name="lst_Qualidade">Listas!$K$3:$K$5</definedName>
    <definedName name="lst_RelevanciaSetorial">Listas!$N$3:$N$5</definedName>
    <definedName name="lst_Rubrica">Listas!$J$3:$J$8</definedName>
    <definedName name="lst_SimNao">Listas!$H$3:$H$4</definedName>
    <definedName name="lst_TipoContributo">Listas!$Q$3:$Q$4</definedName>
    <definedName name="lst_TipoDado">Listas!$L$3:$L$6</definedName>
    <definedName name="lst_TipoIRO">Listas!$D$3:$D$6</definedName>
    <definedName name="lst_TopicoESRS">Listas!$C$3:$C$13</definedName>
    <definedName name="prm_Faturacao_EUR">Listas!$B$66</definedName>
    <definedName name="prm_Grav_DH">Listas!$B$62</definedName>
    <definedName name="prm_Limiar_Alto">Listas!$B$60</definedName>
    <definedName name="prm_Limiar_Baixo">Listas!$B$61</definedName>
    <definedName name="prm_Limiar_Financeiro">Listas!$B$59</definedName>
    <definedName name="prm_Limiar_Impacto">Listas!$B$58</definedName>
    <definedName name="prm_Meses_Rev_Material">Listas!$B$64</definedName>
    <definedName name="prm_Meses_Rev_Outros">Listas!$B$65</definedName>
    <definedName name="prm_Preco_Eletricidade">Listas!$B$67</definedName>
    <definedName name="prm_Preco_Polimero">Listas!$B$68</definedName>
    <definedName name="prm_Relev_Alerta">Listas!$B$63</definedName>
    <definedName name="prm_Trabalhadores">Listas!$B$69</definedName>
    <definedName name="SegmentaçãoDeDados_Etapa_Cadeia_Valor">#N/A</definedName>
    <definedName name="SegmentaçãoDeDados_Horizonte">#N/A</definedName>
    <definedName name="SegmentaçãoDeDados_Material">#N/A</definedName>
    <definedName name="SegmentaçãoDeDados_Pilar">#N/A</definedName>
    <definedName name="SegmentaçãoDeDados_Qualidade_Evidencia">#N/A</definedName>
    <definedName name="SegmentaçãoDeDados_Tipo_IRO">#N/A</definedName>
    <definedName name="_xlnm.Print_Titles" localSheetId="5">Consultas!$4:$4</definedName>
    <definedName name="_xlnm.Print_Titles" localSheetId="4">Evidencias!$4:$4</definedName>
    <definedName name="_xlnm.Print_Titles" localSheetId="3">IRO!$4:$4</definedName>
    <definedName name="_xlnm.Print_Titles" localSheetId="2">Temas!$4:$4</definedName>
  </definedNames>
  <calcPr calcId="191029"/>
  <pivotCaches>
    <pivotCache cacheId="12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6" l="1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AV91" i="4"/>
  <c r="AI91" i="4"/>
  <c r="AH91" i="4"/>
  <c r="G91" i="4"/>
  <c r="E91" i="4"/>
  <c r="D91" i="4"/>
  <c r="C91" i="4"/>
  <c r="AV90" i="4"/>
  <c r="AI90" i="4"/>
  <c r="AH90" i="4"/>
  <c r="G90" i="4"/>
  <c r="R90" i="4" s="1"/>
  <c r="E90" i="4"/>
  <c r="D90" i="4"/>
  <c r="C90" i="4"/>
  <c r="AV89" i="4"/>
  <c r="AI89" i="4"/>
  <c r="AH89" i="4"/>
  <c r="G89" i="4"/>
  <c r="AB89" i="4" s="1"/>
  <c r="AE89" i="4" s="1"/>
  <c r="E89" i="4"/>
  <c r="D89" i="4"/>
  <c r="C89" i="4"/>
  <c r="AV88" i="4"/>
  <c r="AI88" i="4"/>
  <c r="AH88" i="4"/>
  <c r="G88" i="4"/>
  <c r="Y88" i="4" s="1"/>
  <c r="Z88" i="4" s="1"/>
  <c r="AA88" i="4" s="1"/>
  <c r="E88" i="4"/>
  <c r="D88" i="4"/>
  <c r="C88" i="4"/>
  <c r="AV87" i="4"/>
  <c r="AI87" i="4"/>
  <c r="AH87" i="4"/>
  <c r="AB87" i="4"/>
  <c r="AE87" i="4" s="1"/>
  <c r="G87" i="4"/>
  <c r="E87" i="4"/>
  <c r="D87" i="4"/>
  <c r="C87" i="4"/>
  <c r="AV86" i="4"/>
  <c r="AI86" i="4"/>
  <c r="AH86" i="4"/>
  <c r="G86" i="4"/>
  <c r="R86" i="4" s="1"/>
  <c r="E86" i="4"/>
  <c r="D86" i="4"/>
  <c r="C86" i="4"/>
  <c r="AV85" i="4"/>
  <c r="AI85" i="4"/>
  <c r="AH85" i="4"/>
  <c r="G85" i="4"/>
  <c r="AB85" i="4" s="1"/>
  <c r="AE85" i="4" s="1"/>
  <c r="E85" i="4"/>
  <c r="D85" i="4"/>
  <c r="C85" i="4"/>
  <c r="AV84" i="4"/>
  <c r="AI84" i="4"/>
  <c r="AH84" i="4"/>
  <c r="G84" i="4"/>
  <c r="Y84" i="4" s="1"/>
  <c r="Z84" i="4" s="1"/>
  <c r="AA84" i="4" s="1"/>
  <c r="E84" i="4"/>
  <c r="D84" i="4"/>
  <c r="C84" i="4"/>
  <c r="AV83" i="4"/>
  <c r="AI83" i="4"/>
  <c r="AH83" i="4"/>
  <c r="AB83" i="4"/>
  <c r="AE83" i="4" s="1"/>
  <c r="R83" i="4"/>
  <c r="G83" i="4"/>
  <c r="E83" i="4"/>
  <c r="D83" i="4"/>
  <c r="C83" i="4"/>
  <c r="AV82" i="4"/>
  <c r="AI82" i="4"/>
  <c r="AH82" i="4"/>
  <c r="G82" i="4"/>
  <c r="R82" i="4" s="1"/>
  <c r="E82" i="4"/>
  <c r="D82" i="4"/>
  <c r="C82" i="4"/>
  <c r="AV81" i="4"/>
  <c r="AI81" i="4"/>
  <c r="AH81" i="4"/>
  <c r="G81" i="4"/>
  <c r="AB81" i="4" s="1"/>
  <c r="AE81" i="4" s="1"/>
  <c r="E81" i="4"/>
  <c r="D81" i="4"/>
  <c r="C81" i="4"/>
  <c r="AV80" i="4"/>
  <c r="AI80" i="4"/>
  <c r="AH80" i="4"/>
  <c r="G80" i="4"/>
  <c r="E80" i="4"/>
  <c r="D80" i="4"/>
  <c r="C80" i="4"/>
  <c r="AV79" i="4"/>
  <c r="AI79" i="4"/>
  <c r="AH79" i="4"/>
  <c r="G79" i="4"/>
  <c r="E79" i="4"/>
  <c r="D79" i="4"/>
  <c r="C79" i="4"/>
  <c r="AV78" i="4"/>
  <c r="AI78" i="4"/>
  <c r="AH78" i="4"/>
  <c r="AB78" i="4"/>
  <c r="AE78" i="4" s="1"/>
  <c r="G78" i="4"/>
  <c r="R78" i="4" s="1"/>
  <c r="E78" i="4"/>
  <c r="D78" i="4"/>
  <c r="C78" i="4"/>
  <c r="AV77" i="4"/>
  <c r="AI77" i="4"/>
  <c r="AH77" i="4"/>
  <c r="G77" i="4"/>
  <c r="E77" i="4"/>
  <c r="D77" i="4"/>
  <c r="C77" i="4"/>
  <c r="AV76" i="4"/>
  <c r="AI76" i="4"/>
  <c r="AH76" i="4"/>
  <c r="G76" i="4"/>
  <c r="E76" i="4"/>
  <c r="D76" i="4"/>
  <c r="C76" i="4"/>
  <c r="AV75" i="4"/>
  <c r="AI75" i="4"/>
  <c r="AH75" i="4"/>
  <c r="G75" i="4"/>
  <c r="E75" i="4"/>
  <c r="D75" i="4"/>
  <c r="C75" i="4"/>
  <c r="AV74" i="4"/>
  <c r="AI74" i="4"/>
  <c r="AH74" i="4"/>
  <c r="AB74" i="4"/>
  <c r="AE74" i="4" s="1"/>
  <c r="G74" i="4"/>
  <c r="R74" i="4" s="1"/>
  <c r="E74" i="4"/>
  <c r="D74" i="4"/>
  <c r="C74" i="4"/>
  <c r="AV73" i="4"/>
  <c r="AI73" i="4"/>
  <c r="AH73" i="4"/>
  <c r="G73" i="4"/>
  <c r="AB73" i="4" s="1"/>
  <c r="AE73" i="4" s="1"/>
  <c r="E73" i="4"/>
  <c r="D73" i="4"/>
  <c r="C73" i="4"/>
  <c r="AV72" i="4"/>
  <c r="AI72" i="4"/>
  <c r="AH72" i="4"/>
  <c r="G72" i="4"/>
  <c r="Y72" i="4" s="1"/>
  <c r="Z72" i="4" s="1"/>
  <c r="AA72" i="4" s="1"/>
  <c r="E72" i="4"/>
  <c r="D72" i="4"/>
  <c r="C72" i="4"/>
  <c r="AV71" i="4"/>
  <c r="AI71" i="4"/>
  <c r="AH71" i="4"/>
  <c r="AB71" i="4"/>
  <c r="AE71" i="4" s="1"/>
  <c r="G71" i="4"/>
  <c r="E71" i="4"/>
  <c r="D71" i="4"/>
  <c r="C71" i="4"/>
  <c r="AV70" i="4"/>
  <c r="AI70" i="4"/>
  <c r="AH70" i="4"/>
  <c r="G70" i="4"/>
  <c r="R70" i="4" s="1"/>
  <c r="S70" i="4" s="1"/>
  <c r="T70" i="4" s="1"/>
  <c r="E70" i="4"/>
  <c r="D70" i="4"/>
  <c r="C70" i="4"/>
  <c r="AV69" i="4"/>
  <c r="AI69" i="4"/>
  <c r="AH69" i="4"/>
  <c r="G69" i="4"/>
  <c r="AB69" i="4" s="1"/>
  <c r="AE69" i="4" s="1"/>
  <c r="E69" i="4"/>
  <c r="D69" i="4"/>
  <c r="C69" i="4"/>
  <c r="AV68" i="4"/>
  <c r="AI68" i="4"/>
  <c r="AH68" i="4"/>
  <c r="G68" i="4"/>
  <c r="Y68" i="4" s="1"/>
  <c r="Z68" i="4" s="1"/>
  <c r="AA68" i="4" s="1"/>
  <c r="E68" i="4"/>
  <c r="D68" i="4"/>
  <c r="C68" i="4"/>
  <c r="AV67" i="4"/>
  <c r="AI67" i="4"/>
  <c r="AH67" i="4"/>
  <c r="AB67" i="4"/>
  <c r="AE67" i="4" s="1"/>
  <c r="G67" i="4"/>
  <c r="E67" i="4"/>
  <c r="D67" i="4"/>
  <c r="C67" i="4"/>
  <c r="AV66" i="4"/>
  <c r="AI66" i="4"/>
  <c r="AH66" i="4"/>
  <c r="G66" i="4"/>
  <c r="R66" i="4" s="1"/>
  <c r="E66" i="4"/>
  <c r="D66" i="4"/>
  <c r="C66" i="4"/>
  <c r="AV65" i="4"/>
  <c r="AI65" i="4"/>
  <c r="AH65" i="4"/>
  <c r="G65" i="4"/>
  <c r="AB65" i="4" s="1"/>
  <c r="AE65" i="4" s="1"/>
  <c r="E65" i="4"/>
  <c r="D65" i="4"/>
  <c r="C65" i="4"/>
  <c r="AV64" i="4"/>
  <c r="AI64" i="4"/>
  <c r="AH64" i="4"/>
  <c r="G64" i="4"/>
  <c r="Y64" i="4" s="1"/>
  <c r="Z64" i="4" s="1"/>
  <c r="AA64" i="4" s="1"/>
  <c r="E64" i="4"/>
  <c r="D64" i="4"/>
  <c r="C64" i="4"/>
  <c r="AV63" i="4"/>
  <c r="AI63" i="4"/>
  <c r="AH63" i="4"/>
  <c r="AB63" i="4"/>
  <c r="AE63" i="4" s="1"/>
  <c r="G63" i="4"/>
  <c r="E63" i="4"/>
  <c r="D63" i="4"/>
  <c r="C63" i="4"/>
  <c r="AV62" i="4"/>
  <c r="AI62" i="4"/>
  <c r="AH62" i="4"/>
  <c r="G62" i="4"/>
  <c r="R62" i="4" s="1"/>
  <c r="E62" i="4"/>
  <c r="D62" i="4"/>
  <c r="C62" i="4"/>
  <c r="AH61" i="4"/>
  <c r="G61" i="4"/>
  <c r="E61" i="4"/>
  <c r="D61" i="4"/>
  <c r="C61" i="4"/>
  <c r="AH60" i="4"/>
  <c r="G60" i="4"/>
  <c r="Y60" i="4" s="1"/>
  <c r="Z60" i="4" s="1"/>
  <c r="E60" i="4"/>
  <c r="D60" i="4"/>
  <c r="C60" i="4"/>
  <c r="AH59" i="4"/>
  <c r="G59" i="4"/>
  <c r="R59" i="4" s="1"/>
  <c r="S59" i="4" s="1"/>
  <c r="E59" i="4"/>
  <c r="D59" i="4"/>
  <c r="C59" i="4"/>
  <c r="AH58" i="4"/>
  <c r="G58" i="4"/>
  <c r="R58" i="4" s="1"/>
  <c r="E58" i="4"/>
  <c r="D58" i="4"/>
  <c r="C58" i="4"/>
  <c r="AH57" i="4"/>
  <c r="G57" i="4"/>
  <c r="E57" i="4"/>
  <c r="D57" i="4"/>
  <c r="C57" i="4"/>
  <c r="AH56" i="4"/>
  <c r="R56" i="4"/>
  <c r="G56" i="4"/>
  <c r="E56" i="4"/>
  <c r="D56" i="4"/>
  <c r="C56" i="4"/>
  <c r="AH55" i="4"/>
  <c r="G55" i="4"/>
  <c r="R55" i="4" s="1"/>
  <c r="E55" i="4"/>
  <c r="D55" i="4"/>
  <c r="C55" i="4"/>
  <c r="AH54" i="4"/>
  <c r="G54" i="4"/>
  <c r="E54" i="4"/>
  <c r="D54" i="4"/>
  <c r="C54" i="4"/>
  <c r="AH53" i="4"/>
  <c r="G53" i="4"/>
  <c r="O24" i="3" s="1"/>
  <c r="E53" i="4"/>
  <c r="D53" i="4"/>
  <c r="C53" i="4"/>
  <c r="AH52" i="4"/>
  <c r="G52" i="4"/>
  <c r="R52" i="4" s="1"/>
  <c r="E52" i="4"/>
  <c r="D52" i="4"/>
  <c r="C52" i="4"/>
  <c r="AH51" i="4"/>
  <c r="R51" i="4"/>
  <c r="S51" i="4" s="1"/>
  <c r="G51" i="4"/>
  <c r="E51" i="4"/>
  <c r="D51" i="4"/>
  <c r="C51" i="4"/>
  <c r="AH50" i="4"/>
  <c r="R50" i="4"/>
  <c r="G50" i="4"/>
  <c r="E50" i="4"/>
  <c r="D50" i="4"/>
  <c r="C50" i="4"/>
  <c r="AH49" i="4"/>
  <c r="G49" i="4"/>
  <c r="Y49" i="4" s="1"/>
  <c r="Z49" i="4" s="1"/>
  <c r="AA49" i="4" s="1"/>
  <c r="E49" i="4"/>
  <c r="D49" i="4"/>
  <c r="C49" i="4"/>
  <c r="AH48" i="4"/>
  <c r="R48" i="4"/>
  <c r="G48" i="4"/>
  <c r="E48" i="4"/>
  <c r="D48" i="4"/>
  <c r="C48" i="4"/>
  <c r="AH47" i="4"/>
  <c r="G47" i="4"/>
  <c r="E47" i="4"/>
  <c r="D47" i="4"/>
  <c r="C47" i="4"/>
  <c r="AH46" i="4"/>
  <c r="R46" i="4"/>
  <c r="G46" i="4"/>
  <c r="E46" i="4"/>
  <c r="D46" i="4"/>
  <c r="C46" i="4"/>
  <c r="AH45" i="4"/>
  <c r="G45" i="4"/>
  <c r="E45" i="4"/>
  <c r="D45" i="4"/>
  <c r="C45" i="4"/>
  <c r="AH44" i="4"/>
  <c r="G44" i="4"/>
  <c r="Y44" i="4" s="1"/>
  <c r="Z44" i="4" s="1"/>
  <c r="E44" i="4"/>
  <c r="D44" i="4"/>
  <c r="C44" i="4"/>
  <c r="AH43" i="4"/>
  <c r="R43" i="4"/>
  <c r="G43" i="4"/>
  <c r="E43" i="4"/>
  <c r="D43" i="4"/>
  <c r="C43" i="4"/>
  <c r="AH42" i="4"/>
  <c r="G42" i="4"/>
  <c r="E42" i="4"/>
  <c r="D42" i="4"/>
  <c r="C42" i="4"/>
  <c r="AH41" i="4"/>
  <c r="G41" i="4"/>
  <c r="E41" i="4"/>
  <c r="D41" i="4"/>
  <c r="C41" i="4"/>
  <c r="AH40" i="4"/>
  <c r="S40" i="4"/>
  <c r="G40" i="4"/>
  <c r="R40" i="4" s="1"/>
  <c r="E40" i="4"/>
  <c r="D40" i="4"/>
  <c r="C40" i="4"/>
  <c r="AH39" i="4"/>
  <c r="G39" i="4"/>
  <c r="Y39" i="4" s="1"/>
  <c r="Z39" i="4" s="1"/>
  <c r="AA39" i="4" s="1"/>
  <c r="E39" i="4"/>
  <c r="D39" i="4"/>
  <c r="C39" i="4"/>
  <c r="AH38" i="4"/>
  <c r="G38" i="4"/>
  <c r="Y38" i="4" s="1"/>
  <c r="Z38" i="4" s="1"/>
  <c r="AA38" i="4" s="1"/>
  <c r="E38" i="4"/>
  <c r="D38" i="4"/>
  <c r="C38" i="4"/>
  <c r="AH37" i="4"/>
  <c r="R37" i="4"/>
  <c r="G37" i="4"/>
  <c r="E37" i="4"/>
  <c r="D37" i="4"/>
  <c r="C37" i="4"/>
  <c r="AH36" i="4"/>
  <c r="G36" i="4"/>
  <c r="R36" i="4" s="1"/>
  <c r="E36" i="4"/>
  <c r="D36" i="4"/>
  <c r="C36" i="4"/>
  <c r="AH35" i="4"/>
  <c r="G35" i="4"/>
  <c r="O16" i="3" s="1"/>
  <c r="E35" i="4"/>
  <c r="D35" i="4"/>
  <c r="C35" i="4"/>
  <c r="AH34" i="4"/>
  <c r="R34" i="4"/>
  <c r="G34" i="4"/>
  <c r="E34" i="4"/>
  <c r="D34" i="4"/>
  <c r="C34" i="4"/>
  <c r="AH33" i="4"/>
  <c r="G33" i="4"/>
  <c r="O15" i="3" s="1"/>
  <c r="E33" i="4"/>
  <c r="D33" i="4"/>
  <c r="C33" i="4"/>
  <c r="AH32" i="4"/>
  <c r="G32" i="4"/>
  <c r="R32" i="4" s="1"/>
  <c r="S32" i="4" s="1"/>
  <c r="T32" i="4" s="1"/>
  <c r="AB32" i="4" s="1"/>
  <c r="E32" i="4"/>
  <c r="D32" i="4"/>
  <c r="C32" i="4"/>
  <c r="AH31" i="4"/>
  <c r="G31" i="4"/>
  <c r="E31" i="4"/>
  <c r="D31" i="4"/>
  <c r="C31" i="4"/>
  <c r="AH30" i="4"/>
  <c r="R30" i="4"/>
  <c r="G30" i="4"/>
  <c r="E30" i="4"/>
  <c r="D30" i="4"/>
  <c r="C30" i="4"/>
  <c r="AH29" i="4"/>
  <c r="G29" i="4"/>
  <c r="R29" i="4" s="1"/>
  <c r="E29" i="4"/>
  <c r="D29" i="4"/>
  <c r="C29" i="4"/>
  <c r="AH28" i="4"/>
  <c r="S28" i="4"/>
  <c r="T28" i="4" s="1"/>
  <c r="AB28" i="4" s="1"/>
  <c r="G28" i="4"/>
  <c r="R28" i="4" s="1"/>
  <c r="E28" i="4"/>
  <c r="D28" i="4"/>
  <c r="C28" i="4"/>
  <c r="AH27" i="4"/>
  <c r="G27" i="4"/>
  <c r="E27" i="4"/>
  <c r="D27" i="4"/>
  <c r="C27" i="4"/>
  <c r="AH26" i="4"/>
  <c r="G26" i="4"/>
  <c r="O13" i="3" s="1"/>
  <c r="Q13" i="3" s="1"/>
  <c r="E26" i="4"/>
  <c r="D26" i="4"/>
  <c r="C26" i="4"/>
  <c r="AH25" i="4"/>
  <c r="R25" i="4"/>
  <c r="G25" i="4"/>
  <c r="E25" i="4"/>
  <c r="D25" i="4"/>
  <c r="C25" i="4"/>
  <c r="AH24" i="4"/>
  <c r="G24" i="4"/>
  <c r="R24" i="4" s="1"/>
  <c r="E24" i="4"/>
  <c r="D24" i="4"/>
  <c r="C24" i="4"/>
  <c r="AH23" i="4"/>
  <c r="G23" i="4"/>
  <c r="E23" i="4"/>
  <c r="D23" i="4"/>
  <c r="C23" i="4"/>
  <c r="AH22" i="4"/>
  <c r="G22" i="4"/>
  <c r="R22" i="4" s="1"/>
  <c r="E22" i="4"/>
  <c r="D22" i="4"/>
  <c r="C22" i="4"/>
  <c r="AH21" i="4"/>
  <c r="G21" i="4"/>
  <c r="R21" i="4" s="1"/>
  <c r="E21" i="4"/>
  <c r="D21" i="4"/>
  <c r="C21" i="4"/>
  <c r="AH20" i="4"/>
  <c r="Y20" i="4"/>
  <c r="Z20" i="4" s="1"/>
  <c r="AA20" i="4" s="1"/>
  <c r="S20" i="4"/>
  <c r="T20" i="4" s="1"/>
  <c r="AB20" i="4" s="1"/>
  <c r="G20" i="4"/>
  <c r="R20" i="4" s="1"/>
  <c r="E20" i="4"/>
  <c r="D20" i="4"/>
  <c r="C20" i="4"/>
  <c r="AH19" i="4"/>
  <c r="G19" i="4"/>
  <c r="Y19" i="4" s="1"/>
  <c r="Z19" i="4" s="1"/>
  <c r="E19" i="4"/>
  <c r="D19" i="4"/>
  <c r="C19" i="4"/>
  <c r="AH18" i="4"/>
  <c r="G18" i="4"/>
  <c r="E18" i="4"/>
  <c r="D18" i="4"/>
  <c r="C18" i="4"/>
  <c r="AH17" i="4"/>
  <c r="G17" i="4"/>
  <c r="R17" i="4" s="1"/>
  <c r="E17" i="4"/>
  <c r="D17" i="4"/>
  <c r="C17" i="4"/>
  <c r="AH16" i="4"/>
  <c r="Y16" i="4"/>
  <c r="Z16" i="4" s="1"/>
  <c r="AA16" i="4" s="1"/>
  <c r="G16" i="4"/>
  <c r="E16" i="4"/>
  <c r="D16" i="4"/>
  <c r="C16" i="4"/>
  <c r="AH15" i="4"/>
  <c r="G15" i="4"/>
  <c r="O8" i="3" s="1"/>
  <c r="E15" i="4"/>
  <c r="D15" i="4"/>
  <c r="C15" i="4"/>
  <c r="AH14" i="4"/>
  <c r="G14" i="4"/>
  <c r="E14" i="4"/>
  <c r="D14" i="4"/>
  <c r="C14" i="4"/>
  <c r="AH13" i="4"/>
  <c r="G13" i="4"/>
  <c r="O7" i="3" s="1"/>
  <c r="E13" i="4"/>
  <c r="D13" i="4"/>
  <c r="C13" i="4"/>
  <c r="AH12" i="4"/>
  <c r="G12" i="4"/>
  <c r="E12" i="4"/>
  <c r="D12" i="4"/>
  <c r="C12" i="4"/>
  <c r="AH11" i="4"/>
  <c r="G11" i="4"/>
  <c r="E11" i="4"/>
  <c r="D11" i="4"/>
  <c r="C11" i="4"/>
  <c r="AH10" i="4"/>
  <c r="G10" i="4"/>
  <c r="O6" i="3" s="1"/>
  <c r="E10" i="4"/>
  <c r="D10" i="4"/>
  <c r="C10" i="4"/>
  <c r="AH9" i="4"/>
  <c r="R9" i="4"/>
  <c r="S9" i="4" s="1"/>
  <c r="T9" i="4" s="1"/>
  <c r="AB9" i="4" s="1"/>
  <c r="G9" i="4"/>
  <c r="E9" i="4"/>
  <c r="D9" i="4"/>
  <c r="C9" i="4"/>
  <c r="AH8" i="4"/>
  <c r="G8" i="4"/>
  <c r="E8" i="4"/>
  <c r="D8" i="4"/>
  <c r="C8" i="4"/>
  <c r="AH7" i="4"/>
  <c r="R7" i="4"/>
  <c r="G7" i="4"/>
  <c r="E7" i="4"/>
  <c r="D7" i="4"/>
  <c r="C7" i="4"/>
  <c r="AH6" i="4"/>
  <c r="G6" i="4"/>
  <c r="E6" i="4"/>
  <c r="D6" i="4"/>
  <c r="C6" i="4"/>
  <c r="AH5" i="4"/>
  <c r="G5" i="4"/>
  <c r="O5" i="3" s="1"/>
  <c r="E5" i="4"/>
  <c r="D5" i="4"/>
  <c r="C5" i="4"/>
  <c r="AE40" i="3"/>
  <c r="AD40" i="3"/>
  <c r="AB40" i="3"/>
  <c r="AA40" i="3"/>
  <c r="Z40" i="3"/>
  <c r="Y40" i="3"/>
  <c r="X40" i="3"/>
  <c r="W40" i="3"/>
  <c r="V40" i="3"/>
  <c r="U40" i="3"/>
  <c r="T40" i="3"/>
  <c r="S40" i="3"/>
  <c r="R40" i="3"/>
  <c r="O40" i="3"/>
  <c r="Q40" i="3" s="1"/>
  <c r="N40" i="3"/>
  <c r="P40" i="3" s="1"/>
  <c r="M40" i="3"/>
  <c r="AC40" i="3" s="1"/>
  <c r="AE39" i="3"/>
  <c r="AD39" i="3"/>
  <c r="AB39" i="3"/>
  <c r="AA39" i="3"/>
  <c r="Z39" i="3"/>
  <c r="Y39" i="3"/>
  <c r="X39" i="3"/>
  <c r="W39" i="3"/>
  <c r="V39" i="3"/>
  <c r="U39" i="3"/>
  <c r="T39" i="3"/>
  <c r="S39" i="3"/>
  <c r="R39" i="3"/>
  <c r="P39" i="3"/>
  <c r="O39" i="3"/>
  <c r="Q39" i="3" s="1"/>
  <c r="N39" i="3"/>
  <c r="M39" i="3"/>
  <c r="AC39" i="3" s="1"/>
  <c r="AE38" i="3"/>
  <c r="AD38" i="3"/>
  <c r="AB38" i="3"/>
  <c r="AA38" i="3"/>
  <c r="Z38" i="3"/>
  <c r="Y38" i="3"/>
  <c r="X38" i="3"/>
  <c r="W38" i="3"/>
  <c r="V38" i="3"/>
  <c r="U38" i="3"/>
  <c r="T38" i="3"/>
  <c r="S38" i="3"/>
  <c r="R38" i="3"/>
  <c r="P38" i="3"/>
  <c r="O38" i="3"/>
  <c r="Q38" i="3" s="1"/>
  <c r="N38" i="3"/>
  <c r="M38" i="3"/>
  <c r="AC38" i="3" s="1"/>
  <c r="AE37" i="3"/>
  <c r="AD37" i="3"/>
  <c r="AB37" i="3"/>
  <c r="AA37" i="3"/>
  <c r="Z37" i="3"/>
  <c r="Y37" i="3"/>
  <c r="X37" i="3"/>
  <c r="W37" i="3"/>
  <c r="V37" i="3"/>
  <c r="U37" i="3"/>
  <c r="T37" i="3"/>
  <c r="S37" i="3"/>
  <c r="R37" i="3"/>
  <c r="O37" i="3"/>
  <c r="Q37" i="3" s="1"/>
  <c r="N37" i="3"/>
  <c r="P37" i="3" s="1"/>
  <c r="M37" i="3"/>
  <c r="AC37" i="3" s="1"/>
  <c r="AE36" i="3"/>
  <c r="AD36" i="3"/>
  <c r="AB36" i="3"/>
  <c r="AA36" i="3"/>
  <c r="Z36" i="3"/>
  <c r="Y36" i="3"/>
  <c r="X36" i="3"/>
  <c r="W36" i="3"/>
  <c r="V36" i="3"/>
  <c r="U36" i="3"/>
  <c r="T36" i="3"/>
  <c r="S36" i="3"/>
  <c r="R36" i="3"/>
  <c r="O36" i="3"/>
  <c r="Q36" i="3" s="1"/>
  <c r="N36" i="3"/>
  <c r="P36" i="3" s="1"/>
  <c r="M36" i="3"/>
  <c r="AC36" i="3" s="1"/>
  <c r="AE35" i="3"/>
  <c r="AD35" i="3"/>
  <c r="AB35" i="3"/>
  <c r="AA35" i="3"/>
  <c r="Z35" i="3"/>
  <c r="Y35" i="3"/>
  <c r="X35" i="3"/>
  <c r="W35" i="3"/>
  <c r="V35" i="3"/>
  <c r="U35" i="3"/>
  <c r="T35" i="3"/>
  <c r="S35" i="3"/>
  <c r="R35" i="3"/>
  <c r="P35" i="3"/>
  <c r="O35" i="3"/>
  <c r="Q35" i="3" s="1"/>
  <c r="N35" i="3"/>
  <c r="M35" i="3"/>
  <c r="AC35" i="3" s="1"/>
  <c r="AE34" i="3"/>
  <c r="AD34" i="3"/>
  <c r="AB34" i="3"/>
  <c r="AA34" i="3"/>
  <c r="Z34" i="3"/>
  <c r="Y34" i="3"/>
  <c r="X34" i="3"/>
  <c r="W34" i="3"/>
  <c r="V34" i="3"/>
  <c r="U34" i="3"/>
  <c r="T34" i="3"/>
  <c r="S34" i="3"/>
  <c r="R34" i="3"/>
  <c r="P34" i="3"/>
  <c r="O34" i="3"/>
  <c r="Q34" i="3" s="1"/>
  <c r="N34" i="3"/>
  <c r="M34" i="3"/>
  <c r="AC34" i="3" s="1"/>
  <c r="AE33" i="3"/>
  <c r="AD33" i="3"/>
  <c r="AB33" i="3"/>
  <c r="AA33" i="3"/>
  <c r="Z33" i="3"/>
  <c r="Y33" i="3"/>
  <c r="X33" i="3"/>
  <c r="W33" i="3"/>
  <c r="V33" i="3"/>
  <c r="U33" i="3"/>
  <c r="T33" i="3"/>
  <c r="S33" i="3"/>
  <c r="R33" i="3"/>
  <c r="O33" i="3"/>
  <c r="Q33" i="3" s="1"/>
  <c r="N33" i="3"/>
  <c r="P33" i="3" s="1"/>
  <c r="M33" i="3"/>
  <c r="AC33" i="3" s="1"/>
  <c r="AE32" i="3"/>
  <c r="AD32" i="3"/>
  <c r="AB32" i="3"/>
  <c r="AA32" i="3"/>
  <c r="Z32" i="3"/>
  <c r="Y32" i="3"/>
  <c r="X32" i="3"/>
  <c r="W32" i="3"/>
  <c r="V32" i="3"/>
  <c r="U32" i="3"/>
  <c r="T32" i="3"/>
  <c r="S32" i="3"/>
  <c r="R32" i="3"/>
  <c r="O32" i="3"/>
  <c r="Q32" i="3" s="1"/>
  <c r="N32" i="3"/>
  <c r="P32" i="3" s="1"/>
  <c r="M32" i="3"/>
  <c r="AC32" i="3" s="1"/>
  <c r="AE31" i="3"/>
  <c r="AD31" i="3"/>
  <c r="AB31" i="3"/>
  <c r="AA31" i="3"/>
  <c r="Z31" i="3"/>
  <c r="Y31" i="3"/>
  <c r="X31" i="3"/>
  <c r="W31" i="3"/>
  <c r="V31" i="3"/>
  <c r="U31" i="3"/>
  <c r="T31" i="3"/>
  <c r="S31" i="3"/>
  <c r="R31" i="3"/>
  <c r="O31" i="3"/>
  <c r="Q31" i="3" s="1"/>
  <c r="N31" i="3"/>
  <c r="P31" i="3" s="1"/>
  <c r="M31" i="3"/>
  <c r="AC31" i="3" s="1"/>
  <c r="AE30" i="3"/>
  <c r="AD30" i="3"/>
  <c r="AB30" i="3"/>
  <c r="AA30" i="3"/>
  <c r="Z30" i="3"/>
  <c r="Y30" i="3"/>
  <c r="X30" i="3"/>
  <c r="W30" i="3"/>
  <c r="V30" i="3"/>
  <c r="U30" i="3"/>
  <c r="T30" i="3"/>
  <c r="AC30" i="2" s="1"/>
  <c r="S30" i="3"/>
  <c r="R30" i="3"/>
  <c r="P30" i="3"/>
  <c r="O30" i="3"/>
  <c r="Q30" i="3" s="1"/>
  <c r="N30" i="3"/>
  <c r="M30" i="3"/>
  <c r="AC30" i="3" s="1"/>
  <c r="AE29" i="3"/>
  <c r="AD29" i="3"/>
  <c r="AB29" i="3"/>
  <c r="AA29" i="3"/>
  <c r="Z29" i="3"/>
  <c r="Y29" i="3"/>
  <c r="X29" i="3"/>
  <c r="W29" i="3"/>
  <c r="V29" i="3"/>
  <c r="U29" i="3"/>
  <c r="T29" i="3"/>
  <c r="S29" i="3"/>
  <c r="R29" i="3"/>
  <c r="O29" i="3"/>
  <c r="Q29" i="3" s="1"/>
  <c r="N29" i="3"/>
  <c r="P29" i="3" s="1"/>
  <c r="M29" i="3"/>
  <c r="AC29" i="3" s="1"/>
  <c r="AB28" i="3"/>
  <c r="AA28" i="3"/>
  <c r="O28" i="3"/>
  <c r="N28" i="3"/>
  <c r="P28" i="3" s="1"/>
  <c r="M28" i="3"/>
  <c r="AC28" i="3" s="1"/>
  <c r="AB27" i="3"/>
  <c r="AA27" i="3"/>
  <c r="Z27" i="3"/>
  <c r="O27" i="3"/>
  <c r="N27" i="3"/>
  <c r="M27" i="3"/>
  <c r="AC27" i="3" s="1"/>
  <c r="AB26" i="3"/>
  <c r="AA26" i="3"/>
  <c r="Z26" i="3"/>
  <c r="O26" i="3"/>
  <c r="N26" i="3"/>
  <c r="M26" i="3"/>
  <c r="AC26" i="3" s="1"/>
  <c r="AB25" i="3"/>
  <c r="AA25" i="3"/>
  <c r="Z25" i="3"/>
  <c r="O25" i="3"/>
  <c r="M25" i="3"/>
  <c r="AC25" i="3" s="1"/>
  <c r="AB24" i="3"/>
  <c r="AA24" i="3"/>
  <c r="J59" i="2" s="1"/>
  <c r="Z24" i="3"/>
  <c r="M24" i="3"/>
  <c r="AC24" i="3" s="1"/>
  <c r="AB23" i="3"/>
  <c r="AA23" i="3"/>
  <c r="Z23" i="3"/>
  <c r="O23" i="3"/>
  <c r="N23" i="3"/>
  <c r="M23" i="3"/>
  <c r="AC23" i="3" s="1"/>
  <c r="AB22" i="3"/>
  <c r="AA22" i="3"/>
  <c r="J58" i="2" s="1"/>
  <c r="Z22" i="3"/>
  <c r="Y22" i="3"/>
  <c r="N22" i="3"/>
  <c r="M22" i="3"/>
  <c r="AC22" i="3" s="1"/>
  <c r="AB21" i="3"/>
  <c r="AA21" i="3"/>
  <c r="Z21" i="3"/>
  <c r="Y21" i="3"/>
  <c r="O21" i="3"/>
  <c r="Q21" i="3" s="1"/>
  <c r="S21" i="3" s="1"/>
  <c r="N21" i="3"/>
  <c r="M21" i="3"/>
  <c r="AC21" i="3" s="1"/>
  <c r="AB20" i="3"/>
  <c r="AA20" i="3"/>
  <c r="Z20" i="3"/>
  <c r="Y20" i="3"/>
  <c r="Q20" i="3"/>
  <c r="S20" i="3" s="1"/>
  <c r="O20" i="3"/>
  <c r="N20" i="3"/>
  <c r="M20" i="3"/>
  <c r="AC20" i="3" s="1"/>
  <c r="AB19" i="3"/>
  <c r="AA19" i="3"/>
  <c r="Y19" i="3"/>
  <c r="O19" i="3"/>
  <c r="N19" i="3"/>
  <c r="M19" i="3"/>
  <c r="AB18" i="3"/>
  <c r="AA18" i="3"/>
  <c r="Z18" i="3"/>
  <c r="M18" i="3"/>
  <c r="AC18" i="3" s="1"/>
  <c r="AB17" i="3"/>
  <c r="AA17" i="3"/>
  <c r="Z17" i="3"/>
  <c r="O17" i="3"/>
  <c r="N17" i="3"/>
  <c r="M17" i="3"/>
  <c r="AC17" i="3" s="1"/>
  <c r="AB16" i="3"/>
  <c r="AA16" i="3"/>
  <c r="M16" i="3"/>
  <c r="AC16" i="3" s="1"/>
  <c r="AB15" i="3"/>
  <c r="AA15" i="3"/>
  <c r="M15" i="3"/>
  <c r="G55" i="2" s="1"/>
  <c r="AB14" i="3"/>
  <c r="AA14" i="3"/>
  <c r="J55" i="2" s="1"/>
  <c r="O14" i="3"/>
  <c r="N14" i="3"/>
  <c r="M14" i="3"/>
  <c r="AC14" i="3" s="1"/>
  <c r="AB13" i="3"/>
  <c r="AA13" i="3"/>
  <c r="Z13" i="3"/>
  <c r="Y13" i="3"/>
  <c r="M13" i="3"/>
  <c r="AC13" i="3" s="1"/>
  <c r="AB12" i="3"/>
  <c r="AA12" i="3"/>
  <c r="J53" i="2" s="1"/>
  <c r="Z12" i="3"/>
  <c r="I53" i="2" s="1"/>
  <c r="O12" i="3"/>
  <c r="M12" i="3"/>
  <c r="AC12" i="3" s="1"/>
  <c r="AC11" i="3"/>
  <c r="AB11" i="3"/>
  <c r="AA11" i="3"/>
  <c r="Z11" i="3"/>
  <c r="O11" i="3"/>
  <c r="N11" i="3"/>
  <c r="M11" i="3"/>
  <c r="AB10" i="3"/>
  <c r="AA10" i="3"/>
  <c r="Z10" i="3"/>
  <c r="O10" i="3"/>
  <c r="N10" i="3"/>
  <c r="M10" i="3"/>
  <c r="AC10" i="3" s="1"/>
  <c r="AB9" i="3"/>
  <c r="AA9" i="3"/>
  <c r="Z9" i="3"/>
  <c r="N9" i="3"/>
  <c r="M9" i="3"/>
  <c r="AC9" i="3" s="1"/>
  <c r="AB8" i="3"/>
  <c r="AA8" i="3"/>
  <c r="Z8" i="3"/>
  <c r="I52" i="2" s="1"/>
  <c r="Y8" i="3"/>
  <c r="M8" i="3"/>
  <c r="AC8" i="3" s="1"/>
  <c r="AB7" i="3"/>
  <c r="AA7" i="3"/>
  <c r="Z7" i="3"/>
  <c r="M7" i="3"/>
  <c r="G51" i="2" s="1"/>
  <c r="AB6" i="3"/>
  <c r="AA6" i="3"/>
  <c r="N6" i="3"/>
  <c r="M6" i="3"/>
  <c r="AC6" i="3" s="1"/>
  <c r="AB5" i="3"/>
  <c r="AA5" i="3"/>
  <c r="Z5" i="3"/>
  <c r="M5" i="3"/>
  <c r="AC5" i="3" s="1"/>
  <c r="J61" i="2"/>
  <c r="B61" i="2"/>
  <c r="G60" i="2"/>
  <c r="B60" i="2"/>
  <c r="I59" i="2"/>
  <c r="G59" i="2"/>
  <c r="B59" i="2"/>
  <c r="I58" i="2"/>
  <c r="H58" i="2"/>
  <c r="G58" i="2"/>
  <c r="B58" i="2"/>
  <c r="I57" i="2"/>
  <c r="H57" i="2"/>
  <c r="G57" i="2"/>
  <c r="B57" i="2"/>
  <c r="B56" i="2"/>
  <c r="B55" i="2"/>
  <c r="J54" i="2"/>
  <c r="I54" i="2"/>
  <c r="H54" i="2"/>
  <c r="B54" i="2"/>
  <c r="G53" i="2"/>
  <c r="B53" i="2"/>
  <c r="B52" i="2"/>
  <c r="B51" i="2"/>
  <c r="AA46" i="2"/>
  <c r="AA45" i="2"/>
  <c r="Z44" i="2"/>
  <c r="Z43" i="2"/>
  <c r="AE40" i="2"/>
  <c r="AD40" i="2"/>
  <c r="AC40" i="2"/>
  <c r="AB40" i="2"/>
  <c r="AA40" i="2"/>
  <c r="Z40" i="2"/>
  <c r="AE39" i="2"/>
  <c r="AD39" i="2"/>
  <c r="AC39" i="2"/>
  <c r="AB39" i="2"/>
  <c r="AA39" i="2"/>
  <c r="Z39" i="2"/>
  <c r="AE38" i="2"/>
  <c r="AD38" i="2"/>
  <c r="AC38" i="2"/>
  <c r="AB38" i="2"/>
  <c r="AA38" i="2"/>
  <c r="Z38" i="2"/>
  <c r="AE37" i="2"/>
  <c r="AD37" i="2"/>
  <c r="AC37" i="2"/>
  <c r="AB37" i="2"/>
  <c r="AA37" i="2"/>
  <c r="Z37" i="2"/>
  <c r="AE36" i="2"/>
  <c r="AD36" i="2"/>
  <c r="AC36" i="2"/>
  <c r="AB36" i="2"/>
  <c r="AA36" i="2"/>
  <c r="Z36" i="2"/>
  <c r="AE35" i="2"/>
  <c r="AD35" i="2"/>
  <c r="AC35" i="2"/>
  <c r="AB35" i="2"/>
  <c r="AA35" i="2"/>
  <c r="Z35" i="2"/>
  <c r="AE34" i="2"/>
  <c r="AA34" i="2"/>
  <c r="Z34" i="2"/>
  <c r="AE33" i="2"/>
  <c r="AD33" i="2"/>
  <c r="AC33" i="2"/>
  <c r="AB33" i="2"/>
  <c r="AA33" i="2"/>
  <c r="Z33" i="2"/>
  <c r="AE32" i="2"/>
  <c r="AD32" i="2"/>
  <c r="AC32" i="2"/>
  <c r="AB32" i="2"/>
  <c r="AA32" i="2"/>
  <c r="Z32" i="2"/>
  <c r="AE31" i="2"/>
  <c r="AD31" i="2"/>
  <c r="AC31" i="2"/>
  <c r="AB31" i="2"/>
  <c r="AA31" i="2"/>
  <c r="Z31" i="2"/>
  <c r="AD30" i="2"/>
  <c r="AB30" i="2"/>
  <c r="AA30" i="2"/>
  <c r="Z30" i="2"/>
  <c r="AE29" i="2"/>
  <c r="AD29" i="2"/>
  <c r="AC29" i="2"/>
  <c r="AB29" i="2"/>
  <c r="AA29" i="2"/>
  <c r="Z29" i="2"/>
  <c r="Z28" i="2"/>
  <c r="Z27" i="2"/>
  <c r="Z26" i="2"/>
  <c r="Z25" i="2"/>
  <c r="Z24" i="2"/>
  <c r="Z23" i="2"/>
  <c r="Z22" i="2"/>
  <c r="AA21" i="2"/>
  <c r="Z21" i="2"/>
  <c r="AA20" i="2"/>
  <c r="Z20" i="2"/>
  <c r="Z19" i="2"/>
  <c r="Z18" i="2"/>
  <c r="A18" i="2"/>
  <c r="Z17" i="2"/>
  <c r="A17" i="2"/>
  <c r="Z16" i="2"/>
  <c r="A16" i="2"/>
  <c r="Z15" i="2"/>
  <c r="A15" i="2"/>
  <c r="Z14" i="2"/>
  <c r="F14" i="2"/>
  <c r="E14" i="2"/>
  <c r="D14" i="2"/>
  <c r="C14" i="2"/>
  <c r="B14" i="2"/>
  <c r="Z13" i="2"/>
  <c r="Z12" i="2"/>
  <c r="Z11" i="2"/>
  <c r="Z10" i="2"/>
  <c r="Z9" i="2"/>
  <c r="Z8" i="2"/>
  <c r="Z7" i="2"/>
  <c r="E7" i="2"/>
  <c r="D7" i="2"/>
  <c r="C7" i="2"/>
  <c r="B7" i="2"/>
  <c r="A7" i="2"/>
  <c r="F86" i="2" s="1"/>
  <c r="Z6" i="2"/>
  <c r="Z5" i="2"/>
  <c r="AA60" i="4" l="1"/>
  <c r="Y28" i="3" s="1"/>
  <c r="T58" i="4"/>
  <c r="S58" i="4"/>
  <c r="T21" i="4"/>
  <c r="P10" i="3" s="1"/>
  <c r="S21" i="4"/>
  <c r="AB61" i="4"/>
  <c r="S17" i="4"/>
  <c r="T17" i="4"/>
  <c r="AB17" i="4" s="1"/>
  <c r="V13" i="3"/>
  <c r="F54" i="2"/>
  <c r="AA44" i="4"/>
  <c r="Z19" i="3" s="1"/>
  <c r="AB44" i="4"/>
  <c r="AI44" i="4" s="1"/>
  <c r="F11" i="2"/>
  <c r="AC75" i="4"/>
  <c r="AD75" i="4" s="1"/>
  <c r="AE30" i="2"/>
  <c r="B62" i="2"/>
  <c r="N7" i="3"/>
  <c r="P7" i="3" s="1"/>
  <c r="U7" i="3" s="1"/>
  <c r="N8" i="3"/>
  <c r="O9" i="3"/>
  <c r="N13" i="3"/>
  <c r="N15" i="3"/>
  <c r="N18" i="3"/>
  <c r="V20" i="3"/>
  <c r="O22" i="3"/>
  <c r="Q22" i="3" s="1"/>
  <c r="N24" i="3"/>
  <c r="R5" i="4"/>
  <c r="S5" i="4" s="1"/>
  <c r="T5" i="4" s="1"/>
  <c r="AB5" i="4" s="1"/>
  <c r="R13" i="4"/>
  <c r="R15" i="4"/>
  <c r="S15" i="4" s="1"/>
  <c r="R19" i="4"/>
  <c r="S24" i="4"/>
  <c r="T24" i="4" s="1"/>
  <c r="AB24" i="4" s="1"/>
  <c r="R26" i="4"/>
  <c r="R33" i="4"/>
  <c r="S33" i="4" s="1"/>
  <c r="T33" i="4" s="1"/>
  <c r="R42" i="4"/>
  <c r="S42" i="4" s="1"/>
  <c r="T42" i="4" s="1"/>
  <c r="S46" i="4"/>
  <c r="T46" i="4" s="1"/>
  <c r="R47" i="4"/>
  <c r="S50" i="4"/>
  <c r="T50" i="4" s="1"/>
  <c r="AB50" i="4" s="1"/>
  <c r="S62" i="4"/>
  <c r="R68" i="4"/>
  <c r="R75" i="4"/>
  <c r="R79" i="4"/>
  <c r="AB90" i="4"/>
  <c r="AE90" i="4" s="1"/>
  <c r="AC91" i="4"/>
  <c r="AD91" i="4" s="1"/>
  <c r="G54" i="2"/>
  <c r="G61" i="2"/>
  <c r="N16" i="3"/>
  <c r="O18" i="3"/>
  <c r="G56" i="2"/>
  <c r="R11" i="4"/>
  <c r="S11" i="4" s="1"/>
  <c r="T11" i="4" s="1"/>
  <c r="S36" i="4"/>
  <c r="T36" i="4" s="1"/>
  <c r="R38" i="4"/>
  <c r="S38" i="4" s="1"/>
  <c r="T38" i="4" s="1"/>
  <c r="R41" i="4"/>
  <c r="S41" i="4" s="1"/>
  <c r="T41" i="4" s="1"/>
  <c r="P18" i="3" s="1"/>
  <c r="R44" i="4"/>
  <c r="R54" i="4"/>
  <c r="S55" i="4"/>
  <c r="T55" i="4" s="1"/>
  <c r="AB55" i="4" s="1"/>
  <c r="AI55" i="4" s="1"/>
  <c r="R60" i="4"/>
  <c r="Y61" i="4"/>
  <c r="Z61" i="4" s="1"/>
  <c r="AA61" i="4" s="1"/>
  <c r="Z28" i="3" s="1"/>
  <c r="I61" i="2" s="1"/>
  <c r="AB62" i="4"/>
  <c r="AE62" i="4" s="1"/>
  <c r="AC63" i="4"/>
  <c r="AD63" i="4" s="1"/>
  <c r="Y65" i="4"/>
  <c r="Z65" i="4" s="1"/>
  <c r="AA65" i="4" s="1"/>
  <c r="AC67" i="4"/>
  <c r="AD67" i="4" s="1"/>
  <c r="Y69" i="4"/>
  <c r="Z69" i="4" s="1"/>
  <c r="AA69" i="4" s="1"/>
  <c r="AC71" i="4"/>
  <c r="AD71" i="4" s="1"/>
  <c r="S74" i="4"/>
  <c r="T74" i="4" s="1"/>
  <c r="S75" i="4"/>
  <c r="AB79" i="4"/>
  <c r="AE79" i="4" s="1"/>
  <c r="S82" i="4"/>
  <c r="T82" i="4" s="1"/>
  <c r="AB86" i="4"/>
  <c r="AE86" i="4" s="1"/>
  <c r="AC87" i="4"/>
  <c r="AD87" i="4" s="1"/>
  <c r="R91" i="4"/>
  <c r="G52" i="2"/>
  <c r="G62" i="2" s="1"/>
  <c r="N12" i="3"/>
  <c r="I56" i="2"/>
  <c r="N25" i="3"/>
  <c r="I60" i="2"/>
  <c r="T40" i="4"/>
  <c r="R63" i="4"/>
  <c r="AB66" i="4"/>
  <c r="AE66" i="4" s="1"/>
  <c r="R67" i="4"/>
  <c r="AB70" i="4"/>
  <c r="AE70" i="4" s="1"/>
  <c r="R71" i="4"/>
  <c r="S71" i="4" s="1"/>
  <c r="R72" i="4"/>
  <c r="S72" i="4" s="1"/>
  <c r="T72" i="4" s="1"/>
  <c r="AB75" i="4"/>
  <c r="AE75" i="4" s="1"/>
  <c r="S78" i="4"/>
  <c r="AB82" i="4"/>
  <c r="AE82" i="4" s="1"/>
  <c r="AC83" i="4"/>
  <c r="AD83" i="4" s="1"/>
  <c r="R87" i="4"/>
  <c r="AB91" i="4"/>
  <c r="AE91" i="4" s="1"/>
  <c r="J11" i="2"/>
  <c r="AC15" i="3"/>
  <c r="J56" i="2"/>
  <c r="J57" i="2"/>
  <c r="F84" i="2"/>
  <c r="D87" i="2"/>
  <c r="J51" i="2"/>
  <c r="S13" i="3"/>
  <c r="AC19" i="3"/>
  <c r="S22" i="3"/>
  <c r="V22" i="3"/>
  <c r="AI9" i="4"/>
  <c r="AC20" i="4"/>
  <c r="AI20" i="4"/>
  <c r="AA13" i="2"/>
  <c r="AC7" i="3"/>
  <c r="J60" i="2"/>
  <c r="U28" i="3"/>
  <c r="R28" i="3"/>
  <c r="AD34" i="2"/>
  <c r="AC34" i="2"/>
  <c r="AB34" i="2"/>
  <c r="AA19" i="4"/>
  <c r="Y9" i="3" s="1"/>
  <c r="AB19" i="4"/>
  <c r="F87" i="2"/>
  <c r="D86" i="2"/>
  <c r="F85" i="2"/>
  <c r="D84" i="2"/>
  <c r="A11" i="2"/>
  <c r="I11" i="2"/>
  <c r="F88" i="2"/>
  <c r="J52" i="2"/>
  <c r="V21" i="3"/>
  <c r="F57" i="2"/>
  <c r="R8" i="4"/>
  <c r="N5" i="3"/>
  <c r="Y8" i="4"/>
  <c r="Z8" i="4" s="1"/>
  <c r="AA8" i="4" s="1"/>
  <c r="Y5" i="3" s="1"/>
  <c r="S25" i="4"/>
  <c r="T25" i="4" s="1"/>
  <c r="P12" i="3" s="1"/>
  <c r="R12" i="4"/>
  <c r="AB12" i="4"/>
  <c r="S37" i="4"/>
  <c r="T37" i="4" s="1"/>
  <c r="Y12" i="4"/>
  <c r="Z12" i="4" s="1"/>
  <c r="AA12" i="4" s="1"/>
  <c r="R16" i="4"/>
  <c r="S16" i="4" s="1"/>
  <c r="AB16" i="4"/>
  <c r="AI16" i="4" s="1"/>
  <c r="AI17" i="4"/>
  <c r="AI5" i="4"/>
  <c r="S7" i="4"/>
  <c r="T7" i="4" s="1"/>
  <c r="AB7" i="4" s="1"/>
  <c r="T19" i="4"/>
  <c r="T29" i="4"/>
  <c r="S29" i="4"/>
  <c r="Y6" i="4"/>
  <c r="Z6" i="4" s="1"/>
  <c r="AA6" i="4" s="1"/>
  <c r="Y10" i="4"/>
  <c r="Z10" i="4" s="1"/>
  <c r="AA10" i="4" s="1"/>
  <c r="Y6" i="3" s="1"/>
  <c r="Y14" i="4"/>
  <c r="Z14" i="4" s="1"/>
  <c r="AA14" i="4" s="1"/>
  <c r="Y18" i="4"/>
  <c r="Z18" i="4" s="1"/>
  <c r="AA18" i="4" s="1"/>
  <c r="T66" i="4"/>
  <c r="S66" i="4"/>
  <c r="R6" i="4"/>
  <c r="Y7" i="4"/>
  <c r="Z7" i="4" s="1"/>
  <c r="AA7" i="4" s="1"/>
  <c r="R10" i="4"/>
  <c r="Y11" i="4"/>
  <c r="Z11" i="4" s="1"/>
  <c r="R14" i="4"/>
  <c r="Y15" i="4"/>
  <c r="Z15" i="4" s="1"/>
  <c r="R18" i="4"/>
  <c r="S19" i="4"/>
  <c r="S22" i="4"/>
  <c r="T22" i="4" s="1"/>
  <c r="R23" i="4"/>
  <c r="S23" i="4" s="1"/>
  <c r="S26" i="4"/>
  <c r="T26" i="4" s="1"/>
  <c r="R27" i="4"/>
  <c r="S27" i="4" s="1"/>
  <c r="AB30" i="4"/>
  <c r="S30" i="4"/>
  <c r="T30" i="4" s="1"/>
  <c r="R31" i="4"/>
  <c r="S34" i="4"/>
  <c r="T34" i="4" s="1"/>
  <c r="S35" i="4"/>
  <c r="R35" i="4"/>
  <c r="R39" i="4"/>
  <c r="S39" i="4" s="1"/>
  <c r="Y43" i="4"/>
  <c r="Z43" i="4" s="1"/>
  <c r="S43" i="4"/>
  <c r="T43" i="4" s="1"/>
  <c r="T51" i="4"/>
  <c r="Y5" i="4"/>
  <c r="Z5" i="4" s="1"/>
  <c r="AA5" i="4" s="1"/>
  <c r="AC5" i="4"/>
  <c r="Y9" i="4"/>
  <c r="Z9" i="4" s="1"/>
  <c r="AA9" i="4" s="1"/>
  <c r="AC9" i="4"/>
  <c r="Y13" i="4"/>
  <c r="Z13" i="4" s="1"/>
  <c r="Y17" i="4"/>
  <c r="Z17" i="4" s="1"/>
  <c r="AA17" i="4" s="1"/>
  <c r="AC17" i="4"/>
  <c r="AC19" i="4"/>
  <c r="Y22" i="4"/>
  <c r="Z22" i="4" s="1"/>
  <c r="Y23" i="4"/>
  <c r="Z23" i="4" s="1"/>
  <c r="Y26" i="4"/>
  <c r="Z26" i="4" s="1"/>
  <c r="AA26" i="4" s="1"/>
  <c r="Y27" i="4"/>
  <c r="Z27" i="4" s="1"/>
  <c r="AA27" i="4" s="1"/>
  <c r="Y30" i="4"/>
  <c r="Z30" i="4" s="1"/>
  <c r="AA30" i="4" s="1"/>
  <c r="Z14" i="3" s="1"/>
  <c r="Y31" i="4"/>
  <c r="Z31" i="4" s="1"/>
  <c r="Y34" i="4"/>
  <c r="Z34" i="4" s="1"/>
  <c r="AA34" i="4" s="1"/>
  <c r="Z15" i="3" s="1"/>
  <c r="Y35" i="4"/>
  <c r="Z35" i="4" s="1"/>
  <c r="R45" i="4"/>
  <c r="Y45" i="4"/>
  <c r="Z45" i="4" s="1"/>
  <c r="AA45" i="4" s="1"/>
  <c r="S53" i="4"/>
  <c r="R53" i="4"/>
  <c r="Y53" i="4"/>
  <c r="Z53" i="4" s="1"/>
  <c r="AA53" i="4" s="1"/>
  <c r="Y24" i="3" s="1"/>
  <c r="AI61" i="4"/>
  <c r="T63" i="4"/>
  <c r="S63" i="4"/>
  <c r="S86" i="4"/>
  <c r="T86" i="4" s="1"/>
  <c r="Y24" i="4"/>
  <c r="Z24" i="4" s="1"/>
  <c r="AC24" i="4"/>
  <c r="AI24" i="4"/>
  <c r="Y28" i="4"/>
  <c r="Z28" i="4" s="1"/>
  <c r="AA28" i="4" s="1"/>
  <c r="AC28" i="4"/>
  <c r="AI28" i="4"/>
  <c r="Y32" i="4"/>
  <c r="Z32" i="4" s="1"/>
  <c r="AA32" i="4" s="1"/>
  <c r="AC32" i="4"/>
  <c r="AI32" i="4"/>
  <c r="Y36" i="4"/>
  <c r="Z36" i="4" s="1"/>
  <c r="Y40" i="4"/>
  <c r="Z40" i="4" s="1"/>
  <c r="Q17" i="3" s="1"/>
  <c r="R49" i="4"/>
  <c r="S49" i="4" s="1"/>
  <c r="T62" i="4"/>
  <c r="S79" i="4"/>
  <c r="T79" i="4" s="1"/>
  <c r="Y21" i="4"/>
  <c r="Z21" i="4" s="1"/>
  <c r="Y25" i="4"/>
  <c r="Z25" i="4" s="1"/>
  <c r="Y29" i="4"/>
  <c r="Z29" i="4" s="1"/>
  <c r="Y33" i="4"/>
  <c r="Z33" i="4" s="1"/>
  <c r="AA33" i="4" s="1"/>
  <c r="Y15" i="3" s="1"/>
  <c r="Y37" i="4"/>
  <c r="Z37" i="4" s="1"/>
  <c r="AA37" i="4" s="1"/>
  <c r="Z16" i="3" s="1"/>
  <c r="Y41" i="4"/>
  <c r="Z41" i="4" s="1"/>
  <c r="AA41" i="4" s="1"/>
  <c r="S44" i="4"/>
  <c r="T44" i="4" s="1"/>
  <c r="R57" i="4"/>
  <c r="Y57" i="4"/>
  <c r="Z57" i="4" s="1"/>
  <c r="AA57" i="4" s="1"/>
  <c r="S57" i="4"/>
  <c r="AB76" i="4"/>
  <c r="Y76" i="4"/>
  <c r="Z76" i="4" s="1"/>
  <c r="AA76" i="4" s="1"/>
  <c r="R76" i="4"/>
  <c r="R77" i="4"/>
  <c r="AB77" i="4"/>
  <c r="Y77" i="4"/>
  <c r="Z77" i="4" s="1"/>
  <c r="AA77" i="4" s="1"/>
  <c r="T78" i="4"/>
  <c r="S87" i="4"/>
  <c r="T87" i="4" s="1"/>
  <c r="Y42" i="4"/>
  <c r="Z42" i="4" s="1"/>
  <c r="Y46" i="4"/>
  <c r="Z46" i="4" s="1"/>
  <c r="AA46" i="4" s="1"/>
  <c r="S48" i="4"/>
  <c r="T48" i="4" s="1"/>
  <c r="Y50" i="4"/>
  <c r="Z50" i="4" s="1"/>
  <c r="AB51" i="4"/>
  <c r="S52" i="4"/>
  <c r="T52" i="4" s="1"/>
  <c r="Y54" i="4"/>
  <c r="Z54" i="4" s="1"/>
  <c r="S56" i="4"/>
  <c r="T56" i="4" s="1"/>
  <c r="AB60" i="4"/>
  <c r="S60" i="4"/>
  <c r="R61" i="4"/>
  <c r="AC61" i="4"/>
  <c r="AB64" i="4"/>
  <c r="AE64" i="4" s="1"/>
  <c r="R65" i="4"/>
  <c r="AC65" i="4"/>
  <c r="AD65" i="4" s="1"/>
  <c r="T67" i="4"/>
  <c r="Y73" i="4"/>
  <c r="Z73" i="4" s="1"/>
  <c r="AA73" i="4" s="1"/>
  <c r="AB80" i="4"/>
  <c r="R80" i="4"/>
  <c r="S91" i="4"/>
  <c r="T91" i="4" s="1"/>
  <c r="Y47" i="4"/>
  <c r="Z47" i="4" s="1"/>
  <c r="AA47" i="4" s="1"/>
  <c r="Y51" i="4"/>
  <c r="Z51" i="4" s="1"/>
  <c r="AA51" i="4" s="1"/>
  <c r="Y23" i="3" s="1"/>
  <c r="H59" i="2" s="1"/>
  <c r="AC51" i="4"/>
  <c r="Y55" i="4"/>
  <c r="Z55" i="4" s="1"/>
  <c r="AA55" i="4" s="1"/>
  <c r="T59" i="4"/>
  <c r="T60" i="4"/>
  <c r="R64" i="4"/>
  <c r="S67" i="4"/>
  <c r="AB68" i="4"/>
  <c r="AE68" i="4" s="1"/>
  <c r="S68" i="4"/>
  <c r="T68" i="4" s="1"/>
  <c r="R69" i="4"/>
  <c r="AC69" i="4"/>
  <c r="AD69" i="4" s="1"/>
  <c r="T71" i="4"/>
  <c r="Y80" i="4"/>
  <c r="Z80" i="4" s="1"/>
  <c r="AA80" i="4" s="1"/>
  <c r="AB84" i="4"/>
  <c r="R84" i="4"/>
  <c r="S84" i="4" s="1"/>
  <c r="S90" i="4"/>
  <c r="T90" i="4" s="1"/>
  <c r="Y48" i="4"/>
  <c r="Z48" i="4" s="1"/>
  <c r="AA48" i="4" s="1"/>
  <c r="Y52" i="4"/>
  <c r="Z52" i="4" s="1"/>
  <c r="Y56" i="4"/>
  <c r="Z56" i="4" s="1"/>
  <c r="AA56" i="4" s="1"/>
  <c r="Y26" i="3" s="1"/>
  <c r="AB72" i="4"/>
  <c r="AE72" i="4" s="1"/>
  <c r="AC72" i="4"/>
  <c r="AD72" i="4" s="1"/>
  <c r="R73" i="4"/>
  <c r="AC73" i="4"/>
  <c r="AD73" i="4" s="1"/>
  <c r="T75" i="4"/>
  <c r="S83" i="4"/>
  <c r="T83" i="4" s="1"/>
  <c r="AB88" i="4"/>
  <c r="AE88" i="4" s="1"/>
  <c r="R88" i="4"/>
  <c r="Y81" i="4"/>
  <c r="Z81" i="4" s="1"/>
  <c r="AA81" i="4" s="1"/>
  <c r="AC81" i="4"/>
  <c r="AD81" i="4" s="1"/>
  <c r="Y85" i="4"/>
  <c r="Z85" i="4" s="1"/>
  <c r="AA85" i="4" s="1"/>
  <c r="AC85" i="4"/>
  <c r="AD85" i="4" s="1"/>
  <c r="Y89" i="4"/>
  <c r="Z89" i="4" s="1"/>
  <c r="AA89" i="4" s="1"/>
  <c r="AC89" i="4"/>
  <c r="AD89" i="4" s="1"/>
  <c r="Y58" i="4"/>
  <c r="Z58" i="4" s="1"/>
  <c r="AB59" i="4"/>
  <c r="Y62" i="4"/>
  <c r="Z62" i="4" s="1"/>
  <c r="AA62" i="4" s="1"/>
  <c r="AC62" i="4"/>
  <c r="AD62" i="4" s="1"/>
  <c r="Y66" i="4"/>
  <c r="Z66" i="4" s="1"/>
  <c r="AA66" i="4" s="1"/>
  <c r="Y70" i="4"/>
  <c r="Z70" i="4" s="1"/>
  <c r="AA70" i="4" s="1"/>
  <c r="AC70" i="4"/>
  <c r="AD70" i="4" s="1"/>
  <c r="Y74" i="4"/>
  <c r="Z74" i="4" s="1"/>
  <c r="AA74" i="4" s="1"/>
  <c r="AC74" i="4"/>
  <c r="AD74" i="4" s="1"/>
  <c r="Y78" i="4"/>
  <c r="Z78" i="4" s="1"/>
  <c r="AA78" i="4" s="1"/>
  <c r="AC78" i="4"/>
  <c r="AD78" i="4" s="1"/>
  <c r="R81" i="4"/>
  <c r="Y82" i="4"/>
  <c r="Z82" i="4" s="1"/>
  <c r="AA82" i="4" s="1"/>
  <c r="AC82" i="4"/>
  <c r="AD82" i="4" s="1"/>
  <c r="R85" i="4"/>
  <c r="S85" i="4" s="1"/>
  <c r="Y86" i="4"/>
  <c r="Z86" i="4" s="1"/>
  <c r="AA86" i="4" s="1"/>
  <c r="AC86" i="4"/>
  <c r="AD86" i="4" s="1"/>
  <c r="R89" i="4"/>
  <c r="S89" i="4" s="1"/>
  <c r="Y90" i="4"/>
  <c r="Z90" i="4" s="1"/>
  <c r="AA90" i="4" s="1"/>
  <c r="AC90" i="4"/>
  <c r="AD90" i="4" s="1"/>
  <c r="Y59" i="4"/>
  <c r="Z59" i="4" s="1"/>
  <c r="AA59" i="4" s="1"/>
  <c r="Y63" i="4"/>
  <c r="Z63" i="4" s="1"/>
  <c r="AA63" i="4" s="1"/>
  <c r="Y67" i="4"/>
  <c r="Z67" i="4" s="1"/>
  <c r="AA67" i="4" s="1"/>
  <c r="Y71" i="4"/>
  <c r="Z71" i="4" s="1"/>
  <c r="AA71" i="4" s="1"/>
  <c r="Y75" i="4"/>
  <c r="Z75" i="4" s="1"/>
  <c r="AA75" i="4" s="1"/>
  <c r="Y79" i="4"/>
  <c r="Z79" i="4" s="1"/>
  <c r="AA79" i="4" s="1"/>
  <c r="Y83" i="4"/>
  <c r="Z83" i="4" s="1"/>
  <c r="AA83" i="4" s="1"/>
  <c r="Y87" i="4"/>
  <c r="Z87" i="4" s="1"/>
  <c r="AA87" i="4" s="1"/>
  <c r="Y91" i="4"/>
  <c r="Z91" i="4" s="1"/>
  <c r="AA91" i="4" s="1"/>
  <c r="AC50" i="4" l="1"/>
  <c r="AI50" i="4"/>
  <c r="AB46" i="4"/>
  <c r="P21" i="3"/>
  <c r="P23" i="3"/>
  <c r="P27" i="3"/>
  <c r="T54" i="4"/>
  <c r="P25" i="3" s="1"/>
  <c r="AC44" i="4"/>
  <c r="S13" i="4"/>
  <c r="T13" i="4" s="1"/>
  <c r="F58" i="2"/>
  <c r="AA22" i="2"/>
  <c r="S54" i="4"/>
  <c r="AC64" i="4"/>
  <c r="AD64" i="4" s="1"/>
  <c r="T15" i="4"/>
  <c r="AB15" i="4" s="1"/>
  <c r="AC15" i="4" s="1"/>
  <c r="Q28" i="3"/>
  <c r="AC66" i="4"/>
  <c r="AD66" i="4" s="1"/>
  <c r="AB37" i="4"/>
  <c r="AC37" i="4" s="1"/>
  <c r="AV37" i="4" s="1"/>
  <c r="AC68" i="4"/>
  <c r="AD68" i="4" s="1"/>
  <c r="AB14" i="4"/>
  <c r="AC14" i="4" s="1"/>
  <c r="R7" i="3"/>
  <c r="T47" i="4"/>
  <c r="AB47" i="4" s="1"/>
  <c r="AC79" i="4"/>
  <c r="AD79" i="4" s="1"/>
  <c r="S47" i="4"/>
  <c r="AB26" i="4"/>
  <c r="P17" i="3"/>
  <c r="AB38" i="4"/>
  <c r="AB52" i="4"/>
  <c r="U12" i="3"/>
  <c r="E53" i="2"/>
  <c r="R12" i="3"/>
  <c r="AC7" i="4"/>
  <c r="AI7" i="4"/>
  <c r="AV51" i="4"/>
  <c r="AD51" i="4"/>
  <c r="AI60" i="4"/>
  <c r="AA42" i="4"/>
  <c r="Y18" i="3" s="1"/>
  <c r="AB42" i="4"/>
  <c r="AD37" i="4"/>
  <c r="AV28" i="4"/>
  <c r="AD28" i="4"/>
  <c r="Q12" i="3"/>
  <c r="AA24" i="4"/>
  <c r="T45" i="4"/>
  <c r="P19" i="3"/>
  <c r="AA22" i="4"/>
  <c r="Q11" i="3"/>
  <c r="AV5" i="4"/>
  <c r="AD5" i="4"/>
  <c r="R18" i="3"/>
  <c r="U18" i="3"/>
  <c r="AI30" i="4"/>
  <c r="T18" i="4"/>
  <c r="S18" i="4"/>
  <c r="S14" i="4"/>
  <c r="T14" i="4" s="1"/>
  <c r="T10" i="4"/>
  <c r="S10" i="4"/>
  <c r="S6" i="4"/>
  <c r="T6" i="4" s="1"/>
  <c r="AV14" i="4"/>
  <c r="AD14" i="4"/>
  <c r="AC12" i="4"/>
  <c r="AB8" i="4"/>
  <c r="R25" i="3"/>
  <c r="U25" i="3"/>
  <c r="AB29" i="4"/>
  <c r="AA29" i="4"/>
  <c r="Y14" i="3" s="1"/>
  <c r="AB21" i="4"/>
  <c r="AA21" i="4"/>
  <c r="Y10" i="3" s="1"/>
  <c r="H52" i="2" s="1"/>
  <c r="T49" i="4"/>
  <c r="AB49" i="4" s="1"/>
  <c r="AV32" i="4"/>
  <c r="AD32" i="4"/>
  <c r="T53" i="4"/>
  <c r="P24" i="3" s="1"/>
  <c r="AI47" i="4"/>
  <c r="S45" i="4"/>
  <c r="AA31" i="4"/>
  <c r="Q15" i="3"/>
  <c r="AV19" i="4"/>
  <c r="AD19" i="4"/>
  <c r="AA13" i="4"/>
  <c r="Y7" i="3" s="1"/>
  <c r="H51" i="2" s="1"/>
  <c r="Q7" i="3"/>
  <c r="AB13" i="4"/>
  <c r="T35" i="4"/>
  <c r="AB34" i="4"/>
  <c r="S31" i="4"/>
  <c r="T31" i="4" s="1"/>
  <c r="AI15" i="4"/>
  <c r="Q10" i="3"/>
  <c r="AI19" i="4"/>
  <c r="Q14" i="3"/>
  <c r="V17" i="3"/>
  <c r="S17" i="3"/>
  <c r="AA17" i="2"/>
  <c r="AE84" i="4"/>
  <c r="AC84" i="4"/>
  <c r="AD84" i="4" s="1"/>
  <c r="AC55" i="4"/>
  <c r="S80" i="4"/>
  <c r="T80" i="4" s="1"/>
  <c r="S64" i="4"/>
  <c r="T64" i="4" s="1"/>
  <c r="S61" i="4"/>
  <c r="T61" i="4" s="1"/>
  <c r="AI59" i="4"/>
  <c r="AV50" i="4"/>
  <c r="AD50" i="4"/>
  <c r="AE77" i="4"/>
  <c r="AC77" i="4"/>
  <c r="AD77" i="4" s="1"/>
  <c r="T57" i="4"/>
  <c r="AB57" i="4" s="1"/>
  <c r="T85" i="4"/>
  <c r="AB58" i="4"/>
  <c r="AA58" i="4"/>
  <c r="Y27" i="3" s="1"/>
  <c r="H61" i="2" s="1"/>
  <c r="Q27" i="3"/>
  <c r="W27" i="3" s="1"/>
  <c r="S88" i="4"/>
  <c r="T88" i="4" s="1"/>
  <c r="S81" i="4"/>
  <c r="T81" i="4" s="1"/>
  <c r="T69" i="4"/>
  <c r="R27" i="3"/>
  <c r="E61" i="2"/>
  <c r="U27" i="3"/>
  <c r="AB48" i="4"/>
  <c r="AE80" i="4"/>
  <c r="AC80" i="4"/>
  <c r="AD80" i="4" s="1"/>
  <c r="AC60" i="4"/>
  <c r="AA54" i="4"/>
  <c r="Y25" i="3" s="1"/>
  <c r="H60" i="2" s="1"/>
  <c r="AB54" i="4"/>
  <c r="AA50" i="4"/>
  <c r="Q23" i="3"/>
  <c r="W23" i="3" s="1"/>
  <c r="S76" i="4"/>
  <c r="T76" i="4" s="1"/>
  <c r="P26" i="3"/>
  <c r="AB40" i="4"/>
  <c r="AA40" i="4"/>
  <c r="Y17" i="3" s="1"/>
  <c r="H56" i="2" s="1"/>
  <c r="AB36" i="4"/>
  <c r="AA36" i="4"/>
  <c r="Y16" i="3" s="1"/>
  <c r="AA35" i="4"/>
  <c r="Q16" i="3"/>
  <c r="I55" i="2"/>
  <c r="AV17" i="4"/>
  <c r="AD17" i="4"/>
  <c r="AV9" i="4"/>
  <c r="AD9" i="4"/>
  <c r="R23" i="3"/>
  <c r="U23" i="3"/>
  <c r="AA43" i="4"/>
  <c r="Q19" i="3"/>
  <c r="T39" i="4"/>
  <c r="AB39" i="4" s="1"/>
  <c r="AC30" i="4"/>
  <c r="T23" i="4"/>
  <c r="P11" i="3" s="1"/>
  <c r="AB22" i="4"/>
  <c r="AC88" i="4"/>
  <c r="AD88" i="4" s="1"/>
  <c r="P14" i="3"/>
  <c r="AC16" i="4"/>
  <c r="Q26" i="3"/>
  <c r="AI12" i="4"/>
  <c r="Q25" i="3"/>
  <c r="W25" i="3" s="1"/>
  <c r="Q5" i="3"/>
  <c r="AC59" i="4"/>
  <c r="T89" i="4"/>
  <c r="S73" i="4"/>
  <c r="T73" i="4" s="1"/>
  <c r="AA52" i="4"/>
  <c r="Q24" i="3"/>
  <c r="T84" i="4"/>
  <c r="S69" i="4"/>
  <c r="AB56" i="4"/>
  <c r="AC47" i="4"/>
  <c r="S65" i="4"/>
  <c r="T65" i="4" s="1"/>
  <c r="AV61" i="4"/>
  <c r="AD61" i="4"/>
  <c r="S77" i="4"/>
  <c r="T77" i="4" s="1"/>
  <c r="AE76" i="4"/>
  <c r="AC76" i="4"/>
  <c r="AD76" i="4" s="1"/>
  <c r="AI51" i="4"/>
  <c r="AB25" i="4"/>
  <c r="AA25" i="4"/>
  <c r="Y12" i="3" s="1"/>
  <c r="H53" i="2" s="1"/>
  <c r="AB41" i="4"/>
  <c r="AB33" i="4"/>
  <c r="AV24" i="4"/>
  <c r="AD24" i="4"/>
  <c r="AB53" i="4"/>
  <c r="AA23" i="4"/>
  <c r="Y11" i="3" s="1"/>
  <c r="AB23" i="4"/>
  <c r="AB43" i="4"/>
  <c r="AI37" i="4"/>
  <c r="T27" i="4"/>
  <c r="AB27" i="4" s="1"/>
  <c r="AA15" i="4"/>
  <c r="Q8" i="3"/>
  <c r="AA11" i="4"/>
  <c r="Z6" i="3" s="1"/>
  <c r="I51" i="2" s="1"/>
  <c r="AB11" i="4"/>
  <c r="AI14" i="4"/>
  <c r="T16" i="4"/>
  <c r="P8" i="3" s="1"/>
  <c r="S12" i="4"/>
  <c r="T12" i="4" s="1"/>
  <c r="AB10" i="4"/>
  <c r="S8" i="4"/>
  <c r="T8" i="4" s="1"/>
  <c r="Q9" i="3"/>
  <c r="Q6" i="3"/>
  <c r="AV20" i="4"/>
  <c r="AD20" i="4"/>
  <c r="Q18" i="3"/>
  <c r="W10" i="3"/>
  <c r="R10" i="3"/>
  <c r="U10" i="3"/>
  <c r="AD44" i="4" l="1"/>
  <c r="AV44" i="4"/>
  <c r="AC46" i="4"/>
  <c r="AI46" i="4"/>
  <c r="B88" i="2"/>
  <c r="W21" i="3"/>
  <c r="R21" i="3"/>
  <c r="T21" i="3" s="1"/>
  <c r="U21" i="3"/>
  <c r="E57" i="2"/>
  <c r="I62" i="2"/>
  <c r="S28" i="3"/>
  <c r="T28" i="3" s="1"/>
  <c r="V28" i="3"/>
  <c r="AA28" i="2"/>
  <c r="W28" i="3"/>
  <c r="U8" i="3"/>
  <c r="W8" i="3"/>
  <c r="R8" i="3"/>
  <c r="W11" i="3"/>
  <c r="R11" i="3"/>
  <c r="T11" i="3" s="1"/>
  <c r="U11" i="3"/>
  <c r="AB31" i="4"/>
  <c r="P15" i="3"/>
  <c r="W24" i="3"/>
  <c r="U24" i="3"/>
  <c r="R24" i="3"/>
  <c r="E59" i="2"/>
  <c r="H62" i="2"/>
  <c r="AB6" i="4"/>
  <c r="P5" i="3"/>
  <c r="S6" i="3"/>
  <c r="V6" i="3"/>
  <c r="AA6" i="2"/>
  <c r="AI23" i="4"/>
  <c r="AC23" i="4"/>
  <c r="V5" i="3"/>
  <c r="F51" i="2"/>
  <c r="AA5" i="2"/>
  <c r="S5" i="3"/>
  <c r="U26" i="3"/>
  <c r="W26" i="3"/>
  <c r="R26" i="3"/>
  <c r="S15" i="3"/>
  <c r="V15" i="3"/>
  <c r="AA15" i="2"/>
  <c r="R17" i="3"/>
  <c r="T17" i="3" s="1"/>
  <c r="U17" i="3"/>
  <c r="W17" i="3"/>
  <c r="S18" i="3"/>
  <c r="T18" i="3" s="1"/>
  <c r="V18" i="3"/>
  <c r="AA18" i="2"/>
  <c r="AC10" i="4"/>
  <c r="AI10" i="4"/>
  <c r="AC11" i="4"/>
  <c r="AI11" i="4"/>
  <c r="AI27" i="4"/>
  <c r="AC27" i="4"/>
  <c r="AI33" i="4"/>
  <c r="AC33" i="4"/>
  <c r="AC25" i="4"/>
  <c r="AI25" i="4"/>
  <c r="AV47" i="4"/>
  <c r="AD47" i="4"/>
  <c r="S24" i="3"/>
  <c r="V24" i="3"/>
  <c r="AA24" i="2"/>
  <c r="AD59" i="4"/>
  <c r="AV59" i="4"/>
  <c r="S26" i="3"/>
  <c r="V26" i="3"/>
  <c r="AA26" i="2"/>
  <c r="AV30" i="4"/>
  <c r="AD30" i="4"/>
  <c r="AC36" i="4"/>
  <c r="AI36" i="4"/>
  <c r="AI54" i="4"/>
  <c r="AC54" i="4"/>
  <c r="AI34" i="4"/>
  <c r="AC34" i="4"/>
  <c r="AI21" i="4"/>
  <c r="AC21" i="4"/>
  <c r="S11" i="3"/>
  <c r="V11" i="3"/>
  <c r="AA11" i="2"/>
  <c r="P22" i="3"/>
  <c r="AC42" i="4"/>
  <c r="AI42" i="4"/>
  <c r="P13" i="3"/>
  <c r="W14" i="3"/>
  <c r="R14" i="3"/>
  <c r="U14" i="3"/>
  <c r="AC57" i="4"/>
  <c r="AI57" i="4"/>
  <c r="S7" i="3"/>
  <c r="T7" i="3" s="1"/>
  <c r="V7" i="3"/>
  <c r="AA7" i="2"/>
  <c r="W7" i="3"/>
  <c r="E60" i="2"/>
  <c r="AI8" i="4"/>
  <c r="AC8" i="4"/>
  <c r="AB45" i="4"/>
  <c r="P20" i="3"/>
  <c r="V25" i="3"/>
  <c r="S25" i="3"/>
  <c r="F60" i="2"/>
  <c r="AA25" i="2"/>
  <c r="AV16" i="4"/>
  <c r="AD16" i="4"/>
  <c r="AV15" i="4"/>
  <c r="AD15" i="4"/>
  <c r="AI39" i="4"/>
  <c r="AC39" i="4"/>
  <c r="S16" i="3"/>
  <c r="V16" i="3"/>
  <c r="AA16" i="2"/>
  <c r="AI58" i="4"/>
  <c r="AC58" i="4"/>
  <c r="F56" i="2"/>
  <c r="AB35" i="4"/>
  <c r="P16" i="3"/>
  <c r="H55" i="2"/>
  <c r="T25" i="3"/>
  <c r="W18" i="3"/>
  <c r="F53" i="2"/>
  <c r="S12" i="3"/>
  <c r="T12" i="3" s="1"/>
  <c r="AA12" i="2"/>
  <c r="V12" i="3"/>
  <c r="W12" i="3"/>
  <c r="AC52" i="4"/>
  <c r="AI52" i="4"/>
  <c r="AI26" i="4"/>
  <c r="AC26" i="4"/>
  <c r="V27" i="3"/>
  <c r="F61" i="2"/>
  <c r="AA27" i="2"/>
  <c r="S27" i="3"/>
  <c r="T27" i="3" s="1"/>
  <c r="P6" i="3"/>
  <c r="AB18" i="4"/>
  <c r="AE33" i="4" s="1"/>
  <c r="P9" i="3"/>
  <c r="E52" i="2" s="1"/>
  <c r="AI53" i="4"/>
  <c r="AC53" i="4"/>
  <c r="AI56" i="4"/>
  <c r="AC56" i="4"/>
  <c r="V9" i="3"/>
  <c r="S9" i="3"/>
  <c r="AA9" i="2"/>
  <c r="F52" i="2"/>
  <c r="S8" i="3"/>
  <c r="V8" i="3"/>
  <c r="AA8" i="2"/>
  <c r="AI43" i="4"/>
  <c r="AC43" i="4"/>
  <c r="AI41" i="4"/>
  <c r="AC41" i="4"/>
  <c r="AI22" i="4"/>
  <c r="AC22" i="4"/>
  <c r="S19" i="3"/>
  <c r="V19" i="3"/>
  <c r="AA19" i="2"/>
  <c r="AC40" i="4"/>
  <c r="AI40" i="4"/>
  <c r="V23" i="3"/>
  <c r="F59" i="2"/>
  <c r="AA23" i="2"/>
  <c r="S23" i="3"/>
  <c r="T23" i="3" s="1"/>
  <c r="AD60" i="4"/>
  <c r="AV60" i="4"/>
  <c r="AE48" i="4"/>
  <c r="AI48" i="4"/>
  <c r="AC48" i="4"/>
  <c r="AV55" i="4"/>
  <c r="AD55" i="4"/>
  <c r="S14" i="3"/>
  <c r="V14" i="3"/>
  <c r="F55" i="2"/>
  <c r="AA14" i="2"/>
  <c r="S10" i="3"/>
  <c r="T10" i="3" s="1"/>
  <c r="V10" i="3"/>
  <c r="AA10" i="2"/>
  <c r="AI13" i="4"/>
  <c r="AC13" i="4"/>
  <c r="AC49" i="4"/>
  <c r="AI49" i="4"/>
  <c r="AI29" i="4"/>
  <c r="AC29" i="4"/>
  <c r="AV12" i="4"/>
  <c r="AD12" i="4"/>
  <c r="W19" i="3"/>
  <c r="R19" i="3"/>
  <c r="U19" i="3"/>
  <c r="AD7" i="4"/>
  <c r="AV7" i="4"/>
  <c r="B86" i="2"/>
  <c r="AI38" i="4"/>
  <c r="AC38" i="4"/>
  <c r="H11" i="2"/>
  <c r="AE28" i="3" l="1"/>
  <c r="AE28" i="2"/>
  <c r="AC28" i="2"/>
  <c r="AD28" i="3"/>
  <c r="AD28" i="2"/>
  <c r="AB28" i="2"/>
  <c r="D57" i="2"/>
  <c r="C57" i="2"/>
  <c r="AE21" i="3"/>
  <c r="AE21" i="2"/>
  <c r="AD21" i="3"/>
  <c r="AD21" i="2"/>
  <c r="AB21" i="2"/>
  <c r="AC21" i="2"/>
  <c r="AV46" i="4"/>
  <c r="AD46" i="4"/>
  <c r="T19" i="3"/>
  <c r="AE49" i="4"/>
  <c r="AE22" i="4"/>
  <c r="AE53" i="4"/>
  <c r="E55" i="2"/>
  <c r="AE56" i="4"/>
  <c r="AE27" i="2"/>
  <c r="D61" i="2"/>
  <c r="AD27" i="2"/>
  <c r="AC27" i="2"/>
  <c r="AE27" i="3"/>
  <c r="AB27" i="2"/>
  <c r="C61" i="2"/>
  <c r="AD27" i="3"/>
  <c r="AE10" i="3"/>
  <c r="AB10" i="2"/>
  <c r="AE10" i="2"/>
  <c r="AC10" i="2"/>
  <c r="AD10" i="2"/>
  <c r="AD10" i="3"/>
  <c r="AE12" i="3"/>
  <c r="D53" i="2"/>
  <c r="AD12" i="2"/>
  <c r="AC12" i="2"/>
  <c r="C53" i="2"/>
  <c r="AD12" i="3"/>
  <c r="AB12" i="2"/>
  <c r="AE12" i="2"/>
  <c r="AV26" i="4"/>
  <c r="AD26" i="4"/>
  <c r="D85" i="2"/>
  <c r="AD52" i="4"/>
  <c r="AV52" i="4"/>
  <c r="AE23" i="3"/>
  <c r="AD23" i="2"/>
  <c r="AC23" i="2"/>
  <c r="AB23" i="2"/>
  <c r="AE23" i="2"/>
  <c r="AD23" i="3"/>
  <c r="AV21" i="4"/>
  <c r="AD21" i="4"/>
  <c r="AE27" i="4"/>
  <c r="AE11" i="3"/>
  <c r="AB11" i="2"/>
  <c r="AE11" i="2"/>
  <c r="AC11" i="2"/>
  <c r="AD11" i="2"/>
  <c r="AD11" i="3"/>
  <c r="AE29" i="4"/>
  <c r="AV13" i="4"/>
  <c r="AD13" i="4"/>
  <c r="AE40" i="4"/>
  <c r="AV41" i="4"/>
  <c r="AD41" i="4"/>
  <c r="R9" i="3"/>
  <c r="T9" i="3" s="1"/>
  <c r="U9" i="3"/>
  <c r="W9" i="3"/>
  <c r="AE52" i="4"/>
  <c r="AV58" i="4"/>
  <c r="AD58" i="4"/>
  <c r="AE39" i="4"/>
  <c r="AV8" i="4"/>
  <c r="AD8" i="4"/>
  <c r="C86" i="2"/>
  <c r="AV42" i="4"/>
  <c r="AD42" i="4"/>
  <c r="AE34" i="4"/>
  <c r="AV25" i="4"/>
  <c r="AD25" i="4"/>
  <c r="AV10" i="4"/>
  <c r="AD10" i="4"/>
  <c r="C56" i="2"/>
  <c r="AC17" i="2"/>
  <c r="AE17" i="3"/>
  <c r="AB17" i="2"/>
  <c r="AD17" i="2"/>
  <c r="AE17" i="2"/>
  <c r="AD17" i="3"/>
  <c r="T26" i="3"/>
  <c r="D60" i="2" s="1"/>
  <c r="W15" i="3"/>
  <c r="R15" i="3"/>
  <c r="T15" i="3" s="1"/>
  <c r="U15" i="3"/>
  <c r="AV43" i="4"/>
  <c r="AD43" i="4"/>
  <c r="AE25" i="3"/>
  <c r="AE25" i="2"/>
  <c r="AD25" i="2"/>
  <c r="AB25" i="2"/>
  <c r="AC25" i="2"/>
  <c r="AD25" i="3"/>
  <c r="AE45" i="4"/>
  <c r="AI45" i="4"/>
  <c r="AC45" i="4"/>
  <c r="AE7" i="3"/>
  <c r="AD7" i="2"/>
  <c r="AB7" i="2"/>
  <c r="AC7" i="2"/>
  <c r="AE7" i="2"/>
  <c r="AD7" i="3"/>
  <c r="AE54" i="4"/>
  <c r="AV23" i="4"/>
  <c r="AD23" i="4"/>
  <c r="C87" i="2"/>
  <c r="AE38" i="4"/>
  <c r="AV48" i="4"/>
  <c r="AD48" i="4"/>
  <c r="AV22" i="4"/>
  <c r="AD22" i="4"/>
  <c r="AE43" i="4"/>
  <c r="AV53" i="4"/>
  <c r="AD53" i="4"/>
  <c r="AE18" i="4"/>
  <c r="AC18" i="4"/>
  <c r="AI18" i="4"/>
  <c r="AE26" i="4"/>
  <c r="U16" i="3"/>
  <c r="W16" i="3"/>
  <c r="R16" i="3"/>
  <c r="T16" i="3" s="1"/>
  <c r="AV57" i="4"/>
  <c r="AD57" i="4"/>
  <c r="R13" i="3"/>
  <c r="T13" i="3" s="1"/>
  <c r="E54" i="2"/>
  <c r="U13" i="3"/>
  <c r="W13" i="3"/>
  <c r="AE42" i="4"/>
  <c r="AE21" i="4"/>
  <c r="AV54" i="4"/>
  <c r="AD54" i="4"/>
  <c r="AV36" i="4"/>
  <c r="AD36" i="4"/>
  <c r="AE25" i="4"/>
  <c r="AV27" i="4"/>
  <c r="AD27" i="4"/>
  <c r="D88" i="2"/>
  <c r="AD11" i="4"/>
  <c r="AV11" i="4"/>
  <c r="C85" i="2"/>
  <c r="AE10" i="4"/>
  <c r="AE23" i="4"/>
  <c r="R5" i="3"/>
  <c r="T5" i="3" s="1"/>
  <c r="U5" i="3"/>
  <c r="W5" i="3"/>
  <c r="E51" i="2"/>
  <c r="T24" i="3"/>
  <c r="D59" i="2" s="1"/>
  <c r="AE31" i="4"/>
  <c r="AC31" i="4"/>
  <c r="AI31" i="4"/>
  <c r="AV38" i="4"/>
  <c r="AD38" i="4"/>
  <c r="AV40" i="4"/>
  <c r="AD40" i="4"/>
  <c r="E86" i="2"/>
  <c r="G86" i="2" s="1"/>
  <c r="AE19" i="3"/>
  <c r="AD19" i="3"/>
  <c r="AD19" i="2"/>
  <c r="AC19" i="2"/>
  <c r="AB19" i="2"/>
  <c r="AE19" i="2"/>
  <c r="AV29" i="4"/>
  <c r="AD29" i="4"/>
  <c r="C84" i="2"/>
  <c r="AV49" i="4"/>
  <c r="AD49" i="4"/>
  <c r="AE13" i="4"/>
  <c r="AE41" i="4"/>
  <c r="AV56" i="4"/>
  <c r="AD56" i="4"/>
  <c r="W6" i="3"/>
  <c r="X19" i="3" s="1"/>
  <c r="R6" i="3"/>
  <c r="T6" i="3" s="1"/>
  <c r="U6" i="3"/>
  <c r="AE35" i="4"/>
  <c r="AI35" i="4"/>
  <c r="AC35" i="4"/>
  <c r="AE58" i="4"/>
  <c r="AV39" i="4"/>
  <c r="AD39" i="4"/>
  <c r="U20" i="3"/>
  <c r="W20" i="3"/>
  <c r="R20" i="3"/>
  <c r="T20" i="3" s="1"/>
  <c r="D56" i="2" s="1"/>
  <c r="AE8" i="4"/>
  <c r="AE57" i="4"/>
  <c r="T14" i="3"/>
  <c r="W22" i="3"/>
  <c r="E58" i="2"/>
  <c r="R22" i="3"/>
  <c r="T22" i="3" s="1"/>
  <c r="U22" i="3"/>
  <c r="AE18" i="3"/>
  <c r="AC18" i="2"/>
  <c r="AB18" i="2"/>
  <c r="AE18" i="2"/>
  <c r="AD18" i="2"/>
  <c r="AD18" i="3"/>
  <c r="AV34" i="4"/>
  <c r="AD34" i="4"/>
  <c r="AE36" i="4"/>
  <c r="AV33" i="4"/>
  <c r="AD33" i="4"/>
  <c r="B87" i="2"/>
  <c r="AE11" i="4"/>
  <c r="E56" i="2"/>
  <c r="AE6" i="4"/>
  <c r="AE17" i="4"/>
  <c r="AE9" i="4"/>
  <c r="AE44" i="4"/>
  <c r="AE5" i="4"/>
  <c r="AE28" i="4"/>
  <c r="AE24" i="4"/>
  <c r="AC6" i="4"/>
  <c r="AE50" i="4"/>
  <c r="AE61" i="4"/>
  <c r="AE20" i="4"/>
  <c r="AI6" i="4"/>
  <c r="AE32" i="4"/>
  <c r="AE46" i="4"/>
  <c r="AE60" i="4"/>
  <c r="AE47" i="4"/>
  <c r="AE16" i="4"/>
  <c r="AE37" i="4"/>
  <c r="AE30" i="4"/>
  <c r="AE15" i="4"/>
  <c r="AE19" i="4"/>
  <c r="AE7" i="4"/>
  <c r="AE51" i="4"/>
  <c r="AE59" i="4"/>
  <c r="AE55" i="4"/>
  <c r="AE14" i="4"/>
  <c r="AE12" i="4"/>
  <c r="T8" i="3"/>
  <c r="E87" i="2" l="1"/>
  <c r="G87" i="2" s="1"/>
  <c r="X20" i="3"/>
  <c r="X7" i="3"/>
  <c r="B85" i="2"/>
  <c r="E85" i="2" s="1"/>
  <c r="G85" i="2" s="1"/>
  <c r="X18" i="3"/>
  <c r="AE16" i="3"/>
  <c r="AC16" i="2"/>
  <c r="AB16" i="2"/>
  <c r="AD16" i="2"/>
  <c r="AD16" i="3"/>
  <c r="AE16" i="2"/>
  <c r="AE22" i="3"/>
  <c r="D58" i="2"/>
  <c r="C58" i="2"/>
  <c r="AB22" i="2"/>
  <c r="AE22" i="2"/>
  <c r="AC22" i="2"/>
  <c r="AD22" i="2"/>
  <c r="AD22" i="3"/>
  <c r="AV35" i="4"/>
  <c r="AD35" i="4"/>
  <c r="D54" i="2"/>
  <c r="C54" i="2"/>
  <c r="AE13" i="3"/>
  <c r="AB13" i="2"/>
  <c r="AE13" i="2"/>
  <c r="AC13" i="2"/>
  <c r="AD13" i="2"/>
  <c r="AD13" i="3"/>
  <c r="X16" i="3"/>
  <c r="X9" i="3"/>
  <c r="AE24" i="3"/>
  <c r="AD24" i="3"/>
  <c r="AB24" i="2"/>
  <c r="AC24" i="2"/>
  <c r="AD24" i="2"/>
  <c r="AE24" i="2"/>
  <c r="D51" i="2"/>
  <c r="C51" i="2"/>
  <c r="AE5" i="3"/>
  <c r="AE5" i="2"/>
  <c r="AC5" i="2"/>
  <c r="AB5" i="2"/>
  <c r="AD5" i="2"/>
  <c r="B11" i="2"/>
  <c r="C11" i="2"/>
  <c r="AD5" i="3"/>
  <c r="E11" i="2"/>
  <c r="D11" i="2"/>
  <c r="X24" i="3"/>
  <c r="C52" i="2"/>
  <c r="AE8" i="3"/>
  <c r="AB8" i="2"/>
  <c r="AC8" i="2"/>
  <c r="AE8" i="2"/>
  <c r="AD8" i="2"/>
  <c r="AD8" i="3"/>
  <c r="D52" i="2"/>
  <c r="AV6" i="4"/>
  <c r="AD6" i="4"/>
  <c r="B84" i="2"/>
  <c r="E84" i="2" s="1"/>
  <c r="G84" i="2" s="1"/>
  <c r="G11" i="2"/>
  <c r="AE6" i="3"/>
  <c r="AC6" i="2"/>
  <c r="AB6" i="2"/>
  <c r="AE6" i="2"/>
  <c r="AD6" i="2"/>
  <c r="AD6" i="3"/>
  <c r="AV31" i="4"/>
  <c r="AD31" i="4"/>
  <c r="C88" i="2"/>
  <c r="E88" i="2" s="1"/>
  <c r="G88" i="2" s="1"/>
  <c r="X5" i="3"/>
  <c r="X21" i="3"/>
  <c r="X28" i="3"/>
  <c r="X27" i="3"/>
  <c r="X25" i="3"/>
  <c r="X23" i="3"/>
  <c r="X10" i="3"/>
  <c r="X26" i="3"/>
  <c r="X13" i="3"/>
  <c r="AV18" i="4"/>
  <c r="AD18" i="4"/>
  <c r="AV45" i="4"/>
  <c r="AD45" i="4"/>
  <c r="AE15" i="3"/>
  <c r="AC15" i="2"/>
  <c r="AB15" i="2"/>
  <c r="AD15" i="2"/>
  <c r="AE15" i="2"/>
  <c r="AD15" i="3"/>
  <c r="C59" i="2"/>
  <c r="AE14" i="3"/>
  <c r="D55" i="2"/>
  <c r="C55" i="2"/>
  <c r="AC14" i="2"/>
  <c r="AB14" i="2"/>
  <c r="AD14" i="2"/>
  <c r="AE14" i="2"/>
  <c r="AD14" i="3"/>
  <c r="X11" i="3"/>
  <c r="AE26" i="3"/>
  <c r="AD26" i="3"/>
  <c r="AC26" i="2"/>
  <c r="AB26" i="2"/>
  <c r="AD26" i="2"/>
  <c r="AE26" i="2"/>
  <c r="X14" i="3"/>
  <c r="X22" i="3"/>
  <c r="AE20" i="3"/>
  <c r="AB20" i="2"/>
  <c r="AE20" i="2"/>
  <c r="AD20" i="3"/>
  <c r="AC20" i="2"/>
  <c r="AD20" i="2"/>
  <c r="X6" i="3"/>
  <c r="C16" i="2"/>
  <c r="C15" i="2"/>
  <c r="D19" i="2"/>
  <c r="C18" i="2"/>
  <c r="C17" i="2"/>
  <c r="D17" i="2"/>
  <c r="E18" i="2"/>
  <c r="B15" i="2"/>
  <c r="B17" i="2"/>
  <c r="C19" i="2"/>
  <c r="D18" i="2"/>
  <c r="E15" i="2"/>
  <c r="B19" i="2"/>
  <c r="F15" i="2"/>
  <c r="F17" i="2"/>
  <c r="D16" i="2"/>
  <c r="E17" i="2"/>
  <c r="D15" i="2"/>
  <c r="E19" i="2"/>
  <c r="E16" i="2"/>
  <c r="F19" i="2"/>
  <c r="B16" i="2"/>
  <c r="B18" i="2"/>
  <c r="F16" i="2"/>
  <c r="F18" i="2"/>
  <c r="X17" i="3"/>
  <c r="X12" i="3"/>
  <c r="C60" i="2"/>
  <c r="X8" i="3"/>
  <c r="X15" i="3"/>
  <c r="AD9" i="2"/>
  <c r="AC9" i="2"/>
  <c r="AE9" i="2"/>
  <c r="AE9" i="3"/>
  <c r="AB9" i="2"/>
  <c r="AD9" i="3"/>
  <c r="J80" i="2" l="1"/>
  <c r="F80" i="2"/>
  <c r="B80" i="2"/>
  <c r="H79" i="2"/>
  <c r="D79" i="2"/>
  <c r="J78" i="2"/>
  <c r="F78" i="2"/>
  <c r="B78" i="2"/>
  <c r="H77" i="2"/>
  <c r="D77" i="2"/>
  <c r="J76" i="2"/>
  <c r="F76" i="2"/>
  <c r="B76" i="2"/>
  <c r="H75" i="2"/>
  <c r="D75" i="2"/>
  <c r="J74" i="2"/>
  <c r="F74" i="2"/>
  <c r="B74" i="2"/>
  <c r="H73" i="2"/>
  <c r="D73" i="2"/>
  <c r="J72" i="2"/>
  <c r="F72" i="2"/>
  <c r="B72" i="2"/>
  <c r="H71" i="2"/>
  <c r="D71" i="2"/>
  <c r="J70" i="2"/>
  <c r="F70" i="2"/>
  <c r="B70" i="2"/>
  <c r="H69" i="2"/>
  <c r="D69" i="2"/>
  <c r="J68" i="2"/>
  <c r="F68" i="2"/>
  <c r="B68" i="2"/>
  <c r="H67" i="2"/>
  <c r="D67" i="2"/>
  <c r="J66" i="2"/>
  <c r="F66" i="2"/>
  <c r="B66" i="2"/>
  <c r="I80" i="2"/>
  <c r="E80" i="2"/>
  <c r="A80" i="2"/>
  <c r="G79" i="2"/>
  <c r="C79" i="2"/>
  <c r="I78" i="2"/>
  <c r="E78" i="2"/>
  <c r="A78" i="2"/>
  <c r="G77" i="2"/>
  <c r="C77" i="2"/>
  <c r="I76" i="2"/>
  <c r="E76" i="2"/>
  <c r="A76" i="2"/>
  <c r="G75" i="2"/>
  <c r="C75" i="2"/>
  <c r="I74" i="2"/>
  <c r="E74" i="2"/>
  <c r="A74" i="2"/>
  <c r="G73" i="2"/>
  <c r="C73" i="2"/>
  <c r="I72" i="2"/>
  <c r="E72" i="2"/>
  <c r="A72" i="2"/>
  <c r="G71" i="2"/>
  <c r="C71" i="2"/>
  <c r="I70" i="2"/>
  <c r="E70" i="2"/>
  <c r="A70" i="2"/>
  <c r="G69" i="2"/>
  <c r="C69" i="2"/>
  <c r="I68" i="2"/>
  <c r="E68" i="2"/>
  <c r="A68" i="2"/>
  <c r="G67" i="2"/>
  <c r="C67" i="2"/>
  <c r="I66" i="2"/>
  <c r="E66" i="2"/>
  <c r="A66" i="2"/>
  <c r="H80" i="2"/>
  <c r="D80" i="2"/>
  <c r="J79" i="2"/>
  <c r="F79" i="2"/>
  <c r="B79" i="2"/>
  <c r="H78" i="2"/>
  <c r="D78" i="2"/>
  <c r="J77" i="2"/>
  <c r="F77" i="2"/>
  <c r="B77" i="2"/>
  <c r="H76" i="2"/>
  <c r="D76" i="2"/>
  <c r="J75" i="2"/>
  <c r="F75" i="2"/>
  <c r="B75" i="2"/>
  <c r="H74" i="2"/>
  <c r="D74" i="2"/>
  <c r="J73" i="2"/>
  <c r="F73" i="2"/>
  <c r="B73" i="2"/>
  <c r="H72" i="2"/>
  <c r="D72" i="2"/>
  <c r="J71" i="2"/>
  <c r="F71" i="2"/>
  <c r="B71" i="2"/>
  <c r="H70" i="2"/>
  <c r="D70" i="2"/>
  <c r="J69" i="2"/>
  <c r="F69" i="2"/>
  <c r="B69" i="2"/>
  <c r="H68" i="2"/>
  <c r="D68" i="2"/>
  <c r="J67" i="2"/>
  <c r="F67" i="2"/>
  <c r="B67" i="2"/>
  <c r="H66" i="2"/>
  <c r="D66" i="2"/>
  <c r="G80" i="2"/>
  <c r="A79" i="2"/>
  <c r="E77" i="2"/>
  <c r="I75" i="2"/>
  <c r="C74" i="2"/>
  <c r="G72" i="2"/>
  <c r="A71" i="2"/>
  <c r="E69" i="2"/>
  <c r="I67" i="2"/>
  <c r="C66" i="2"/>
  <c r="I69" i="2"/>
  <c r="C80" i="2"/>
  <c r="G78" i="2"/>
  <c r="A77" i="2"/>
  <c r="E75" i="2"/>
  <c r="I73" i="2"/>
  <c r="C72" i="2"/>
  <c r="G70" i="2"/>
  <c r="A69" i="2"/>
  <c r="E67" i="2"/>
  <c r="E79" i="2"/>
  <c r="I77" i="2"/>
  <c r="C76" i="2"/>
  <c r="G74" i="2"/>
  <c r="A73" i="2"/>
  <c r="E71" i="2"/>
  <c r="C68" i="2"/>
  <c r="G66" i="2"/>
  <c r="I79" i="2"/>
  <c r="C78" i="2"/>
  <c r="G76" i="2"/>
  <c r="A75" i="2"/>
  <c r="E73" i="2"/>
  <c r="I71" i="2"/>
  <c r="C70" i="2"/>
  <c r="G68" i="2"/>
  <c r="A67" i="2"/>
  <c r="C62" i="2"/>
  <c r="D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 do tema (DM-nn).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Ambiental, Social ou Governança.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Tópico ESRS (E1–G1) ou específico da entidade.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Subtópico ESRS (ESRS 1 AR 16) ou designação interna.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Tema de sustentabilidade avaliado.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O que o tema abrange na Plasticom.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GRI Standard correspondente (interoperabilidade).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Relevância do tema para o setor de embalagens plásticas.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Onde o tema foi identificado (registos do SGA, PESTEL, SWOT, registo corporativo).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Responsável pelo tema.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Fundamento da avaliação (factos e dados que a sustentam).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Data da avaliação.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N.º de IRO do tema.
[calculado]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N.º de impactos.
[calculado]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N.º de riscos e oportunidades.
[calculado]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Maior pontuação de impacto dos IRO do tema (1–25).
[calculado]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Maior pontuação financeira dos IRO do tema (1–25).
[calculado]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Sim se algum impacto é material.
[calculado]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Sim se algum risco/oportunidade é material.
[calculado]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Resultado da dupla materialidade do tema.
[calculado]</t>
        </r>
      </text>
    </comment>
    <comment ref="U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0 sem impactos · 1 baixa · 2 monitorizar · 3 material · 4 alta (eixo da matriz).
[calculado]</t>
        </r>
      </text>
    </comment>
    <comment ref="V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0 sem riscos/oportunidades · 1 baixa · 2 monitorizar · 3 material · 4 alta.
[calculado]</t>
        </r>
      </text>
    </comment>
    <comment ref="W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Impacto máx. + financeiro máx. (0–50), para ordenar.
[calculado]</t>
        </r>
      </text>
    </comment>
    <comment ref="X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Posição por prioridade (1 = mais prioritário).
[calculado]</t>
        </r>
      </text>
    </comment>
    <comment ref="Y4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Soma dos efeitos ponderados dos riscos (€/ano, valor positivo).
[calculado]</t>
        </r>
      </text>
    </comment>
    <comment ref="Z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Soma dos efeitos ponderados das oportunidades (€/ano).
[calculado]</t>
        </r>
      </text>
    </comment>
    <comment ref="AA4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Média da relevância atribuída pelas partes interessadas (1–5).
[calculado]</t>
        </r>
      </text>
    </comment>
    <comment ref="AB4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N.º de contributos das partes interessadas.
[calculado]</t>
        </r>
      </text>
    </comment>
    <comment ref="AC4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Fração dos IRO com evidência de qualidade Alta ou Média.
[calculado]</t>
        </r>
      </text>
    </comment>
    <comment ref="AD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Divergência entre partes interessadas e avaliação, ou tema material com evidência fraca.
[calculado]</t>
        </r>
      </text>
    </comment>
    <comment ref="AE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Consequência de gestão da classificação.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Identificador do impacto, risco ou oportunidade (IRO-nnn).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Tema a que o IRO pertence.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Automático (desnormalizado para análise).
[calculado]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Automático.
[calculado]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Automático.
[calculado]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Impacto negativo, Impacto positivo, Risco ou Oportunidade.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Impacto (de dentro para fora) ou Financeira (de fora para dentro).
[calculado]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Descrição do IRO: o quê, onde e com que efeito.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Impactos: Real (já ocorre) ou Potencial.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Onde ocorre na cadeia de valor (EFRAG IG 2).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Horizonte temporal (ESRS 1 §77).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Pessoas ou elementos do ambiente afetados.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Sim se afeta pessoas em direitos humanos (saúde, segurança, trabalho).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Impactos: magnitude 1–5 (tbl_dma_escalas).</t>
        </r>
      </text>
    </comment>
    <comment ref="O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Impactos: alcance 1–5.</t>
        </r>
      </text>
    </comment>
    <comment ref="P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Impactos negativos: irremediabilidade 1–5.</t>
        </r>
      </text>
    </comment>
    <comment ref="Q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Impactos potenciais: probabilidade 1–5 (reais = 5 automático).</t>
        </r>
      </text>
    </comment>
    <comment ref="R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Média de Magnitude, Alcance e Irremediabilidade (negativos) ou de Magnitude e Alcance (positivos).
[calculado]</t>
        </r>
      </text>
    </comment>
    <comment ref="S4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5 se real; 5 se direitos humanos com gravidade ≥ prm_Grav_DH; senão a probabilidade.
[calculado]</t>
        </r>
      </text>
    </comment>
    <comment ref="T4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Gravidade × Probabilidade efetiva (1–25).
[calculado]</t>
        </r>
      </text>
    </comment>
    <comment ref="U4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Riscos/oportunidades: como o tema afeta receitas, custos, ativos ou financiamento, com os pressupostos da estimativa.</t>
        </r>
      </text>
    </comment>
    <comment ref="V4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Rubrica financeira afetada.</t>
        </r>
      </text>
    </comment>
    <comment ref="W4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Estimativa do efeito financeiro se ocorrer (€/ano ou por evento).</t>
        </r>
      </text>
    </comment>
    <comment ref="X4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Probabilidade 1–5 do efeito financeiro.</t>
        </r>
      </text>
    </comment>
    <comment ref="Y4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Banda 1–5 do efeito em € (tbl_dma_escalas).
[calculado]</t>
        </r>
      </text>
    </comment>
    <comment ref="Z4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Magnitude financeira × Probabilidade (1–25).
[calculado]</t>
        </r>
      </text>
    </comment>
    <comment ref="AA4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Efeito × probabilidade média (negativo nos riscos, positivo nas oportunidades).
[calculado]</t>
        </r>
      </text>
    </comment>
    <comment ref="AB4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Pontuação única do IRO na sua dimensão (1–25).
[calculado]</t>
        </r>
      </text>
    </comment>
    <comment ref="AC4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Sim se o score atinge o limiar da sua dimensão.
[calculado]</t>
        </r>
      </text>
    </comment>
    <comment ref="AD4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Resultado do IRO.
[calculado]</t>
        </r>
      </text>
    </comment>
    <comment ref="AE4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Posição por score (1 = maior).
[calculado]</t>
        </r>
      </text>
    </comment>
    <comment ref="AF4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Resumo das evidências (detalhe em tbl_dma_evidencias).</t>
        </r>
      </text>
    </comment>
    <comment ref="AG4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Alta (medida/verificada), Média (calculada/parcial) ou Baixa (estimativa ou lacuna).</t>
        </r>
      </text>
    </comment>
    <comment ref="AH4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N.º de evidências registadas.
[calculado]</t>
        </r>
      </text>
    </comment>
    <comment ref="AI4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Verificação de completude dos dados.
[calculado]</t>
        </r>
      </text>
    </comment>
    <comment ref="AJ4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Itens SWOT/PESTEL de origem (';').</t>
        </r>
      </text>
    </comment>
    <comment ref="AK4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Risco/oportunidade do SGA (coluna 'ID RO (SGA)' de tbRiscos/tbOportunidades).</t>
        </r>
      </text>
    </comment>
    <comment ref="AL4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ID (R/O) da linha em tbRiscos / tbOportunidades do RG-SGA-02.</t>
        </r>
      </text>
    </comment>
    <comment ref="AM4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Aspetos ambientais relacionados (';').</t>
        </r>
      </text>
    </comment>
    <comment ref="AN4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Requisitos legais relacionados (';').</t>
        </r>
      </text>
    </comment>
    <comment ref="AO4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Objetivo ambiental.</t>
        </r>
      </text>
    </comment>
    <comment ref="AP4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Indicador(es) de desempenho (';').</t>
        </r>
      </text>
    </comment>
    <comment ref="AQ4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Ações do Plano de Ações de Melhoria (';').</t>
        </r>
      </text>
    </comment>
    <comment ref="AR4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Política, ação ou controlo de resposta.</t>
        </r>
      </text>
    </comment>
    <comment ref="AS4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Responsável pelo IRO.</t>
        </r>
      </text>
    </comment>
    <comment ref="AT4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Rascunho → Validado pelo responsável → Aprovado pela Direção.</t>
        </r>
      </text>
    </comment>
    <comment ref="AU4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Data da avaliação.</t>
        </r>
      </text>
    </comment>
    <comment ref="AV4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Data da próxima revisão.
[calculado]</t>
        </r>
      </text>
    </comment>
    <comment ref="AW4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Notas e pressupostos.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Identificador da evidência (EVI-nnn).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IRO suportado.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Automático.
[calculado]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O que foi medido ou estimado.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Valor numérico (frações em 0–1).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Unidade do valor.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Período a que o valor se refere.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Registo de origem (RG-SGA-nn, registo corporativo, datasets).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ID no registo de origem (EMAS-*, KPI-*, AA-*...).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Medido, Calculado, Estimado ou Qualitativo.</t>
        </r>
      </text>
    </comment>
    <comment ref="K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Qualidade da evidência.</t>
        </r>
      </text>
    </comment>
    <comment ref="L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Pressupostos e notas.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Identificador do contributo (CON-nnn).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Data da consulta.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Grupo de partes interessadas (tbPartesInteressadas do registo corporativo).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Método de envolvimento.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N.º de participantes.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Tema comentado.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Automático.
[calculado]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Relevância atribuída pela parte interessada (1–5).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Opinião / perceção ou evidência objetiva (EFRAG IG 1).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Síntese do contributo.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Se o contributo foi considerado na avaliação.</t>
        </r>
      </text>
    </comment>
  </commentList>
</comments>
</file>

<file path=xl/sharedStrings.xml><?xml version="1.0" encoding="utf-8"?>
<sst xmlns="http://schemas.openxmlformats.org/spreadsheetml/2006/main" count="3447" uniqueCount="1421">
  <si>
    <t>RG-SGA-17 — Análise de Dupla Materialidade (DMA) — Plasticom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</si>
  <si>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</si>
  <si>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</si>
  <si>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</si>
  <si>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RG-SGA-17</t>
  </si>
  <si>
    <t>Título</t>
  </si>
  <si>
    <t>Análise de Dupla Materialidade (DMA) — Plasticom</t>
  </si>
  <si>
    <t>Versão / Revisão</t>
  </si>
  <si>
    <t>02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</si>
  <si>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</si>
  <si>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</si>
  <si>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</si>
  <si>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</si>
  <si>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</si>
  <si>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</si>
  <si>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</si>
  <si>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</si>
  <si>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</si>
  <si>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</si>
  <si>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</si>
  <si>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</si>
  <si>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</si>
  <si>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Identificar e avaliar os temas de sustentabilidade materiais para a Plasticom nas duas perspetivas — impacto (efeitos da empresa sobre pessoas e ambiente, de dentro para fora) e financeira (efeitos dos temas sobre o desempenho e a posição financeira, de fora para dentro) — ao nível de cada impacto, risco e oportunidade (IRO), com critérios parametrizados, evidências rastreáveis, contributos das partes interessadas e ligação às decisões do SGA. Revisão 02: substitui a folha única 28_Dupla_Materialidade (12 temas, sem IRO nem evidências).</t>
  </si>
  <si>
    <t>Atividades do curso</t>
  </si>
  <si>
    <t>Complemento ESG do SGA (não é atividade do curso): dupla materialidade para priorizar temas, riscos e oportunidades de sustentabilidade.</t>
  </si>
  <si>
    <t>Requisitos ISO 14001:2026</t>
  </si>
  <si>
    <t>4.1 Contexto; 4.2 Partes interessadas; 6.1.1–6.1.4 Aspetos, obrigações, riscos e oportunidades (integração)</t>
  </si>
  <si>
    <t>ESTRUTURA DO FICHEIRO</t>
  </si>
  <si>
    <t>Painel</t>
  </si>
  <si>
    <t>Painel interativo: filtros, indicadores, matriz de dupla materialidade, gráfico dinâmico, ranking, resumo por tópico ESRS e tabela dinâmica com segmentações de dados.</t>
  </si>
  <si>
    <t>Temas</t>
  </si>
  <si>
    <t>Temas de sustentabilidade com a materialidade agregada a partir dos IRO (1 linha por tema).</t>
  </si>
  <si>
    <t>IRO</t>
  </si>
  <si>
    <t>Impactos, riscos e oportunidades (IRO) — unidade de avaliação da dupla materialidade (1 linha por IRO).</t>
  </si>
  <si>
    <t>Evidencias</t>
  </si>
  <si>
    <t>Evidências quantitativas e qualitativas que sustentam cada IRO (instantâneo dos registos do SGA à data da avaliação).</t>
  </si>
  <si>
    <t>Consultas</t>
  </si>
  <si>
    <t>Contributos das partes interessadas por tema (1 linha por contributo; formato longo para análise).</t>
  </si>
  <si>
    <t>Listas</t>
  </si>
  <si>
    <t>Domínios de validação e, abaixo, as tabelas de critérios (tbl_dma_escalas) e de parâmetros (tbl_dma_parametros) com os limiares lidos pelas fórmulas — alterar aqui recalcula toda a análise.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</si>
  <si>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</si>
  <si>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</si>
  <si>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</si>
  <si>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</si>
  <si>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</si>
  <si>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</si>
  <si>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</si>
  <si>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</si>
  <si>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</si>
  <si>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</si>
  <si>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</si>
  <si>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</si>
  <si>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</si>
  <si>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</si>
  <si>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</si>
  <si>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</si>
  <si>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RG-SGA-01 Contexto</t>
  </si>
  <si>
    <t>IDs_Contexto → SWOT (SWT-*) e PESTEL (PES-*).</t>
  </si>
  <si>
    <t>RG-SGA-02 Riscos e oportunidades</t>
  </si>
  <si>
    <t>ID_RO → coluna 'ID RO (SGA)' e ID_Registo_Corporativo → coluna 'ID' de tbRiscos / tbOportunidades.</t>
  </si>
  <si>
    <t>RG-SGA-03 Aspetos</t>
  </si>
  <si>
    <t>IDs_Aspetos → tbl_aspetos (significância ISO 14001).</t>
  </si>
  <si>
    <t>RG-SGA-04 Legal</t>
  </si>
  <si>
    <t>ID_Legal → tbl_legal.</t>
  </si>
  <si>
    <t>RG-SGA-05 Objetivos e KPI</t>
  </si>
  <si>
    <t>ID_OBJ → tbl_objetivos; ID_KPI → tbl_kpi.</t>
  </si>
  <si>
    <t>RG-SGA-06 PAM</t>
  </si>
  <si>
    <t>ID_PAM → tbl_pam.</t>
  </si>
  <si>
    <t>RG-SGA-16 EMAS</t>
  </si>
  <si>
    <t>Evidências quantitativas (EMAS-*) — instantâneo à data da avaliação.</t>
  </si>
  <si>
    <t>RG-SGA-02 — avaliação corporativa</t>
  </si>
  <si>
    <t>Linha equivalente em tbRiscos / tbOportunidades: avaliação 5×5, inerente, BowTie e KRI.</t>
  </si>
  <si>
    <t>METODOLOGIA (EFRAG IG 1 — processo em 4 passos, adaptado ao SGA)</t>
  </si>
  <si>
    <t>1. Contexto e âmbito</t>
  </si>
  <si>
    <t>Operações próprias da Unidade 1 e cadeia de valor (fornecedores de polímero, transporte, clientes de cosmética, alimentar e farmacêutica, fim de vida). Período de referência: set/2025 a ago/2026. Finalidade: gestão (SGA, riscos, pedidos ESG de clientes), não reporte obrigatório.</t>
  </si>
  <si>
    <t>2. Identificação</t>
  </si>
  <si>
    <t>Lista de temas a partir dos tópicos ESRS (ESRS 1 AR 16) + temas específicos da entidade, cruzada com o contexto (RG-SGA-01), aspetos ambientais (RG-SGA-03), requisitos legais (RG-SGA-04), riscos e oportunidades (RG-SGA-02 e registo corporativo) e consulta às partes interessadas.</t>
  </si>
  <si>
    <t>3. Avaliação</t>
  </si>
  <si>
    <t>Cada IRO é avaliado numa só dimensão. Impacto: Gravidade = média de Magnitude, Alcance e Irremediabilidade (esta só nos negativos); Score_Impacto = Gravidade × Probabilidade efetiva (real = 5; direitos humanos com gravidade ≥ prm_Grav_DH = 5). Financeira: Magnitude pelas bandas em € (tbl_dma_escalas); Score_Financeiro = Magnitude × Probabilidade. Material se o score ≥ limiar (prm_Limiar_*).</t>
  </si>
  <si>
    <t>4. Consolidação</t>
  </si>
  <si>
    <t>Um tema é material se pelo menos um IRO for material: Dupla materialidade (ambas), Material — impacto, Material — financeira ou Não material. As partes interessadas informam a avaliação mas não entram na fórmula; divergências geram alerta (Alerta_Consistencia).</t>
  </si>
  <si>
    <t>Aplicabilidade legal</t>
  </si>
  <si>
    <t>Com ≈ 150 trabalhadores e ≈ 3,7 M€ de faturação, a Plasticom está fora do âmbito obrigatório da CSRD/ESRS; a DMA é voluntária e pode alimentar a norma voluntária para PME (VSME) e os pedidos ESG de clientes. O âmbito da CSRD está a ser alterado pelo processo de simplificação europeu (Omnibus): confirmar a legislação em vigor à data de uso.</t>
  </si>
  <si>
    <t>ISO 14001 ≠ DMA</t>
  </si>
  <si>
    <t>A significância dos aspetos ambientais (IRA) e a materialidade de impacto usam critérios e âmbitos diferentes: ex. o ruído dos compressores é aspeto significativo no SGA mas não material na DMA. Os dados são partilhados pelas chaves (IDs_Aspetos, ID_RO, ID_Legal, ID_OBJ, ID_PAM).</t>
  </si>
  <si>
    <t>Referências</t>
  </si>
  <si>
    <t>EFRAG IG 1 Materiality Assessment (2024); EFRAG IG 2 Value Chain (2024); ESRS 1 §43–51 e AR 16; GRI 3 Material Topics (2021); IFRS S1 (materialidade financeira); ISO 14001:2026 cláusulas 4.1, 4.2, 6.1.</t>
  </si>
  <si>
    <t>Limitações</t>
  </si>
  <si>
    <t>Avaliação simulada da fábrica fictícia Plasticom: pontuações, estimativas em € e contributos das partes interessadas são hipóteses didáticas a validar. Emissões do âmbito 3 estimadas por fator médio. Lacunas de dados sinalizadas com Qualidade_Evidencia = Baixa.</t>
  </si>
  <si>
    <t>Uso em análise de dados</t>
  </si>
  <si>
    <t>Juntar tbl_dma_iro a tbl_dma_temas por ID_Tema; tbl_dma_evidencias por ID_IRO; tbl_dma_consultas por ID_Tema. Chaves externas: ID_RO e ID_Registo_Corporativo → RG-SGA-02 (tbRiscos/tbOportunidades); IDs_Aspetos → RG-SGA-03; ID_Legal → RG-SGA-04; ID_OBJ/ID_KPI → RG-SGA-05; ID_PAM → RG-SGA-06. Campos com vários IDs usam ';'.</t>
  </si>
  <si>
    <t>PAINEL DE DUPLA MATERIALIDADE — PLASTICOM</t>
  </si>
  <si>
    <t>Escolha os filtros nas células amarelas (lista pendente). Indicadores, matriz, resumo e gráfico recalculam-se. A tabela dinâmica no fim tem segmentações de dados (Dados &gt; Atualizar tudo após editar as tabelas).</t>
  </si>
  <si>
    <t>Dados auxiliares do gráfico (não editar)</t>
  </si>
  <si>
    <t>FILTROS  ('(Todos)' = sem filtro · Pilar e Tópico aplicam-se a temas e IRO; Etapa, Horizonte e Tipo só aos IRO)</t>
  </si>
  <si>
    <t>ID</t>
  </si>
  <si>
    <t>Financeira (x)</t>
  </si>
  <si>
    <t>Dupla materialidade</t>
  </si>
  <si>
    <t>Material — impacto</t>
  </si>
  <si>
    <t>Material — financeira</t>
  </si>
  <si>
    <t>Não material</t>
  </si>
  <si>
    <t>Pilar</t>
  </si>
  <si>
    <t>Tópico ESRS</t>
  </si>
  <si>
    <t>Etapa da cadeia de valor</t>
  </si>
  <si>
    <t>Horizonte temporal</t>
  </si>
  <si>
    <t>Tipo de IRO</t>
  </si>
  <si>
    <t>(Todos)</t>
  </si>
  <si>
    <t>← critérios usados nas fórmulas</t>
  </si>
  <si>
    <t>INDICADORES (com filtros)</t>
  </si>
  <si>
    <t>Temas avaliados</t>
  </si>
  <si>
    <t>IRO avaliados</t>
  </si>
  <si>
    <t>IRO materiais</t>
  </si>
  <si>
    <t>Efeito financeiro ponderado líquido (€/ano)</t>
  </si>
  <si>
    <t>IRO com evidência de qualidade Alta</t>
  </si>
  <si>
    <t>IRO aprovados pela Direção</t>
  </si>
  <si>
    <t>MATRIZ DE DUPLA MATERIALIDADE — n.º de temas por banda (filtros Pilar e Tópico)</t>
  </si>
  <si>
    <t>Impacto ↓  ·  Financeira →</t>
  </si>
  <si>
    <t>Vermelho = dupla materialidade · laranja = material numa dimensão · amarelo = monitorizar · verde = baixa · cinzento = sem IRO nessa dimensão</t>
  </si>
  <si>
    <t>Sem IRO de impacto</t>
  </si>
  <si>
    <t>GRÁFICO — MATRIZ DE DUPLA MATERIALIDADE POR TEMA (dinâmico com os filtros Pilar e Tópico; rótulo = ID do tema)</t>
  </si>
  <si>
    <t>Limiares</t>
  </si>
  <si>
    <t>RESUMO POR TÓPICO ESRS</t>
  </si>
  <si>
    <t>Temas materiais</t>
  </si>
  <si>
    <t>Impacto máx.</t>
  </si>
  <si>
    <t>Financeiro máx.</t>
  </si>
  <si>
    <t>Exposição a riscos (€/ano)</t>
  </si>
  <si>
    <t>Oportunidades (€/ano)</t>
  </si>
  <si>
    <t>Relevância média p/ partes interessadas</t>
  </si>
  <si>
    <t>E1 Alterações climáticas</t>
  </si>
  <si>
    <t>E2 Poluição</t>
  </si>
  <si>
    <t>E3 Água e recursos marinhos</t>
  </si>
  <si>
    <t>E4 Biodiversidade e ecossistemas</t>
  </si>
  <si>
    <t>E5 Uso de recursos e economia circular</t>
  </si>
  <si>
    <t>S1 Trabalhadores próprios</t>
  </si>
  <si>
    <t>S2 Trabalhadores da cadeia de valor</t>
  </si>
  <si>
    <t>S3 Comunidades afetadas</t>
  </si>
  <si>
    <t>S4 Consumidores e utilizadores finais</t>
  </si>
  <si>
    <t>G1 Conduta empresarial</t>
  </si>
  <si>
    <t>Específico da entidade</t>
  </si>
  <si>
    <t>Total</t>
  </si>
  <si>
    <t>TOP 15 TEMAS POR PRIORIDADE (impacto máx. + financeiro máx.; sem filtros)</t>
  </si>
  <si>
    <t>Tema</t>
  </si>
  <si>
    <t>Classificação</t>
  </si>
  <si>
    <t>Relevância p/ partes</t>
  </si>
  <si>
    <t>Alerta de consistência</t>
  </si>
  <si>
    <t>IRO MATERIAIS POR ETAPA DA CADEIA DE VALOR × HORIZONTE (filtros Pilar, Tópico e Tipo)</t>
  </si>
  <si>
    <t>Curto prazo (≤ 1 ano)</t>
  </si>
  <si>
    <t>Médio prazo (1–5 anos)</t>
  </si>
  <si>
    <t>Longo prazo (&gt; 5 anos)</t>
  </si>
  <si>
    <t>% materiais</t>
  </si>
  <si>
    <t>Upstream — fornecedores</t>
  </si>
  <si>
    <t>Operações próprias</t>
  </si>
  <si>
    <t>Downstream — distribuição</t>
  </si>
  <si>
    <t>Downstream — utilização</t>
  </si>
  <si>
    <t>Downstream — fim de vida</t>
  </si>
  <si>
    <t>ANÁLISE DINÂMICA — tabela dinâmica de tbl_dma_iro com segmentações de dados (clique nos botões para filtrar)</t>
  </si>
  <si>
    <t>Criada no pós-processamento do Excel; se não aparecer, execute: python build_17_dupla_materialidade.py &lt;ficheiro&gt;.</t>
  </si>
  <si>
    <t>TEMAS DE SUSTENTABILIDADE — MATERIALIDADE AGREGADA</t>
  </si>
  <si>
    <t>Um tema é material se pelo menos um IRO for material · Cabeçalho cinzento = calculado · Linhas vazias no fim = reserva para novos temas</t>
  </si>
  <si>
    <t>ID_Tema</t>
  </si>
  <si>
    <t>ESRS_Topico</t>
  </si>
  <si>
    <t>Subtopico_ESRS</t>
  </si>
  <si>
    <t>Descricao</t>
  </si>
  <si>
    <t>Referencia_GRI</t>
  </si>
  <si>
    <t>Relevancia_Setorial</t>
  </si>
  <si>
    <t>Fonte_Identificacao</t>
  </si>
  <si>
    <t>Dono</t>
  </si>
  <si>
    <t>Justificacao_Avaliacao</t>
  </si>
  <si>
    <t>Data_Avaliacao</t>
  </si>
  <si>
    <t>N_IRO</t>
  </si>
  <si>
    <t>N_Impactos</t>
  </si>
  <si>
    <t>N_Riscos_Oportunidades</t>
  </si>
  <si>
    <t>Score_Impacto_Max</t>
  </si>
  <si>
    <t>Score_Financeiro_Max</t>
  </si>
  <si>
    <t>Material_Impacto</t>
  </si>
  <si>
    <t>Material_Financeiro</t>
  </si>
  <si>
    <t>Classificacao</t>
  </si>
  <si>
    <t>Banda_Impacto</t>
  </si>
  <si>
    <t>Banda_Financeira</t>
  </si>
  <si>
    <t>Indice_Prioridade</t>
  </si>
  <si>
    <t>Ranking</t>
  </si>
  <si>
    <t>Exposicao_Risco_EUR</t>
  </si>
  <si>
    <t>Potencial_Oportunidade_EUR</t>
  </si>
  <si>
    <t>Relevancia_Partes_Interessadas</t>
  </si>
  <si>
    <t>N_Contributos</t>
  </si>
  <si>
    <t>Cobertura_Evidencia</t>
  </si>
  <si>
    <t>Alerta_Consistencia</t>
  </si>
  <si>
    <t>Decisao_Gestao</t>
  </si>
  <si>
    <t>DM-01</t>
  </si>
  <si>
    <t>Ambiental</t>
  </si>
  <si>
    <t>Mitigação das alterações climáticas</t>
  </si>
  <si>
    <t>Emissões de GEE (âmbitos 1, 2 e 3)</t>
  </si>
  <si>
    <t>Emissões diretas e indiretas de gases com efeito de estufa na operação e na cadeia de valor (polímeros, transporte).</t>
  </si>
  <si>
    <t>GRI 305</t>
  </si>
  <si>
    <t>Alta</t>
  </si>
  <si>
    <t>RG-SGA-03 (AA-002, AA-007, AA-010, AA-040); PES-01; tbl_emas EMAS-06</t>
  </si>
  <si>
    <t>Gestor do SGA / EHS (Responsável Ambiental)</t>
  </si>
  <si>
    <t>Processo 100% elétrico (≈ 7,8 GWh/ano) e 712 t/ano de polímero virgem: as emissões do âmbito 3 a montante superam as do âmbito 2; clientes europeus começam a pedir pegada de carbono.</t>
  </si>
  <si>
    <t>DM-02</t>
  </si>
  <si>
    <t>Energia</t>
  </si>
  <si>
    <t>Consumo e eficiência energética</t>
  </si>
  <si>
    <t>Consumo de eletricidade da injeção, sopro, compressores e utilidades; quota renovável e autoconsumo.</t>
  </si>
  <si>
    <t>GRI 302</t>
  </si>
  <si>
    <t>RG-SGA-03 (AA-007, AA-010, AA-021, AA-030); PES-02; SWT-F02; SWT-W01</t>
  </si>
  <si>
    <t>Diretor Industrial</t>
  </si>
  <si>
    <t>A eletricidade é o 2.º maior custo variável; sem submedição por processo, a eficiência não é demonstrável.</t>
  </si>
  <si>
    <t>DM-03</t>
  </si>
  <si>
    <t>Adaptação às alterações climáticas</t>
  </si>
  <si>
    <t>Resiliência a ondas de calor, seca e incêndio</t>
  </si>
  <si>
    <t>Riscos físicos agudos e crónicos sobre a operação: carga térmica, água de arrefecimento, incêndio rural.</t>
  </si>
  <si>
    <t>GRI 201-2</t>
  </si>
  <si>
    <t>Média</t>
  </si>
  <si>
    <t>PES-08; PES-09; PES-10; SWT-T01; RO-04; RO-08</t>
  </si>
  <si>
    <t>Verões de 2025 e 2026 com anomalia de +1,6 a +2,2 °C; proximidade ao Pinhal de Leiria.</t>
  </si>
  <si>
    <t>DM-04</t>
  </si>
  <si>
    <t>Poluição do ar</t>
  </si>
  <si>
    <t>Emissões de COV da serigrafia</t>
  </si>
  <si>
    <t>Emissão difusa de compostos orgânicos voláteis na limpeza de ecrãs e na impressão serigráfica.</t>
  </si>
  <si>
    <t>GRI 305-7</t>
  </si>
  <si>
    <t>RG-SGA-03 (AA-014 — AAS, AA-006); LEG-04; OBJ-03</t>
  </si>
  <si>
    <t>Único aspeto ambiental significativo de processo (IRA 40); 1,95 t de COV/ano (balanço do RG-SGA-21).</t>
  </si>
  <si>
    <t>DM-05</t>
  </si>
  <si>
    <t>Poluição da água e do solo</t>
  </si>
  <si>
    <t>Derrames e descargas</t>
  </si>
  <si>
    <t>Derrames de tintas, solventes e óleos; purga da torre de arrefecimento; águas de combate a incêndio.</t>
  </si>
  <si>
    <t>GRI 303-4; GRI 306-3</t>
  </si>
  <si>
    <t>RG-SGA-03 (AA-005, AA-009, AA-013, AA-024); RO-10; NC-SGA-26-03</t>
  </si>
  <si>
    <t>NC do kit antipoluição em 2026 mostra fragilidade de controlo, mas os volumes em causa são pequenos e contidos.</t>
  </si>
  <si>
    <t>DM-06</t>
  </si>
  <si>
    <t>Microplásticos</t>
  </si>
  <si>
    <t>Perdas de granulado de plástico</t>
  </si>
  <si>
    <t>Perdas de pellets na descarga de silos e big bags que podem chegar à rede pluvial e ao meio aquático.</t>
  </si>
  <si>
    <t>GRI 306</t>
  </si>
  <si>
    <t>RG-SGA-03 (AA-003); PES-11; PES-13; RO-07; OBJ-06</t>
  </si>
  <si>
    <t>Impacto persistente e novo regulamento europeu de perdas de granulado; só 43% dos pontos críticos têm contenção.</t>
  </si>
  <si>
    <t>DM-07</t>
  </si>
  <si>
    <t>Substâncias que suscitam preocupação</t>
  </si>
  <si>
    <t>Substâncias perigosas em tintas e aditivos</t>
  </si>
  <si>
    <t>Uso de tintas, solventes e aditivos classificados (CLP) e restrições a substâncias em embalagens (PPWR, REACH).</t>
  </si>
  <si>
    <t>GRI 416</t>
  </si>
  <si>
    <t>RG-SGA-03 (AA-015); LEG-06; LEG-09; PES-12</t>
  </si>
  <si>
    <t>Responsável de R&amp;D</t>
  </si>
  <si>
    <t>Quantidades baixas (≈ 1,1 t de tinta/ano) e FDS disponíveis; vigiar restrições PFAS em contacto alimentar.</t>
  </si>
  <si>
    <t>DM-08</t>
  </si>
  <si>
    <t>Água</t>
  </si>
  <si>
    <t>Consumo de água</t>
  </si>
  <si>
    <t>Água de rede para reposição da torre de arrefecimento e uso sanitário, numa região com seca sazonal.</t>
  </si>
  <si>
    <t>GRI 303</t>
  </si>
  <si>
    <t>RG-SGA-03 (AA-023, AA-035); PES-09; OBJ-05; tbl_emas EMAS-03</t>
  </si>
  <si>
    <t>Gerente de Manutenção</t>
  </si>
  <si>
    <t>9.384 m³/ano, dos quais 81% na torre; consumo cresce com a temperatura.</t>
  </si>
  <si>
    <t>DM-09</t>
  </si>
  <si>
    <t>Biodiversidade e ecossistemas</t>
  </si>
  <si>
    <t>Ocupação do solo e plástico no meio natural</t>
  </si>
  <si>
    <t>Impermeabilização do terreno e escape de embalagens para o meio natural e marinho no fim de vida.</t>
  </si>
  <si>
    <t>GRI 304</t>
  </si>
  <si>
    <t>RG-SGA-03 (AA-033, AA-043); PES-10; tbl_emas EMAS-05</t>
  </si>
  <si>
    <t>O impacto relevante está a jusante (lixo plástico), não no local.</t>
  </si>
  <si>
    <t>DM-10</t>
  </si>
  <si>
    <t>Entradas de recursos</t>
  </si>
  <si>
    <t>Polímeros virgens e conteúdo reciclado</t>
  </si>
  <si>
    <t>Dependência de polímeros de origem fóssil; acesso a PCR/rPET de qualidade; reintegração de scrap.</t>
  </si>
  <si>
    <t>GRI 301</t>
  </si>
  <si>
    <t>RG-SGA-03 (AA-001, AA-020); SWT-W02; SWT-T02; PES-03; RO-05; RO-11</t>
  </si>
  <si>
    <t>Responsável de Compras</t>
  </si>
  <si>
    <t>88% do polímero é virgem; metas de conteúdo reciclado do PPWR para 2030.</t>
  </si>
  <si>
    <t>DM-11</t>
  </si>
  <si>
    <t>Saídas de recursos — produtos e embalagens</t>
  </si>
  <si>
    <t>Reciclabilidade e conformidade PPWR das embalagens</t>
  </si>
  <si>
    <t>Design for recycling, reciclabilidade, documentação técnica e declaração UE de conformidade das embalagens.</t>
  </si>
  <si>
    <t>GRI 301-3</t>
  </si>
  <si>
    <t>RG-SGA-03 (AA-037, AA-038 — AAS, AA-043); PES-04; PES-07; PES-12; SWT-O01; RO-03; RO-06</t>
  </si>
  <si>
    <t>Aspeto de maior IRA do SGA (60); só 41% das famílias com documentação PPWR.</t>
  </si>
  <si>
    <t>DM-12</t>
  </si>
  <si>
    <t>Resíduos</t>
  </si>
  <si>
    <t>Resíduos da produção</t>
  </si>
  <si>
    <t>Scrap, embalagens de matérias-primas, resíduos perigosos (tintas, óleos) e indiferenciados.</t>
  </si>
  <si>
    <t>RG-SGA-03 (AA-004, AA-008, AA-011, AA-016, AA-026, AA-028, AA-029); PES-14</t>
  </si>
  <si>
    <t>130,6 t/ano com valorização elevada; 2,1 t de perigosos.</t>
  </si>
  <si>
    <t>DM-13</t>
  </si>
  <si>
    <t>Social</t>
  </si>
  <si>
    <t>Saúde e segurança</t>
  </si>
  <si>
    <t>Saúde e segurança no trabalho</t>
  </si>
  <si>
    <t>Riscos mecânicos na troca de molde e setup; exposição a solventes; ruído; turnos.</t>
  </si>
  <si>
    <t>GRI 403</t>
  </si>
  <si>
    <t>Registo corporativo R28, R29; tbPartesInteressadas (Colaboradores)</t>
  </si>
  <si>
    <t>Responsável de Recursos Humanos</t>
  </si>
  <si>
    <t>Riscos de lesão grave e irreversível: a gravidade prevalece sobre a probabilidade (direitos humanos).</t>
  </si>
  <si>
    <t>DM-14</t>
  </si>
  <si>
    <t>Condições de trabalho</t>
  </si>
  <si>
    <t>Condições de trabalho e disponibilidade de pessoas</t>
  </si>
  <si>
    <t>Trabalho por turnos, fadiga, retenção e indisponibilidade de operadores.</t>
  </si>
  <si>
    <t>GRI 401</t>
  </si>
  <si>
    <t>Registo corporativo R9, R23; tbl_producao_mensal (paragens)</t>
  </si>
  <si>
    <t>Indisponibilidade de operadores é a 1.ª causa de paragem não planeada.</t>
  </si>
  <si>
    <t>DM-15</t>
  </si>
  <si>
    <t>Formação e desenvolvimento de competências</t>
  </si>
  <si>
    <t>Formação e competências</t>
  </si>
  <si>
    <t>Competências técnicas, ambientais e de qualidade dos trabalhadores próprios.</t>
  </si>
  <si>
    <t>GRI 404</t>
  </si>
  <si>
    <t>RG-SGA-08 (matriz de competências, registo de formação)</t>
  </si>
  <si>
    <t>Matriz de competências em vigor; polivalência ainda limitada.</t>
  </si>
  <si>
    <t>DM-16</t>
  </si>
  <si>
    <t>Igualdade de tratamento e oportunidades</t>
  </si>
  <si>
    <t>Igualdade e não discriminação</t>
  </si>
  <si>
    <t>Igualdade salarial, representação em chefias, inclusão.</t>
  </si>
  <si>
    <t>GRI 405</t>
  </si>
  <si>
    <t>Baixa</t>
  </si>
  <si>
    <t>Checklist ESRS S1 (sem dados internos)</t>
  </si>
  <si>
    <t>Lacuna de dados: sem indicadores de disparidade salarial nem de representação.</t>
  </si>
  <si>
    <t>DM-17</t>
  </si>
  <si>
    <t>Condições de trabalho na cadeia de valor</t>
  </si>
  <si>
    <t>Trabalhadores da cadeia de valor</t>
  </si>
  <si>
    <t>Condições de trabalho na recolha e triagem de resíduos plásticos (PCR) e na logística subcontratada.</t>
  </si>
  <si>
    <t>GRI 414</t>
  </si>
  <si>
    <t>RG-SGA-11 (fornecedores); SWT-T02</t>
  </si>
  <si>
    <t>Sem diligência devida sobre a origem do PCR: impacto potencial com dados insuficientes.</t>
  </si>
  <si>
    <t>DM-18</t>
  </si>
  <si>
    <t>Comunidades locais</t>
  </si>
  <si>
    <t>Relação com a comunidade local</t>
  </si>
  <si>
    <t>Ruído, tráfego, risco de incêndio e emprego local na Marinha Grande.</t>
  </si>
  <si>
    <t>GRI 413</t>
  </si>
  <si>
    <t>RG-SGA-03 (AA-022 — AAS, AA-034); PES-05; RO-12; RO-08</t>
  </si>
  <si>
    <t>Habitações a ~250 m; compressores novos sem avaliação acústica; ≈ 150 postos de trabalho locais.</t>
  </si>
  <si>
    <t>DM-19</t>
  </si>
  <si>
    <t>Saúde e segurança dos consumidores</t>
  </si>
  <si>
    <t>Segurança do produto (contacto alimentar, farmacêutico e cosmético)</t>
  </si>
  <si>
    <t>Migração de substâncias, contaminação e conformidade de materiais em contacto com alimentos e medicamentos.</t>
  </si>
  <si>
    <t>Registo corporativo R11, R16; expansão das linhas alimentar e farmacêutica</t>
  </si>
  <si>
    <t>Gerente da Qualidade</t>
  </si>
  <si>
    <t>Consumidores finais expostos; a expansão para alimentar e farmacêutico aumenta a exigência.</t>
  </si>
  <si>
    <t>DM-20</t>
  </si>
  <si>
    <t>Informação aos consumidores</t>
  </si>
  <si>
    <t>Alegações ambientais e informação ao cliente</t>
  </si>
  <si>
    <t>Veracidade de alegações de reciclabilidade e conteúdo reciclado (Diretiva (UE) 2024/825).</t>
  </si>
  <si>
    <t>GRI 417</t>
  </si>
  <si>
    <t>PES-15; RO-05; registo corporativo R36</t>
  </si>
  <si>
    <t>Alegações de PCR sem certificação de fornecedores spot.</t>
  </si>
  <si>
    <t>DM-21</t>
  </si>
  <si>
    <t>Governança</t>
  </si>
  <si>
    <t>Cultura empresarial e conformidade</t>
  </si>
  <si>
    <t>Conformidade legal e conduta ética</t>
  </si>
  <si>
    <t>Cumprimento das obrigações de conformidade ambiental e de SST, anticorrupção e cultura de integridade.</t>
  </si>
  <si>
    <t>GRI 2-27; GRI 205</t>
  </si>
  <si>
    <t>RG-SGA-04 (14 diplomas); registo corporativo R31, R32</t>
  </si>
  <si>
    <t>Diretor Geral (Gestão de Topo)</t>
  </si>
  <si>
    <t>Título de recursos hídricos por confirmar e fiscalização de resíduos reforçada.</t>
  </si>
  <si>
    <t>DM-22</t>
  </si>
  <si>
    <t>Gestão das relações com fornecedores</t>
  </si>
  <si>
    <t>Gestão e avaliação de fornecedores</t>
  </si>
  <si>
    <t>Qualificação, avaliação ESG, dependência de fornecedores spot e práticas de pagamento.</t>
  </si>
  <si>
    <t>GRI 308; GRI 414</t>
  </si>
  <si>
    <t>RG-SGA-11; SWT-W02; RO-05; registo corporativo R13</t>
  </si>
  <si>
    <t>Lotes fora de especificação do SUP-005 e compras spot sem avaliação ambiental.</t>
  </si>
  <si>
    <t>DM-23</t>
  </si>
  <si>
    <t>Qualidade e fiabilidade do produto</t>
  </si>
  <si>
    <t>Qualidade do produto e custo da não-qualidade</t>
  </si>
  <si>
    <t>Rejeição, refação de lotes, reclamações e capacidade de processo.</t>
  </si>
  <si>
    <t>—</t>
  </si>
  <si>
    <t>Registo corporativo R16, R17, R24; raio-X analítico (datasets/silver)</t>
  </si>
  <si>
    <t>Taxa de rejeição 2,39% contra meta de 2,0%; 0% dos grupos com Cpk ≥ 1,33.</t>
  </si>
  <si>
    <t>DM-24</t>
  </si>
  <si>
    <t>Dados, digitalização e cibersegurança</t>
  </si>
  <si>
    <t>Dados industriais e cibersegurança</t>
  </si>
  <si>
    <t>Disponibilidade e integridade do warehouse de dados, sistemas OT e uso de dados para decisões ESG.</t>
  </si>
  <si>
    <t>GRI 418</t>
  </si>
  <si>
    <t>SWT-F01; RO-01; registo corporativo R26, O3</t>
  </si>
  <si>
    <t>Força de dados industriais; dependência crescente do pipeline de dados.</t>
  </si>
  <si>
    <t>IMPACTOS, RISCOS E OPORTUNIDADES (IRO) — AVALIAÇÃO DE DUPLA MATERIALIDADE</t>
  </si>
  <si>
    <t>Impacto: Gravidade × Probabilidade efetiva · Financeira: Magnitude (€) × Probabilidade · Material se ≥ limiar (folha Listas) · Cinzento = calculado</t>
  </si>
  <si>
    <t>ID_IRO</t>
  </si>
  <si>
    <t>Tipo_IRO</t>
  </si>
  <si>
    <t>Dimensao</t>
  </si>
  <si>
    <t>Natureza</t>
  </si>
  <si>
    <t>Etapa_Cadeia_Valor</t>
  </si>
  <si>
    <t>Horizonte</t>
  </si>
  <si>
    <t>Afetados</t>
  </si>
  <si>
    <t>Direitos_Humanos</t>
  </si>
  <si>
    <t>Magnitude</t>
  </si>
  <si>
    <t>Alcance</t>
  </si>
  <si>
    <t>Irremediabilidade</t>
  </si>
  <si>
    <t>Probabilidade</t>
  </si>
  <si>
    <t>Gravidade</t>
  </si>
  <si>
    <t>Probabilidade_Efetiva</t>
  </si>
  <si>
    <t>Score_Impacto</t>
  </si>
  <si>
    <t>Mecanismo_Financeiro</t>
  </si>
  <si>
    <t>Rubrica_Financeira</t>
  </si>
  <si>
    <t>Efeito_Financeiro_EUR_Ano</t>
  </si>
  <si>
    <t>Probabilidade_Financeira</t>
  </si>
  <si>
    <t>Magnitude_Financeira</t>
  </si>
  <si>
    <t>Score_Financeiro</t>
  </si>
  <si>
    <t>Efeito_Ponderado_EUR</t>
  </si>
  <si>
    <t>Score</t>
  </si>
  <si>
    <t>Material</t>
  </si>
  <si>
    <t>Classificacao_IRO</t>
  </si>
  <si>
    <t>Ranking_IRO</t>
  </si>
  <si>
    <t>Evidencia_Resumo</t>
  </si>
  <si>
    <t>Qualidade_Evidencia</t>
  </si>
  <si>
    <t>N_Evidencias</t>
  </si>
  <si>
    <t>Controlo_Qualidade</t>
  </si>
  <si>
    <t>IDs_Contexto</t>
  </si>
  <si>
    <t>ID_RO</t>
  </si>
  <si>
    <t>ID_Registo_Corporativo</t>
  </si>
  <si>
    <t>IDs_Aspetos</t>
  </si>
  <si>
    <t>ID_Legal</t>
  </si>
  <si>
    <t>ID_OBJ</t>
  </si>
  <si>
    <t>ID_KPI</t>
  </si>
  <si>
    <t>ID_PAM</t>
  </si>
  <si>
    <t>Resposta_Gestao</t>
  </si>
  <si>
    <t>Responsavel</t>
  </si>
  <si>
    <t>Estado_Validacao</t>
  </si>
  <si>
    <t>Proxima_Revisao</t>
  </si>
  <si>
    <t>Notas</t>
  </si>
  <si>
    <t>IRO-001</t>
  </si>
  <si>
    <t>Impacto negativo</t>
  </si>
  <si>
    <t>Emissões de GEE do âmbito 2 (≈ 860 tCO2e em 2026, location-based) associadas ao consumo de 7,8 GWh de eletricidade e fugas de R410A.</t>
  </si>
  <si>
    <t>Real</t>
  </si>
  <si>
    <t>Clima global; sociedade</t>
  </si>
  <si>
    <t>Não</t>
  </si>
  <si>
    <t>EMAS-06 (865 tCO2e, âmbitos 1 + 2 LB); fator 0,110 kgCO2e/kWh; fuga de 3,2 kg de R410A</t>
  </si>
  <si>
    <t>PES-01</t>
  </si>
  <si>
    <t>AA-007; AA-010; AA-021; AA-025</t>
  </si>
  <si>
    <t>LEG-08; LEG-07</t>
  </si>
  <si>
    <t>OBJ-01</t>
  </si>
  <si>
    <t>KPI-08</t>
  </si>
  <si>
    <t>PAM-26-01</t>
  </si>
  <si>
    <t>Eficiência energética (OBJ-01), garantias de origem renováveis e autoconsumo fotovoltaico.</t>
  </si>
  <si>
    <t>Validado pelo responsável</t>
  </si>
  <si>
    <t>IRO-002</t>
  </si>
  <si>
    <t>Emissões do âmbito 3 a montante na produção de ≈ 712 t/ano de polímeros virgens (≈ 1.350 tCO2e/ano, estimativa por fator médio 1,9 kgCO2e/kg).</t>
  </si>
  <si>
    <t>Clima global</t>
  </si>
  <si>
    <t>AA-001 (712,4 t/ano); fator médio de literatura — estimativa não verificada</t>
  </si>
  <si>
    <t>PES-01; SWT-T02</t>
  </si>
  <si>
    <t>AA-001</t>
  </si>
  <si>
    <t>Inventário do âmbito 3 (categoria 1) com fatores de fornecedores; aumentar PCR e lightweighting.</t>
  </si>
  <si>
    <t>Principal fonte de emissões da cadeia de valor; exige dados primários de fornecedores.</t>
  </si>
  <si>
    <t>IRO-003</t>
  </si>
  <si>
    <t>Emissões do transporte rodoviário de matérias-primas e de produto acabado a clientes.</t>
  </si>
  <si>
    <t>Clima global; qualidade do ar local</t>
  </si>
  <si>
    <t>AA-002, AA-040 (sem quantificação de t.km)</t>
  </si>
  <si>
    <t>AA-002; AA-040</t>
  </si>
  <si>
    <t>Recolher t.km por cliente/fornecedor e otimizar cargas.</t>
  </si>
  <si>
    <t>Responsável de Armazém e Logística</t>
  </si>
  <si>
    <t>IRO-004</t>
  </si>
  <si>
    <t>Risco</t>
  </si>
  <si>
    <t>Perda ou redução de contratos com marcas europeias que exigem pegada de carbono do produto e metas de redução aos fornecedores.</t>
  </si>
  <si>
    <t>Receitas: ≈ 4% da faturação (3,68 M€) em clientes com requisitos climáticos em 2027; pressuposto interno.</t>
  </si>
  <si>
    <t>Receitas</t>
  </si>
  <si>
    <t>PES-04 (clientes pedem dados ambientais); questionários ESG recebidos</t>
  </si>
  <si>
    <t>PES-04; PES-01</t>
  </si>
  <si>
    <t>O3</t>
  </si>
  <si>
    <t>Cálculo de pegada por família de produto e resposta estruturada a questionários ESG.</t>
  </si>
  <si>
    <t>IRO-005</t>
  </si>
  <si>
    <t>Consumo de 7.174 MWh/ano de eletricidade, 45% de origem não renovável, com intensidade de 110 kWh por 1.000 unidades.</t>
  </si>
  <si>
    <t>Recursos energéticos; clima</t>
  </si>
  <si>
    <t>EMAS-01 (7.173,6 MWh); EMAS-01b (3.945,5 MWh renováveis); KPI-01</t>
  </si>
  <si>
    <t>SWT-F02; SWT-W01</t>
  </si>
  <si>
    <t>RO-02</t>
  </si>
  <si>
    <t>R35</t>
  </si>
  <si>
    <t>AA-007; AA-010; AA-019; AA-021; AA-030</t>
  </si>
  <si>
    <t>LEG-08</t>
  </si>
  <si>
    <t>KPI-01; KPI-09</t>
  </si>
  <si>
    <t>PAM-26-01; PAM-26-02</t>
  </si>
  <si>
    <t>Submedição por processo (PAM-26-02) e plano de eficiência (OBJ-01).</t>
  </si>
  <si>
    <t>IRO-006</t>
  </si>
  <si>
    <t>Volatilidade do preço da eletricidade num processo eletrointensivo (≈ 7,8 GWh/ano).</t>
  </si>
  <si>
    <t>Custos: +0,03 €/kWh × 7,17 GWh ≈ 215 k€/ano de custo adicional, sem repercussão imediata no preço de venda.</t>
  </si>
  <si>
    <t>Custos de energia e matérias-primas</t>
  </si>
  <si>
    <t>EMAS-01; PES-02; faturas de eletricidade</t>
  </si>
  <si>
    <t>PES-02</t>
  </si>
  <si>
    <t>R25</t>
  </si>
  <si>
    <t>KPI-01</t>
  </si>
  <si>
    <t>Contrato com preço indexado limitado, eficiência e autoconsumo.</t>
  </si>
  <si>
    <t>Diretor Financeiro</t>
  </si>
  <si>
    <t>IRO-007</t>
  </si>
  <si>
    <t>Oportunidade</t>
  </si>
  <si>
    <t>Autoconsumo fotovoltaico (UPAC ≈ 1 MWp, ≈ 1.400 MWh/ano) na cobertura de ≈ 9.000 m².</t>
  </si>
  <si>
    <t>Custos evitados: 1.400 MWh × 0,13 €/kWh ≈ 182 k€/ano; investimento a financiar com apoio público (SWT-O03).</t>
  </si>
  <si>
    <t>AA-032 (1.400 MWh/ano, estimativa); estudo de viabilidade em curso</t>
  </si>
  <si>
    <t>SWT-O02; SWT-O03</t>
  </si>
  <si>
    <t>RO-09</t>
  </si>
  <si>
    <t>O15</t>
  </si>
  <si>
    <t>AA-031; AA-032</t>
  </si>
  <si>
    <t>Estudo de viabilidade e candidatura a financiamento (RO-09).</t>
  </si>
  <si>
    <t>IRO-008</t>
  </si>
  <si>
    <t>Redução de 8% do consumo específico (OBJ-01) e das fugas de ar comprimido com submedição por processo.</t>
  </si>
  <si>
    <t>Custos evitados: 8% × 7,17 GWh ≈ 574 MWh × 0,13 €/kWh ≈ 75 k€/ano.</t>
  </si>
  <si>
    <t>KPI-01 (baseline 109,9 kWh/1.000 un); AA-021 (975 MWh/ano em compressores)</t>
  </si>
  <si>
    <t>O6</t>
  </si>
  <si>
    <t>AA-021</t>
  </si>
  <si>
    <t>Plano de eficiência energética e deteção de fugas.</t>
  </si>
  <si>
    <t>IRO-009</t>
  </si>
  <si>
    <t>Ondas de calor e seca aumentam o consumo de água e energia do arrefecimento, os defeitos e o risco de restrição de água.</t>
  </si>
  <si>
    <t>Custos: +5% de energia de arrefecimento por °C acima de 15 °C, refugo e horas de paragem no verão ≈ 60 k€/ano.</t>
  </si>
  <si>
    <t>Outros custos operacionais</t>
  </si>
  <si>
    <t>Anomalia térmica de +2,2 °C em ago/2026; KPI-16; AA-023</t>
  </si>
  <si>
    <t>PES-08; PES-09; SWT-T01</t>
  </si>
  <si>
    <t>RO-04</t>
  </si>
  <si>
    <t>R34</t>
  </si>
  <si>
    <t>AA-023</t>
  </si>
  <si>
    <t>OBJ-05</t>
  </si>
  <si>
    <t>KPI-02; KPI-16</t>
  </si>
  <si>
    <t>Avaliação de cenários climáticos e circuito fechado de arrefecimento (OBJ-05).</t>
  </si>
  <si>
    <t>IRO-010</t>
  </si>
  <si>
    <t>Incêndio rural na envolvente florestal que atinge o armazém de matérias-primas.</t>
  </si>
  <si>
    <t>Ativos e paragem: dano estimado ≈ 400 k€; parcialmente transferido para o seguro multirriscos.</t>
  </si>
  <si>
    <t>CAPEX / ativos</t>
  </si>
  <si>
    <t>PES-10; plano de emergência (RG-SGA-12)</t>
  </si>
  <si>
    <t>PES-10</t>
  </si>
  <si>
    <t>RO-08</t>
  </si>
  <si>
    <t>R38</t>
  </si>
  <si>
    <t>AA-034</t>
  </si>
  <si>
    <t>LEG-11</t>
  </si>
  <si>
    <t>Faixa de gestão de combustível, seguro e simulacro anual.</t>
  </si>
  <si>
    <t>IRO-011</t>
  </si>
  <si>
    <t>Emissão difusa de ≈ 1,95 t/ano de COV na serigrafia e manutenção (precursores de ozono troposférico).</t>
  </si>
  <si>
    <t>Trabalhadores da serigrafia; qualidade do ar local</t>
  </si>
  <si>
    <t>EMAS-06b (1,95 t COV); AA-014 (759 kg de solvente/ano); KPI-06</t>
  </si>
  <si>
    <t>AA-014; AA-006</t>
  </si>
  <si>
    <t>LEG-04; LEG-12</t>
  </si>
  <si>
    <t>OBJ-03</t>
  </si>
  <si>
    <t>KPI-06</t>
  </si>
  <si>
    <t>PAM-26-07</t>
  </si>
  <si>
    <t>Reduzir 20% do solvente por peça (OBJ-03); recipientes fechados; avaliar tintas UV sem solvente.</t>
  </si>
  <si>
    <t>Gerente de Produção</t>
  </si>
  <si>
    <t>IRO-012</t>
  </si>
  <si>
    <t>Incumprimento do regime de COV (limiar de consumo de solventes e plano de gestão de solventes).</t>
  </si>
  <si>
    <t>Multas e custos de adaptação: coima e medições adicionais ≈ 15 k€.</t>
  </si>
  <si>
    <t>Multas, passivos e litígios</t>
  </si>
  <si>
    <t>LEG-04 (avaliação de conformidade)</t>
  </si>
  <si>
    <t>LEG-04</t>
  </si>
  <si>
    <t>IRO-013</t>
  </si>
  <si>
    <t>Derrame de tintas, solventes ou óleos não contido que contamina o solo ou a rede pluvial.</t>
  </si>
  <si>
    <t>Potencial</t>
  </si>
  <si>
    <t>Solo; águas superficiais</t>
  </si>
  <si>
    <t>NC-SGA-26-03 (kit antipoluição incompleto); AA-005, AA-013</t>
  </si>
  <si>
    <t>SWT-W04</t>
  </si>
  <si>
    <t>RO-10</t>
  </si>
  <si>
    <t>R30</t>
  </si>
  <si>
    <t>AA-005; AA-009; AA-013; AA-016; AA-017</t>
  </si>
  <si>
    <t>LEG-06</t>
  </si>
  <si>
    <t>PAM-26-04; PAM-26-05</t>
  </si>
  <si>
    <t>Bacias de retenção, kits selados e verificação semanal.</t>
  </si>
  <si>
    <t>IRO-014</t>
  </si>
  <si>
    <t>Descarga da purga da torre de arrefecimento com biocida e anti-incrustante no coletor.</t>
  </si>
  <si>
    <t>Meio recetor</t>
  </si>
  <si>
    <t>AA-024; LEG-03</t>
  </si>
  <si>
    <t>AA-024</t>
  </si>
  <si>
    <t>LEG-03</t>
  </si>
  <si>
    <t>Controlo analítico da purga e dosagem otimizada.</t>
  </si>
  <si>
    <t>IRO-015</t>
  </si>
  <si>
    <t>Responsabilidade ambiental e custos de remediação após contaminação do solo.</t>
  </si>
  <si>
    <t>Passivos: remediação e garantia financeira ≈ 250 k€ num evento grave.</t>
  </si>
  <si>
    <t>LEG-14</t>
  </si>
  <si>
    <t>IRO-016</t>
  </si>
  <si>
    <t>Perda de granulado de plástico na descarga de silos e big bags para o pavimento e a rede pluvial (persistente no meio aquático).</t>
  </si>
  <si>
    <t>Ecossistemas aquáticos; comunidade</t>
  </si>
  <si>
    <t>AA-003 (≈ 100 kg/ano recolhidos; perdas totais não medidas); KPI-13 (43% dos pontos com contenção)</t>
  </si>
  <si>
    <t>PES-11; SWT-W04</t>
  </si>
  <si>
    <t>RO-07</t>
  </si>
  <si>
    <t>R37</t>
  </si>
  <si>
    <t>AA-003</t>
  </si>
  <si>
    <t>LEG-10</t>
  </si>
  <si>
    <t>OBJ-06</t>
  </si>
  <si>
    <t>KPI-13</t>
  </si>
  <si>
    <t>PAM-26-11</t>
  </si>
  <si>
    <t>Operation Clean Sweep: filtros nas sarjetas, bacias e inspeção semanal.</t>
  </si>
  <si>
    <t>IRO-017</t>
  </si>
  <si>
    <t>Obrigações do regulamento europeu de prevenção de perdas de granulados (avaliação de risco, plano, registos).</t>
  </si>
  <si>
    <t>Custos de conformidade: equipamento de contenção, formação e registos ≈ 30 k€.</t>
  </si>
  <si>
    <t>PES-13; LEG-10</t>
  </si>
  <si>
    <t>PES-13</t>
  </si>
  <si>
    <t>Plano de prevenção de perdas integrado no OBJ-06.</t>
  </si>
  <si>
    <t>IRO-018</t>
  </si>
  <si>
    <t>Uso de tintas, solventes e aditivos classificados (CLP) que podem chegar ao ambiente por derrame ou resíduo.</t>
  </si>
  <si>
    <t>Ambiente; trabalhadores</t>
  </si>
  <si>
    <t>AA-015 (1.082 kg de tinta/ano); FDS</t>
  </si>
  <si>
    <t>AA-015</t>
  </si>
  <si>
    <t>Inventário de substâncias e substituição progressiva.</t>
  </si>
  <si>
    <t>IRO-019</t>
  </si>
  <si>
    <t>Restrições a substâncias em embalagens (PFAS em contacto alimentar — PPWR; REACH) obrigam a reformular tintas e aditivos.</t>
  </si>
  <si>
    <t>Custos: requalificação de materiais e ensaios ≈ 40 k€.</t>
  </si>
  <si>
    <t>PES-12; LEG-09</t>
  </si>
  <si>
    <t>PES-12</t>
  </si>
  <si>
    <t>LEG-06; LEG-09</t>
  </si>
  <si>
    <t>IRO-020</t>
  </si>
  <si>
    <t>Consumo de 9.384 m³/ano de água de rede (81% na torre de arrefecimento) numa região com seca sazonal.</t>
  </si>
  <si>
    <t>Recursos hídricos locais</t>
  </si>
  <si>
    <t>EMAS-03 (9.384 m³); AA-023 (7.561 m³); KPI-02</t>
  </si>
  <si>
    <t>PES-09</t>
  </si>
  <si>
    <t>AA-023; AA-035</t>
  </si>
  <si>
    <t>KPI-02</t>
  </si>
  <si>
    <t>PAM-26-14</t>
  </si>
  <si>
    <t>Reduzir 10% do consumo específico (OBJ-05) com circuito fechado.</t>
  </si>
  <si>
    <t>IRO-021</t>
  </si>
  <si>
    <t>Restrições de uso de água em seca e aumento de tarifas.</t>
  </si>
  <si>
    <t>Custos: tarifa e cisterna em episódios de restrição ≈ 20 k€/ano.</t>
  </si>
  <si>
    <t>IRO-022</t>
  </si>
  <si>
    <t>Impermeabilização de 32.000 m² de 45.000 m² de terreno; 3.500 m² de área orientada para a natureza.</t>
  </si>
  <si>
    <t>Habitat local</t>
  </si>
  <si>
    <t>EMAS-05 / 05b / 05c</t>
  </si>
  <si>
    <t>AA-033</t>
  </si>
  <si>
    <t>Manter área verde e avaliar soluções de drenagem sustentável.</t>
  </si>
  <si>
    <t>IRO-023</t>
  </si>
  <si>
    <t>Embalagens que escapam aos sistemas de recolha e chegam ao meio natural e marinho (lixo plástico).</t>
  </si>
  <si>
    <t>Ecossistemas terrestres e marinhos</t>
  </si>
  <si>
    <t>AA-043; estatísticas setoriais de fuga de embalagens</t>
  </si>
  <si>
    <t>AA-043</t>
  </si>
  <si>
    <t>LEG-09</t>
  </si>
  <si>
    <t>Design for recycling e embalagens monomaterial (DM-11).</t>
  </si>
  <si>
    <t>IRO-024</t>
  </si>
  <si>
    <t>Consumo de ≈ 712 t/ano de polímeros virgens de origem fóssil (88% do polímero).</t>
  </si>
  <si>
    <t>Recursos naturais não renováveis</t>
  </si>
  <si>
    <t>AA-001 (712,4 t); PCR_SHARE = 12%; EMAS-02 (825,5 t de materiais)</t>
  </si>
  <si>
    <t>SWT-F04</t>
  </si>
  <si>
    <t>Aumentar conteúdo reciclado e reduzir peso.</t>
  </si>
  <si>
    <t>IRO-025</t>
  </si>
  <si>
    <t>Preço, disponibilidade e qualidade do PCR/rPET e metas de conteúdo reciclado do PPWR para 2030.</t>
  </si>
  <si>
    <t>Custos: prémio do reciclado (+0,25 €/kg) sobre ≈ 360 t/ano adicionais de PCR em 2030 ≈ 90 k€/ano.</t>
  </si>
  <si>
    <t>PES-03; SWT-T02; lotes fora de especificação do SUP-005</t>
  </si>
  <si>
    <t>PES-03; SWT-W02; SWT-T02</t>
  </si>
  <si>
    <t>RO-05</t>
  </si>
  <si>
    <t>R36</t>
  </si>
  <si>
    <t>PAM-26-16</t>
  </si>
  <si>
    <t>Contratos de fornecimento de PCR certificado e avaliação ambiental de fornecedores.</t>
  </si>
  <si>
    <t>IRO-026</t>
  </si>
  <si>
    <t>Aumentar a reintegração de scrap limpo segregado por polímero e cor (regrind).</t>
  </si>
  <si>
    <t>Custos evitados: +9 t/ano de resina × 1,35 €/kg ≈ 12 k€/ano.</t>
  </si>
  <si>
    <t>AA-020 (11,6 t/ano reintegradas); AA-011 (31,2 t de scrap)</t>
  </si>
  <si>
    <t>SWT-F03</t>
  </si>
  <si>
    <t>RO-11</t>
  </si>
  <si>
    <t>O10</t>
  </si>
  <si>
    <t>AA-020</t>
  </si>
  <si>
    <t>OBJ-02</t>
  </si>
  <si>
    <t>KPI-04</t>
  </si>
  <si>
    <t>PAM-26-12</t>
  </si>
  <si>
    <t>Segregação na fonte e integração no OBJ-02.</t>
  </si>
  <si>
    <t>IRO-027</t>
  </si>
  <si>
    <t>Embalagens pós-consumo não recicladas (aterro ou incineração), agravado por decoração e combinações multimaterial.</t>
  </si>
  <si>
    <t>Recursos; sistemas de gestão de resíduos</t>
  </si>
  <si>
    <t>AA-043; AA-037; famílias sem avaliação de reciclabilidade</t>
  </si>
  <si>
    <t>PES-07</t>
  </si>
  <si>
    <t>RO-03</t>
  </si>
  <si>
    <t>O5</t>
  </si>
  <si>
    <t>AA-043; AA-037</t>
  </si>
  <si>
    <t>Avaliação de reciclabilidade por família e redesenho.</t>
  </si>
  <si>
    <t>IRO-028</t>
  </si>
  <si>
    <t>Impacto positivo</t>
  </si>
  <si>
    <t>Design for recycling, lightweighting e embalagens monomaterial reduzem resíduos e aumentam a reciclagem.</t>
  </si>
  <si>
    <t>Recursos; consumidores</t>
  </si>
  <si>
    <t>PES-07; piloto de embalagens retornáveis (AA-041)</t>
  </si>
  <si>
    <t>AA-037; AA-041</t>
  </si>
  <si>
    <t>Programa Design for Recycling.</t>
  </si>
  <si>
    <t>IRO-029</t>
  </si>
  <si>
    <t>Incumprimento do PPWR (documentação técnica, declaração UE de conformidade, reciclabilidade) impede colocar embalagens no mercado UE.</t>
  </si>
  <si>
    <t>Receitas: ≈ 10% da faturação em famílias sem documentação em risco de suspensão ou perda de cliente ≈ 350 k€/ano.</t>
  </si>
  <si>
    <t>KPI-12 (41% das famílias conformes); AA-038 (IRA 60)</t>
  </si>
  <si>
    <t>PES-12; SWT-T03</t>
  </si>
  <si>
    <t>RO-06</t>
  </si>
  <si>
    <t>R33</t>
  </si>
  <si>
    <t>AA-038</t>
  </si>
  <si>
    <t>OBJ-04</t>
  </si>
  <si>
    <t>KPI-12</t>
  </si>
  <si>
    <t>PAM-26-10</t>
  </si>
  <si>
    <t>100% das famílias com documentação e declaração UE (OBJ-04).</t>
  </si>
  <si>
    <t>IRO-030</t>
  </si>
  <si>
    <t>Procura de embalagens recicláveis com conteúdo reciclado por marcas europeias de cosmética, alimentar e farmacêutica.</t>
  </si>
  <si>
    <t>Receitas: novos contratos e prémio de preço nas gamas PCR ≈ 200 k€/ano.</t>
  </si>
  <si>
    <t>PES-04; SWT-O01; pedidos de cotação com requisito de PCR</t>
  </si>
  <si>
    <t>SWT-O01; SWT-F04; PES-04</t>
  </si>
  <si>
    <t>Estudo de mercado e de custo por família (RO-03).</t>
  </si>
  <si>
    <t>IRO-031</t>
  </si>
  <si>
    <t>Produção de 130,6 t/ano de resíduos, dos quais 2,14 t perigosos (tintas, óleos, embalagens contaminadas).</t>
  </si>
  <si>
    <t>Sistemas de gestão de resíduos</t>
  </si>
  <si>
    <t>EMAS-04; EMAS-04b; KPI-05; KPI-07</t>
  </si>
  <si>
    <t>PES-14</t>
  </si>
  <si>
    <t>AA-004; AA-008; AA-011; AA-016; AA-026; AA-029</t>
  </si>
  <si>
    <t>LEG-01; LEG-13</t>
  </si>
  <si>
    <t>KPI-03; KPI-05; KPI-07</t>
  </si>
  <si>
    <t>Segregação, valorização e redução de scrap (OBJ-02).</t>
  </si>
  <si>
    <t>IRO-032</t>
  </si>
  <si>
    <t>Fiscalização de resíduos (classificação LER, e-GAR, MIRR) com coimas por incumprimento.</t>
  </si>
  <si>
    <t>Multas: coima ambiental ≈ 30 k€.</t>
  </si>
  <si>
    <t>PES-14; LEG-01</t>
  </si>
  <si>
    <t>R31</t>
  </si>
  <si>
    <t>IRO-033</t>
  </si>
  <si>
    <t>Venda de scrap sujo e embalagens para reciclagem.</t>
  </si>
  <si>
    <t>Receitas: ≈ 8 k€/ano de venda de materiais recicláveis.</t>
  </si>
  <si>
    <t>AA-028; tbl_residuos</t>
  </si>
  <si>
    <t>AA-028</t>
  </si>
  <si>
    <t>IRO-034</t>
  </si>
  <si>
    <t>Esmagamento de membro superior na troca de molde e setup de máquinas de injeção e sopro.</t>
  </si>
  <si>
    <t>Operadores e técnicos de manutenção</t>
  </si>
  <si>
    <t>Sim</t>
  </si>
  <si>
    <t>Registo corporativo R28; avaliação de riscos SST</t>
  </si>
  <si>
    <t>R28</t>
  </si>
  <si>
    <t>LOTO, proteções com encravamento e formação de setup.</t>
  </si>
  <si>
    <t>Gravidade ≥ limiar de direitos humanos: a probabilidade não reduz a pontuação (EFRAG IG 1).</t>
  </si>
  <si>
    <t>IRO-035</t>
  </si>
  <si>
    <t>Exposição de trabalhadores a solventes e COV na serigrafia e no hot stamping.</t>
  </si>
  <si>
    <t>Operadores de serigrafia e hot foil</t>
  </si>
  <si>
    <t>Registo corporativo R29; AA-014</t>
  </si>
  <si>
    <t>R29</t>
  </si>
  <si>
    <t>AA-014</t>
  </si>
  <si>
    <t>Ventilação localizada, EPI e medições de exposição.</t>
  </si>
  <si>
    <t>IRO-036</t>
  </si>
  <si>
    <t>Acidente de trabalho grave: paragem, coima da ACT, aumento do prémio de seguro e processo judicial.</t>
  </si>
  <si>
    <t>Multas, seguros e paragem ≈ 80 k€ por acidente grave.</t>
  </si>
  <si>
    <t>Registo corporativo R28</t>
  </si>
  <si>
    <t>IRO-037</t>
  </si>
  <si>
    <t>Trabalho em três turnos com fadiga e passagem de turno deficiente no turno 2.</t>
  </si>
  <si>
    <t>≈ 150 trabalhadores</t>
  </si>
  <si>
    <t>Registo corporativo R9 (prémio de defeito no turno 2)</t>
  </si>
  <si>
    <t>R9</t>
  </si>
  <si>
    <t>Rever escalas, pausas e passagem de turno.</t>
  </si>
  <si>
    <t>IRO-038</t>
  </si>
  <si>
    <t>Indisponibilidade de operadores (1.ª causa de paragem não planeada) e rotatividade reduzem a produção.</t>
  </si>
  <si>
    <t>Custos e receitas perdidas: horas de paragem × 350 €/h ≈ 150 k€/ano.</t>
  </si>
  <si>
    <t>Registo corporativo R23; tbl_producao_mensal</t>
  </si>
  <si>
    <t>R23</t>
  </si>
  <si>
    <t>Polivalência, bolsa de substitutos e retenção (O4 corporativo).</t>
  </si>
  <si>
    <t>IRO-039</t>
  </si>
  <si>
    <t>Formação técnica, ambiental e de qualidade reforça as competências e a empregabilidade dos trabalhadores.</t>
  </si>
  <si>
    <t>Trabalhadores próprios</t>
  </si>
  <si>
    <t>RG-SGA-08 (registo de formação)</t>
  </si>
  <si>
    <t>Plano anual de formação ligado à matriz de competências.</t>
  </si>
  <si>
    <t>IRO-040</t>
  </si>
  <si>
    <t>Polivalência dos operadores reduz paragens e defeitos.</t>
  </si>
  <si>
    <t>Custos evitados ≈ 40 k€/ano em paragens por falta de operador qualificado.</t>
  </si>
  <si>
    <t>RG-SGA-08; registo corporativo O4</t>
  </si>
  <si>
    <t>O4</t>
  </si>
  <si>
    <t>IRO-041</t>
  </si>
  <si>
    <t>Possível disparidade salarial de género e sub-representação em chefias (não medida).</t>
  </si>
  <si>
    <t>Trabalhadoras e trabalhadores</t>
  </si>
  <si>
    <t>Sem dados: lacuna identificada</t>
  </si>
  <si>
    <t>Recolher indicadores de igualdade (ESRS S1-16 / VSME) antes da próxima DMA.</t>
  </si>
  <si>
    <t>Classificação provisória por falta de dados.</t>
  </si>
  <si>
    <t>IRO-042</t>
  </si>
  <si>
    <t>Condições de trabalho precárias na recolha e triagem de resíduos plásticos que abastecem o PCR.</t>
  </si>
  <si>
    <t>Trabalhadores da cadeia de reciclagem</t>
  </si>
  <si>
    <t>Sem diligência devida sobre a origem do PCR</t>
  </si>
  <si>
    <t>SWT-T02</t>
  </si>
  <si>
    <t>Incluir critérios sociais na avaliação de fornecedores de PCR (RG-SGA-11).</t>
  </si>
  <si>
    <t>IRO-043</t>
  </si>
  <si>
    <t>Ruído dos compressores novos percecionado pela vizinhança a ~250 m.</t>
  </si>
  <si>
    <t>Comunidade vizinha</t>
  </si>
  <si>
    <t>AA-022 (AAS no SGA); última avaliação acústica em 2023</t>
  </si>
  <si>
    <t>PES-05</t>
  </si>
  <si>
    <t>RO-12</t>
  </si>
  <si>
    <t>R39</t>
  </si>
  <si>
    <t>AA-022</t>
  </si>
  <si>
    <t>LEG-05</t>
  </si>
  <si>
    <t>PAM-26-03</t>
  </si>
  <si>
    <t>Avaliação acústica acreditada e gatilho de ruído na gestão de mudanças.</t>
  </si>
  <si>
    <t>Aspeto significativo na ISO 14001 mas não material na DMA: os dois métodos têm critérios e âmbitos diferentes.</t>
  </si>
  <si>
    <t>IRO-044</t>
  </si>
  <si>
    <t>Incêndio na instalação com fumos e águas de combate que afetam a vizinhança e a floresta.</t>
  </si>
  <si>
    <t>Comunidade; floresta envolvente</t>
  </si>
  <si>
    <t>AA-034; PES-10; simulacros (RG-SGA-12)</t>
  </si>
  <si>
    <t>IRO-045</t>
  </si>
  <si>
    <t>Emprego direto de ≈ 150 pessoas e compras a fornecedores locais na Marinha Grande.</t>
  </si>
  <si>
    <t>Comunidade local</t>
  </si>
  <si>
    <t>Quadro de pessoal (≈ 150 trabalhadores)</t>
  </si>
  <si>
    <t>IRO-046</t>
  </si>
  <si>
    <t>Migração de substâncias ou contaminação (black specks) em embalagens de contacto alimentar, farmacêutico e cosmético.</t>
  </si>
  <si>
    <t>Consumidores finais</t>
  </si>
  <si>
    <t>Registo corporativo R11 (contaminação), R16 (escape de lote)</t>
  </si>
  <si>
    <t>R11</t>
  </si>
  <si>
    <t>Ensaios de migração, BPF (Reg. 2023/2006) e rastreabilidade de lote.</t>
  </si>
  <si>
    <t>Gravidade ≥ limiar de direitos humanos (saúde): prevalece sobre a probabilidade.</t>
  </si>
  <si>
    <t>IRO-047</t>
  </si>
  <si>
    <t>Recolha de produto ou perda de cliente por não conformidade de materiais em contacto com alimentos ou medicamentos.</t>
  </si>
  <si>
    <t>Receitas e custos: recall, indemnização e perda de cliente ≈ 300 k€.</t>
  </si>
  <si>
    <t>Registo corporativo R16; linhas alimentar e farmacêutica</t>
  </si>
  <si>
    <t>R16</t>
  </si>
  <si>
    <t>IRO-048</t>
  </si>
  <si>
    <t>Alegações de reciclabilidade ou conteúdo reciclado sem comprovação que induzem clientes e consumidores em erro.</t>
  </si>
  <si>
    <t>Clientes; consumidores</t>
  </si>
  <si>
    <t>PES-15; declarações de PCR de fornecedores spot não verificadas</t>
  </si>
  <si>
    <t>PES-15</t>
  </si>
  <si>
    <t>IRO-049</t>
  </si>
  <si>
    <t>Diretiva (UE) 2024/825: coimas e retirada de alegações ambientais não comprovadas.</t>
  </si>
  <si>
    <t>Multas e custos de reetiquetagem ≈ 50 k€.</t>
  </si>
  <si>
    <t>IRO-050</t>
  </si>
  <si>
    <t>Incumprimento de obrigações de conformidade (título de recursos hídricos, resíduos, ruído) com coima ou suspensão parcial.</t>
  </si>
  <si>
    <t>Multas e paragem: coima e suspensão parcial ≈ 120 k€.</t>
  </si>
  <si>
    <t>RG-SGA-04 (14 diplomas); registo corporativo R32</t>
  </si>
  <si>
    <t>R32</t>
  </si>
  <si>
    <t>LEG-02; LEG-03; LEG-05</t>
  </si>
  <si>
    <t>KPI-14</t>
  </si>
  <si>
    <t>Calendário de conformidade e auditoria de evidências.</t>
  </si>
  <si>
    <t>IRO-051</t>
  </si>
  <si>
    <t>Suborno ou conflitos de interesse em compras e licenciamento.</t>
  </si>
  <si>
    <t>Mercado; entidades públicas</t>
  </si>
  <si>
    <t>Sem casos registados; sem código de conduta formal</t>
  </si>
  <si>
    <t>Código de conduta e canal de denúncia.</t>
  </si>
  <si>
    <t>IRO-052</t>
  </si>
  <si>
    <t>Dependência de fornecedores spot (SUP-005) com lotes fora de especificação que geram scrap e paragens.</t>
  </si>
  <si>
    <t>Custos: scrap, reprocessamento e paragens ≈ 100 k€/ano.</t>
  </si>
  <si>
    <t>Registo corporativo R13; tbl_avaliacao_fornecedor</t>
  </si>
  <si>
    <t>SWT-W02</t>
  </si>
  <si>
    <t>R13</t>
  </si>
  <si>
    <t>Migrar compras spot para contratos com critérios de qualidade e ambientais.</t>
  </si>
  <si>
    <t>IRO-053</t>
  </si>
  <si>
    <t>A avaliação ambiental de fornecedores críticos eleva as práticas na cadeia de abastecimento.</t>
  </si>
  <si>
    <t>Fornecedores e respetivos trabalhadores</t>
  </si>
  <si>
    <t>RG-SGA-11 (avaliação de fornecedores)</t>
  </si>
  <si>
    <t>IRO-054</t>
  </si>
  <si>
    <t>Custo da não-qualidade: rejeição de 2,39% (meta 2,0%), refação de lotes e reclamações.</t>
  </si>
  <si>
    <t>Custos: refugo, retrabalho e reclamações ≈ 180 k€/ano.</t>
  </si>
  <si>
    <t>Registo corporativo R24, R17; raio-X analítico de 18 meses</t>
  </si>
  <si>
    <t>SWT-W03</t>
  </si>
  <si>
    <t>R24</t>
  </si>
  <si>
    <t>Plano de capacidade de processo e CAPA eficazes.</t>
  </si>
  <si>
    <t>IRO-055</t>
  </si>
  <si>
    <t>Scrap e retrabalho consomem resina e energia adicionais (31,2 t/ano de scrap).</t>
  </si>
  <si>
    <t>Recursos; clima</t>
  </si>
  <si>
    <t>AA-011 (31,2 t/ano); KPI-03</t>
  </si>
  <si>
    <t>AA-011</t>
  </si>
  <si>
    <t>KPI-03</t>
  </si>
  <si>
    <t>IRO-056</t>
  </si>
  <si>
    <t>Indisponibilidade ou corrupção do warehouse de dados e dos sistemas OT que sustentam KPIs e decisões.</t>
  </si>
  <si>
    <t>Custos: paragem e decisões erradas ≈ 60 k€ por incidente.</t>
  </si>
  <si>
    <t>Registo corporativo R26</t>
  </si>
  <si>
    <t>R26</t>
  </si>
  <si>
    <t>IRO-057</t>
  </si>
  <si>
    <t>Usar os dados industriais para um painel ambiental por máquina, turno e lote e responder a questionários ESG de clientes.</t>
  </si>
  <si>
    <t>Receitas e custos: retenção de clientes e eficiência ≈ 50 k€/ano.</t>
  </si>
  <si>
    <t>SWT-F01; 18 meses de dados estruturados</t>
  </si>
  <si>
    <t>SWT-F01</t>
  </si>
  <si>
    <t>RO-01</t>
  </si>
  <si>
    <t>PAM-26-09</t>
  </si>
  <si>
    <t>Painel ambiental integrado no Power BI (PAM-26-09).</t>
  </si>
  <si>
    <t>EVIDÊNCIAS DA AVALIAÇÃO (rastreabilidade)</t>
  </si>
  <si>
    <t>Valores copiados dos registos do SGA em 24/09/2026 (fonte viva indicada em Registo_Fonte / ID_Fonte) · Frações em 0–1</t>
  </si>
  <si>
    <t>ID_Evidencia</t>
  </si>
  <si>
    <t>Indicador</t>
  </si>
  <si>
    <t>Valor</t>
  </si>
  <si>
    <t>Unidade</t>
  </si>
  <si>
    <t>Periodo</t>
  </si>
  <si>
    <t>Registo_Fonte</t>
  </si>
  <si>
    <t>ID_Fonte</t>
  </si>
  <si>
    <t>Tipo_Dado</t>
  </si>
  <si>
    <t>Qualidade</t>
  </si>
  <si>
    <t>Observacao</t>
  </si>
  <si>
    <t>EVI-001</t>
  </si>
  <si>
    <t>Emissões de GEE (âmbitos 1 + 2 location-based)</t>
  </si>
  <si>
    <t>tCO2e</t>
  </si>
  <si>
    <t>2026-01 a 2026-12</t>
  </si>
  <si>
    <t>RG-SGA-19</t>
  </si>
  <si>
    <t>tbl_inventario_gee</t>
  </si>
  <si>
    <t>Calculado</t>
  </si>
  <si>
    <t>Mesmo valor do EMAS-06 (RG-SGA-16).</t>
  </si>
  <si>
    <t>EVI-002</t>
  </si>
  <si>
    <t>Fuga de R410A do chiller CH-01</t>
  </si>
  <si>
    <t>kg</t>
  </si>
  <si>
    <t>2025-11</t>
  </si>
  <si>
    <t>RG-SGA-03</t>
  </si>
  <si>
    <t>AA-025</t>
  </si>
  <si>
    <t>Medido</t>
  </si>
  <si>
    <t>GWP 2.088 → 6,7 tCO2e.</t>
  </si>
  <si>
    <t>EVI-003</t>
  </si>
  <si>
    <t>Polímero virgem consumido</t>
  </si>
  <si>
    <t>t</t>
  </si>
  <si>
    <t>EVI-004</t>
  </si>
  <si>
    <t>Emissões estimadas da produção do polímero virgem</t>
  </si>
  <si>
    <t>Estimado</t>
  </si>
  <si>
    <t>Polímero virgem × 1,9 kgCO2e/kg (fator médio de literatura).</t>
  </si>
  <si>
    <t>EVI-005</t>
  </si>
  <si>
    <t>Faturação anual</t>
  </si>
  <si>
    <t>€</t>
  </si>
  <si>
    <t>2026</t>
  </si>
  <si>
    <t>Registo corporativo</t>
  </si>
  <si>
    <t>Histórico</t>
  </si>
  <si>
    <t>Base para estimar a exposição de receitas.</t>
  </si>
  <si>
    <t>EVI-006</t>
  </si>
  <si>
    <t>Consumo total de energia elétrica</t>
  </si>
  <si>
    <t>MWh</t>
  </si>
  <si>
    <t>RG-SGA-16</t>
  </si>
  <si>
    <t>EMAS-01</t>
  </si>
  <si>
    <t>EVI-007</t>
  </si>
  <si>
    <t>Energia renovável (garantias de origem)</t>
  </si>
  <si>
    <t>EMAS-01b</t>
  </si>
  <si>
    <t>55% do consumo.</t>
  </si>
  <si>
    <t>EVI-008</t>
  </si>
  <si>
    <t>Intensidade energética (baseline)</t>
  </si>
  <si>
    <t>kWh/1.000 un</t>
  </si>
  <si>
    <t>Baseline</t>
  </si>
  <si>
    <t>RG-SGA-05</t>
  </si>
  <si>
    <t>EVI-009</t>
  </si>
  <si>
    <t>Custo adicional com +0,03 €/kWh</t>
  </si>
  <si>
    <t>€/ano</t>
  </si>
  <si>
    <t>Cenário</t>
  </si>
  <si>
    <t>Consumo de 2026 × 30 €/MWh.</t>
  </si>
  <si>
    <t>EVI-010</t>
  </si>
  <si>
    <t>Produção fotovoltaica prevista</t>
  </si>
  <si>
    <t>MWh/ano</t>
  </si>
  <si>
    <t>Estimativa</t>
  </si>
  <si>
    <t>AA-032</t>
  </si>
  <si>
    <t>EVI-011</t>
  </si>
  <si>
    <t>Consumo dos compressores de ar</t>
  </si>
  <si>
    <t>EVI-012</t>
  </si>
  <si>
    <t>Anomalia de temperatura em agosto de 2026</t>
  </si>
  <si>
    <t>°C</t>
  </si>
  <si>
    <t>2026-08</t>
  </si>
  <si>
    <t>RG-SGA-13</t>
  </si>
  <si>
    <t>KPI-16</t>
  </si>
  <si>
    <t>Face à normal de Leiria.</t>
  </si>
  <si>
    <t>EVI-013</t>
  </si>
  <si>
    <t>Água de reposição da torre</t>
  </si>
  <si>
    <t>m³</t>
  </si>
  <si>
    <t>EVI-014</t>
  </si>
  <si>
    <t>Emissões de COV (balanço de solventes)</t>
  </si>
  <si>
    <t>RG-SGA-21</t>
  </si>
  <si>
    <t>tbl_quimicos</t>
  </si>
  <si>
    <t>Mesmo valor do EMAS-06b (RG-SGA-16) e ESG-E12 (RG-SGA-19).</t>
  </si>
  <si>
    <t>EVI-015</t>
  </si>
  <si>
    <t>Solvente de limpeza consumido</t>
  </si>
  <si>
    <t>Aspeto ambiental significativo (IRA 40).</t>
  </si>
  <si>
    <t>EVI-016</t>
  </si>
  <si>
    <t>Solvente por 1.000 peças serigrafadas (baseline)</t>
  </si>
  <si>
    <t>kg/1.000 peças</t>
  </si>
  <si>
    <t>EVI-017</t>
  </si>
  <si>
    <t>Não conformidade do kit antipoluição</t>
  </si>
  <si>
    <t>n.º</t>
  </si>
  <si>
    <t>RG-SGA-07</t>
  </si>
  <si>
    <t>NC-SGA-26-03</t>
  </si>
  <si>
    <t>EVI-018</t>
  </si>
  <si>
    <t>Granulado recolhido nos pontos de contenção</t>
  </si>
  <si>
    <t>kg/ano</t>
  </si>
  <si>
    <t>Perdas totais não medidas.</t>
  </si>
  <si>
    <t>EVI-019</t>
  </si>
  <si>
    <t>Pontos críticos de granulado com contenção</t>
  </si>
  <si>
    <t>fração</t>
  </si>
  <si>
    <t>6 de 14 pontos.</t>
  </si>
  <si>
    <t>EVI-020</t>
  </si>
  <si>
    <t>Tinta de serigrafia consumida</t>
  </si>
  <si>
    <t>EVI-021</t>
  </si>
  <si>
    <t>Consumo total de água</t>
  </si>
  <si>
    <t>EMAS-03</t>
  </si>
  <si>
    <t>EVI-022</t>
  </si>
  <si>
    <t>Intensidade hídrica (baseline)</t>
  </si>
  <si>
    <t>m³/1.000 un</t>
  </si>
  <si>
    <t>EVI-023</t>
  </si>
  <si>
    <t>Área impermeabilizada</t>
  </si>
  <si>
    <t>m²</t>
  </si>
  <si>
    <t>EMAS-05b</t>
  </si>
  <si>
    <t>EVI-024</t>
  </si>
  <si>
    <t>Área orientada para a natureza no local</t>
  </si>
  <si>
    <t>EMAS-05c</t>
  </si>
  <si>
    <t>EVI-025</t>
  </si>
  <si>
    <t>Fluxo mássico de materiais</t>
  </si>
  <si>
    <t>EMAS-02</t>
  </si>
  <si>
    <t>EVI-026</t>
  </si>
  <si>
    <t>Quota de polímero reciclado (PCR/rPET)</t>
  </si>
  <si>
    <t>PCR_SHARE</t>
  </si>
  <si>
    <t>Parâmetro do modelo ambiental.</t>
  </si>
  <si>
    <t>EVI-027</t>
  </si>
  <si>
    <t>Scrap limpo reintegrado</t>
  </si>
  <si>
    <t>EVI-028</t>
  </si>
  <si>
    <t>Scrap gerado (todos os processos)</t>
  </si>
  <si>
    <t>EVI-029</t>
  </si>
  <si>
    <t>SKUs em classe F RecyClass (PVC, PETG, preto de carbono)</t>
  </si>
  <si>
    <t>SKUs</t>
  </si>
  <si>
    <t>2026-09</t>
  </si>
  <si>
    <t>RG-SGA-20</t>
  </si>
  <si>
    <t>tbl_recyclass</t>
  </si>
  <si>
    <t>Autoavaliação com regras simplificadas.</t>
  </si>
  <si>
    <t>EVI-030</t>
  </si>
  <si>
    <t>SKUs não isentos com grau PPWR indicativo A–C</t>
  </si>
  <si>
    <t>KPI-18</t>
  </si>
  <si>
    <t>Autoavaliação RecyClass (RG-SGA-20).</t>
  </si>
  <si>
    <t>EVI-031</t>
  </si>
  <si>
    <t>Massa vendida com grau PPWR A–C (não isentos)</t>
  </si>
  <si>
    <t>KPI-20</t>
  </si>
  <si>
    <t>RG-SGA-20.</t>
  </si>
  <si>
    <t>EVI-032</t>
  </si>
  <si>
    <t>Famílias de embalagem com conformidade PPWR</t>
  </si>
  <si>
    <t>9 de 22 famílias.</t>
  </si>
  <si>
    <t>EVI-033</t>
  </si>
  <si>
    <t>Resíduos produzidos</t>
  </si>
  <si>
    <t>EMAS-04</t>
  </si>
  <si>
    <t>EVI-034</t>
  </si>
  <si>
    <t>Resíduos perigosos</t>
  </si>
  <si>
    <t>EMAS-04b</t>
  </si>
  <si>
    <t>EVI-035</t>
  </si>
  <si>
    <t>Taxa de rejeição</t>
  </si>
  <si>
    <t>22 meses</t>
  </si>
  <si>
    <t>datasets/silver</t>
  </si>
  <si>
    <t>fact_production</t>
  </si>
  <si>
    <t>Meta 2,0%.</t>
  </si>
  <si>
    <t>EVI-036</t>
  </si>
  <si>
    <t>Grupos máquina×molde×característica com Cpk ≥ 1,33</t>
  </si>
  <si>
    <t>R17</t>
  </si>
  <si>
    <t>0 de 190 grupos.</t>
  </si>
  <si>
    <t>EVI-037</t>
  </si>
  <si>
    <t>Indisponibilidade de operador como causa de paragem</t>
  </si>
  <si>
    <t>posição no ranking</t>
  </si>
  <si>
    <t>1.ª causa de paragem não planeada.</t>
  </si>
  <si>
    <t>EVI-038</t>
  </si>
  <si>
    <t>Trabalhadores</t>
  </si>
  <si>
    <t>AGUA_SAN</t>
  </si>
  <si>
    <t>EVI-039</t>
  </si>
  <si>
    <t>Distância às habitações mais próximas</t>
  </si>
  <si>
    <t>m</t>
  </si>
  <si>
    <t>RG-SGA-01</t>
  </si>
  <si>
    <t>EVI-040</t>
  </si>
  <si>
    <t>Indicadores de igualdade disponíveis</t>
  </si>
  <si>
    <t>Qualitativo</t>
  </si>
  <si>
    <t>Lacuna de dados.</t>
  </si>
  <si>
    <t>EVI-041</t>
  </si>
  <si>
    <t>Evidência documental / qualitativa</t>
  </si>
  <si>
    <t>Ver fontes citadas</t>
  </si>
  <si>
    <t>EVI-042</t>
  </si>
  <si>
    <t>EVI-043</t>
  </si>
  <si>
    <t>EVI-044</t>
  </si>
  <si>
    <t>EVI-045</t>
  </si>
  <si>
    <t>EVI-046</t>
  </si>
  <si>
    <t>EVI-047</t>
  </si>
  <si>
    <t>EVI-048</t>
  </si>
  <si>
    <t>EVI-049</t>
  </si>
  <si>
    <t>EVI-050</t>
  </si>
  <si>
    <t>EVI-051</t>
  </si>
  <si>
    <t>EVI-052</t>
  </si>
  <si>
    <t>EVI-053</t>
  </si>
  <si>
    <t>EVI-054</t>
  </si>
  <si>
    <t>EVI-055</t>
  </si>
  <si>
    <t>EVI-056</t>
  </si>
  <si>
    <t>EVI-057</t>
  </si>
  <si>
    <t>EVI-058</t>
  </si>
  <si>
    <t>EVI-059</t>
  </si>
  <si>
    <t>EVI-060</t>
  </si>
  <si>
    <t>EVI-061</t>
  </si>
  <si>
    <t>EVI-062</t>
  </si>
  <si>
    <t>EVI-063</t>
  </si>
  <si>
    <t>EVI-064</t>
  </si>
  <si>
    <t>EVI-065</t>
  </si>
  <si>
    <t>EVI-066</t>
  </si>
  <si>
    <t>EVI-067</t>
  </si>
  <si>
    <t>EVI-068</t>
  </si>
  <si>
    <t>EVI-069</t>
  </si>
  <si>
    <t>EVI-070</t>
  </si>
  <si>
    <t>EVI-071</t>
  </si>
  <si>
    <t>ENVOLVIMENTO DAS PARTES INTERESSADAS</t>
  </si>
  <si>
    <t>Contributos simulados (fábrica fictícia) · A relevância informa a avaliação mas não entra na pontuação · Divergências geram alerta em Temas</t>
  </si>
  <si>
    <t>ID_Contributo</t>
  </si>
  <si>
    <t>Data</t>
  </si>
  <si>
    <t>Parte_Interessada</t>
  </si>
  <si>
    <t>Metodo</t>
  </si>
  <si>
    <t>N_Participantes</t>
  </si>
  <si>
    <t>Relevancia_Percebida</t>
  </si>
  <si>
    <t>Tipo_Contributo</t>
  </si>
  <si>
    <t>Comentario</t>
  </si>
  <si>
    <t>Incorporado_na_Avaliacao</t>
  </si>
  <si>
    <t>CON-001</t>
  </si>
  <si>
    <t>Colaboradores</t>
  </si>
  <si>
    <t>Workshop</t>
  </si>
  <si>
    <t>Evidência objetiva</t>
  </si>
  <si>
    <t>Quase-acidentes na troca de molde relatados nos DDS.</t>
  </si>
  <si>
    <t>CON-002</t>
  </si>
  <si>
    <t>Opinião / perceção</t>
  </si>
  <si>
    <t>Fadiga no turno 2 e falta de substitutos.</t>
  </si>
  <si>
    <t>CON-003</t>
  </si>
  <si>
    <t>Pedem formação em setup e qualidade.</t>
  </si>
  <si>
    <t>CON-004</t>
  </si>
  <si>
    <t>Cheiro a solvente na serigrafia no verão.</t>
  </si>
  <si>
    <t>CON-005</t>
  </si>
  <si>
    <t>Sem perceção de desigualdade; pedem transparência salarial.</t>
  </si>
  <si>
    <t>CON-006</t>
  </si>
  <si>
    <t>Granulado no pavimento junto aos silos.</t>
  </si>
  <si>
    <t>CON-007</t>
  </si>
  <si>
    <t>Clientes</t>
  </si>
  <si>
    <t>Questionário</t>
  </si>
  <si>
    <t>7 de 9 clientes exigem declaração PPWR e reciclabilidade até 2027.</t>
  </si>
  <si>
    <t>CON-008</t>
  </si>
  <si>
    <t>Pedidos de conteúdo reciclado certificado.</t>
  </si>
  <si>
    <t>CON-009</t>
  </si>
  <si>
    <t>Questionários de pegada de carbono (EcoVadis/CDP) de 3 marcas.</t>
  </si>
  <si>
    <t>CON-010</t>
  </si>
  <si>
    <t>Clientes farmacêuticos exigem BPF e ensaios de migração.</t>
  </si>
  <si>
    <t>CON-011</t>
  </si>
  <si>
    <t>Receio de alegações 'verdes' não comprovadas.</t>
  </si>
  <si>
    <t>CON-012</t>
  </si>
  <si>
    <t>Reclamações por lote refeito e prazo.</t>
  </si>
  <si>
    <t>CON-013</t>
  </si>
  <si>
    <t>Fornecedores</t>
  </si>
  <si>
    <t>Reunião</t>
  </si>
  <si>
    <t>Oferta de PCR limitada e com prémio de preço.</t>
  </si>
  <si>
    <t>CON-014</t>
  </si>
  <si>
    <t>Pedem previsibilidade de encomendas.</t>
  </si>
  <si>
    <t>CON-015</t>
  </si>
  <si>
    <t>Recicladores com auditorias sociais parciais.</t>
  </si>
  <si>
    <t>CON-016</t>
  </si>
  <si>
    <t>Autoridades (APA / CCDR / ACT)</t>
  </si>
  <si>
    <t>Análise documental</t>
  </si>
  <si>
    <t>Novo regulamento de perdas de granulado.</t>
  </si>
  <si>
    <t>CON-017</t>
  </si>
  <si>
    <t>Campanha de fiscalização de e-GAR/MIRR.</t>
  </si>
  <si>
    <t>CON-018</t>
  </si>
  <si>
    <t>Título de recursos hídricos a regularizar.</t>
  </si>
  <si>
    <t>CON-019</t>
  </si>
  <si>
    <t>Campanha ACT sobre máquinas e LOTO.</t>
  </si>
  <si>
    <t>CON-020</t>
  </si>
  <si>
    <t>Comunidade / vizinhança</t>
  </si>
  <si>
    <t>Canal de reclamações</t>
  </si>
  <si>
    <t>2 reclamações de ruído noturno após instalação dos compressores.</t>
  </si>
  <si>
    <t>CON-021</t>
  </si>
  <si>
    <t>Preocupação com incêndio florestal no verão.</t>
  </si>
  <si>
    <t>CON-022</t>
  </si>
  <si>
    <t>Restrições de água no verão de 2025.</t>
  </si>
  <si>
    <t>CON-023</t>
  </si>
  <si>
    <t>Acionistas / Direção</t>
  </si>
  <si>
    <t>Entrevista</t>
  </si>
  <si>
    <t>Energia é o 2.º maior custo variável.</t>
  </si>
  <si>
    <t>CON-024</t>
  </si>
  <si>
    <t>PPWR condiciona o acesso ao mercado UE.</t>
  </si>
  <si>
    <t>CON-025</t>
  </si>
  <si>
    <t>Custo da não-qualidade acima da meta.</t>
  </si>
  <si>
    <t>CON-026</t>
  </si>
  <si>
    <t>Dados como vantagem competitiva.</t>
  </si>
  <si>
    <t>CON-027</t>
  </si>
  <si>
    <t>Pressão dos clientes para descarbonizar.</t>
  </si>
  <si>
    <t>CON-028</t>
  </si>
  <si>
    <t>Operadores de gestão de resíduos</t>
  </si>
  <si>
    <t>Segregação a melhorar nos contaminados.</t>
  </si>
  <si>
    <t>CON-029</t>
  </si>
  <si>
    <t>Decoração e multimaterial dificultam a reciclagem.</t>
  </si>
  <si>
    <t>CON-030</t>
  </si>
  <si>
    <t>Seguradoras / bancos</t>
  </si>
  <si>
    <t>Risco de incêndio e água de combate na renovação da apólice.</t>
  </si>
  <si>
    <t>CON-031</t>
  </si>
  <si>
    <t>Financiamento verde para fotovoltaico e eficiência.</t>
  </si>
  <si>
    <t>CON-032</t>
  </si>
  <si>
    <t>Garantia financeira de responsabilidade ambiental.</t>
  </si>
  <si>
    <t>LISTAS CONTROLADAS (domínios de validação de dados) — editar aqui para alterar opções</t>
  </si>
  <si>
    <t>DataReferencia</t>
  </si>
  <si>
    <t>TopicoESRS</t>
  </si>
  <si>
    <t>TipoIRO</t>
  </si>
  <si>
    <t>Etapa</t>
  </si>
  <si>
    <t>SimNao</t>
  </si>
  <si>
    <t>Escala</t>
  </si>
  <si>
    <t>Rubrica</t>
  </si>
  <si>
    <t>TipoDado</t>
  </si>
  <si>
    <t>EstadoValidacao</t>
  </si>
  <si>
    <t>RelevanciaSetorial</t>
  </si>
  <si>
    <t>Parte</t>
  </si>
  <si>
    <t>TipoContributo</t>
  </si>
  <si>
    <t>Funcao</t>
  </si>
  <si>
    <t>FPilar</t>
  </si>
  <si>
    <t>FTopico</t>
  </si>
  <si>
    <t>FEtapa</t>
  </si>
  <si>
    <t>FHorizonte</t>
  </si>
  <si>
    <t>FTipo</t>
  </si>
  <si>
    <t>Rascunho</t>
  </si>
  <si>
    <t>Aprovado pela Direção</t>
  </si>
  <si>
    <t>Financiamento e seguros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</si>
  <si>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</si>
  <si>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</si>
  <si>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</si>
  <si>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</si>
  <si>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</si>
  <si>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</si>
  <si>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</si>
  <si>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</si>
  <si>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</si>
  <si>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</si>
  <si>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</si>
  <si>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CRITÉRIOS DE AVALIAÇÃO (escalas 1–5) — escolha metodológica interna, documentada; não é uma escala imposta pelos ESRS</t>
  </si>
  <si>
    <t>Criterio</t>
  </si>
  <si>
    <t>Nivel</t>
  </si>
  <si>
    <t>Rotulo</t>
  </si>
  <si>
    <t>Limite_Inferior_EUR</t>
  </si>
  <si>
    <t>Probabilidade_Media</t>
  </si>
  <si>
    <t>Mínima</t>
  </si>
  <si>
    <t>Efeito negligenciável / benefício residual</t>
  </si>
  <si>
    <t>Efeito pequeno e localizado</t>
  </si>
  <si>
    <t>Efeito relevante num recurso, grupo ou indicador</t>
  </si>
  <si>
    <t>Efeito grave (dano ambiental relevante, lesão com incapacidade)</t>
  </si>
  <si>
    <t>Muito alta</t>
  </si>
  <si>
    <t>Efeito muito grave (morte, dano ambiental extenso)</t>
  </si>
  <si>
    <t>Pontual</t>
  </si>
  <si>
    <t>Posto de trabalho / área restrita</t>
  </si>
  <si>
    <t>Local</t>
  </si>
  <si>
    <t>Instalação ou grupo pequeno de pessoas</t>
  </si>
  <si>
    <t>Regional</t>
  </si>
  <si>
    <t>Concelho, bacia ou grupo relevante de pessoas</t>
  </si>
  <si>
    <t>Alargado</t>
  </si>
  <si>
    <t>Nacional ou vários elos da cadeia de valor</t>
  </si>
  <si>
    <t>Global</t>
  </si>
  <si>
    <t>Toda a cadeia de valor / efeito global</t>
  </si>
  <si>
    <t>Imediatamente reversível</t>
  </si>
  <si>
    <t>Reversível sem custo relevante</t>
  </si>
  <si>
    <t>Reversível &lt; 1 ano</t>
  </si>
  <si>
    <t>Reversível em menos de um ano</t>
  </si>
  <si>
    <t>Reversível com esforço</t>
  </si>
  <si>
    <t>Remediação cara ou demorada</t>
  </si>
  <si>
    <t>Dificilmente reversível</t>
  </si>
  <si>
    <t>Remediação parcial</t>
  </si>
  <si>
    <t>Irreversível</t>
  </si>
  <si>
    <t>Sem remediação possível</t>
  </si>
  <si>
    <t>Rara</t>
  </si>
  <si>
    <t>&lt; 10% no horizonte considerado</t>
  </si>
  <si>
    <t>Improvável</t>
  </si>
  <si>
    <t>10–30%</t>
  </si>
  <si>
    <t>Possível</t>
  </si>
  <si>
    <t>30–50%</t>
  </si>
  <si>
    <t>Provável</t>
  </si>
  <si>
    <t>50–80%</t>
  </si>
  <si>
    <t>Quase certa</t>
  </si>
  <si>
    <t>&gt; 80% (impacto real = 5)</t>
  </si>
  <si>
    <t>Magnitude financeira</t>
  </si>
  <si>
    <t>Muito baixa</t>
  </si>
  <si>
    <t>Efeito &lt; 5 k€/ano</t>
  </si>
  <si>
    <t>5–25 k€/ano</t>
  </si>
  <si>
    <t>25–100 k€/ano</t>
  </si>
  <si>
    <t>100–300 k€/ano</t>
  </si>
  <si>
    <t>≥ 300 k€/ano (≈ 8% da faturação)</t>
  </si>
  <si>
    <t>PARÂMETROS E LIMIARES (células editáveis; nomes prm_* usados nas fórmulas)</t>
  </si>
  <si>
    <t>Parametro</t>
  </si>
  <si>
    <t>Fonte</t>
  </si>
  <si>
    <t>prm_Limiar_Impacto</t>
  </si>
  <si>
    <t>pontos (1–25)</t>
  </si>
  <si>
    <t>IRO de impacto material se Score_Impacto ≥ limiar</t>
  </si>
  <si>
    <t>Decisão interna (DMA 2026)</t>
  </si>
  <si>
    <t>prm_Limiar_Financeiro</t>
  </si>
  <si>
    <t>IRO financeiro material se Score_Financeiro ≥ limiar</t>
  </si>
  <si>
    <t>prm_Limiar_Alto</t>
  </si>
  <si>
    <t>Banda 'Alta' da matriz</t>
  </si>
  <si>
    <t>Decisão interna</t>
  </si>
  <si>
    <t>prm_Limiar_Baixo</t>
  </si>
  <si>
    <t>Abaixo: banda 'Baixa'</t>
  </si>
  <si>
    <t>prm_Grav_DH</t>
  </si>
  <si>
    <t>gravidade (1–5)</t>
  </si>
  <si>
    <t>Impactos potenciais sobre pessoas (direitos humanos) com gravidade ≥ este valor usam probabilidade 5</t>
  </si>
  <si>
    <t>EFRAG IG 1 — a gravidade prevalece sobre a probabilidade</t>
  </si>
  <si>
    <t>prm_Relev_Alerta</t>
  </si>
  <si>
    <t>relevância (1–5)</t>
  </si>
  <si>
    <t>Tema não material com relevância média das partes interessadas ≥ valor gera alerta</t>
  </si>
  <si>
    <t>prm_Meses_Rev_Material</t>
  </si>
  <si>
    <t>meses</t>
  </si>
  <si>
    <t>Revisão dos IRO materiais</t>
  </si>
  <si>
    <t>prm_Meses_Rev_Outros</t>
  </si>
  <si>
    <t>Revisão dos restantes IRO</t>
  </si>
  <si>
    <t>prm_Faturacao_EUR</t>
  </si>
  <si>
    <t>Faturação anual (referência para as bandas financeiras)</t>
  </si>
  <si>
    <t>Registo corporativo, Histórico 2026</t>
  </si>
  <si>
    <t>prm_Preco_Eletricidade</t>
  </si>
  <si>
    <t>€/kWh</t>
  </si>
  <si>
    <t>Preço médio da eletricidade usado nas estimativas</t>
  </si>
  <si>
    <t>Pressuposto — confirmar com faturas</t>
  </si>
  <si>
    <t>prm_Preco_Polimero</t>
  </si>
  <si>
    <t>€/kg</t>
  </si>
  <si>
    <t>Preço médio do polímero usado nas estimativas</t>
  </si>
  <si>
    <t>Pressuposto — confirmar com compras</t>
  </si>
  <si>
    <t>prm_Trabalhadores</t>
  </si>
  <si>
    <t>RG-SGA-13 (parâmetro AGUA_SAN)</t>
  </si>
  <si>
    <t>Folha</t>
  </si>
  <si>
    <t>Tabela</t>
  </si>
  <si>
    <t>Coluna</t>
  </si>
  <si>
    <t>Tipo</t>
  </si>
  <si>
    <t>Origem</t>
  </si>
  <si>
    <t>Dominio_Unidade</t>
  </si>
  <si>
    <t>Obrigatorio</t>
  </si>
  <si>
    <t>Chave</t>
  </si>
  <si>
    <t>tbl_dma_temas</t>
  </si>
  <si>
    <t>Texto</t>
  </si>
  <si>
    <t>Entrada</t>
  </si>
  <si>
    <t>Identificador do tema (DM-nn).</t>
  </si>
  <si>
    <t>DM-nn</t>
  </si>
  <si>
    <t>PK</t>
  </si>
  <si>
    <t>Ambiental, Social ou Governança.</t>
  </si>
  <si>
    <t>Lista lst_Pilar</t>
  </si>
  <si>
    <t>Tópico ESRS (E1–G1) ou específico da entidade.</t>
  </si>
  <si>
    <t>Lista lst_TopicoESRS</t>
  </si>
  <si>
    <t>Subtópico ESRS (ESRS 1 AR 16) ou designação interna.</t>
  </si>
  <si>
    <t>Tema de sustentabilidade avaliado.</t>
  </si>
  <si>
    <t>O que o tema abrange na Plasticom.</t>
  </si>
  <si>
    <t>GRI Standard correspondente (interoperabilidade).</t>
  </si>
  <si>
    <t>Relevância do tema para o setor de embalagens plásticas.</t>
  </si>
  <si>
    <t>Lista lst_RelevanciaSetorial</t>
  </si>
  <si>
    <t>Onde o tema foi identificado (registos do SGA, PESTEL, SWOT, registo corporativo).</t>
  </si>
  <si>
    <t>Responsável pelo tema.</t>
  </si>
  <si>
    <t>Lista lst_Funcao</t>
  </si>
  <si>
    <t>Fundamento da avaliação (factos e dados que a sustentam).</t>
  </si>
  <si>
    <t>Data (aaaa-mm-dd)</t>
  </si>
  <si>
    <t>Data da avaliação.</t>
  </si>
  <si>
    <t>Inteiro</t>
  </si>
  <si>
    <t>Calculado (fórmula)</t>
  </si>
  <si>
    <t>N.º de IRO do tema.</t>
  </si>
  <si>
    <t>N.º de impactos.</t>
  </si>
  <si>
    <t>N.º de riscos e oportunidades.</t>
  </si>
  <si>
    <t>Decimal</t>
  </si>
  <si>
    <t>Maior pontuação de impacto dos IRO do tema (1–25).</t>
  </si>
  <si>
    <t>Maior pontuação financeira dos IRO do tema (1–25).</t>
  </si>
  <si>
    <t>Sim se algum impacto é material.</t>
  </si>
  <si>
    <t>Sim se algum risco/oportunidade é material.</t>
  </si>
  <si>
    <t>Resultado da dupla materialidade do tema.</t>
  </si>
  <si>
    <t>0 sem impactos · 1 baixa · 2 monitorizar · 3 material · 4 alta (eixo da matriz).</t>
  </si>
  <si>
    <t>0 sem riscos/oportunidades · 1 baixa · 2 monitorizar · 3 material · 4 alta.</t>
  </si>
  <si>
    <t>Impacto máx. + financeiro máx. (0–50), para ordenar.</t>
  </si>
  <si>
    <t>Posição por prioridade (1 = mais prioritário).</t>
  </si>
  <si>
    <t>Moeda (EUR)</t>
  </si>
  <si>
    <t>Soma dos efeitos ponderados dos riscos (€/ano, valor positivo).</t>
  </si>
  <si>
    <t>Soma dos efeitos ponderados das oportunidades (€/ano).</t>
  </si>
  <si>
    <t>Média da relevância atribuída pelas partes interessadas (1–5).</t>
  </si>
  <si>
    <t>N.º de contributos das partes interessadas.</t>
  </si>
  <si>
    <t>Percentagem (fração 0-1)</t>
  </si>
  <si>
    <t>Fração dos IRO com evidência de qualidade Alta ou Média.</t>
  </si>
  <si>
    <t>Divergência entre partes interessadas e avaliação, ou tema material com evidência fraca.</t>
  </si>
  <si>
    <t>Consequência de gestão da classificação.</t>
  </si>
  <si>
    <t>tbl_dma_iro</t>
  </si>
  <si>
    <t>Identificador do impacto, risco ou oportunidade (IRO-nnn).</t>
  </si>
  <si>
    <t>IRO-nnn</t>
  </si>
  <si>
    <t>Tema a que o IRO pertence.</t>
  </si>
  <si>
    <t>FK → tbl_dma_temas</t>
  </si>
  <si>
    <t>Automático (desnormalizado para análise).</t>
  </si>
  <si>
    <t>Automático.</t>
  </si>
  <si>
    <t>Impacto negativo, Impacto positivo, Risco ou Oportunidade.</t>
  </si>
  <si>
    <t>Lista lst_TipoIRO</t>
  </si>
  <si>
    <t>Impacto (de dentro para fora) ou Financeira (de fora para dentro).</t>
  </si>
  <si>
    <t>Descrição do IRO: o quê, onde e com que efeito.</t>
  </si>
  <si>
    <t>Impactos: Real (já ocorre) ou Potencial.</t>
  </si>
  <si>
    <t>Lista lst_Natureza</t>
  </si>
  <si>
    <t>Onde ocorre na cadeia de valor (EFRAG IG 2).</t>
  </si>
  <si>
    <t>Lista lst_Etapa</t>
  </si>
  <si>
    <t>Horizonte temporal (ESRS 1 §77).</t>
  </si>
  <si>
    <t>Lista lst_Horizonte</t>
  </si>
  <si>
    <t>Pessoas ou elementos do ambiente afetados.</t>
  </si>
  <si>
    <t>Sim se afeta pessoas em direitos humanos (saúde, segurança, trabalho).</t>
  </si>
  <si>
    <t>Lista lst_SimNao</t>
  </si>
  <si>
    <t>Impactos: magnitude 1–5 (tbl_dma_escalas).</t>
  </si>
  <si>
    <t>Lista lst_Escala</t>
  </si>
  <si>
    <t>Impactos: alcance 1–5.</t>
  </si>
  <si>
    <t>Impactos negativos: irremediabilidade 1–5.</t>
  </si>
  <si>
    <t>Impactos potenciais: probabilidade 1–5 (reais = 5 automático).</t>
  </si>
  <si>
    <t>Média de Magnitude, Alcance e Irremediabilidade (negativos) ou de Magnitude e Alcance (positivos).</t>
  </si>
  <si>
    <t>5 se real; 5 se direitos humanos com gravidade ≥ prm_Grav_DH; senão a probabilidade.</t>
  </si>
  <si>
    <t>Gravidade × Probabilidade efetiva (1–25).</t>
  </si>
  <si>
    <t>Riscos/oportunidades: como o tema afeta receitas, custos, ativos ou financiamento, com os pressupostos da estimativa.</t>
  </si>
  <si>
    <t>Rubrica financeira afetada.</t>
  </si>
  <si>
    <t>Lista lst_Rubrica</t>
  </si>
  <si>
    <t>Estimativa do efeito financeiro se ocorrer (€/ano ou por evento).</t>
  </si>
  <si>
    <t>Probabilidade 1–5 do efeito financeiro.</t>
  </si>
  <si>
    <t>Banda 1–5 do efeito em € (tbl_dma_escalas).</t>
  </si>
  <si>
    <t>Magnitude financeira × Probabilidade (1–25).</t>
  </si>
  <si>
    <t>Efeito × probabilidade média (negativo nos riscos, positivo nas oportunidades).</t>
  </si>
  <si>
    <t>Pontuação única do IRO na sua dimensão (1–25).</t>
  </si>
  <si>
    <t>Sim se o score atinge o limiar da sua dimensão.</t>
  </si>
  <si>
    <t>Resultado do IRO.</t>
  </si>
  <si>
    <t>Posição por score (1 = maior).</t>
  </si>
  <si>
    <t>Resumo das evidências (detalhe em tbl_dma_evidencias).</t>
  </si>
  <si>
    <t>Alta (medida/verificada), Média (calculada/parcial) ou Baixa (estimativa ou lacuna).</t>
  </si>
  <si>
    <t>Lista lst_Qualidade</t>
  </si>
  <si>
    <t>N.º de evidências registadas.</t>
  </si>
  <si>
    <t>Verificação de completude dos dados.</t>
  </si>
  <si>
    <t>Itens SWOT/PESTEL de origem (';').</t>
  </si>
  <si>
    <t>FK → RG-SGA-01</t>
  </si>
  <si>
    <t>Risco/oportunidade do SGA (coluna 'ID RO (SGA)' de tbRiscos/tbOportunidades).</t>
  </si>
  <si>
    <t>FK → RG-SGA-02</t>
  </si>
  <si>
    <t>ID (R/O) da linha em tbRiscos / tbOportunidades do RG-SGA-02.</t>
  </si>
  <si>
    <t>Aspetos ambientais relacionados (';').</t>
  </si>
  <si>
    <t>FK → RG-SGA-03</t>
  </si>
  <si>
    <t>Requisitos legais relacionados (';').</t>
  </si>
  <si>
    <t>FK → RG-SGA-04</t>
  </si>
  <si>
    <t>Objetivo ambiental.</t>
  </si>
  <si>
    <t>FK → RG-SGA-05</t>
  </si>
  <si>
    <t>Indicador(es) de desempenho (';').</t>
  </si>
  <si>
    <t>Ações do Plano de Ações de Melhoria (';').</t>
  </si>
  <si>
    <t>FK → RG-SGA-06</t>
  </si>
  <si>
    <t>Política, ação ou controlo de resposta.</t>
  </si>
  <si>
    <t>Responsável pelo IRO.</t>
  </si>
  <si>
    <t>Rascunho → Validado pelo responsável → Aprovado pela Direção.</t>
  </si>
  <si>
    <t>Lista lst_EstadoValidacao</t>
  </si>
  <si>
    <t>Data da próxima revisão.</t>
  </si>
  <si>
    <t>Notas e pressupostos.</t>
  </si>
  <si>
    <t>tbl_dma_evidencias</t>
  </si>
  <si>
    <t>Identificador da evidência (EVI-nnn).</t>
  </si>
  <si>
    <t>IRO suportado.</t>
  </si>
  <si>
    <t>FK → tbl_dma_iro</t>
  </si>
  <si>
    <t>O que foi medido ou estimado.</t>
  </si>
  <si>
    <t>Valor numérico (frações em 0–1).</t>
  </si>
  <si>
    <t>Unidade do valor.</t>
  </si>
  <si>
    <t>Período a que o valor se refere.</t>
  </si>
  <si>
    <t>Registo de origem (RG-SGA-nn, registo corporativo, datasets).</t>
  </si>
  <si>
    <t>ID no registo de origem (EMAS-*, KPI-*, AA-*...).</t>
  </si>
  <si>
    <t>Medido, Calculado, Estimado ou Qualitativo.</t>
  </si>
  <si>
    <t>Lista lst_TipoDado</t>
  </si>
  <si>
    <t>Qualidade da evidência.</t>
  </si>
  <si>
    <t>Pressupostos e notas.</t>
  </si>
  <si>
    <t>tbl_dma_consultas</t>
  </si>
  <si>
    <t>Identificador do contributo (CON-nnn).</t>
  </si>
  <si>
    <t>Data da consulta.</t>
  </si>
  <si>
    <t>Grupo de partes interessadas (tbPartesInteressadas do registo corporativo).</t>
  </si>
  <si>
    <t>Lista lst_Parte</t>
  </si>
  <si>
    <t>Método de envolvimento.</t>
  </si>
  <si>
    <t>Lista lst_Metodo</t>
  </si>
  <si>
    <t>N.º de participantes.</t>
  </si>
  <si>
    <t>Tema comentado.</t>
  </si>
  <si>
    <t>Relevância atribuída pela parte interessada (1–5).</t>
  </si>
  <si>
    <t>Opinião / perceção ou evidência objetiva (EFRAG IG 1).</t>
  </si>
  <si>
    <t>Lista lst_TipoContributo</t>
  </si>
  <si>
    <t>Síntese do contributo.</t>
  </si>
  <si>
    <t>Se o contributo foi considerado na avaliação.</t>
  </si>
  <si>
    <t>Total Geral</t>
  </si>
  <si>
    <t>Material — financeiro</t>
  </si>
  <si>
    <t>N.º de IRO</t>
  </si>
  <si>
    <t>Total N.º de IRO</t>
  </si>
  <si>
    <t>Total Efeito ponderado (€/ano)</t>
  </si>
  <si>
    <t>Efeito ponderado (€/ano)</t>
  </si>
  <si>
    <t>Valores</t>
  </si>
  <si>
    <t>E1 Alterações climáticas Total</t>
  </si>
  <si>
    <t>E2 Poluição Total</t>
  </si>
  <si>
    <t>E3 Água e recursos marinhos Total</t>
  </si>
  <si>
    <t>E4 Biodiversidade e ecossistemas Total</t>
  </si>
  <si>
    <t>E5 Uso de recursos e economia circular Total</t>
  </si>
  <si>
    <t>Específico da entidade Total</t>
  </si>
  <si>
    <t>G1 Conduta empresarial Total</t>
  </si>
  <si>
    <t>S1 Trabalhadores próprios Total</t>
  </si>
  <si>
    <t>S2 Trabalhadores da cadeia de valor Total</t>
  </si>
  <si>
    <t>S3 Comunidades afetadas Total</t>
  </si>
  <si>
    <t>S4 Consumidores e utilizadores finais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</si>
</sst>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#,##0.0"/>
    <numFmt numFmtId="166" formatCode="#,##0\ \€"/>
    <numFmt numFmtId="167" formatCode="#,##0\ \€;\-#,##0\ \€"/>
    <numFmt numFmtId="168" formatCode="0;\-0;&quot;&quot;"/>
    <numFmt numFmtId="169" formatCode="0;\-0;&quot;—&quot;"/>
    <numFmt numFmtId="170" formatCode="0.0;\-0.0;&quot;—&quot;"/>
    <numFmt numFmtId="171" formatCode="#,##0\ \€;\-#,##0\ \€;&quot;—&quot;"/>
    <numFmt numFmtId="172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8"/>
      <color rgb="FF808080"/>
      <name val="Arial"/>
    </font>
    <font>
      <i/>
      <sz val="8"/>
      <color rgb="FF808080"/>
      <name val="Arial"/>
    </font>
    <font>
      <b/>
      <sz val="13"/>
      <color rgb="FF0F2F3A"/>
      <name val="Arial"/>
    </font>
    <font>
      <b/>
      <sz val="13"/>
      <name val="Arial"/>
    </font>
    <font>
      <b/>
      <sz val="8"/>
      <color rgb="FF80808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  <fill>
      <patternFill patternType="solid">
        <fgColor rgb="FFFFF2B3"/>
      </patternFill>
    </fill>
    <fill>
      <patternFill patternType="solid">
        <fgColor rgb="FFFCE4C4"/>
      </patternFill>
    </fill>
    <fill>
      <patternFill patternType="solid">
        <fgColor rgb="FFF4C7C3"/>
      </patternFill>
    </fill>
    <fill>
      <patternFill patternType="solid">
        <fgColor rgb="FFE7E7E7"/>
      </patternFill>
    </fill>
    <fill>
      <patternFill patternType="solid">
        <fgColor rgb="FFCDEBD3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7" fillId="0" borderId="0" xfId="0" applyFont="1"/>
    <xf numFmtId="0" fontId="10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6" fillId="0" borderId="0" xfId="0" applyFont="1"/>
    <xf numFmtId="0" fontId="5" fillId="6" borderId="1" xfId="0" applyFont="1" applyFill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67" fontId="8" fillId="0" borderId="1" xfId="0" applyNumberFormat="1" applyFont="1" applyBorder="1" applyAlignment="1">
      <alignment horizontal="center" vertical="top" wrapText="1"/>
    </xf>
    <xf numFmtId="9" fontId="8" fillId="0" borderId="1" xfId="0" applyNumberFormat="1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168" fontId="9" fillId="7" borderId="1" xfId="0" applyNumberFormat="1" applyFont="1" applyFill="1" applyBorder="1" applyAlignment="1">
      <alignment horizontal="center" vertical="top" wrapText="1"/>
    </xf>
    <xf numFmtId="168" fontId="9" fillId="8" borderId="1" xfId="0" applyNumberFormat="1" applyFont="1" applyFill="1" applyBorder="1" applyAlignment="1">
      <alignment horizontal="center" vertical="top" wrapText="1"/>
    </xf>
    <xf numFmtId="168" fontId="9" fillId="6" borderId="1" xfId="0" applyNumberFormat="1" applyFont="1" applyFill="1" applyBorder="1" applyAlignment="1">
      <alignment horizontal="center" vertical="top" wrapText="1"/>
    </xf>
    <xf numFmtId="168" fontId="9" fillId="9" borderId="1" xfId="0" applyNumberFormat="1" applyFont="1" applyFill="1" applyBorder="1" applyAlignment="1">
      <alignment horizontal="center" vertical="top" wrapText="1"/>
    </xf>
    <xf numFmtId="168" fontId="9" fillId="10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 wrapText="1"/>
    </xf>
    <xf numFmtId="169" fontId="4" fillId="0" borderId="1" xfId="0" applyNumberFormat="1" applyFont="1" applyBorder="1" applyAlignment="1">
      <alignment horizontal="center" vertical="top" wrapText="1"/>
    </xf>
    <xf numFmtId="170" fontId="4" fillId="0" borderId="1" xfId="0" applyNumberFormat="1" applyFont="1" applyBorder="1" applyAlignment="1">
      <alignment horizontal="center" vertical="top" wrapText="1"/>
    </xf>
    <xf numFmtId="171" fontId="4" fillId="0" borderId="1" xfId="0" applyNumberFormat="1" applyFont="1" applyBorder="1" applyAlignment="1">
      <alignment horizontal="center" vertical="top" wrapText="1"/>
    </xf>
    <xf numFmtId="172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/>
    <xf numFmtId="0" fontId="4" fillId="6" borderId="1" xfId="0" applyFont="1" applyFill="1" applyBorder="1"/>
    <xf numFmtId="0" fontId="2" fillId="0" borderId="0" xfId="0" applyFont="1" applyAlignment="1">
      <alignment vertical="top" wrapText="1"/>
    </xf>
    <xf numFmtId="0" fontId="0" fillId="0" borderId="0" xfId="0"/>
    <xf numFmtId="0" fontId="0" fillId="0" borderId="0" xfId="0" pivotButton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9"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10" Type="http://schemas.microsoft.com/office/2007/relationships/slicerCache" Target="slicerCaches/slicerCach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PT"/>
              <a:t>Matriz de dupla materialidade (temas)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Painel!$AB$4</c:f>
              <c:strCache>
                <c:ptCount val="1"/>
                <c:pt idx="0">
                  <c:v>Dupla materialidade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5F3C422-7E4A-4865-BB6D-A9BB3E5B0ED4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B99-4224-907B-B799F655D6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338CAF-B4DE-48D6-ABCA-D5C9E82DEEAC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B99-4224-907B-B799F655D6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B99-4224-907B-B799F655D6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B99-4224-907B-B799F655D6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99-4224-907B-B799F655D6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8F75613-DDB7-423C-BF0D-F2B11E0C9144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99-4224-907B-B799F655D6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99-4224-907B-B799F655D6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B99-4224-907B-B799F655D6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B99-4224-907B-B799F655D6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C6246FB-7778-40BD-BB2A-4BB1DD3359A7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B99-4224-907B-B799F655D6C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DE9DCA4-E115-4E27-9156-F3D28683A2F6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B99-4224-907B-B799F655D6C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B99-4224-907B-B799F655D6C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B99-4224-907B-B799F655D6C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B99-4224-907B-B799F655D6C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B99-4224-907B-B799F655D6C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B99-4224-907B-B799F655D6C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B99-4224-907B-B799F655D6C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B99-4224-907B-B799F655D6C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5DD3A10-BB45-4DCA-A2C7-1DD3FF5ACDC9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B99-4224-907B-B799F655D6C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B99-4224-907B-B799F655D6C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B99-4224-907B-B799F655D6C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B99-4224-907B-B799F655D6C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B99-4224-907B-B799F655D6C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B99-4224-907B-B799F655D6C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B99-4224-907B-B799F655D6C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B99-4224-907B-B799F655D6C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B99-4224-907B-B799F655D6C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B99-4224-907B-B799F655D6C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B99-4224-907B-B799F655D6C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B99-4224-907B-B799F655D6C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B99-4224-907B-B799F655D6C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B99-4224-907B-B799F655D6C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B99-4224-907B-B799F655D6C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B99-4224-907B-B799F655D6C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B99-4224-907B-B799F655D6C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B99-4224-907B-B799F655D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Painel!$AA$5:$AA$40</c:f>
              <c:numCache>
                <c:formatCode>General</c:formatCode>
                <c:ptCount val="36"/>
                <c:pt idx="0">
                  <c:v>12</c:v>
                </c:pt>
                <c:pt idx="1">
                  <c:v>16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12</c:v>
                </c:pt>
                <c:pt idx="6">
                  <c:v>9</c:v>
                </c:pt>
                <c:pt idx="7">
                  <c:v>6</c:v>
                </c:pt>
                <c:pt idx="8">
                  <c:v>0</c:v>
                </c:pt>
                <c:pt idx="9">
                  <c:v>12</c:v>
                </c:pt>
                <c:pt idx="10">
                  <c:v>20</c:v>
                </c:pt>
                <c:pt idx="11">
                  <c:v>8</c:v>
                </c:pt>
                <c:pt idx="12">
                  <c:v>6</c:v>
                </c:pt>
                <c:pt idx="13">
                  <c:v>16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9</c:v>
                </c:pt>
                <c:pt idx="20">
                  <c:v>12</c:v>
                </c:pt>
                <c:pt idx="21">
                  <c:v>12</c:v>
                </c:pt>
                <c:pt idx="22">
                  <c:v>20</c:v>
                </c:pt>
                <c:pt idx="23">
                  <c:v>12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xVal>
          <c:yVal>
            <c:numRef>
              <c:f>Painel!$AB$5:$AB$40</c:f>
              <c:numCache>
                <c:formatCode>General</c:formatCode>
                <c:ptCount val="36"/>
                <c:pt idx="0">
                  <c:v>20</c:v>
                </c:pt>
                <c:pt idx="1">
                  <c:v>15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18.399999999999999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18.399999999999999</c:v>
                </c:pt>
                <c:pt idx="10">
                  <c:v>16.7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20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Painel!$Z$5:$Z$40</c15:f>
                <c15:dlblRangeCache>
                  <c:ptCount val="36"/>
                  <c:pt idx="0">
                    <c:v>DM-01</c:v>
                  </c:pt>
                  <c:pt idx="1">
                    <c:v>DM-02</c:v>
                  </c:pt>
                  <c:pt idx="2">
                    <c:v>DM-03</c:v>
                  </c:pt>
                  <c:pt idx="3">
                    <c:v>DM-04</c:v>
                  </c:pt>
                  <c:pt idx="4">
                    <c:v>DM-05</c:v>
                  </c:pt>
                  <c:pt idx="5">
                    <c:v>DM-06</c:v>
                  </c:pt>
                  <c:pt idx="6">
                    <c:v>DM-07</c:v>
                  </c:pt>
                  <c:pt idx="7">
                    <c:v>DM-08</c:v>
                  </c:pt>
                  <c:pt idx="8">
                    <c:v>DM-09</c:v>
                  </c:pt>
                  <c:pt idx="9">
                    <c:v>DM-10</c:v>
                  </c:pt>
                  <c:pt idx="10">
                    <c:v>DM-11</c:v>
                  </c:pt>
                  <c:pt idx="11">
                    <c:v>DM-12</c:v>
                  </c:pt>
                  <c:pt idx="12">
                    <c:v>DM-13</c:v>
                  </c:pt>
                  <c:pt idx="13">
                    <c:v>DM-14</c:v>
                  </c:pt>
                  <c:pt idx="14">
                    <c:v>DM-15</c:v>
                  </c:pt>
                  <c:pt idx="15">
                    <c:v>DM-16</c:v>
                  </c:pt>
                  <c:pt idx="16">
                    <c:v>DM-17</c:v>
                  </c:pt>
                  <c:pt idx="17">
                    <c:v>DM-18</c:v>
                  </c:pt>
                  <c:pt idx="18">
                    <c:v>DM-19</c:v>
                  </c:pt>
                  <c:pt idx="19">
                    <c:v>DM-20</c:v>
                  </c:pt>
                  <c:pt idx="20">
                    <c:v>DM-21</c:v>
                  </c:pt>
                  <c:pt idx="21">
                    <c:v>DM-22</c:v>
                  </c:pt>
                  <c:pt idx="22">
                    <c:v>DM-23</c:v>
                  </c:pt>
                  <c:pt idx="23">
                    <c:v>DM-24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6BB-427B-B9A7-A76AFACED80A}"/>
            </c:ext>
          </c:extLst>
        </c:ser>
        <c:ser>
          <c:idx val="1"/>
          <c:order val="1"/>
          <c:tx>
            <c:strRef>
              <c:f>Painel!$AC$4</c:f>
              <c:strCache>
                <c:ptCount val="1"/>
                <c:pt idx="0">
                  <c:v>Material — impacto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E67E22"/>
              </a:solidFill>
              <a:ln>
                <a:solidFill>
                  <a:srgbClr val="E67E22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BB99-4224-907B-B799F655D6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BB99-4224-907B-B799F655D6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B99-4224-907B-B799F655D6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2C2AE8-DC4D-4CC4-8A21-E0A74D43A35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B99-4224-907B-B799F655D6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BB99-4224-907B-B799F655D6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B99-4224-907B-B799F655D6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BB99-4224-907B-B799F655D6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B99-4224-907B-B799F655D6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79FBE55-AE9A-49A6-8F52-2C71AC30DEDC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BB99-4224-907B-B799F655D6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BB99-4224-907B-B799F655D6C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B99-4224-907B-B799F655D6C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BB99-4224-907B-B799F655D6C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7AA493-39FF-4E07-A830-DE0F5EDDF6E4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B99-4224-907B-B799F655D6C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B99-4224-907B-B799F655D6C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B99-4224-907B-B799F655D6C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B99-4224-907B-B799F655D6C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B99-4224-907B-B799F655D6C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67E81A9-AF88-4569-A7AB-9316D9261764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B99-4224-907B-B799F655D6C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B99-4224-907B-B799F655D6C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B99-4224-907B-B799F655D6C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B99-4224-907B-B799F655D6C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B99-4224-907B-B799F655D6C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B99-4224-907B-B799F655D6C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B99-4224-907B-B799F655D6C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BB99-4224-907B-B799F655D6C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B99-4224-907B-B799F655D6C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B99-4224-907B-B799F655D6C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B99-4224-907B-B799F655D6C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B99-4224-907B-B799F655D6C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BB99-4224-907B-B799F655D6C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BB99-4224-907B-B799F655D6C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BB99-4224-907B-B799F655D6C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BB99-4224-907B-B799F655D6C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BB99-4224-907B-B799F655D6C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BB99-4224-907B-B799F655D6C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BB99-4224-907B-B799F655D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Painel!$AA$5:$AA$40</c:f>
              <c:numCache>
                <c:formatCode>General</c:formatCode>
                <c:ptCount val="36"/>
                <c:pt idx="0">
                  <c:v>12</c:v>
                </c:pt>
                <c:pt idx="1">
                  <c:v>16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12</c:v>
                </c:pt>
                <c:pt idx="6">
                  <c:v>9</c:v>
                </c:pt>
                <c:pt idx="7">
                  <c:v>6</c:v>
                </c:pt>
                <c:pt idx="8">
                  <c:v>0</c:v>
                </c:pt>
                <c:pt idx="9">
                  <c:v>12</c:v>
                </c:pt>
                <c:pt idx="10">
                  <c:v>20</c:v>
                </c:pt>
                <c:pt idx="11">
                  <c:v>8</c:v>
                </c:pt>
                <c:pt idx="12">
                  <c:v>6</c:v>
                </c:pt>
                <c:pt idx="13">
                  <c:v>16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9</c:v>
                </c:pt>
                <c:pt idx="20">
                  <c:v>12</c:v>
                </c:pt>
                <c:pt idx="21">
                  <c:v>12</c:v>
                </c:pt>
                <c:pt idx="22">
                  <c:v>20</c:v>
                </c:pt>
                <c:pt idx="23">
                  <c:v>12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xVal>
          <c:yVal>
            <c:numRef>
              <c:f>Painel!$AC$5:$AC$40</c:f>
              <c:numCache>
                <c:formatCode>General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13.4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20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12.5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Painel!$Z$5:$Z$40</c15:f>
                <c15:dlblRangeCache>
                  <c:ptCount val="36"/>
                  <c:pt idx="0">
                    <c:v>DM-01</c:v>
                  </c:pt>
                  <c:pt idx="1">
                    <c:v>DM-02</c:v>
                  </c:pt>
                  <c:pt idx="2">
                    <c:v>DM-03</c:v>
                  </c:pt>
                  <c:pt idx="3">
                    <c:v>DM-04</c:v>
                  </c:pt>
                  <c:pt idx="4">
                    <c:v>DM-05</c:v>
                  </c:pt>
                  <c:pt idx="5">
                    <c:v>DM-06</c:v>
                  </c:pt>
                  <c:pt idx="6">
                    <c:v>DM-07</c:v>
                  </c:pt>
                  <c:pt idx="7">
                    <c:v>DM-08</c:v>
                  </c:pt>
                  <c:pt idx="8">
                    <c:v>DM-09</c:v>
                  </c:pt>
                  <c:pt idx="9">
                    <c:v>DM-10</c:v>
                  </c:pt>
                  <c:pt idx="10">
                    <c:v>DM-11</c:v>
                  </c:pt>
                  <c:pt idx="11">
                    <c:v>DM-12</c:v>
                  </c:pt>
                  <c:pt idx="12">
                    <c:v>DM-13</c:v>
                  </c:pt>
                  <c:pt idx="13">
                    <c:v>DM-14</c:v>
                  </c:pt>
                  <c:pt idx="14">
                    <c:v>DM-15</c:v>
                  </c:pt>
                  <c:pt idx="15">
                    <c:v>DM-16</c:v>
                  </c:pt>
                  <c:pt idx="16">
                    <c:v>DM-17</c:v>
                  </c:pt>
                  <c:pt idx="17">
                    <c:v>DM-18</c:v>
                  </c:pt>
                  <c:pt idx="18">
                    <c:v>DM-19</c:v>
                  </c:pt>
                  <c:pt idx="19">
                    <c:v>DM-20</c:v>
                  </c:pt>
                  <c:pt idx="20">
                    <c:v>DM-21</c:v>
                  </c:pt>
                  <c:pt idx="21">
                    <c:v>DM-22</c:v>
                  </c:pt>
                  <c:pt idx="22">
                    <c:v>DM-23</c:v>
                  </c:pt>
                  <c:pt idx="23">
                    <c:v>DM-24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6BB-427B-B9A7-A76AFACED80A}"/>
            </c:ext>
          </c:extLst>
        </c:ser>
        <c:ser>
          <c:idx val="2"/>
          <c:order val="2"/>
          <c:tx>
            <c:strRef>
              <c:f>Painel!$AD$4</c:f>
              <c:strCache>
                <c:ptCount val="1"/>
                <c:pt idx="0">
                  <c:v>Material — financeira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BB99-4224-907B-B799F655D6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BB99-4224-907B-B799F655D6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EB41C80-AD48-4FD4-A01C-0DA6F6073E56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BB99-4224-907B-B799F655D6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BB99-4224-907B-B799F655D6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BB99-4224-907B-B799F655D6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BB99-4224-907B-B799F655D6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BB99-4224-907B-B799F655D6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BB99-4224-907B-B799F655D6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BB99-4224-907B-B799F655D6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BB99-4224-907B-B799F655D6C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BB99-4224-907B-B799F655D6C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BB99-4224-907B-B799F655D6C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BB99-4224-907B-B799F655D6C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D92B371-0147-4C85-9A51-1FC36A8F00DA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BB99-4224-907B-B799F655D6C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BB99-4224-907B-B799F655D6C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BB99-4224-907B-B799F655D6C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BB99-4224-907B-B799F655D6C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BB99-4224-907B-B799F655D6C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BB99-4224-907B-B799F655D6C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BB99-4224-907B-B799F655D6C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C7B4663-A40D-48A1-8AAD-DE4B38F70791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BB99-4224-907B-B799F655D6C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55F1227-3014-483C-93C6-4F4CA434B377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BB99-4224-907B-B799F655D6C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D6B62DB-E9BD-4B34-8DF1-D9E3983B3F5F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BB99-4224-907B-B799F655D6C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DBA3202-BB28-44BA-B2CB-ACAA9857EF1E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BB99-4224-907B-B799F655D6C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BB99-4224-907B-B799F655D6C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BB99-4224-907B-B799F655D6C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BB99-4224-907B-B799F655D6C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BB99-4224-907B-B799F655D6C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BB99-4224-907B-B799F655D6C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BB99-4224-907B-B799F655D6C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BB99-4224-907B-B799F655D6C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BB99-4224-907B-B799F655D6C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BB99-4224-907B-B799F655D6C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BB99-4224-907B-B799F655D6C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BB99-4224-907B-B799F655D6C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BB99-4224-907B-B799F655D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Painel!$AA$5:$AA$40</c:f>
              <c:numCache>
                <c:formatCode>General</c:formatCode>
                <c:ptCount val="36"/>
                <c:pt idx="0">
                  <c:v>12</c:v>
                </c:pt>
                <c:pt idx="1">
                  <c:v>16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12</c:v>
                </c:pt>
                <c:pt idx="6">
                  <c:v>9</c:v>
                </c:pt>
                <c:pt idx="7">
                  <c:v>6</c:v>
                </c:pt>
                <c:pt idx="8">
                  <c:v>0</c:v>
                </c:pt>
                <c:pt idx="9">
                  <c:v>12</c:v>
                </c:pt>
                <c:pt idx="10">
                  <c:v>20</c:v>
                </c:pt>
                <c:pt idx="11">
                  <c:v>8</c:v>
                </c:pt>
                <c:pt idx="12">
                  <c:v>6</c:v>
                </c:pt>
                <c:pt idx="13">
                  <c:v>16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9</c:v>
                </c:pt>
                <c:pt idx="20">
                  <c:v>12</c:v>
                </c:pt>
                <c:pt idx="21">
                  <c:v>12</c:v>
                </c:pt>
                <c:pt idx="22">
                  <c:v>20</c:v>
                </c:pt>
                <c:pt idx="23">
                  <c:v>12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xVal>
          <c:yVal>
            <c:numRef>
              <c:f>Painel!$AD$5:$AD$40</c:f>
              <c:numCache>
                <c:formatCode>General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11.7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2</c:v>
                </c:pt>
                <c:pt idx="21">
                  <c:v>7.5</c:v>
                </c:pt>
                <c:pt idx="22">
                  <c:v>10</c:v>
                </c:pt>
                <c:pt idx="23">
                  <c:v>0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Painel!$Z$5:$Z$40</c15:f>
                <c15:dlblRangeCache>
                  <c:ptCount val="36"/>
                  <c:pt idx="0">
                    <c:v>DM-01</c:v>
                  </c:pt>
                  <c:pt idx="1">
                    <c:v>DM-02</c:v>
                  </c:pt>
                  <c:pt idx="2">
                    <c:v>DM-03</c:v>
                  </c:pt>
                  <c:pt idx="3">
                    <c:v>DM-04</c:v>
                  </c:pt>
                  <c:pt idx="4">
                    <c:v>DM-05</c:v>
                  </c:pt>
                  <c:pt idx="5">
                    <c:v>DM-06</c:v>
                  </c:pt>
                  <c:pt idx="6">
                    <c:v>DM-07</c:v>
                  </c:pt>
                  <c:pt idx="7">
                    <c:v>DM-08</c:v>
                  </c:pt>
                  <c:pt idx="8">
                    <c:v>DM-09</c:v>
                  </c:pt>
                  <c:pt idx="9">
                    <c:v>DM-10</c:v>
                  </c:pt>
                  <c:pt idx="10">
                    <c:v>DM-11</c:v>
                  </c:pt>
                  <c:pt idx="11">
                    <c:v>DM-12</c:v>
                  </c:pt>
                  <c:pt idx="12">
                    <c:v>DM-13</c:v>
                  </c:pt>
                  <c:pt idx="13">
                    <c:v>DM-14</c:v>
                  </c:pt>
                  <c:pt idx="14">
                    <c:v>DM-15</c:v>
                  </c:pt>
                  <c:pt idx="15">
                    <c:v>DM-16</c:v>
                  </c:pt>
                  <c:pt idx="16">
                    <c:v>DM-17</c:v>
                  </c:pt>
                  <c:pt idx="17">
                    <c:v>DM-18</c:v>
                  </c:pt>
                  <c:pt idx="18">
                    <c:v>DM-19</c:v>
                  </c:pt>
                  <c:pt idx="19">
                    <c:v>DM-20</c:v>
                  </c:pt>
                  <c:pt idx="20">
                    <c:v>DM-21</c:v>
                  </c:pt>
                  <c:pt idx="21">
                    <c:v>DM-22</c:v>
                  </c:pt>
                  <c:pt idx="22">
                    <c:v>DM-23</c:v>
                  </c:pt>
                  <c:pt idx="23">
                    <c:v>DM-24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E6BB-427B-B9A7-A76AFACED80A}"/>
            </c:ext>
          </c:extLst>
        </c:ser>
        <c:ser>
          <c:idx val="3"/>
          <c:order val="3"/>
          <c:tx>
            <c:strRef>
              <c:f>Painel!$AE$4</c:f>
              <c:strCache>
                <c:ptCount val="1"/>
                <c:pt idx="0">
                  <c:v>Não material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F8C8D"/>
              </a:solidFill>
              <a:ln>
                <a:solidFill>
                  <a:srgbClr val="7F8C8D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BB99-4224-907B-B799F655D6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BB99-4224-907B-B799F655D6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BB99-4224-907B-B799F655D6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BB99-4224-907B-B799F655D6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2DFB3D-1874-4504-88CC-644CFA003AFC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BB99-4224-907B-B799F655D6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BB99-4224-907B-B799F655D6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17FB1DA-5BA6-4F28-8326-DFB232E7F54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BB99-4224-907B-B799F655D6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A2763E-EB7D-4297-8889-17F5FAB0A318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BB99-4224-907B-B799F655D6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BB99-4224-907B-B799F655D6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BB99-4224-907B-B799F655D6C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BB99-4224-907B-B799F655D6C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DD28429-6BD0-48A0-8BD5-E4666ACAC3D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BB99-4224-907B-B799F655D6C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BB99-4224-907B-B799F655D6C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BB99-4224-907B-B799F655D6C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9386A54-941B-4C1D-83FD-29FC0899BBFC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BB99-4224-907B-B799F655D6C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49F5B1B-87BA-4496-B4B2-4E89E3A101D1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BB99-4224-907B-B799F655D6C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0A70468-AAC6-472F-A00F-56386ACA3C16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BB99-4224-907B-B799F655D6C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BB99-4224-907B-B799F655D6C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BB99-4224-907B-B799F655D6C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6664285-F9D4-4674-B3EB-0391004BBB2B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BB99-4224-907B-B799F655D6C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BB99-4224-907B-B799F655D6C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BB99-4224-907B-B799F655D6C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BB99-4224-907B-B799F655D6C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BB99-4224-907B-B799F655D6C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BB99-4224-907B-B799F655D6C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BB99-4224-907B-B799F655D6C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BB99-4224-907B-B799F655D6C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BB99-4224-907B-B799F655D6C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BB99-4224-907B-B799F655D6C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BB99-4224-907B-B799F655D6C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BB99-4224-907B-B799F655D6C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BB99-4224-907B-B799F655D6C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BB99-4224-907B-B799F655D6C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BB99-4224-907B-B799F655D6C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BB99-4224-907B-B799F655D6C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BB99-4224-907B-B799F655D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Painel!$AA$5:$AA$40</c:f>
              <c:numCache>
                <c:formatCode>General</c:formatCode>
                <c:ptCount val="36"/>
                <c:pt idx="0">
                  <c:v>12</c:v>
                </c:pt>
                <c:pt idx="1">
                  <c:v>16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12</c:v>
                </c:pt>
                <c:pt idx="6">
                  <c:v>9</c:v>
                </c:pt>
                <c:pt idx="7">
                  <c:v>6</c:v>
                </c:pt>
                <c:pt idx="8">
                  <c:v>0</c:v>
                </c:pt>
                <c:pt idx="9">
                  <c:v>12</c:v>
                </c:pt>
                <c:pt idx="10">
                  <c:v>20</c:v>
                </c:pt>
                <c:pt idx="11">
                  <c:v>8</c:v>
                </c:pt>
                <c:pt idx="12">
                  <c:v>6</c:v>
                </c:pt>
                <c:pt idx="13">
                  <c:v>16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9</c:v>
                </c:pt>
                <c:pt idx="20">
                  <c:v>12</c:v>
                </c:pt>
                <c:pt idx="21">
                  <c:v>12</c:v>
                </c:pt>
                <c:pt idx="22">
                  <c:v>20</c:v>
                </c:pt>
                <c:pt idx="23">
                  <c:v>12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xVal>
          <c:yVal>
            <c:numRef>
              <c:f>Painel!$AE$5:$AE$40</c:f>
              <c:numCache>
                <c:formatCode>General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</c:v>
                </c:pt>
                <c:pt idx="5">
                  <c:v>#N/A</c:v>
                </c:pt>
                <c:pt idx="6">
                  <c:v>8</c:v>
                </c:pt>
                <c:pt idx="7">
                  <c:v>11.7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10</c:v>
                </c:pt>
                <c:pt idx="12">
                  <c:v>#N/A</c:v>
                </c:pt>
                <c:pt idx="13">
                  <c:v>#N/A</c:v>
                </c:pt>
                <c:pt idx="14">
                  <c:v>10</c:v>
                </c:pt>
                <c:pt idx="15">
                  <c:v>4</c:v>
                </c:pt>
                <c:pt idx="16">
                  <c:v>6.7</c:v>
                </c:pt>
                <c:pt idx="17">
                  <c:v>#N/A</c:v>
                </c:pt>
                <c:pt idx="18">
                  <c:v>#N/A</c:v>
                </c:pt>
                <c:pt idx="19">
                  <c:v>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Painel!$Z$5:$Z$40</c15:f>
                <c15:dlblRangeCache>
                  <c:ptCount val="36"/>
                  <c:pt idx="0">
                    <c:v>DM-01</c:v>
                  </c:pt>
                  <c:pt idx="1">
                    <c:v>DM-02</c:v>
                  </c:pt>
                  <c:pt idx="2">
                    <c:v>DM-03</c:v>
                  </c:pt>
                  <c:pt idx="3">
                    <c:v>DM-04</c:v>
                  </c:pt>
                  <c:pt idx="4">
                    <c:v>DM-05</c:v>
                  </c:pt>
                  <c:pt idx="5">
                    <c:v>DM-06</c:v>
                  </c:pt>
                  <c:pt idx="6">
                    <c:v>DM-07</c:v>
                  </c:pt>
                  <c:pt idx="7">
                    <c:v>DM-08</c:v>
                  </c:pt>
                  <c:pt idx="8">
                    <c:v>DM-09</c:v>
                  </c:pt>
                  <c:pt idx="9">
                    <c:v>DM-10</c:v>
                  </c:pt>
                  <c:pt idx="10">
                    <c:v>DM-11</c:v>
                  </c:pt>
                  <c:pt idx="11">
                    <c:v>DM-12</c:v>
                  </c:pt>
                  <c:pt idx="12">
                    <c:v>DM-13</c:v>
                  </c:pt>
                  <c:pt idx="13">
                    <c:v>DM-14</c:v>
                  </c:pt>
                  <c:pt idx="14">
                    <c:v>DM-15</c:v>
                  </c:pt>
                  <c:pt idx="15">
                    <c:v>DM-16</c:v>
                  </c:pt>
                  <c:pt idx="16">
                    <c:v>DM-17</c:v>
                  </c:pt>
                  <c:pt idx="17">
                    <c:v>DM-18</c:v>
                  </c:pt>
                  <c:pt idx="18">
                    <c:v>DM-19</c:v>
                  </c:pt>
                  <c:pt idx="19">
                    <c:v>DM-20</c:v>
                  </c:pt>
                  <c:pt idx="20">
                    <c:v>DM-21</c:v>
                  </c:pt>
                  <c:pt idx="21">
                    <c:v>DM-22</c:v>
                  </c:pt>
                  <c:pt idx="22">
                    <c:v>DM-23</c:v>
                  </c:pt>
                  <c:pt idx="23">
                    <c:v>DM-24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E6BB-427B-B9A7-A76AFACED80A}"/>
            </c:ext>
          </c:extLst>
        </c:ser>
        <c:ser>
          <c:idx val="4"/>
          <c:order val="4"/>
          <c:tx>
            <c:v>Limiar financeiro</c:v>
          </c:tx>
          <c:spPr>
            <a:ln w="12700">
              <a:solidFill>
                <a:srgbClr val="A0A0A0"/>
              </a:solidFill>
              <a:prstDash val="dash"/>
            </a:ln>
          </c:spPr>
          <c:marker>
            <c:symbol val="none"/>
          </c:marker>
          <c:xVal>
            <c:numRef>
              <c:f>Painel!$Z$43:$Z$44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Painel!$AA$43:$AA$44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BB-427B-B9A7-A76AFACED80A}"/>
            </c:ext>
          </c:extLst>
        </c:ser>
        <c:ser>
          <c:idx val="5"/>
          <c:order val="5"/>
          <c:tx>
            <c:v>Limiar de impacto</c:v>
          </c:tx>
          <c:spPr>
            <a:ln w="12700">
              <a:solidFill>
                <a:srgbClr val="A0A0A0"/>
              </a:solidFill>
              <a:prstDash val="dash"/>
            </a:ln>
          </c:spPr>
          <c:marker>
            <c:symbol val="none"/>
          </c:marker>
          <c:xVal>
            <c:numRef>
              <c:f>Painel!$Z$45:$Z$46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xVal>
          <c:yVal>
            <c:numRef>
              <c:f>Painel!$AA$45:$AA$46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BB-427B-B9A7-A76AFACED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Materialidade financeira (score máx. 0–25)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  <c:majorUnit val="5"/>
      </c:valAx>
      <c:valAx>
        <c:axId val="20"/>
        <c:scaling>
          <c:orientation val="minMax"/>
          <c:max val="2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Materialidade de impacto (score máx. 0–25)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8640000" cy="48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11</xdr:col>
      <xdr:colOff>0</xdr:colOff>
      <xdr:row>93</xdr:row>
      <xdr:rowOff>0</xdr:rowOff>
    </xdr:from>
    <xdr:to>
      <xdr:col>14</xdr:col>
      <xdr:colOff>139700</xdr:colOff>
      <xdr:row>104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lc_Pilar">
              <a:extLst>
                <a:ext uri="{FF2B5EF4-FFF2-40B4-BE49-F238E27FC236}">
                  <a16:creationId xmlns:a16="http://schemas.microsoft.com/office/drawing/2014/main" id="{263BDDDC-D314-E19F-F5AE-31E32627F3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Pil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39020" y="2418588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266700</xdr:colOff>
      <xdr:row>93</xdr:row>
      <xdr:rowOff>0</xdr:rowOff>
    </xdr:from>
    <xdr:to>
      <xdr:col>17</xdr:col>
      <xdr:colOff>406400</xdr:colOff>
      <xdr:row>104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lc_Etapa_Cadeia_Valor">
              <a:extLst>
                <a:ext uri="{FF2B5EF4-FFF2-40B4-BE49-F238E27FC236}">
                  <a16:creationId xmlns:a16="http://schemas.microsoft.com/office/drawing/2014/main" id="{2A8AB5E8-DA3B-EC6F-5EFE-6FB6ED90F2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Etapa_Cadeia_Val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34520" y="2418588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533400</xdr:colOff>
      <xdr:row>93</xdr:row>
      <xdr:rowOff>0</xdr:rowOff>
    </xdr:from>
    <xdr:to>
      <xdr:col>21</xdr:col>
      <xdr:colOff>63500</xdr:colOff>
      <xdr:row>104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lc_Horizonte">
              <a:extLst>
                <a:ext uri="{FF2B5EF4-FFF2-40B4-BE49-F238E27FC236}">
                  <a16:creationId xmlns:a16="http://schemas.microsoft.com/office/drawing/2014/main" id="{872B7E4F-1DA3-B474-C5FD-C1758A597A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Horizo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30020" y="2418588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105</xdr:row>
      <xdr:rowOff>27940</xdr:rowOff>
    </xdr:from>
    <xdr:to>
      <xdr:col>14</xdr:col>
      <xdr:colOff>139700</xdr:colOff>
      <xdr:row>116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lc_Tipo_IRO">
              <a:extLst>
                <a:ext uri="{FF2B5EF4-FFF2-40B4-BE49-F238E27FC236}">
                  <a16:creationId xmlns:a16="http://schemas.microsoft.com/office/drawing/2014/main" id="{0D18510C-3DD1-2F63-BF61-0066BE5AEC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Tipo_I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39020" y="2640838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266700</xdr:colOff>
      <xdr:row>105</xdr:row>
      <xdr:rowOff>27940</xdr:rowOff>
    </xdr:from>
    <xdr:to>
      <xdr:col>17</xdr:col>
      <xdr:colOff>406400</xdr:colOff>
      <xdr:row>116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lc_Material">
              <a:extLst>
                <a:ext uri="{FF2B5EF4-FFF2-40B4-BE49-F238E27FC236}">
                  <a16:creationId xmlns:a16="http://schemas.microsoft.com/office/drawing/2014/main" id="{332E1CB1-FB79-15A2-34A7-67149982FD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Mater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34520" y="2640838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533400</xdr:colOff>
      <xdr:row>105</xdr:row>
      <xdr:rowOff>27940</xdr:rowOff>
    </xdr:from>
    <xdr:to>
      <xdr:col>21</xdr:col>
      <xdr:colOff>63500</xdr:colOff>
      <xdr:row>116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lc_Qualidade_Evidencia">
              <a:extLst>
                <a:ext uri="{FF2B5EF4-FFF2-40B4-BE49-F238E27FC236}">
                  <a16:creationId xmlns:a16="http://schemas.microsoft.com/office/drawing/2014/main" id="{12B30B0C-189A-ED35-5D52-1C5F159295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Qualidade_Evide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30020" y="2640838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ine Meireles" refreshedDate="46295.742432638886" createdVersion="6" refreshedVersion="8" minRefreshableVersion="3" recordCount="87" xr:uid="{C8A52D4C-65C2-4DA6-AD7F-B5F4CB5C9846}">
  <cacheSource type="worksheet">
    <worksheetSource name="tbl_dma_iro"/>
  </cacheSource>
  <cacheFields count="49">
    <cacheField name="ID_IRO" numFmtId="49">
      <sharedItems containsBlank="1"/>
    </cacheField>
    <cacheField name="ID_Tema" numFmtId="49">
      <sharedItems containsBlank="1"/>
    </cacheField>
    <cacheField name="Tema" numFmtId="49">
      <sharedItems count="25">
        <s v="Emissões de GEE (âmbitos 1, 2 e 3)"/>
        <s v="Consumo e eficiência energética"/>
        <s v="Resiliência a ondas de calor, seca e incêndio"/>
        <s v="Emissões de COV da serigrafia"/>
        <s v="Derrames e descargas"/>
        <s v="Perdas de granulado de plástico"/>
        <s v="Substâncias perigosas em tintas e aditivos"/>
        <s v="Consumo de água"/>
        <s v="Ocupação do solo e plástico no meio natural"/>
        <s v="Polímeros virgens e conteúdo reciclado"/>
        <s v="Reciclabilidade e conformidade PPWR das embalagens"/>
        <s v="Resíduos da produção"/>
        <s v="Saúde e segurança no trabalho"/>
        <s v="Condições de trabalho e disponibilidade de pessoas"/>
        <s v="Formação e competências"/>
        <s v="Igualdade e não discriminação"/>
        <s v="Trabalhadores da cadeia de valor"/>
        <s v="Relação com a comunidade local"/>
        <s v="Segurança do produto (contacto alimentar, farmacêutico e cosmético)"/>
        <s v="Alegações ambientais e informação ao cliente"/>
        <s v="Conformidade legal e conduta ética"/>
        <s v="Gestão e avaliação de fornecedores"/>
        <s v="Qualidade do produto e custo da não-qualidade"/>
        <s v="Dados industriais e cibersegurança"/>
        <s v=""/>
      </sharedItems>
    </cacheField>
    <cacheField name="Pilar" numFmtId="49">
      <sharedItems count="4">
        <s v="Ambiental"/>
        <s v="Social"/>
        <s v="Governança"/>
        <s v=""/>
      </sharedItems>
    </cacheField>
    <cacheField name="ESRS_Topico" numFmtId="49">
      <sharedItems count="12">
        <s v="E1 Alterações climáticas"/>
        <s v="E2 Poluição"/>
        <s v="E3 Água e recursos marinhos"/>
        <s v="E4 Biodiversidade e ecossistemas"/>
        <s v="E5 Uso de recursos e economia circular"/>
        <s v="S1 Trabalhadores próprios"/>
        <s v="S2 Trabalhadores da cadeia de valor"/>
        <s v="S3 Comunidades afetadas"/>
        <s v="S4 Consumidores e utilizadores finais"/>
        <s v="G1 Conduta empresarial"/>
        <s v="Específico da entidade"/>
        <s v=""/>
      </sharedItems>
    </cacheField>
    <cacheField name="Tipo_IRO" numFmtId="49">
      <sharedItems containsBlank="1" count="5">
        <s v="Impacto negativo"/>
        <s v="Risco"/>
        <s v="Oportunidade"/>
        <s v="Impacto positivo"/>
        <m/>
      </sharedItems>
    </cacheField>
    <cacheField name="Dimensao" numFmtId="49">
      <sharedItems/>
    </cacheField>
    <cacheField name="Descricao" numFmtId="49">
      <sharedItems containsBlank="1"/>
    </cacheField>
    <cacheField name="Natureza" numFmtId="49">
      <sharedItems containsBlank="1"/>
    </cacheField>
    <cacheField name="Etapa_Cadeia_Valor" numFmtId="49">
      <sharedItems containsBlank="1" count="6">
        <s v="Operações próprias"/>
        <s v="Upstream — fornecedores"/>
        <s v="Downstream — distribuição"/>
        <s v="Downstream — utilização"/>
        <s v="Downstream — fim de vida"/>
        <m/>
      </sharedItems>
    </cacheField>
    <cacheField name="Horizonte" numFmtId="49">
      <sharedItems containsBlank="1" count="4">
        <s v="Curto prazo (≤ 1 ano)"/>
        <s v="Médio prazo (1–5 anos)"/>
        <s v="Longo prazo (&gt; 5 anos)"/>
        <m/>
      </sharedItems>
    </cacheField>
    <cacheField name="Afetados" numFmtId="49">
      <sharedItems containsBlank="1"/>
    </cacheField>
    <cacheField name="Direitos_Humanos" numFmtId="49">
      <sharedItems containsBlank="1"/>
    </cacheField>
    <cacheField name="Magnitude" numFmtId="1">
      <sharedItems containsString="0" containsBlank="1" containsNumber="1" containsInteger="1" minValue="2" maxValue="5"/>
    </cacheField>
    <cacheField name="Alcance" numFmtId="1">
      <sharedItems containsString="0" containsBlank="1" containsNumber="1" containsInteger="1" minValue="1" maxValue="5"/>
    </cacheField>
    <cacheField name="Irremediabilidade" numFmtId="1">
      <sharedItems containsString="0" containsBlank="1" containsNumber="1" containsInteger="1" minValue="1" maxValue="5"/>
    </cacheField>
    <cacheField name="Probabilidade" numFmtId="1">
      <sharedItems containsString="0" containsBlank="1" containsNumber="1" containsInteger="1" minValue="1" maxValue="3"/>
    </cacheField>
    <cacheField name="Gravidade" numFmtId="4">
      <sharedItems containsMixedTypes="1" containsNumber="1" minValue="1.67" maxValue="4.67"/>
    </cacheField>
    <cacheField name="Probabilidade_Efetiva" numFmtId="1">
      <sharedItems containsMixedTypes="1" containsNumber="1" containsInteger="1" minValue="1" maxValue="5"/>
    </cacheField>
    <cacheField name="Score_Impacto" numFmtId="165">
      <sharedItems containsMixedTypes="1" containsNumber="1" minValue="2" maxValue="20"/>
    </cacheField>
    <cacheField name="Mecanismo_Financeiro" numFmtId="49">
      <sharedItems containsBlank="1"/>
    </cacheField>
    <cacheField name="Rubrica_Financeira" numFmtId="49">
      <sharedItems containsBlank="1"/>
    </cacheField>
    <cacheField name="Efeito_Financeiro_EUR_Ano" numFmtId="166">
      <sharedItems containsString="0" containsBlank="1" containsNumber="1" containsInteger="1" minValue="8000" maxValue="400000"/>
    </cacheField>
    <cacheField name="Probabilidade_Financeira" numFmtId="1">
      <sharedItems containsString="0" containsBlank="1" containsNumber="1" containsInteger="1" minValue="1" maxValue="5"/>
    </cacheField>
    <cacheField name="Magnitude_Financeira" numFmtId="1">
      <sharedItems containsMixedTypes="1" containsNumber="1" containsInteger="1" minValue="2" maxValue="5"/>
    </cacheField>
    <cacheField name="Score_Financeiro" numFmtId="165">
      <sharedItems containsMixedTypes="1" containsNumber="1" containsInteger="1" minValue="4" maxValue="20"/>
    </cacheField>
    <cacheField name="Efeito_Ponderado_EUR" numFmtId="166">
      <sharedItems containsMixedTypes="1" containsNumber="1" containsInteger="1" minValue="-227500" maxValue="80000"/>
    </cacheField>
    <cacheField name="Score" numFmtId="165">
      <sharedItems containsMixedTypes="1" containsNumber="1" minValue="2" maxValue="20"/>
    </cacheField>
    <cacheField name="Material" numFmtId="49">
      <sharedItems count="3">
        <s v="Sim"/>
        <s v="Não"/>
        <s v=""/>
      </sharedItems>
    </cacheField>
    <cacheField name="Classificacao_IRO" numFmtId="49">
      <sharedItems count="4">
        <s v="Material — impacto"/>
        <s v="Não material"/>
        <s v="Material — financeiro"/>
        <s v=""/>
      </sharedItems>
    </cacheField>
    <cacheField name="Ranking_IRO" numFmtId="1">
      <sharedItems containsMixedTypes="1" containsNumber="1" containsInteger="1" minValue="1" maxValue="57"/>
    </cacheField>
    <cacheField name="Evidencia_Resumo" numFmtId="49">
      <sharedItems containsBlank="1"/>
    </cacheField>
    <cacheField name="Qualidade_Evidencia" numFmtId="49">
      <sharedItems containsBlank="1" count="4">
        <s v="Alta"/>
        <s v="Baixa"/>
        <s v="Média"/>
        <m/>
      </sharedItems>
    </cacheField>
    <cacheField name="N_Evidencias" numFmtId="1">
      <sharedItems containsMixedTypes="1" containsNumber="1" containsInteger="1" minValue="1" maxValue="3"/>
    </cacheField>
    <cacheField name="Controlo_Qualidade" numFmtId="49">
      <sharedItems/>
    </cacheField>
    <cacheField name="IDs_Contexto" numFmtId="49">
      <sharedItems containsBlank="1"/>
    </cacheField>
    <cacheField name="ID_RO" numFmtId="49">
      <sharedItems containsBlank="1"/>
    </cacheField>
    <cacheField name="ID_Registo_Corporativo" numFmtId="49">
      <sharedItems containsBlank="1"/>
    </cacheField>
    <cacheField name="IDs_Aspetos" numFmtId="49">
      <sharedItems containsBlank="1"/>
    </cacheField>
    <cacheField name="ID_Legal" numFmtId="49">
      <sharedItems containsBlank="1"/>
    </cacheField>
    <cacheField name="ID_OBJ" numFmtId="49">
      <sharedItems containsBlank="1"/>
    </cacheField>
    <cacheField name="ID_KPI" numFmtId="49">
      <sharedItems containsBlank="1"/>
    </cacheField>
    <cacheField name="ID_PAM" numFmtId="49">
      <sharedItems containsBlank="1"/>
    </cacheField>
    <cacheField name="Resposta_Gestao" numFmtId="49">
      <sharedItems containsBlank="1"/>
    </cacheField>
    <cacheField name="Responsavel" numFmtId="49">
      <sharedItems containsBlank="1"/>
    </cacheField>
    <cacheField name="Estado_Validacao" numFmtId="49">
      <sharedItems containsBlank="1"/>
    </cacheField>
    <cacheField name="Data_Avaliacao" numFmtId="164">
      <sharedItems containsNonDate="0" containsDate="1" containsString="0" containsBlank="1" minDate="2026-09-24T00:00:00" maxDate="2026-09-25T00:00:00"/>
    </cacheField>
    <cacheField name="Proxima_Revisao" numFmtId="164">
      <sharedItems containsDate="1" containsMixedTypes="1" minDate="2027-03-24T00:00:00" maxDate="2027-09-25T00:00:00"/>
    </cacheField>
    <cacheField name="Notas" numFmtId="49">
      <sharedItems containsBlank="1"/>
    </cacheField>
  </cacheFields>
  <extLst>
    <ext xmlns:x14="http://schemas.microsoft.com/office/spreadsheetml/2009/9/main" uri="{725AE2AE-9491-48be-B2B4-4EB974FC3084}">
      <x14:pivotCacheDefinition pivotCacheId="16608711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IRO-001"/>
    <s v="DM-01"/>
    <x v="0"/>
    <x v="0"/>
    <x v="0"/>
    <x v="0"/>
    <s v="Impacto"/>
    <s v="Emissões de GEE do âmbito 2 (≈ 860 tCO2e em 2026, location-based) associadas ao consumo de 7,8 GWh de eletricidade e fugas de R410A."/>
    <s v="Real"/>
    <x v="0"/>
    <x v="0"/>
    <s v="Clima global; sociedade"/>
    <s v="Não"/>
    <n v="3"/>
    <n v="4"/>
    <n v="4"/>
    <m/>
    <n v="3.67"/>
    <n v="5"/>
    <n v="18.399999999999999"/>
    <m/>
    <m/>
    <m/>
    <m/>
    <s v=""/>
    <s v=""/>
    <s v=""/>
    <n v="18.399999999999999"/>
    <x v="0"/>
    <x v="0"/>
    <n v="6"/>
    <s v="EMAS-06 (865 tCO2e, âmbitos 1 + 2 LB); fator 0,110 kgCO2e/kWh; fuga de 3,2 kg de R410A"/>
    <x v="0"/>
    <n v="2"/>
    <s v="OK"/>
    <s v="PES-01"/>
    <m/>
    <m/>
    <s v="AA-007; AA-010; AA-021; AA-025"/>
    <s v="LEG-08; LEG-07"/>
    <s v="OBJ-01"/>
    <s v="KPI-08"/>
    <s v="PAM-26-01"/>
    <s v="Eficiência energética (OBJ-01), garantias de origem renováveis e autoconsumo fotovoltaico."/>
    <s v="Gestor do SGA / EHS (Responsável Ambiental)"/>
    <s v="Validado pelo responsável"/>
    <d v="2026-09-24T00:00:00"/>
    <d v="2027-03-24T00:00:00"/>
    <m/>
  </r>
  <r>
    <s v="IRO-002"/>
    <s v="DM-01"/>
    <x v="0"/>
    <x v="0"/>
    <x v="0"/>
    <x v="0"/>
    <s v="Impacto"/>
    <s v="Emissões do âmbito 3 a montante na produção de ≈ 712 t/ano de polímeros virgens (≈ 1.350 tCO2e/ano, estimativa por fator médio 1,9 kgCO2e/kg)."/>
    <s v="Real"/>
    <x v="1"/>
    <x v="0"/>
    <s v="Clima global"/>
    <s v="Não"/>
    <n v="4"/>
    <n v="4"/>
    <n v="4"/>
    <m/>
    <n v="4"/>
    <n v="5"/>
    <n v="20"/>
    <m/>
    <m/>
    <m/>
    <m/>
    <s v=""/>
    <s v=""/>
    <s v=""/>
    <n v="20"/>
    <x v="0"/>
    <x v="0"/>
    <n v="1"/>
    <s v="AA-001 (712,4 t/ano); fator médio de literatura — estimativa não verificada"/>
    <x v="1"/>
    <n v="2"/>
    <s v="OK"/>
    <s v="PES-01; SWT-T02"/>
    <m/>
    <m/>
    <s v="AA-001"/>
    <m/>
    <m/>
    <m/>
    <m/>
    <s v="Inventário do âmbito 3 (categoria 1) com fatores de fornecedores; aumentar PCR e lightweighting."/>
    <s v="Gestor do SGA / EHS (Responsável Ambiental)"/>
    <s v="Validado pelo responsável"/>
    <d v="2026-09-24T00:00:00"/>
    <d v="2027-03-24T00:00:00"/>
    <s v="Principal fonte de emissões da cadeia de valor; exige dados primários de fornecedores."/>
  </r>
  <r>
    <s v="IRO-003"/>
    <s v="DM-01"/>
    <x v="0"/>
    <x v="0"/>
    <x v="0"/>
    <x v="0"/>
    <s v="Impacto"/>
    <s v="Emissões do transporte rodoviário de matérias-primas e de produto acabado a clientes."/>
    <s v="Real"/>
    <x v="2"/>
    <x v="0"/>
    <s v="Clima global; qualidade do ar local"/>
    <s v="Não"/>
    <n v="2"/>
    <n v="2"/>
    <n v="3"/>
    <m/>
    <n v="2.33"/>
    <n v="5"/>
    <n v="11.7"/>
    <m/>
    <m/>
    <m/>
    <m/>
    <s v=""/>
    <s v=""/>
    <s v=""/>
    <n v="11.7"/>
    <x v="1"/>
    <x v="1"/>
    <n v="28"/>
    <s v="AA-002, AA-040 (sem quantificação de t.km)"/>
    <x v="1"/>
    <n v="1"/>
    <s v="OK"/>
    <m/>
    <m/>
    <m/>
    <s v="AA-002; AA-040"/>
    <m/>
    <m/>
    <m/>
    <m/>
    <s v="Recolher t.km por cliente/fornecedor e otimizar cargas."/>
    <s v="Responsável de Armazém e Logística"/>
    <s v="Validado pelo responsável"/>
    <d v="2026-09-24T00:00:00"/>
    <d v="2027-09-24T00:00:00"/>
    <m/>
  </r>
  <r>
    <s v="IRO-004"/>
    <s v="DM-01"/>
    <x v="0"/>
    <x v="0"/>
    <x v="0"/>
    <x v="1"/>
    <s v="Financeira"/>
    <s v="Perda ou redução de contratos com marcas europeias que exigem pegada de carbono do produto e metas de redução aos fornecedores."/>
    <m/>
    <x v="2"/>
    <x v="1"/>
    <m/>
    <m/>
    <m/>
    <m/>
    <m/>
    <m/>
    <s v=""/>
    <s v=""/>
    <s v=""/>
    <s v="Receitas: ≈ 4% da faturação (3,68 M€) em clientes com requisitos climáticos em 2027; pressuposto interno."/>
    <s v="Receitas"/>
    <n v="150000"/>
    <n v="3"/>
    <n v="4"/>
    <n v="12"/>
    <n v="-60000"/>
    <n v="12"/>
    <x v="0"/>
    <x v="2"/>
    <n v="18"/>
    <s v="PES-04 (clientes pedem dados ambientais); questionários ESG recebidos"/>
    <x v="2"/>
    <n v="1"/>
    <s v="OK"/>
    <s v="PES-04; PES-01"/>
    <m/>
    <s v="O3"/>
    <m/>
    <m/>
    <m/>
    <m/>
    <m/>
    <s v="Cálculo de pegada por família de produto e resposta estruturada a questionários ESG."/>
    <s v="Diretor Geral (Gestão de Topo)"/>
    <s v="Validado pelo responsável"/>
    <d v="2026-09-24T00:00:00"/>
    <d v="2027-03-24T00:00:00"/>
    <m/>
  </r>
  <r>
    <s v="IRO-005"/>
    <s v="DM-02"/>
    <x v="1"/>
    <x v="0"/>
    <x v="0"/>
    <x v="0"/>
    <s v="Impacto"/>
    <s v="Consumo de 7.174 MWh/ano de eletricidade, 45% de origem não renovável, com intensidade de 110 kWh por 1.000 unidades."/>
    <s v="Real"/>
    <x v="0"/>
    <x v="0"/>
    <s v="Recursos energéticos; clima"/>
    <s v="Não"/>
    <n v="3"/>
    <n v="3"/>
    <n v="3"/>
    <m/>
    <n v="3"/>
    <n v="5"/>
    <n v="15"/>
    <m/>
    <m/>
    <m/>
    <m/>
    <s v=""/>
    <s v=""/>
    <s v=""/>
    <n v="15"/>
    <x v="0"/>
    <x v="0"/>
    <n v="12"/>
    <s v="EMAS-01 (7.173,6 MWh); EMAS-01b (3.945,5 MWh renováveis); KPI-01"/>
    <x v="0"/>
    <n v="3"/>
    <s v="OK"/>
    <s v="SWT-F02; SWT-W01"/>
    <s v="RO-02"/>
    <s v="R35"/>
    <s v="AA-007; AA-010; AA-019; AA-021; AA-030"/>
    <s v="LEG-08"/>
    <s v="OBJ-01"/>
    <s v="KPI-01; KPI-09"/>
    <s v="PAM-26-01; PAM-26-02"/>
    <s v="Submedição por processo (PAM-26-02) e plano de eficiência (OBJ-01)."/>
    <s v="Diretor Industrial"/>
    <s v="Validado pelo responsável"/>
    <d v="2026-09-24T00:00:00"/>
    <d v="2027-03-24T00:00:00"/>
    <m/>
  </r>
  <r>
    <s v="IRO-006"/>
    <s v="DM-02"/>
    <x v="1"/>
    <x v="0"/>
    <x v="0"/>
    <x v="1"/>
    <s v="Financeira"/>
    <s v="Volatilidade do preço da eletricidade num processo eletrointensivo (≈ 7,8 GWh/ano)."/>
    <m/>
    <x v="0"/>
    <x v="0"/>
    <m/>
    <m/>
    <m/>
    <m/>
    <m/>
    <m/>
    <s v=""/>
    <s v=""/>
    <s v=""/>
    <s v="Custos: +0,03 €/kWh × 7,17 GWh ≈ 215 k€/ano de custo adicional, sem repercussão imediata no preço de venda."/>
    <s v="Custos de energia e matérias-primas"/>
    <n v="215000"/>
    <n v="4"/>
    <n v="4"/>
    <n v="16"/>
    <n v="-139750"/>
    <n v="16"/>
    <x v="0"/>
    <x v="2"/>
    <n v="10"/>
    <s v="EMAS-01; PES-02; faturas de eletricidade"/>
    <x v="0"/>
    <n v="1"/>
    <s v="OK"/>
    <s v="PES-02"/>
    <m/>
    <s v="R25"/>
    <m/>
    <m/>
    <m/>
    <s v="KPI-01"/>
    <m/>
    <s v="Contrato com preço indexado limitado, eficiência e autoconsumo."/>
    <s v="Diretor Financeiro"/>
    <s v="Validado pelo responsável"/>
    <d v="2026-09-24T00:00:00"/>
    <d v="2027-03-24T00:00:00"/>
    <m/>
  </r>
  <r>
    <s v="IRO-007"/>
    <s v="DM-02"/>
    <x v="1"/>
    <x v="0"/>
    <x v="0"/>
    <x v="2"/>
    <s v="Financeira"/>
    <s v="Autoconsumo fotovoltaico (UPAC ≈ 1 MWp, ≈ 1.400 MWh/ano) na cobertura de ≈ 9.000 m²."/>
    <m/>
    <x v="0"/>
    <x v="1"/>
    <m/>
    <m/>
    <m/>
    <m/>
    <m/>
    <m/>
    <s v=""/>
    <s v=""/>
    <s v=""/>
    <s v="Custos evitados: 1.400 MWh × 0,13 €/kWh ≈ 182 k€/ano; investimento a financiar com apoio público (SWT-O03)."/>
    <s v="Custos de energia e matérias-primas"/>
    <n v="180000"/>
    <n v="3"/>
    <n v="4"/>
    <n v="12"/>
    <n v="72000"/>
    <n v="12"/>
    <x v="0"/>
    <x v="2"/>
    <n v="19"/>
    <s v="AA-032 (1.400 MWh/ano, estimativa); estudo de viabilidade em curso"/>
    <x v="2"/>
    <n v="1"/>
    <s v="OK"/>
    <s v="SWT-O02; SWT-O03"/>
    <s v="RO-09"/>
    <s v="O15"/>
    <s v="AA-031; AA-032"/>
    <m/>
    <m/>
    <m/>
    <m/>
    <s v="Estudo de viabilidade e candidatura a financiamento (RO-09)."/>
    <s v="Diretor Financeiro"/>
    <s v="Validado pelo responsável"/>
    <d v="2026-09-24T00:00:00"/>
    <d v="2027-03-24T00:00:00"/>
    <m/>
  </r>
  <r>
    <s v="IRO-008"/>
    <s v="DM-02"/>
    <x v="1"/>
    <x v="0"/>
    <x v="0"/>
    <x v="2"/>
    <s v="Financeira"/>
    <s v="Redução de 8% do consumo específico (OBJ-01) e das fugas de ar comprimido com submedição por processo."/>
    <m/>
    <x v="0"/>
    <x v="0"/>
    <m/>
    <m/>
    <m/>
    <m/>
    <m/>
    <m/>
    <s v=""/>
    <s v=""/>
    <s v=""/>
    <s v="Custos evitados: 8% × 7,17 GWh ≈ 574 MWh × 0,13 €/kWh ≈ 75 k€/ano."/>
    <s v="Custos de energia e matérias-primas"/>
    <n v="75000"/>
    <n v="4"/>
    <n v="3"/>
    <n v="12"/>
    <n v="48750"/>
    <n v="12"/>
    <x v="0"/>
    <x v="2"/>
    <n v="20"/>
    <s v="KPI-01 (baseline 109,9 kWh/1.000 un); AA-021 (975 MWh/ano em compressores)"/>
    <x v="0"/>
    <n v="1"/>
    <s v="OK"/>
    <m/>
    <s v="RO-02"/>
    <s v="O6"/>
    <s v="AA-021"/>
    <m/>
    <s v="OBJ-01"/>
    <s v="KPI-01"/>
    <s v="PAM-26-01; PAM-26-02"/>
    <s v="Plano de eficiência energética e deteção de fugas."/>
    <s v="Gerente de Manutenção"/>
    <s v="Validado pelo responsável"/>
    <d v="2026-09-24T00:00:00"/>
    <d v="2027-03-24T00:00:00"/>
    <m/>
  </r>
  <r>
    <s v="IRO-009"/>
    <s v="DM-03"/>
    <x v="2"/>
    <x v="0"/>
    <x v="0"/>
    <x v="1"/>
    <s v="Financeira"/>
    <s v="Ondas de calor e seca aumentam o consumo de água e energia do arrefecimento, os defeitos e o risco de restrição de água."/>
    <m/>
    <x v="0"/>
    <x v="1"/>
    <m/>
    <m/>
    <m/>
    <m/>
    <m/>
    <m/>
    <s v=""/>
    <s v=""/>
    <s v=""/>
    <s v="Custos: +5% de energia de arrefecimento por °C acima de 15 °C, refugo e horas de paragem no verão ≈ 60 k€/ano."/>
    <s v="Outros custos operacionais"/>
    <n v="60000"/>
    <n v="4"/>
    <n v="3"/>
    <n v="12"/>
    <n v="-39000"/>
    <n v="12"/>
    <x v="0"/>
    <x v="2"/>
    <n v="21"/>
    <s v="Anomalia térmica de +2,2 °C em ago/2026; KPI-16; AA-023"/>
    <x v="2"/>
    <n v="2"/>
    <s v="OK"/>
    <s v="PES-08; PES-09; SWT-T01"/>
    <s v="RO-04"/>
    <s v="R34"/>
    <s v="AA-023"/>
    <m/>
    <s v="OBJ-05"/>
    <s v="KPI-02; KPI-16"/>
    <m/>
    <s v="Avaliação de cenários climáticos e circuito fechado de arrefecimento (OBJ-05)."/>
    <s v="Diretor Industrial"/>
    <s v="Validado pelo responsável"/>
    <d v="2026-09-24T00:00:00"/>
    <d v="2027-03-24T00:00:00"/>
    <m/>
  </r>
  <r>
    <s v="IRO-010"/>
    <s v="DM-03"/>
    <x v="2"/>
    <x v="0"/>
    <x v="0"/>
    <x v="1"/>
    <s v="Financeira"/>
    <s v="Incêndio rural na envolvente florestal que atinge o armazém de matérias-primas."/>
    <m/>
    <x v="0"/>
    <x v="2"/>
    <m/>
    <m/>
    <m/>
    <m/>
    <m/>
    <m/>
    <s v=""/>
    <s v=""/>
    <s v=""/>
    <s v="Ativos e paragem: dano estimado ≈ 400 k€; parcialmente transferido para o seguro multirriscos."/>
    <s v="CAPEX / ativos"/>
    <n v="400000"/>
    <n v="1"/>
    <n v="5"/>
    <n v="5"/>
    <n v="-20000"/>
    <n v="5"/>
    <x v="1"/>
    <x v="1"/>
    <n v="53"/>
    <s v="PES-10; plano de emergência (RG-SGA-12)"/>
    <x v="2"/>
    <n v="1"/>
    <s v="OK"/>
    <s v="PES-10"/>
    <s v="RO-08"/>
    <s v="R38"/>
    <s v="AA-034"/>
    <s v="LEG-11"/>
    <m/>
    <m/>
    <m/>
    <s v="Faixa de gestão de combustível, seguro e simulacro anual."/>
    <s v="Diretor Industrial"/>
    <s v="Validado pelo responsável"/>
    <d v="2026-09-24T00:00:00"/>
    <d v="2027-09-24T00:00:00"/>
    <m/>
  </r>
  <r>
    <s v="IRO-011"/>
    <s v="DM-04"/>
    <x v="3"/>
    <x v="0"/>
    <x v="1"/>
    <x v="0"/>
    <s v="Impacto"/>
    <s v="Emissão difusa de ≈ 1,95 t/ano de COV na serigrafia e manutenção (precursores de ozono troposférico)."/>
    <s v="Real"/>
    <x v="0"/>
    <x v="0"/>
    <s v="Trabalhadores da serigrafia; qualidade do ar local"/>
    <s v="Não"/>
    <n v="3"/>
    <n v="3"/>
    <n v="2"/>
    <m/>
    <n v="2.67"/>
    <n v="5"/>
    <n v="13.4"/>
    <m/>
    <m/>
    <m/>
    <m/>
    <s v=""/>
    <s v=""/>
    <s v=""/>
    <n v="13.4"/>
    <x v="0"/>
    <x v="0"/>
    <n v="15"/>
    <s v="EMAS-06b (1,95 t COV); AA-014 (759 kg de solvente/ano); KPI-06"/>
    <x v="0"/>
    <n v="3"/>
    <s v="OK"/>
    <m/>
    <m/>
    <m/>
    <s v="AA-014; AA-006"/>
    <s v="LEG-04; LEG-12"/>
    <s v="OBJ-03"/>
    <s v="KPI-06"/>
    <s v="PAM-26-07"/>
    <s v="Reduzir 20% do solvente por peça (OBJ-03); recipientes fechados; avaliar tintas UV sem solvente."/>
    <s v="Gerente de Produção"/>
    <s v="Validado pelo responsável"/>
    <d v="2026-09-24T00:00:00"/>
    <d v="2027-03-24T00:00:00"/>
    <m/>
  </r>
  <r>
    <s v="IRO-012"/>
    <s v="DM-04"/>
    <x v="3"/>
    <x v="0"/>
    <x v="1"/>
    <x v="1"/>
    <s v="Financeira"/>
    <s v="Incumprimento do regime de COV (limiar de consumo de solventes e plano de gestão de solventes)."/>
    <m/>
    <x v="0"/>
    <x v="0"/>
    <m/>
    <m/>
    <m/>
    <m/>
    <m/>
    <m/>
    <s v=""/>
    <s v=""/>
    <s v=""/>
    <s v="Multas e custos de adaptação: coima e medições adicionais ≈ 15 k€."/>
    <s v="Multas, passivos e litígios"/>
    <n v="15000"/>
    <n v="2"/>
    <n v="2"/>
    <n v="4"/>
    <n v="-3000"/>
    <n v="4"/>
    <x v="1"/>
    <x v="1"/>
    <n v="54"/>
    <s v="LEG-04 (avaliação de conformidade)"/>
    <x v="2"/>
    <n v="1"/>
    <s v="OK"/>
    <m/>
    <m/>
    <m/>
    <m/>
    <s v="LEG-04"/>
    <m/>
    <m/>
    <m/>
    <m/>
    <s v="Gestor do SGA / EHS (Responsável Ambiental)"/>
    <s v="Validado pelo responsável"/>
    <d v="2026-09-24T00:00:00"/>
    <d v="2027-09-24T00:00:00"/>
    <m/>
  </r>
  <r>
    <s v="IRO-013"/>
    <s v="DM-05"/>
    <x v="4"/>
    <x v="0"/>
    <x v="1"/>
    <x v="0"/>
    <s v="Impacto"/>
    <s v="Derrame de tintas, solventes ou óleos não contido que contamina o solo ou a rede pluvial."/>
    <s v="Potencial"/>
    <x v="0"/>
    <x v="0"/>
    <s v="Solo; águas superficiais"/>
    <s v="Não"/>
    <n v="4"/>
    <n v="2"/>
    <n v="3"/>
    <n v="3"/>
    <n v="3"/>
    <n v="3"/>
    <n v="9"/>
    <m/>
    <m/>
    <m/>
    <m/>
    <s v=""/>
    <s v=""/>
    <s v=""/>
    <n v="9"/>
    <x v="1"/>
    <x v="1"/>
    <n v="36"/>
    <s v="NC-SGA-26-03 (kit antipoluição incompleto); AA-005, AA-013"/>
    <x v="2"/>
    <n v="1"/>
    <s v="OK"/>
    <s v="SWT-W04"/>
    <s v="RO-10"/>
    <s v="R30"/>
    <s v="AA-005; AA-009; AA-013; AA-016; AA-017"/>
    <s v="LEG-06"/>
    <m/>
    <m/>
    <s v="PAM-26-04; PAM-26-05"/>
    <s v="Bacias de retenção, kits selados e verificação semanal."/>
    <s v="Gestor do SGA / EHS (Responsável Ambiental)"/>
    <s v="Validado pelo responsável"/>
    <d v="2026-09-24T00:00:00"/>
    <d v="2027-09-24T00:00:00"/>
    <m/>
  </r>
  <r>
    <s v="IRO-014"/>
    <s v="DM-05"/>
    <x v="4"/>
    <x v="0"/>
    <x v="1"/>
    <x v="0"/>
    <s v="Impacto"/>
    <s v="Descarga da purga da torre de arrefecimento com biocida e anti-incrustante no coletor."/>
    <s v="Real"/>
    <x v="0"/>
    <x v="0"/>
    <s v="Meio recetor"/>
    <s v="Não"/>
    <n v="2"/>
    <n v="2"/>
    <n v="2"/>
    <m/>
    <n v="2"/>
    <n v="5"/>
    <n v="10"/>
    <m/>
    <m/>
    <m/>
    <m/>
    <s v=""/>
    <s v=""/>
    <s v=""/>
    <n v="10"/>
    <x v="1"/>
    <x v="1"/>
    <n v="31"/>
    <s v="AA-024; LEG-03"/>
    <x v="2"/>
    <n v="1"/>
    <s v="OK"/>
    <m/>
    <m/>
    <m/>
    <s v="AA-024"/>
    <s v="LEG-03"/>
    <m/>
    <m/>
    <m/>
    <s v="Controlo analítico da purga e dosagem otimizada."/>
    <s v="Gerente de Manutenção"/>
    <s v="Validado pelo responsável"/>
    <d v="2026-09-24T00:00:00"/>
    <d v="2027-09-24T00:00:00"/>
    <m/>
  </r>
  <r>
    <s v="IRO-015"/>
    <s v="DM-05"/>
    <x v="4"/>
    <x v="0"/>
    <x v="1"/>
    <x v="1"/>
    <s v="Financeira"/>
    <s v="Responsabilidade ambiental e custos de remediação após contaminação do solo."/>
    <m/>
    <x v="0"/>
    <x v="1"/>
    <m/>
    <m/>
    <m/>
    <m/>
    <m/>
    <m/>
    <s v=""/>
    <s v=""/>
    <s v=""/>
    <s v="Passivos: remediação e garantia financeira ≈ 250 k€ num evento grave."/>
    <s v="Multas, passivos e litígios"/>
    <n v="250000"/>
    <n v="1"/>
    <n v="4"/>
    <n v="4"/>
    <n v="-12500"/>
    <n v="4"/>
    <x v="1"/>
    <x v="1"/>
    <n v="55"/>
    <s v="LEG-14"/>
    <x v="1"/>
    <n v="1"/>
    <s v="OK"/>
    <m/>
    <m/>
    <m/>
    <m/>
    <s v="LEG-14"/>
    <m/>
    <m/>
    <m/>
    <m/>
    <s v="Diretor Financeiro"/>
    <s v="Validado pelo responsável"/>
    <d v="2026-09-24T00:00:00"/>
    <d v="2027-09-24T00:00:00"/>
    <m/>
  </r>
  <r>
    <s v="IRO-016"/>
    <s v="DM-06"/>
    <x v="5"/>
    <x v="0"/>
    <x v="1"/>
    <x v="0"/>
    <s v="Impacto"/>
    <s v="Perda de granulado de plástico na descarga de silos e big bags para o pavimento e a rede pluvial (persistente no meio aquático)."/>
    <s v="Real"/>
    <x v="0"/>
    <x v="0"/>
    <s v="Ecossistemas aquáticos; comunidade"/>
    <s v="Não"/>
    <n v="3"/>
    <n v="3"/>
    <n v="5"/>
    <m/>
    <n v="3.67"/>
    <n v="5"/>
    <n v="18.399999999999999"/>
    <m/>
    <m/>
    <m/>
    <m/>
    <s v=""/>
    <s v=""/>
    <s v=""/>
    <n v="18.399999999999999"/>
    <x v="0"/>
    <x v="0"/>
    <n v="7"/>
    <s v="AA-003 (≈ 100 kg/ano recolhidos; perdas totais não medidas); KPI-13 (43% dos pontos com contenção)"/>
    <x v="2"/>
    <n v="2"/>
    <s v="OK"/>
    <s v="PES-11; SWT-W04"/>
    <s v="RO-07"/>
    <s v="R37"/>
    <s v="AA-003"/>
    <s v="LEG-10"/>
    <s v="OBJ-06"/>
    <s v="KPI-13"/>
    <s v="PAM-26-11"/>
    <s v="Operation Clean Sweep: filtros nas sarjetas, bacias e inspeção semanal."/>
    <s v="Gestor do SGA / EHS (Responsável Ambiental)"/>
    <s v="Validado pelo responsável"/>
    <d v="2026-09-24T00:00:00"/>
    <d v="2027-03-24T00:00:00"/>
    <m/>
  </r>
  <r>
    <s v="IRO-017"/>
    <s v="DM-06"/>
    <x v="5"/>
    <x v="0"/>
    <x v="1"/>
    <x v="1"/>
    <s v="Financeira"/>
    <s v="Obrigações do regulamento europeu de prevenção de perdas de granulados (avaliação de risco, plano, registos)."/>
    <m/>
    <x v="0"/>
    <x v="1"/>
    <m/>
    <m/>
    <m/>
    <m/>
    <m/>
    <m/>
    <s v=""/>
    <s v=""/>
    <s v=""/>
    <s v="Custos de conformidade: equipamento de contenção, formação e registos ≈ 30 k€."/>
    <s v="Outros custos operacionais"/>
    <n v="30000"/>
    <n v="4"/>
    <n v="3"/>
    <n v="12"/>
    <n v="-19500"/>
    <n v="12"/>
    <x v="0"/>
    <x v="2"/>
    <n v="22"/>
    <s v="PES-13; LEG-10"/>
    <x v="2"/>
    <n v="1"/>
    <s v="OK"/>
    <s v="PES-13"/>
    <m/>
    <m/>
    <m/>
    <s v="LEG-10"/>
    <s v="OBJ-06"/>
    <m/>
    <s v="PAM-26-11"/>
    <s v="Plano de prevenção de perdas integrado no OBJ-06."/>
    <s v="Gestor do SGA / EHS (Responsável Ambiental)"/>
    <s v="Validado pelo responsável"/>
    <d v="2026-09-24T00:00:00"/>
    <d v="2027-03-24T00:00:00"/>
    <m/>
  </r>
  <r>
    <s v="IRO-018"/>
    <s v="DM-07"/>
    <x v="6"/>
    <x v="0"/>
    <x v="1"/>
    <x v="0"/>
    <s v="Impacto"/>
    <s v="Uso de tintas, solventes e aditivos classificados (CLP) que podem chegar ao ambiente por derrame ou resíduo."/>
    <s v="Potencial"/>
    <x v="0"/>
    <x v="1"/>
    <s v="Ambiente; trabalhadores"/>
    <s v="Não"/>
    <n v="3"/>
    <n v="2"/>
    <n v="3"/>
    <n v="3"/>
    <n v="2.67"/>
    <n v="3"/>
    <n v="8"/>
    <m/>
    <m/>
    <m/>
    <m/>
    <s v=""/>
    <s v=""/>
    <s v=""/>
    <n v="8"/>
    <x v="1"/>
    <x v="1"/>
    <n v="42"/>
    <s v="AA-015 (1.082 kg de tinta/ano); FDS"/>
    <x v="2"/>
    <n v="1"/>
    <s v="OK"/>
    <m/>
    <m/>
    <m/>
    <s v="AA-015"/>
    <s v="LEG-06"/>
    <m/>
    <m/>
    <m/>
    <s v="Inventário de substâncias e substituição progressiva."/>
    <s v="Responsável de R&amp;D"/>
    <s v="Validado pelo responsável"/>
    <d v="2026-09-24T00:00:00"/>
    <d v="2027-09-24T00:00:00"/>
    <m/>
  </r>
  <r>
    <s v="IRO-019"/>
    <s v="DM-07"/>
    <x v="6"/>
    <x v="0"/>
    <x v="1"/>
    <x v="1"/>
    <s v="Financeira"/>
    <s v="Restrições a substâncias em embalagens (PFAS em contacto alimentar — PPWR; REACH) obrigam a reformular tintas e aditivos."/>
    <m/>
    <x v="3"/>
    <x v="1"/>
    <m/>
    <m/>
    <m/>
    <m/>
    <m/>
    <m/>
    <s v=""/>
    <s v=""/>
    <s v=""/>
    <s v="Custos: requalificação de materiais e ensaios ≈ 40 k€."/>
    <s v="Outros custos operacionais"/>
    <n v="40000"/>
    <n v="3"/>
    <n v="3"/>
    <n v="9"/>
    <n v="-16000"/>
    <n v="9"/>
    <x v="1"/>
    <x v="1"/>
    <n v="37"/>
    <s v="PES-12; LEG-09"/>
    <x v="2"/>
    <n v="1"/>
    <s v="OK"/>
    <s v="PES-12"/>
    <m/>
    <m/>
    <m/>
    <s v="LEG-06; LEG-09"/>
    <m/>
    <m/>
    <m/>
    <m/>
    <s v="Responsável de R&amp;D"/>
    <s v="Validado pelo responsável"/>
    <d v="2026-09-24T00:00:00"/>
    <d v="2027-09-24T00:00:00"/>
    <m/>
  </r>
  <r>
    <s v="IRO-020"/>
    <s v="DM-08"/>
    <x v="7"/>
    <x v="0"/>
    <x v="2"/>
    <x v="0"/>
    <s v="Impacto"/>
    <s v="Consumo de 9.384 m³/ano de água de rede (81% na torre de arrefecimento) numa região com seca sazonal."/>
    <s v="Real"/>
    <x v="0"/>
    <x v="0"/>
    <s v="Recursos hídricos locais"/>
    <s v="Não"/>
    <n v="2"/>
    <n v="3"/>
    <n v="2"/>
    <m/>
    <n v="2.33"/>
    <n v="5"/>
    <n v="11.7"/>
    <m/>
    <m/>
    <m/>
    <m/>
    <s v=""/>
    <s v=""/>
    <s v=""/>
    <n v="11.7"/>
    <x v="1"/>
    <x v="1"/>
    <n v="29"/>
    <s v="EMAS-03 (9.384 m³); AA-023 (7.561 m³); KPI-02"/>
    <x v="0"/>
    <n v="2"/>
    <s v="OK"/>
    <s v="PES-09"/>
    <m/>
    <m/>
    <s v="AA-023; AA-035"/>
    <m/>
    <s v="OBJ-05"/>
    <s v="KPI-02"/>
    <s v="PAM-26-14"/>
    <s v="Reduzir 10% do consumo específico (OBJ-05) com circuito fechado."/>
    <s v="Gerente de Manutenção"/>
    <s v="Validado pelo responsável"/>
    <d v="2026-09-24T00:00:00"/>
    <d v="2027-09-24T00:00:00"/>
    <m/>
  </r>
  <r>
    <s v="IRO-021"/>
    <s v="DM-08"/>
    <x v="7"/>
    <x v="0"/>
    <x v="2"/>
    <x v="1"/>
    <s v="Financeira"/>
    <s v="Restrições de uso de água em seca e aumento de tarifas."/>
    <m/>
    <x v="0"/>
    <x v="1"/>
    <m/>
    <m/>
    <m/>
    <m/>
    <m/>
    <m/>
    <s v=""/>
    <s v=""/>
    <s v=""/>
    <s v="Custos: tarifa e cisterna em episódios de restrição ≈ 20 k€/ano."/>
    <s v="Outros custos operacionais"/>
    <n v="20000"/>
    <n v="3"/>
    <n v="2"/>
    <n v="6"/>
    <n v="-8000"/>
    <n v="6"/>
    <x v="1"/>
    <x v="1"/>
    <n v="49"/>
    <s v="PES-09"/>
    <x v="1"/>
    <n v="1"/>
    <s v="OK"/>
    <s v="PES-09"/>
    <m/>
    <m/>
    <m/>
    <m/>
    <s v="OBJ-05"/>
    <m/>
    <m/>
    <m/>
    <s v="Gerente de Manutenção"/>
    <s v="Validado pelo responsável"/>
    <d v="2026-09-24T00:00:00"/>
    <d v="2027-09-24T00:00:00"/>
    <m/>
  </r>
  <r>
    <s v="IRO-022"/>
    <s v="DM-09"/>
    <x v="8"/>
    <x v="0"/>
    <x v="3"/>
    <x v="0"/>
    <s v="Impacto"/>
    <s v="Impermeabilização de 32.000 m² de 45.000 m² de terreno; 3.500 m² de área orientada para a natureza."/>
    <s v="Real"/>
    <x v="0"/>
    <x v="2"/>
    <s v="Habitat local"/>
    <s v="Não"/>
    <n v="2"/>
    <n v="1"/>
    <n v="3"/>
    <m/>
    <n v="2"/>
    <n v="5"/>
    <n v="10"/>
    <m/>
    <m/>
    <m/>
    <m/>
    <s v=""/>
    <s v=""/>
    <s v=""/>
    <n v="10"/>
    <x v="1"/>
    <x v="1"/>
    <n v="32"/>
    <s v="EMAS-05 / 05b / 05c"/>
    <x v="0"/>
    <n v="2"/>
    <s v="OK"/>
    <m/>
    <m/>
    <m/>
    <s v="AA-033"/>
    <m/>
    <m/>
    <m/>
    <m/>
    <s v="Manter área verde e avaliar soluções de drenagem sustentável."/>
    <s v="Gestor do SGA / EHS (Responsável Ambiental)"/>
    <s v="Validado pelo responsável"/>
    <d v="2026-09-24T00:00:00"/>
    <d v="2027-09-24T00:00:00"/>
    <m/>
  </r>
  <r>
    <s v="IRO-023"/>
    <s v="DM-09"/>
    <x v="8"/>
    <x v="0"/>
    <x v="3"/>
    <x v="0"/>
    <s v="Impacto"/>
    <s v="Embalagens que escapam aos sistemas de recolha e chegam ao meio natural e marinho (lixo plástico)."/>
    <s v="Potencial"/>
    <x v="4"/>
    <x v="2"/>
    <s v="Ecossistemas terrestres e marinhos"/>
    <s v="Não"/>
    <n v="4"/>
    <n v="5"/>
    <n v="5"/>
    <n v="3"/>
    <n v="4.67"/>
    <n v="3"/>
    <n v="14"/>
    <m/>
    <m/>
    <m/>
    <m/>
    <s v=""/>
    <s v=""/>
    <s v=""/>
    <n v="14"/>
    <x v="0"/>
    <x v="0"/>
    <n v="14"/>
    <s v="AA-043; estatísticas setoriais de fuga de embalagens"/>
    <x v="1"/>
    <n v="1"/>
    <s v="OK"/>
    <m/>
    <m/>
    <m/>
    <s v="AA-043"/>
    <s v="LEG-09"/>
    <m/>
    <m/>
    <m/>
    <s v="Design for recycling e embalagens monomaterial (DM-11)."/>
    <s v="Responsável de R&amp;D"/>
    <s v="Validado pelo responsável"/>
    <d v="2026-09-24T00:00:00"/>
    <d v="2027-03-24T00:00:00"/>
    <m/>
  </r>
  <r>
    <s v="IRO-024"/>
    <s v="DM-10"/>
    <x v="9"/>
    <x v="0"/>
    <x v="4"/>
    <x v="0"/>
    <s v="Impacto"/>
    <s v="Consumo de ≈ 712 t/ano de polímeros virgens de origem fóssil (88% do polímero)."/>
    <s v="Real"/>
    <x v="1"/>
    <x v="0"/>
    <s v="Recursos naturais não renováveis"/>
    <s v="Não"/>
    <n v="3"/>
    <n v="4"/>
    <n v="4"/>
    <m/>
    <n v="3.67"/>
    <n v="5"/>
    <n v="18.399999999999999"/>
    <m/>
    <m/>
    <m/>
    <m/>
    <s v=""/>
    <s v=""/>
    <s v=""/>
    <n v="18.399999999999999"/>
    <x v="0"/>
    <x v="0"/>
    <n v="8"/>
    <s v="AA-001 (712,4 t); PCR_SHARE = 12%; EMAS-02 (825,5 t de materiais)"/>
    <x v="0"/>
    <n v="2"/>
    <s v="OK"/>
    <s v="SWT-F04"/>
    <m/>
    <m/>
    <s v="AA-001"/>
    <m/>
    <m/>
    <m/>
    <m/>
    <s v="Aumentar conteúdo reciclado e reduzir peso."/>
    <s v="Responsável de Compras"/>
    <s v="Validado pelo responsável"/>
    <d v="2026-09-24T00:00:00"/>
    <d v="2027-03-24T00:00:00"/>
    <m/>
  </r>
  <r>
    <s v="IRO-025"/>
    <s v="DM-10"/>
    <x v="9"/>
    <x v="0"/>
    <x v="4"/>
    <x v="1"/>
    <s v="Financeira"/>
    <s v="Preço, disponibilidade e qualidade do PCR/rPET e metas de conteúdo reciclado do PPWR para 2030."/>
    <m/>
    <x v="1"/>
    <x v="1"/>
    <m/>
    <m/>
    <m/>
    <m/>
    <m/>
    <m/>
    <s v=""/>
    <s v=""/>
    <s v=""/>
    <s v="Custos: prémio do reciclado (+0,25 €/kg) sobre ≈ 360 t/ano adicionais de PCR em 2030 ≈ 90 k€/ano."/>
    <s v="Custos de energia e matérias-primas"/>
    <n v="90000"/>
    <n v="4"/>
    <n v="3"/>
    <n v="12"/>
    <n v="-58500"/>
    <n v="12"/>
    <x v="0"/>
    <x v="2"/>
    <n v="23"/>
    <s v="PES-03; SWT-T02; lotes fora de especificação do SUP-005"/>
    <x v="2"/>
    <n v="1"/>
    <s v="OK"/>
    <s v="PES-03; SWT-W02; SWT-T02"/>
    <s v="RO-05"/>
    <s v="R36"/>
    <m/>
    <m/>
    <m/>
    <m/>
    <s v="PAM-26-16"/>
    <s v="Contratos de fornecimento de PCR certificado e avaliação ambiental de fornecedores."/>
    <s v="Responsável de Compras"/>
    <s v="Validado pelo responsável"/>
    <d v="2026-09-24T00:00:00"/>
    <d v="2027-03-24T00:00:00"/>
    <m/>
  </r>
  <r>
    <s v="IRO-026"/>
    <s v="DM-10"/>
    <x v="9"/>
    <x v="0"/>
    <x v="4"/>
    <x v="2"/>
    <s v="Financeira"/>
    <s v="Aumentar a reintegração de scrap limpo segregado por polímero e cor (regrind)."/>
    <m/>
    <x v="0"/>
    <x v="0"/>
    <m/>
    <m/>
    <m/>
    <m/>
    <m/>
    <m/>
    <s v=""/>
    <s v=""/>
    <s v=""/>
    <s v="Custos evitados: +9 t/ano de resina × 1,35 €/kg ≈ 12 k€/ano."/>
    <s v="Custos de energia e matérias-primas"/>
    <n v="12000"/>
    <n v="4"/>
    <n v="2"/>
    <n v="8"/>
    <n v="7800"/>
    <n v="8"/>
    <x v="1"/>
    <x v="1"/>
    <n v="43"/>
    <s v="AA-020 (11,6 t/ano reintegradas); AA-011 (31,2 t de scrap)"/>
    <x v="0"/>
    <n v="1"/>
    <s v="OK"/>
    <s v="SWT-F03"/>
    <s v="RO-11"/>
    <s v="O10"/>
    <s v="AA-020"/>
    <m/>
    <s v="OBJ-02"/>
    <s v="KPI-04"/>
    <s v="PAM-26-12"/>
    <s v="Segregação na fonte e integração no OBJ-02."/>
    <s v="Gerente de Produção"/>
    <s v="Validado pelo responsável"/>
    <d v="2026-09-24T00:00:00"/>
    <d v="2027-09-24T00:00:00"/>
    <m/>
  </r>
  <r>
    <s v="IRO-027"/>
    <s v="DM-11"/>
    <x v="10"/>
    <x v="0"/>
    <x v="4"/>
    <x v="0"/>
    <s v="Impacto"/>
    <s v="Embalagens pós-consumo não recicladas (aterro ou incineração), agravado por decoração e combinações multimaterial."/>
    <s v="Real"/>
    <x v="4"/>
    <x v="1"/>
    <s v="Recursos; sistemas de gestão de resíduos"/>
    <s v="Não"/>
    <n v="3"/>
    <n v="4"/>
    <n v="3"/>
    <m/>
    <n v="3.33"/>
    <n v="5"/>
    <n v="16.7"/>
    <m/>
    <m/>
    <m/>
    <m/>
    <s v=""/>
    <s v=""/>
    <s v=""/>
    <n v="16.7"/>
    <x v="0"/>
    <x v="0"/>
    <n v="9"/>
    <s v="AA-043; AA-037; famílias sem avaliação de reciclabilidade"/>
    <x v="2"/>
    <n v="1"/>
    <s v="OK"/>
    <s v="PES-07"/>
    <s v="RO-03"/>
    <s v="O5"/>
    <s v="AA-043; AA-037"/>
    <s v="LEG-09"/>
    <m/>
    <m/>
    <m/>
    <s v="Avaliação de reciclabilidade por família e redesenho."/>
    <s v="Responsável de R&amp;D"/>
    <s v="Validado pelo responsável"/>
    <d v="2026-09-24T00:00:00"/>
    <d v="2027-03-24T00:00:00"/>
    <m/>
  </r>
  <r>
    <s v="IRO-028"/>
    <s v="DM-11"/>
    <x v="10"/>
    <x v="0"/>
    <x v="4"/>
    <x v="3"/>
    <s v="Impacto"/>
    <s v="Design for recycling, lightweighting e embalagens monomaterial reduzem resíduos e aumentam a reciclagem."/>
    <s v="Potencial"/>
    <x v="4"/>
    <x v="1"/>
    <s v="Recursos; consumidores"/>
    <s v="Não"/>
    <n v="3"/>
    <n v="3"/>
    <m/>
    <n v="3"/>
    <n v="3"/>
    <n v="3"/>
    <n v="9"/>
    <m/>
    <m/>
    <m/>
    <m/>
    <s v=""/>
    <s v=""/>
    <s v=""/>
    <n v="9"/>
    <x v="1"/>
    <x v="1"/>
    <n v="38"/>
    <s v="PES-07; piloto de embalagens retornáveis (AA-041)"/>
    <x v="2"/>
    <n v="1"/>
    <s v="OK"/>
    <s v="PES-07"/>
    <m/>
    <m/>
    <s v="AA-037; AA-041"/>
    <m/>
    <m/>
    <m/>
    <m/>
    <s v="Programa Design for Recycling."/>
    <s v="Responsável de R&amp;D"/>
    <s v="Validado pelo responsável"/>
    <d v="2026-09-24T00:00:00"/>
    <d v="2027-09-24T00:00:00"/>
    <m/>
  </r>
  <r>
    <s v="IRO-029"/>
    <s v="DM-11"/>
    <x v="10"/>
    <x v="0"/>
    <x v="4"/>
    <x v="1"/>
    <s v="Financeira"/>
    <s v="Incumprimento do PPWR (documentação técnica, declaração UE de conformidade, reciclabilidade) impede colocar embalagens no mercado UE."/>
    <m/>
    <x v="3"/>
    <x v="0"/>
    <m/>
    <m/>
    <m/>
    <m/>
    <m/>
    <m/>
    <s v=""/>
    <s v=""/>
    <s v=""/>
    <s v="Receitas: ≈ 10% da faturação em famílias sem documentação em risco de suspensão ou perda de cliente ≈ 350 k€/ano."/>
    <s v="Receitas"/>
    <n v="350000"/>
    <n v="4"/>
    <n v="5"/>
    <n v="20"/>
    <n v="-227500"/>
    <n v="20"/>
    <x v="0"/>
    <x v="2"/>
    <n v="2"/>
    <s v="KPI-12 (41% das famílias conformes); AA-038 (IRA 60)"/>
    <x v="0"/>
    <n v="2"/>
    <s v="OK"/>
    <s v="PES-12; SWT-T03"/>
    <s v="RO-06"/>
    <s v="R33"/>
    <s v="AA-038"/>
    <s v="LEG-09"/>
    <s v="OBJ-04"/>
    <s v="KPI-12"/>
    <s v="PAM-26-10"/>
    <s v="100% das famílias com documentação e declaração UE (OBJ-04)."/>
    <s v="Responsável de R&amp;D"/>
    <s v="Validado pelo responsável"/>
    <d v="2026-09-24T00:00:00"/>
    <d v="2027-03-24T00:00:00"/>
    <m/>
  </r>
  <r>
    <s v="IRO-030"/>
    <s v="DM-11"/>
    <x v="10"/>
    <x v="0"/>
    <x v="4"/>
    <x v="2"/>
    <s v="Financeira"/>
    <s v="Procura de embalagens recicláveis com conteúdo reciclado por marcas europeias de cosmética, alimentar e farmacêutica."/>
    <m/>
    <x v="3"/>
    <x v="1"/>
    <m/>
    <m/>
    <m/>
    <m/>
    <m/>
    <m/>
    <s v=""/>
    <s v=""/>
    <s v=""/>
    <s v="Receitas: novos contratos e prémio de preço nas gamas PCR ≈ 200 k€/ano."/>
    <s v="Receitas"/>
    <n v="200000"/>
    <n v="3"/>
    <n v="4"/>
    <n v="12"/>
    <n v="80000"/>
    <n v="12"/>
    <x v="0"/>
    <x v="2"/>
    <n v="24"/>
    <s v="PES-04; SWT-O01; pedidos de cotação com requisito de PCR"/>
    <x v="2"/>
    <n v="1"/>
    <s v="OK"/>
    <s v="SWT-O01; SWT-F04; PES-04"/>
    <s v="RO-03"/>
    <s v="O5"/>
    <m/>
    <m/>
    <m/>
    <m/>
    <m/>
    <s v="Estudo de mercado e de custo por família (RO-03)."/>
    <s v="Diretor Geral (Gestão de Topo)"/>
    <s v="Validado pelo responsável"/>
    <d v="2026-09-24T00:00:00"/>
    <d v="2027-03-24T00:00:00"/>
    <m/>
  </r>
  <r>
    <s v="IRO-031"/>
    <s v="DM-12"/>
    <x v="11"/>
    <x v="0"/>
    <x v="4"/>
    <x v="0"/>
    <s v="Impacto"/>
    <s v="Produção de 130,6 t/ano de resíduos, dos quais 2,14 t perigosos (tintas, óleos, embalagens contaminadas)."/>
    <s v="Real"/>
    <x v="0"/>
    <x v="0"/>
    <s v="Sistemas de gestão de resíduos"/>
    <s v="Não"/>
    <n v="2"/>
    <n v="2"/>
    <n v="2"/>
    <m/>
    <n v="2"/>
    <n v="5"/>
    <n v="10"/>
    <m/>
    <m/>
    <m/>
    <m/>
    <s v=""/>
    <s v=""/>
    <s v=""/>
    <n v="10"/>
    <x v="1"/>
    <x v="1"/>
    <n v="33"/>
    <s v="EMAS-04; EMAS-04b; KPI-05; KPI-07"/>
    <x v="0"/>
    <n v="2"/>
    <s v="OK"/>
    <s v="PES-14"/>
    <m/>
    <m/>
    <s v="AA-004; AA-008; AA-011; AA-016; AA-026; AA-029"/>
    <s v="LEG-01; LEG-13"/>
    <m/>
    <s v="KPI-03; KPI-05; KPI-07"/>
    <m/>
    <s v="Segregação, valorização e redução de scrap (OBJ-02)."/>
    <s v="Gestor do SGA / EHS (Responsável Ambiental)"/>
    <s v="Validado pelo responsável"/>
    <d v="2026-09-24T00:00:00"/>
    <d v="2027-09-24T00:00:00"/>
    <m/>
  </r>
  <r>
    <s v="IRO-032"/>
    <s v="DM-12"/>
    <x v="11"/>
    <x v="0"/>
    <x v="4"/>
    <x v="1"/>
    <s v="Financeira"/>
    <s v="Fiscalização de resíduos (classificação LER, e-GAR, MIRR) com coimas por incumprimento."/>
    <m/>
    <x v="0"/>
    <x v="0"/>
    <m/>
    <m/>
    <m/>
    <m/>
    <m/>
    <m/>
    <s v=""/>
    <s v=""/>
    <s v=""/>
    <s v="Multas: coima ambiental ≈ 30 k€."/>
    <s v="Multas, passivos e litígios"/>
    <n v="30000"/>
    <n v="2"/>
    <n v="3"/>
    <n v="6"/>
    <n v="-6000"/>
    <n v="6"/>
    <x v="1"/>
    <x v="1"/>
    <n v="50"/>
    <s v="PES-14; LEG-01"/>
    <x v="2"/>
    <n v="1"/>
    <s v="OK"/>
    <s v="PES-14"/>
    <m/>
    <s v="R31"/>
    <m/>
    <s v="LEG-01; LEG-13"/>
    <m/>
    <m/>
    <m/>
    <m/>
    <s v="Gestor do SGA / EHS (Responsável Ambiental)"/>
    <s v="Validado pelo responsável"/>
    <d v="2026-09-24T00:00:00"/>
    <d v="2027-09-24T00:00:00"/>
    <m/>
  </r>
  <r>
    <s v="IRO-033"/>
    <s v="DM-12"/>
    <x v="11"/>
    <x v="0"/>
    <x v="4"/>
    <x v="2"/>
    <s v="Financeira"/>
    <s v="Venda de scrap sujo e embalagens para reciclagem."/>
    <m/>
    <x v="4"/>
    <x v="0"/>
    <m/>
    <m/>
    <m/>
    <m/>
    <m/>
    <m/>
    <s v=""/>
    <s v=""/>
    <s v=""/>
    <s v="Receitas: ≈ 8 k€/ano de venda de materiais recicláveis."/>
    <s v="Receitas"/>
    <n v="8000"/>
    <n v="4"/>
    <n v="2"/>
    <n v="8"/>
    <n v="5200"/>
    <n v="8"/>
    <x v="1"/>
    <x v="1"/>
    <n v="44"/>
    <s v="AA-028; tbl_residuos"/>
    <x v="2"/>
    <n v="1"/>
    <s v="OK"/>
    <m/>
    <m/>
    <m/>
    <s v="AA-028"/>
    <m/>
    <m/>
    <m/>
    <m/>
    <m/>
    <s v="Responsável de Armazém e Logística"/>
    <s v="Validado pelo responsável"/>
    <d v="2026-09-24T00:00:00"/>
    <d v="2027-09-24T00:00:00"/>
    <m/>
  </r>
  <r>
    <s v="IRO-034"/>
    <s v="DM-13"/>
    <x v="12"/>
    <x v="1"/>
    <x v="5"/>
    <x v="0"/>
    <s v="Impacto"/>
    <s v="Esmagamento de membro superior na troca de molde e setup de máquinas de injeção e sopro."/>
    <s v="Potencial"/>
    <x v="0"/>
    <x v="0"/>
    <s v="Operadores e técnicos de manutenção"/>
    <s v="Sim"/>
    <n v="5"/>
    <n v="2"/>
    <n v="5"/>
    <n v="2"/>
    <n v="4"/>
    <n v="5"/>
    <n v="20"/>
    <m/>
    <m/>
    <m/>
    <m/>
    <s v=""/>
    <s v=""/>
    <s v=""/>
    <n v="20"/>
    <x v="0"/>
    <x v="0"/>
    <n v="3"/>
    <s v="Registo corporativo R28; avaliação de riscos SST"/>
    <x v="2"/>
    <n v="1"/>
    <s v="OK"/>
    <m/>
    <m/>
    <s v="R28"/>
    <m/>
    <m/>
    <m/>
    <m/>
    <m/>
    <s v="LOTO, proteções com encravamento e formação de setup."/>
    <s v="Responsável de Recursos Humanos"/>
    <s v="Validado pelo responsável"/>
    <d v="2026-09-24T00:00:00"/>
    <d v="2027-03-24T00:00:00"/>
    <s v="Gravidade ≥ limiar de direitos humanos: a probabilidade não reduz a pontuação (EFRAG IG 1)."/>
  </r>
  <r>
    <s v="IRO-035"/>
    <s v="DM-13"/>
    <x v="12"/>
    <x v="1"/>
    <x v="5"/>
    <x v="0"/>
    <s v="Impacto"/>
    <s v="Exposição de trabalhadores a solventes e COV na serigrafia e no hot stamping."/>
    <s v="Real"/>
    <x v="0"/>
    <x v="0"/>
    <s v="Operadores de serigrafia e hot foil"/>
    <s v="Sim"/>
    <n v="3"/>
    <n v="2"/>
    <n v="3"/>
    <m/>
    <n v="2.67"/>
    <n v="5"/>
    <n v="13.4"/>
    <m/>
    <m/>
    <m/>
    <m/>
    <s v=""/>
    <s v=""/>
    <s v=""/>
    <n v="13.4"/>
    <x v="0"/>
    <x v="0"/>
    <n v="16"/>
    <s v="Registo corporativo R29; AA-014"/>
    <x v="2"/>
    <n v="1"/>
    <s v="OK"/>
    <m/>
    <m/>
    <s v="R29"/>
    <s v="AA-014"/>
    <m/>
    <m/>
    <m/>
    <m/>
    <s v="Ventilação localizada, EPI e medições de exposição."/>
    <s v="Responsável de Recursos Humanos"/>
    <s v="Validado pelo responsável"/>
    <d v="2026-09-24T00:00:00"/>
    <d v="2027-03-24T00:00:00"/>
    <m/>
  </r>
  <r>
    <s v="IRO-036"/>
    <s v="DM-13"/>
    <x v="12"/>
    <x v="1"/>
    <x v="5"/>
    <x v="1"/>
    <s v="Financeira"/>
    <s v="Acidente de trabalho grave: paragem, coima da ACT, aumento do prémio de seguro e processo judicial."/>
    <m/>
    <x v="0"/>
    <x v="0"/>
    <m/>
    <m/>
    <m/>
    <m/>
    <m/>
    <m/>
    <s v=""/>
    <s v=""/>
    <s v=""/>
    <s v="Multas, seguros e paragem ≈ 80 k€ por acidente grave."/>
    <s v="Multas, passivos e litígios"/>
    <n v="80000"/>
    <n v="2"/>
    <n v="3"/>
    <n v="6"/>
    <n v="-16000"/>
    <n v="6"/>
    <x v="1"/>
    <x v="1"/>
    <n v="51"/>
    <s v="Registo corporativo R28"/>
    <x v="2"/>
    <n v="1"/>
    <s v="OK"/>
    <m/>
    <m/>
    <s v="R28"/>
    <m/>
    <m/>
    <m/>
    <m/>
    <m/>
    <m/>
    <s v="Responsável de Recursos Humanos"/>
    <s v="Validado pelo responsável"/>
    <d v="2026-09-24T00:00:00"/>
    <d v="2027-09-24T00:00:00"/>
    <m/>
  </r>
  <r>
    <s v="IRO-037"/>
    <s v="DM-14"/>
    <x v="13"/>
    <x v="1"/>
    <x v="5"/>
    <x v="0"/>
    <s v="Impacto"/>
    <s v="Trabalho em três turnos com fadiga e passagem de turno deficiente no turno 2."/>
    <s v="Real"/>
    <x v="0"/>
    <x v="0"/>
    <s v="≈ 150 trabalhadores"/>
    <s v="Sim"/>
    <n v="2"/>
    <n v="3"/>
    <n v="2"/>
    <m/>
    <n v="2.33"/>
    <n v="5"/>
    <n v="11.7"/>
    <m/>
    <m/>
    <m/>
    <m/>
    <s v=""/>
    <s v=""/>
    <s v=""/>
    <n v="11.7"/>
    <x v="1"/>
    <x v="1"/>
    <n v="30"/>
    <s v="Registo corporativo R9 (prémio de defeito no turno 2)"/>
    <x v="2"/>
    <n v="1"/>
    <s v="OK"/>
    <m/>
    <m/>
    <s v="R9"/>
    <m/>
    <m/>
    <m/>
    <m/>
    <m/>
    <s v="Rever escalas, pausas e passagem de turno."/>
    <s v="Responsável de Recursos Humanos"/>
    <s v="Validado pelo responsável"/>
    <d v="2026-09-24T00:00:00"/>
    <d v="2027-09-24T00:00:00"/>
    <m/>
  </r>
  <r>
    <s v="IRO-038"/>
    <s v="DM-14"/>
    <x v="13"/>
    <x v="1"/>
    <x v="5"/>
    <x v="1"/>
    <s v="Financeira"/>
    <s v="Indisponibilidade de operadores (1.ª causa de paragem não planeada) e rotatividade reduzem a produção."/>
    <m/>
    <x v="0"/>
    <x v="0"/>
    <m/>
    <m/>
    <m/>
    <m/>
    <m/>
    <m/>
    <s v=""/>
    <s v=""/>
    <s v=""/>
    <s v="Custos e receitas perdidas: horas de paragem × 350 €/h ≈ 150 k€/ano."/>
    <s v="Outros custos operacionais"/>
    <n v="150000"/>
    <n v="4"/>
    <n v="4"/>
    <n v="16"/>
    <n v="-97500"/>
    <n v="16"/>
    <x v="0"/>
    <x v="2"/>
    <n v="11"/>
    <s v="Registo corporativo R23; tbl_producao_mensal"/>
    <x v="0"/>
    <n v="1"/>
    <s v="OK"/>
    <m/>
    <m/>
    <s v="R23"/>
    <m/>
    <m/>
    <m/>
    <m/>
    <m/>
    <s v="Polivalência, bolsa de substitutos e retenção (O4 corporativo)."/>
    <s v="Responsável de Recursos Humanos"/>
    <s v="Validado pelo responsável"/>
    <d v="2026-09-24T00:00:00"/>
    <d v="2027-03-24T00:00:00"/>
    <m/>
  </r>
  <r>
    <s v="IRO-039"/>
    <s v="DM-15"/>
    <x v="14"/>
    <x v="1"/>
    <x v="5"/>
    <x v="3"/>
    <s v="Impacto"/>
    <s v="Formação técnica, ambiental e de qualidade reforça as competências e a empregabilidade dos trabalhadores."/>
    <s v="Real"/>
    <x v="0"/>
    <x v="0"/>
    <s v="Trabalhadores próprios"/>
    <s v="Não"/>
    <n v="2"/>
    <n v="2"/>
    <m/>
    <m/>
    <n v="2"/>
    <n v="5"/>
    <n v="10"/>
    <m/>
    <m/>
    <m/>
    <m/>
    <s v=""/>
    <s v=""/>
    <s v=""/>
    <n v="10"/>
    <x v="1"/>
    <x v="1"/>
    <n v="34"/>
    <s v="RG-SGA-08 (registo de formação)"/>
    <x v="0"/>
    <n v="1"/>
    <s v="OK"/>
    <m/>
    <m/>
    <m/>
    <m/>
    <m/>
    <m/>
    <m/>
    <m/>
    <s v="Plano anual de formação ligado à matriz de competências."/>
    <s v="Responsável de Recursos Humanos"/>
    <s v="Validado pelo responsável"/>
    <d v="2026-09-24T00:00:00"/>
    <d v="2027-09-24T00:00:00"/>
    <m/>
  </r>
  <r>
    <s v="IRO-040"/>
    <s v="DM-15"/>
    <x v="14"/>
    <x v="1"/>
    <x v="5"/>
    <x v="2"/>
    <s v="Financeira"/>
    <s v="Polivalência dos operadores reduz paragens e defeitos."/>
    <m/>
    <x v="0"/>
    <x v="1"/>
    <m/>
    <m/>
    <m/>
    <m/>
    <m/>
    <m/>
    <s v=""/>
    <s v=""/>
    <s v=""/>
    <s v="Custos evitados ≈ 40 k€/ano em paragens por falta de operador qualificado."/>
    <s v="Outros custos operacionais"/>
    <n v="40000"/>
    <n v="3"/>
    <n v="3"/>
    <n v="9"/>
    <n v="16000"/>
    <n v="9"/>
    <x v="1"/>
    <x v="1"/>
    <n v="39"/>
    <s v="RG-SGA-08; registo corporativo O4"/>
    <x v="2"/>
    <n v="1"/>
    <s v="OK"/>
    <m/>
    <m/>
    <s v="O4"/>
    <m/>
    <m/>
    <m/>
    <m/>
    <m/>
    <m/>
    <s v="Responsável de Recursos Humanos"/>
    <s v="Validado pelo responsável"/>
    <d v="2026-09-24T00:00:00"/>
    <d v="2027-09-24T00:00:00"/>
    <m/>
  </r>
  <r>
    <s v="IRO-041"/>
    <s v="DM-16"/>
    <x v="15"/>
    <x v="1"/>
    <x v="5"/>
    <x v="0"/>
    <s v="Impacto"/>
    <s v="Possível disparidade salarial de género e sub-representação em chefias (não medida)."/>
    <s v="Potencial"/>
    <x v="0"/>
    <x v="1"/>
    <s v="Trabalhadoras e trabalhadores"/>
    <s v="Sim"/>
    <n v="2"/>
    <n v="2"/>
    <n v="2"/>
    <n v="2"/>
    <n v="2"/>
    <n v="2"/>
    <n v="4"/>
    <m/>
    <m/>
    <m/>
    <m/>
    <s v=""/>
    <s v=""/>
    <s v=""/>
    <n v="4"/>
    <x v="1"/>
    <x v="1"/>
    <n v="56"/>
    <s v="Sem dados: lacuna identificada"/>
    <x v="1"/>
    <n v="1"/>
    <s v="OK"/>
    <m/>
    <m/>
    <m/>
    <m/>
    <m/>
    <m/>
    <m/>
    <m/>
    <s v="Recolher indicadores de igualdade (ESRS S1-16 / VSME) antes da próxima DMA."/>
    <s v="Responsável de Recursos Humanos"/>
    <s v="Validado pelo responsável"/>
    <d v="2026-09-24T00:00:00"/>
    <d v="2027-09-24T00:00:00"/>
    <s v="Classificação provisória por falta de dados."/>
  </r>
  <r>
    <s v="IRO-042"/>
    <s v="DM-17"/>
    <x v="16"/>
    <x v="1"/>
    <x v="6"/>
    <x v="0"/>
    <s v="Impacto"/>
    <s v="Condições de trabalho precárias na recolha e triagem de resíduos plásticos que abastecem o PCR."/>
    <s v="Potencial"/>
    <x v="1"/>
    <x v="1"/>
    <s v="Trabalhadores da cadeia de reciclagem"/>
    <s v="Sim"/>
    <n v="4"/>
    <n v="3"/>
    <n v="3"/>
    <n v="2"/>
    <n v="3.33"/>
    <n v="2"/>
    <n v="6.7"/>
    <m/>
    <m/>
    <m/>
    <m/>
    <s v=""/>
    <s v=""/>
    <s v=""/>
    <n v="6.7"/>
    <x v="1"/>
    <x v="1"/>
    <n v="48"/>
    <s v="Sem diligência devida sobre a origem do PCR"/>
    <x v="1"/>
    <n v="1"/>
    <s v="OK"/>
    <s v="SWT-T02"/>
    <m/>
    <m/>
    <m/>
    <m/>
    <m/>
    <m/>
    <m/>
    <s v="Incluir critérios sociais na avaliação de fornecedores de PCR (RG-SGA-11)."/>
    <s v="Responsável de Compras"/>
    <s v="Validado pelo responsável"/>
    <d v="2026-09-24T00:00:00"/>
    <d v="2027-09-24T00:00:00"/>
    <m/>
  </r>
  <r>
    <s v="IRO-043"/>
    <s v="DM-18"/>
    <x v="17"/>
    <x v="1"/>
    <x v="7"/>
    <x v="0"/>
    <s v="Impacto"/>
    <s v="Ruído dos compressores novos percecionado pela vizinhança a ~250 m."/>
    <s v="Real"/>
    <x v="0"/>
    <x v="0"/>
    <s v="Comunidade vizinha"/>
    <s v="Não"/>
    <n v="2"/>
    <n v="2"/>
    <n v="1"/>
    <m/>
    <n v="1.67"/>
    <n v="5"/>
    <n v="8.4"/>
    <m/>
    <m/>
    <m/>
    <m/>
    <s v=""/>
    <s v=""/>
    <s v=""/>
    <n v="8.4"/>
    <x v="1"/>
    <x v="1"/>
    <n v="41"/>
    <s v="AA-022 (AAS no SGA); última avaliação acústica em 2023"/>
    <x v="2"/>
    <n v="1"/>
    <s v="OK"/>
    <s v="PES-05"/>
    <s v="RO-12"/>
    <s v="R39"/>
    <s v="AA-022"/>
    <s v="LEG-05"/>
    <m/>
    <m/>
    <s v="PAM-26-03"/>
    <s v="Avaliação acústica acreditada e gatilho de ruído na gestão de mudanças."/>
    <s v="Gestor do SGA / EHS (Responsável Ambiental)"/>
    <s v="Validado pelo responsável"/>
    <d v="2026-09-24T00:00:00"/>
    <d v="2027-09-24T00:00:00"/>
    <s v="Aspeto significativo na ISO 14001 mas não material na DMA: os dois métodos têm critérios e âmbitos diferentes."/>
  </r>
  <r>
    <s v="IRO-044"/>
    <s v="DM-18"/>
    <x v="17"/>
    <x v="1"/>
    <x v="7"/>
    <x v="0"/>
    <s v="Impacto"/>
    <s v="Incêndio na instalação com fumos e águas de combate que afetam a vizinhança e a floresta."/>
    <s v="Potencial"/>
    <x v="0"/>
    <x v="1"/>
    <s v="Comunidade; floresta envolvente"/>
    <s v="Sim"/>
    <n v="4"/>
    <n v="3"/>
    <n v="4"/>
    <n v="2"/>
    <n v="3.67"/>
    <n v="2"/>
    <n v="7.3"/>
    <m/>
    <m/>
    <m/>
    <m/>
    <s v=""/>
    <s v=""/>
    <s v=""/>
    <n v="7.3"/>
    <x v="1"/>
    <x v="1"/>
    <n v="46"/>
    <s v="AA-034; PES-10; simulacros (RG-SGA-12)"/>
    <x v="2"/>
    <n v="1"/>
    <s v="OK"/>
    <s v="PES-10"/>
    <s v="RO-08"/>
    <s v="R38"/>
    <s v="AA-034"/>
    <s v="LEG-11"/>
    <m/>
    <m/>
    <m/>
    <m/>
    <s v="Diretor Industrial"/>
    <s v="Validado pelo responsável"/>
    <d v="2026-09-24T00:00:00"/>
    <d v="2027-09-24T00:00:00"/>
    <m/>
  </r>
  <r>
    <s v="IRO-045"/>
    <s v="DM-18"/>
    <x v="17"/>
    <x v="1"/>
    <x v="7"/>
    <x v="3"/>
    <s v="Impacto"/>
    <s v="Emprego direto de ≈ 150 pessoas e compras a fornecedores locais na Marinha Grande."/>
    <s v="Real"/>
    <x v="0"/>
    <x v="0"/>
    <s v="Comunidade local"/>
    <s v="Não"/>
    <n v="3"/>
    <n v="2"/>
    <m/>
    <m/>
    <n v="2.5"/>
    <n v="5"/>
    <n v="12.5"/>
    <m/>
    <m/>
    <m/>
    <m/>
    <s v=""/>
    <s v=""/>
    <s v=""/>
    <n v="12.5"/>
    <x v="0"/>
    <x v="0"/>
    <n v="17"/>
    <s v="Quadro de pessoal (≈ 150 trabalhadores)"/>
    <x v="0"/>
    <n v="1"/>
    <s v="OK"/>
    <m/>
    <m/>
    <m/>
    <m/>
    <m/>
    <m/>
    <m/>
    <m/>
    <m/>
    <s v="Diretor Geral (Gestão de Topo)"/>
    <s v="Validado pelo responsável"/>
    <d v="2026-09-24T00:00:00"/>
    <d v="2027-03-24T00:00:00"/>
    <m/>
  </r>
  <r>
    <s v="IRO-046"/>
    <s v="DM-19"/>
    <x v="18"/>
    <x v="1"/>
    <x v="8"/>
    <x v="0"/>
    <s v="Impacto"/>
    <s v="Migração de substâncias ou contaminação (black specks) em embalagens de contacto alimentar, farmacêutico e cosmético."/>
    <s v="Potencial"/>
    <x v="3"/>
    <x v="0"/>
    <s v="Consumidores finais"/>
    <s v="Sim"/>
    <n v="5"/>
    <n v="4"/>
    <n v="3"/>
    <n v="2"/>
    <n v="4"/>
    <n v="5"/>
    <n v="20"/>
    <m/>
    <m/>
    <m/>
    <m/>
    <s v=""/>
    <s v=""/>
    <s v=""/>
    <n v="20"/>
    <x v="0"/>
    <x v="0"/>
    <n v="4"/>
    <s v="Registo corporativo R11 (contaminação), R16 (escape de lote)"/>
    <x v="2"/>
    <n v="1"/>
    <s v="OK"/>
    <m/>
    <m/>
    <s v="R11"/>
    <m/>
    <m/>
    <m/>
    <m/>
    <m/>
    <s v="Ensaios de migração, BPF (Reg. 2023/2006) e rastreabilidade de lote."/>
    <s v="Gerente da Qualidade"/>
    <s v="Validado pelo responsável"/>
    <d v="2026-09-24T00:00:00"/>
    <d v="2027-03-24T00:00:00"/>
    <s v="Gravidade ≥ limiar de direitos humanos (saúde): prevalece sobre a probabilidade."/>
  </r>
  <r>
    <s v="IRO-047"/>
    <s v="DM-19"/>
    <x v="18"/>
    <x v="1"/>
    <x v="8"/>
    <x v="1"/>
    <s v="Financeira"/>
    <s v="Recolha de produto ou perda de cliente por não conformidade de materiais em contacto com alimentos ou medicamentos."/>
    <m/>
    <x v="3"/>
    <x v="0"/>
    <m/>
    <m/>
    <m/>
    <m/>
    <m/>
    <m/>
    <s v=""/>
    <s v=""/>
    <s v=""/>
    <s v="Receitas e custos: recall, indemnização e perda de cliente ≈ 300 k€."/>
    <s v="Receitas"/>
    <n v="300000"/>
    <n v="3"/>
    <n v="5"/>
    <n v="15"/>
    <n v="-120000"/>
    <n v="15"/>
    <x v="0"/>
    <x v="2"/>
    <n v="13"/>
    <s v="Registo corporativo R16; linhas alimentar e farmacêutica"/>
    <x v="2"/>
    <n v="1"/>
    <s v="OK"/>
    <m/>
    <m/>
    <s v="R16"/>
    <m/>
    <m/>
    <m/>
    <m/>
    <m/>
    <m/>
    <s v="Gerente da Qualidade"/>
    <s v="Validado pelo responsável"/>
    <d v="2026-09-24T00:00:00"/>
    <d v="2027-03-24T00:00:00"/>
    <m/>
  </r>
  <r>
    <s v="IRO-048"/>
    <s v="DM-20"/>
    <x v="19"/>
    <x v="1"/>
    <x v="8"/>
    <x v="0"/>
    <s v="Impacto"/>
    <s v="Alegações de reciclabilidade ou conteúdo reciclado sem comprovação que induzem clientes e consumidores em erro."/>
    <s v="Potencial"/>
    <x v="3"/>
    <x v="0"/>
    <s v="Clientes; consumidores"/>
    <s v="Não"/>
    <n v="2"/>
    <n v="4"/>
    <n v="1"/>
    <n v="3"/>
    <n v="2.33"/>
    <n v="3"/>
    <n v="7"/>
    <m/>
    <m/>
    <m/>
    <m/>
    <s v=""/>
    <s v=""/>
    <s v=""/>
    <n v="7"/>
    <x v="1"/>
    <x v="1"/>
    <n v="47"/>
    <s v="PES-15; declarações de PCR de fornecedores spot não verificadas"/>
    <x v="2"/>
    <n v="1"/>
    <s v="OK"/>
    <s v="PES-15"/>
    <s v="RO-05"/>
    <m/>
    <m/>
    <m/>
    <m/>
    <m/>
    <m/>
    <m/>
    <s v="Responsável de R&amp;D"/>
    <s v="Validado pelo responsável"/>
    <d v="2026-09-24T00:00:00"/>
    <d v="2027-09-24T00:00:00"/>
    <m/>
  </r>
  <r>
    <s v="IRO-049"/>
    <s v="DM-20"/>
    <x v="19"/>
    <x v="1"/>
    <x v="8"/>
    <x v="1"/>
    <s v="Financeira"/>
    <s v="Diretiva (UE) 2024/825: coimas e retirada de alegações ambientais não comprovadas."/>
    <m/>
    <x v="3"/>
    <x v="0"/>
    <m/>
    <m/>
    <m/>
    <m/>
    <m/>
    <m/>
    <s v=""/>
    <s v=""/>
    <s v=""/>
    <s v="Multas e custos de reetiquetagem ≈ 50 k€."/>
    <s v="Multas, passivos e litígios"/>
    <n v="50000"/>
    <n v="3"/>
    <n v="3"/>
    <n v="9"/>
    <n v="-20000"/>
    <n v="9"/>
    <x v="1"/>
    <x v="1"/>
    <n v="40"/>
    <s v="PES-15"/>
    <x v="2"/>
    <n v="1"/>
    <s v="OK"/>
    <s v="PES-15"/>
    <s v="RO-05"/>
    <s v="R36"/>
    <m/>
    <m/>
    <m/>
    <m/>
    <s v="PAM-26-16"/>
    <m/>
    <s v="Responsável de R&amp;D"/>
    <s v="Validado pelo responsável"/>
    <d v="2026-09-24T00:00:00"/>
    <d v="2027-09-24T00:00:00"/>
    <m/>
  </r>
  <r>
    <s v="IRO-050"/>
    <s v="DM-21"/>
    <x v="20"/>
    <x v="2"/>
    <x v="9"/>
    <x v="1"/>
    <s v="Financeira"/>
    <s v="Incumprimento de obrigações de conformidade (título de recursos hídricos, resíduos, ruído) com coima ou suspensão parcial."/>
    <m/>
    <x v="0"/>
    <x v="0"/>
    <m/>
    <m/>
    <m/>
    <m/>
    <m/>
    <m/>
    <s v=""/>
    <s v=""/>
    <s v=""/>
    <s v="Multas e paragem: coima e suspensão parcial ≈ 120 k€."/>
    <s v="Multas, passivos e litígios"/>
    <n v="120000"/>
    <n v="3"/>
    <n v="4"/>
    <n v="12"/>
    <n v="-48000"/>
    <n v="12"/>
    <x v="0"/>
    <x v="2"/>
    <n v="25"/>
    <s v="RG-SGA-04 (14 diplomas); registo corporativo R32"/>
    <x v="0"/>
    <n v="1"/>
    <s v="OK"/>
    <m/>
    <m/>
    <s v="R32"/>
    <m/>
    <s v="LEG-02; LEG-03; LEG-05"/>
    <m/>
    <s v="KPI-14"/>
    <m/>
    <s v="Calendário de conformidade e auditoria de evidências."/>
    <s v="Gestor do SGA / EHS (Responsável Ambiental)"/>
    <s v="Validado pelo responsável"/>
    <d v="2026-09-24T00:00:00"/>
    <d v="2027-03-24T00:00:00"/>
    <m/>
  </r>
  <r>
    <s v="IRO-051"/>
    <s v="DM-21"/>
    <x v="20"/>
    <x v="2"/>
    <x v="9"/>
    <x v="0"/>
    <s v="Impacto"/>
    <s v="Suborno ou conflitos de interesse em compras e licenciamento."/>
    <s v="Potencial"/>
    <x v="1"/>
    <x v="1"/>
    <s v="Mercado; entidades públicas"/>
    <s v="Não"/>
    <n v="2"/>
    <n v="2"/>
    <n v="2"/>
    <n v="1"/>
    <n v="2"/>
    <n v="1"/>
    <n v="2"/>
    <m/>
    <m/>
    <m/>
    <m/>
    <s v=""/>
    <s v=""/>
    <s v=""/>
    <n v="2"/>
    <x v="1"/>
    <x v="1"/>
    <n v="57"/>
    <s v="Sem casos registados; sem código de conduta formal"/>
    <x v="1"/>
    <n v="1"/>
    <s v="OK"/>
    <m/>
    <m/>
    <m/>
    <m/>
    <m/>
    <m/>
    <m/>
    <m/>
    <s v="Código de conduta e canal de denúncia."/>
    <s v="Diretor Geral (Gestão de Topo)"/>
    <s v="Validado pelo responsável"/>
    <d v="2026-09-24T00:00:00"/>
    <d v="2027-09-24T00:00:00"/>
    <m/>
  </r>
  <r>
    <s v="IRO-052"/>
    <s v="DM-22"/>
    <x v="21"/>
    <x v="2"/>
    <x v="9"/>
    <x v="1"/>
    <s v="Financeira"/>
    <s v="Dependência de fornecedores spot (SUP-005) com lotes fora de especificação que geram scrap e paragens."/>
    <m/>
    <x v="1"/>
    <x v="0"/>
    <m/>
    <m/>
    <m/>
    <m/>
    <m/>
    <m/>
    <s v=""/>
    <s v=""/>
    <s v=""/>
    <s v="Custos: scrap, reprocessamento e paragens ≈ 100 k€/ano."/>
    <s v="Custos de energia e matérias-primas"/>
    <n v="100000"/>
    <n v="3"/>
    <n v="4"/>
    <n v="12"/>
    <n v="-40000"/>
    <n v="12"/>
    <x v="0"/>
    <x v="2"/>
    <n v="26"/>
    <s v="Registo corporativo R13; tbl_avaliacao_fornecedor"/>
    <x v="0"/>
    <n v="1"/>
    <s v="OK"/>
    <s v="SWT-W02"/>
    <s v="RO-05"/>
    <s v="R13"/>
    <m/>
    <m/>
    <m/>
    <m/>
    <s v="PAM-26-16"/>
    <s v="Migrar compras spot para contratos com critérios de qualidade e ambientais."/>
    <s v="Responsável de Compras"/>
    <s v="Validado pelo responsável"/>
    <d v="2026-09-24T00:00:00"/>
    <d v="2027-03-24T00:00:00"/>
    <m/>
  </r>
  <r>
    <s v="IRO-053"/>
    <s v="DM-22"/>
    <x v="21"/>
    <x v="2"/>
    <x v="9"/>
    <x v="3"/>
    <s v="Impacto"/>
    <s v="A avaliação ambiental de fornecedores críticos eleva as práticas na cadeia de abastecimento."/>
    <s v="Potencial"/>
    <x v="1"/>
    <x v="1"/>
    <s v="Fornecedores e respetivos trabalhadores"/>
    <s v="Não"/>
    <n v="2"/>
    <n v="3"/>
    <m/>
    <n v="3"/>
    <n v="2.5"/>
    <n v="3"/>
    <n v="7.5"/>
    <m/>
    <m/>
    <m/>
    <m/>
    <s v=""/>
    <s v=""/>
    <s v=""/>
    <n v="7.5"/>
    <x v="1"/>
    <x v="1"/>
    <n v="45"/>
    <s v="RG-SGA-11 (avaliação de fornecedores)"/>
    <x v="2"/>
    <n v="1"/>
    <s v="OK"/>
    <m/>
    <m/>
    <m/>
    <m/>
    <m/>
    <m/>
    <m/>
    <s v="PAM-26-16"/>
    <m/>
    <s v="Responsável de Compras"/>
    <s v="Validado pelo responsável"/>
    <d v="2026-09-24T00:00:00"/>
    <d v="2027-09-24T00:00:00"/>
    <m/>
  </r>
  <r>
    <s v="IRO-054"/>
    <s v="DM-23"/>
    <x v="22"/>
    <x v="2"/>
    <x v="10"/>
    <x v="1"/>
    <s v="Financeira"/>
    <s v="Custo da não-qualidade: rejeição de 2,39% (meta 2,0%), refação de lotes e reclamações."/>
    <m/>
    <x v="0"/>
    <x v="0"/>
    <m/>
    <m/>
    <m/>
    <m/>
    <m/>
    <m/>
    <s v=""/>
    <s v=""/>
    <s v=""/>
    <s v="Custos: refugo, retrabalho e reclamações ≈ 180 k€/ano."/>
    <s v="Outros custos operacionais"/>
    <n v="180000"/>
    <n v="5"/>
    <n v="4"/>
    <n v="20"/>
    <n v="-162000"/>
    <n v="20"/>
    <x v="0"/>
    <x v="2"/>
    <n v="5"/>
    <s v="Registo corporativo R24, R17; raio-X analítico de 18 meses"/>
    <x v="0"/>
    <n v="2"/>
    <s v="OK"/>
    <s v="SWT-W03"/>
    <m/>
    <s v="R24"/>
    <m/>
    <m/>
    <m/>
    <m/>
    <m/>
    <s v="Plano de capacidade de processo e CAPA eficazes."/>
    <s v="Gerente da Qualidade"/>
    <s v="Validado pelo responsável"/>
    <d v="2026-09-24T00:00:00"/>
    <d v="2027-03-24T00:00:00"/>
    <m/>
  </r>
  <r>
    <s v="IRO-055"/>
    <s v="DM-23"/>
    <x v="22"/>
    <x v="2"/>
    <x v="10"/>
    <x v="0"/>
    <s v="Impacto"/>
    <s v="Scrap e retrabalho consomem resina e energia adicionais (31,2 t/ano de scrap)."/>
    <s v="Real"/>
    <x v="0"/>
    <x v="0"/>
    <s v="Recursos; clima"/>
    <s v="Não"/>
    <n v="2"/>
    <n v="2"/>
    <n v="2"/>
    <m/>
    <n v="2"/>
    <n v="5"/>
    <n v="10"/>
    <m/>
    <m/>
    <m/>
    <m/>
    <s v=""/>
    <s v=""/>
    <s v=""/>
    <n v="10"/>
    <x v="1"/>
    <x v="1"/>
    <n v="35"/>
    <s v="AA-011 (31,2 t/ano); KPI-03"/>
    <x v="0"/>
    <n v="1"/>
    <s v="OK"/>
    <m/>
    <m/>
    <m/>
    <s v="AA-011"/>
    <m/>
    <s v="OBJ-02"/>
    <s v="KPI-03"/>
    <s v="PAM-26-12"/>
    <m/>
    <s v="Gerente de Produção"/>
    <s v="Validado pelo responsável"/>
    <d v="2026-09-24T00:00:00"/>
    <d v="2027-09-24T00:00:00"/>
    <m/>
  </r>
  <r>
    <s v="IRO-056"/>
    <s v="DM-24"/>
    <x v="23"/>
    <x v="2"/>
    <x v="10"/>
    <x v="1"/>
    <s v="Financeira"/>
    <s v="Indisponibilidade ou corrupção do warehouse de dados e dos sistemas OT que sustentam KPIs e decisões."/>
    <m/>
    <x v="0"/>
    <x v="0"/>
    <m/>
    <m/>
    <m/>
    <m/>
    <m/>
    <m/>
    <s v=""/>
    <s v=""/>
    <s v=""/>
    <s v="Custos: paragem e decisões erradas ≈ 60 k€ por incidente."/>
    <s v="Outros custos operacionais"/>
    <n v="60000"/>
    <n v="2"/>
    <n v="3"/>
    <n v="6"/>
    <n v="-12000"/>
    <n v="6"/>
    <x v="1"/>
    <x v="1"/>
    <n v="52"/>
    <s v="Registo corporativo R26"/>
    <x v="2"/>
    <n v="1"/>
    <s v="OK"/>
    <m/>
    <m/>
    <s v="R26"/>
    <m/>
    <m/>
    <m/>
    <m/>
    <m/>
    <m/>
    <s v="Diretor Geral (Gestão de Topo)"/>
    <s v="Validado pelo responsável"/>
    <d v="2026-09-24T00:00:00"/>
    <d v="2027-09-24T00:00:00"/>
    <m/>
  </r>
  <r>
    <s v="IRO-057"/>
    <s v="DM-24"/>
    <x v="23"/>
    <x v="2"/>
    <x v="10"/>
    <x v="2"/>
    <s v="Financeira"/>
    <s v="Usar os dados industriais para um painel ambiental por máquina, turno e lote e responder a questionários ESG de clientes."/>
    <m/>
    <x v="0"/>
    <x v="0"/>
    <m/>
    <m/>
    <m/>
    <m/>
    <m/>
    <m/>
    <s v=""/>
    <s v=""/>
    <s v=""/>
    <s v="Receitas e custos: retenção de clientes e eficiência ≈ 50 k€/ano."/>
    <s v="Receitas"/>
    <n v="50000"/>
    <n v="4"/>
    <n v="3"/>
    <n v="12"/>
    <n v="32500"/>
    <n v="12"/>
    <x v="0"/>
    <x v="2"/>
    <n v="27"/>
    <s v="SWT-F01; 18 meses de dados estruturados"/>
    <x v="0"/>
    <n v="1"/>
    <s v="OK"/>
    <s v="SWT-F01"/>
    <s v="RO-01"/>
    <s v="O3"/>
    <m/>
    <m/>
    <m/>
    <m/>
    <s v="PAM-26-09"/>
    <s v="Painel ambiental integrado no Power BI (PAM-26-09)."/>
    <s v="Gestor do SGA / EHS (Responsável Ambiental)"/>
    <s v="Validado pelo responsável"/>
    <d v="2026-09-24T00:00:00"/>
    <d v="2027-03-24T00:00:00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  <r>
    <m/>
    <m/>
    <x v="24"/>
    <x v="3"/>
    <x v="11"/>
    <x v="4"/>
    <s v=""/>
    <m/>
    <m/>
    <x v="5"/>
    <x v="3"/>
    <m/>
    <m/>
    <m/>
    <m/>
    <m/>
    <m/>
    <s v=""/>
    <s v=""/>
    <s v=""/>
    <m/>
    <m/>
    <m/>
    <m/>
    <s v=""/>
    <s v=""/>
    <s v=""/>
    <s v=""/>
    <x v="2"/>
    <x v="3"/>
    <s v=""/>
    <m/>
    <x v="3"/>
    <s v=""/>
    <s v=""/>
    <m/>
    <m/>
    <m/>
    <m/>
    <m/>
    <m/>
    <m/>
    <m/>
    <m/>
    <m/>
    <m/>
    <m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BD501-8C39-4FF7-A0FA-891D926F8D05}" name="pvt_dma_iro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94:J132" firstHeaderRow="1" firstDataRow="3" firstDataCol="2"/>
  <pivotFields count="49">
    <pivotField dataField="1" compact="0" outline="0" showAll="0"/>
    <pivotField compact="0" outline="0" showAll="0"/>
    <pivotField axis="axisRow" compact="0" outline="0" showAll="0">
      <items count="26">
        <item h="1" x="24"/>
        <item x="19"/>
        <item x="13"/>
        <item x="20"/>
        <item x="7"/>
        <item x="1"/>
        <item x="23"/>
        <item x="4"/>
        <item x="3"/>
        <item x="0"/>
        <item x="14"/>
        <item x="21"/>
        <item x="15"/>
        <item x="8"/>
        <item x="5"/>
        <item x="9"/>
        <item x="22"/>
        <item x="10"/>
        <item x="17"/>
        <item x="11"/>
        <item x="2"/>
        <item x="12"/>
        <item x="18"/>
        <item x="6"/>
        <item x="16"/>
        <item t="default"/>
      </items>
    </pivotField>
    <pivotField compact="0" outline="0" showAll="0">
      <items count="5">
        <item x="3"/>
        <item x="0"/>
        <item x="2"/>
        <item x="1"/>
        <item t="default"/>
      </items>
    </pivotField>
    <pivotField axis="axisRow" compact="0" outline="0" showAll="0">
      <items count="13">
        <item h="1" x="11"/>
        <item x="0"/>
        <item x="1"/>
        <item x="2"/>
        <item x="3"/>
        <item x="4"/>
        <item x="10"/>
        <item x="9"/>
        <item x="5"/>
        <item x="6"/>
        <item x="7"/>
        <item x="8"/>
        <item t="default"/>
      </items>
    </pivotField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3"/>
        <item x="0"/>
        <item x="1"/>
        <item x="5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axis="axisCol" compact="0" outline="0" showAll="0">
      <items count="5">
        <item h="1" x="3"/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2"/>
  </rowFields>
  <rowItems count="36">
    <i>
      <x v="1"/>
      <x v="5"/>
    </i>
    <i r="1">
      <x v="9"/>
    </i>
    <i r="1">
      <x v="20"/>
    </i>
    <i t="default">
      <x v="1"/>
    </i>
    <i>
      <x v="2"/>
      <x v="7"/>
    </i>
    <i r="1">
      <x v="8"/>
    </i>
    <i r="1">
      <x v="14"/>
    </i>
    <i r="1">
      <x v="23"/>
    </i>
    <i t="default">
      <x v="2"/>
    </i>
    <i>
      <x v="3"/>
      <x v="4"/>
    </i>
    <i t="default">
      <x v="3"/>
    </i>
    <i>
      <x v="4"/>
      <x v="13"/>
    </i>
    <i t="default">
      <x v="4"/>
    </i>
    <i>
      <x v="5"/>
      <x v="15"/>
    </i>
    <i r="1">
      <x v="17"/>
    </i>
    <i r="1">
      <x v="19"/>
    </i>
    <i t="default">
      <x v="5"/>
    </i>
    <i>
      <x v="6"/>
      <x v="6"/>
    </i>
    <i r="1">
      <x v="16"/>
    </i>
    <i t="default">
      <x v="6"/>
    </i>
    <i>
      <x v="7"/>
      <x v="3"/>
    </i>
    <i r="1">
      <x v="11"/>
    </i>
    <i t="default">
      <x v="7"/>
    </i>
    <i>
      <x v="8"/>
      <x v="2"/>
    </i>
    <i r="1">
      <x v="10"/>
    </i>
    <i r="1">
      <x v="12"/>
    </i>
    <i r="1">
      <x v="21"/>
    </i>
    <i t="default">
      <x v="8"/>
    </i>
    <i>
      <x v="9"/>
      <x v="24"/>
    </i>
    <i t="default">
      <x v="9"/>
    </i>
    <i>
      <x v="10"/>
      <x v="18"/>
    </i>
    <i t="default">
      <x v="10"/>
    </i>
    <i>
      <x v="11"/>
      <x v="1"/>
    </i>
    <i r="1">
      <x v="22"/>
    </i>
    <i t="default">
      <x v="11"/>
    </i>
    <i t="grand">
      <x/>
    </i>
  </rowItems>
  <colFields count="2">
    <field x="29"/>
    <field x="-2"/>
  </colFields>
  <colItems count="8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N.º de IRO" fld="0" subtotal="count" baseField="0" baseItem="0"/>
    <dataField name="Efeito ponderado (€/ano)" fld="2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ilar" xr10:uid="{9A6705E4-CA0E-4D65-8F6C-BBFAA40EB020}" sourceName="Pilar">
  <pivotTables>
    <pivotTable tabId="2" name="pvt_dma_iro"/>
  </pivotTables>
  <data>
    <tabular pivotCacheId="1660871144">
      <items count="4">
        <i x="0" s="1"/>
        <i x="2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tapa_Cadeia_Valor" xr10:uid="{E57050CA-A9BC-4B6F-8257-94738A09BAAE}" sourceName="Etapa_Cadeia_Valor">
  <pivotTables>
    <pivotTable tabId="2" name="pvt_dma_iro"/>
  </pivotTables>
  <data>
    <tabular pivotCacheId="1660871144">
      <items count="6">
        <i x="2" s="1"/>
        <i x="4" s="1"/>
        <i x="3" s="1"/>
        <i x="0" s="1"/>
        <i x="1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Horizonte" xr10:uid="{80ED5766-6335-4013-83D0-4077B274B5B5}" sourceName="Horizonte">
  <pivotTables>
    <pivotTable tabId="2" name="pvt_dma_iro"/>
  </pivotTables>
  <data>
    <tabular pivotCacheId="1660871144">
      <items count="4">
        <i x="0" s="1"/>
        <i x="2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IRO" xr10:uid="{40B1EA2F-C51C-4B46-82B4-6EC33E99ED6A}" sourceName="Tipo_IRO">
  <pivotTables>
    <pivotTable tabId="2" name="pvt_dma_iro"/>
  </pivotTables>
  <data>
    <tabular pivotCacheId="1660871144">
      <items count="5">
        <i x="0" s="1"/>
        <i x="3" s="1"/>
        <i x="2" s="1"/>
        <i x="1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aterial" xr10:uid="{06457CA8-24E2-44D0-AFE5-B45C36ADB6F8}" sourceName="Material">
  <pivotTables>
    <pivotTable tabId="2" name="pvt_dma_iro"/>
  </pivotTables>
  <data>
    <tabular pivotCacheId="1660871144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Qualidade_Evidencia" xr10:uid="{B7C41BFB-41C2-4B2B-9E28-39FB6A773C1A}" sourceName="Qualidade_Evidencia">
  <pivotTables>
    <pivotTable tabId="2" name="pvt_dma_iro"/>
  </pivotTables>
  <data>
    <tabular pivotCacheId="1660871144">
      <items count="4">
        <i x="0" s="1"/>
        <i x="1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c_Pilar" xr10:uid="{CADD84DF-C69C-411B-A380-0448595E81F5}" cache="SegmentaçãoDeDados_Pilar" caption="Pilar" rowHeight="234950"/>
  <slicer name="slc_Etapa_Cadeia_Valor" xr10:uid="{C5ED3C15-BABF-4503-9EA5-A73BEAECF827}" cache="SegmentaçãoDeDados_Etapa_Cadeia_Valor" caption="Etapa da cadeia de valor" rowHeight="234950"/>
  <slicer name="slc_Horizonte" xr10:uid="{3F7790FA-9C1D-4A2C-B87D-EFB52176A660}" cache="SegmentaçãoDeDados_Horizonte" caption="Horizonte" rowHeight="234950"/>
  <slicer name="slc_Tipo_IRO" xr10:uid="{774D8B6A-1FF4-40FE-9668-A286AA6058C5}" cache="SegmentaçãoDeDados_Tipo_IRO" caption="Tipo de IRO" rowHeight="234950"/>
  <slicer name="slc_Material" xr10:uid="{92F32C80-F24E-4732-BD3C-15CABECBE29A}" cache="SegmentaçãoDeDados_Material" caption="Material" rowHeight="234950"/>
  <slicer name="slc_Qualidade_Evidencia" xr10:uid="{463D10A7-DC47-4DB2-8B56-B9CC07933BF1}" cache="SegmentaçãoDeDados_Qualidade_Evidencia" caption="Qualidade da evidênci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ma_temas" displayName="tbl_dma_temas" ref="A4:AE40">
  <autoFilter ref="A4:AE40" xr:uid="{00000000-0009-0000-0100-000001000000}"/>
  <tableColumns count="31">
    <tableColumn id="1" xr3:uid="{00000000-0010-0000-0000-000001000000}" name="ID_Tema"/>
    <tableColumn id="2" xr3:uid="{00000000-0010-0000-0000-000002000000}" name="Pilar"/>
    <tableColumn id="3" xr3:uid="{00000000-0010-0000-0000-000003000000}" name="ESRS_Topico"/>
    <tableColumn id="4" xr3:uid="{00000000-0010-0000-0000-000004000000}" name="Subtopico_ESRS"/>
    <tableColumn id="5" xr3:uid="{00000000-0010-0000-0000-000005000000}" name="Tema"/>
    <tableColumn id="6" xr3:uid="{00000000-0010-0000-0000-000006000000}" name="Descricao"/>
    <tableColumn id="7" xr3:uid="{00000000-0010-0000-0000-000007000000}" name="Referencia_GRI"/>
    <tableColumn id="8" xr3:uid="{00000000-0010-0000-0000-000008000000}" name="Relevancia_Setorial"/>
    <tableColumn id="9" xr3:uid="{00000000-0010-0000-0000-000009000000}" name="Fonte_Identificacao"/>
    <tableColumn id="10" xr3:uid="{00000000-0010-0000-0000-00000A000000}" name="Dono"/>
    <tableColumn id="11" xr3:uid="{00000000-0010-0000-0000-00000B000000}" name="Justificacao_Avaliacao"/>
    <tableColumn id="12" xr3:uid="{00000000-0010-0000-0000-00000C000000}" name="Data_Avaliacao"/>
    <tableColumn id="13" xr3:uid="{00000000-0010-0000-0000-00000D000000}" name="N_IRO"/>
    <tableColumn id="14" xr3:uid="{00000000-0010-0000-0000-00000E000000}" name="N_Impactos"/>
    <tableColumn id="15" xr3:uid="{00000000-0010-0000-0000-00000F000000}" name="N_Riscos_Oportunidades"/>
    <tableColumn id="16" xr3:uid="{00000000-0010-0000-0000-000010000000}" name="Score_Impacto_Max"/>
    <tableColumn id="17" xr3:uid="{00000000-0010-0000-0000-000011000000}" name="Score_Financeiro_Max"/>
    <tableColumn id="18" xr3:uid="{00000000-0010-0000-0000-000012000000}" name="Material_Impacto"/>
    <tableColumn id="19" xr3:uid="{00000000-0010-0000-0000-000013000000}" name="Material_Financeiro"/>
    <tableColumn id="20" xr3:uid="{00000000-0010-0000-0000-000014000000}" name="Classificacao"/>
    <tableColumn id="21" xr3:uid="{00000000-0010-0000-0000-000015000000}" name="Banda_Impacto"/>
    <tableColumn id="22" xr3:uid="{00000000-0010-0000-0000-000016000000}" name="Banda_Financeira"/>
    <tableColumn id="23" xr3:uid="{00000000-0010-0000-0000-000017000000}" name="Indice_Prioridade"/>
    <tableColumn id="24" xr3:uid="{00000000-0010-0000-0000-000018000000}" name="Ranking"/>
    <tableColumn id="25" xr3:uid="{00000000-0010-0000-0000-000019000000}" name="Exposicao_Risco_EUR"/>
    <tableColumn id="26" xr3:uid="{00000000-0010-0000-0000-00001A000000}" name="Potencial_Oportunidade_EUR"/>
    <tableColumn id="27" xr3:uid="{00000000-0010-0000-0000-00001B000000}" name="Relevancia_Partes_Interessadas"/>
    <tableColumn id="28" xr3:uid="{00000000-0010-0000-0000-00001C000000}" name="N_Contributos"/>
    <tableColumn id="29" xr3:uid="{00000000-0010-0000-0000-00001D000000}" name="Cobertura_Evidencia"/>
    <tableColumn id="30" xr3:uid="{00000000-0010-0000-0000-00001E000000}" name="Alerta_Consistencia"/>
    <tableColumn id="31" xr3:uid="{00000000-0010-0000-0000-00001F000000}" name="Decisao_Gesta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ma_iro" displayName="tbl_dma_iro" ref="A4:AW91">
  <autoFilter ref="A4:AW91" xr:uid="{00000000-0009-0000-0100-000002000000}"/>
  <tableColumns count="49">
    <tableColumn id="1" xr3:uid="{00000000-0010-0000-0100-000001000000}" name="ID_IRO"/>
    <tableColumn id="2" xr3:uid="{00000000-0010-0000-0100-000002000000}" name="ID_Tema"/>
    <tableColumn id="3" xr3:uid="{00000000-0010-0000-0100-000003000000}" name="Tema"/>
    <tableColumn id="4" xr3:uid="{00000000-0010-0000-0100-000004000000}" name="Pilar"/>
    <tableColumn id="5" xr3:uid="{00000000-0010-0000-0100-000005000000}" name="ESRS_Topico"/>
    <tableColumn id="6" xr3:uid="{00000000-0010-0000-0100-000006000000}" name="Tipo_IRO"/>
    <tableColumn id="7" xr3:uid="{00000000-0010-0000-0100-000007000000}" name="Dimensao"/>
    <tableColumn id="8" xr3:uid="{00000000-0010-0000-0100-000008000000}" name="Descricao"/>
    <tableColumn id="9" xr3:uid="{00000000-0010-0000-0100-000009000000}" name="Natureza"/>
    <tableColumn id="10" xr3:uid="{00000000-0010-0000-0100-00000A000000}" name="Etapa_Cadeia_Valor"/>
    <tableColumn id="11" xr3:uid="{00000000-0010-0000-0100-00000B000000}" name="Horizonte"/>
    <tableColumn id="12" xr3:uid="{00000000-0010-0000-0100-00000C000000}" name="Afetados"/>
    <tableColumn id="13" xr3:uid="{00000000-0010-0000-0100-00000D000000}" name="Direitos_Humanos"/>
    <tableColumn id="14" xr3:uid="{00000000-0010-0000-0100-00000E000000}" name="Magnitude"/>
    <tableColumn id="15" xr3:uid="{00000000-0010-0000-0100-00000F000000}" name="Alcance"/>
    <tableColumn id="16" xr3:uid="{00000000-0010-0000-0100-000010000000}" name="Irremediabilidade"/>
    <tableColumn id="17" xr3:uid="{00000000-0010-0000-0100-000011000000}" name="Probabilidade"/>
    <tableColumn id="18" xr3:uid="{00000000-0010-0000-0100-000012000000}" name="Gravidade"/>
    <tableColumn id="19" xr3:uid="{00000000-0010-0000-0100-000013000000}" name="Probabilidade_Efetiva"/>
    <tableColumn id="20" xr3:uid="{00000000-0010-0000-0100-000014000000}" name="Score_Impacto"/>
    <tableColumn id="21" xr3:uid="{00000000-0010-0000-0100-000015000000}" name="Mecanismo_Financeiro"/>
    <tableColumn id="22" xr3:uid="{00000000-0010-0000-0100-000016000000}" name="Rubrica_Financeira"/>
    <tableColumn id="23" xr3:uid="{00000000-0010-0000-0100-000017000000}" name="Efeito_Financeiro_EUR_Ano"/>
    <tableColumn id="24" xr3:uid="{00000000-0010-0000-0100-000018000000}" name="Probabilidade_Financeira"/>
    <tableColumn id="25" xr3:uid="{00000000-0010-0000-0100-000019000000}" name="Magnitude_Financeira"/>
    <tableColumn id="26" xr3:uid="{00000000-0010-0000-0100-00001A000000}" name="Score_Financeiro"/>
    <tableColumn id="27" xr3:uid="{00000000-0010-0000-0100-00001B000000}" name="Efeito_Ponderado_EUR"/>
    <tableColumn id="28" xr3:uid="{00000000-0010-0000-0100-00001C000000}" name="Score"/>
    <tableColumn id="29" xr3:uid="{00000000-0010-0000-0100-00001D000000}" name="Material"/>
    <tableColumn id="30" xr3:uid="{00000000-0010-0000-0100-00001E000000}" name="Classificacao_IRO"/>
    <tableColumn id="31" xr3:uid="{00000000-0010-0000-0100-00001F000000}" name="Ranking_IRO"/>
    <tableColumn id="32" xr3:uid="{00000000-0010-0000-0100-000020000000}" name="Evidencia_Resumo"/>
    <tableColumn id="33" xr3:uid="{00000000-0010-0000-0100-000021000000}" name="Qualidade_Evidencia"/>
    <tableColumn id="34" xr3:uid="{00000000-0010-0000-0100-000022000000}" name="N_Evidencias"/>
    <tableColumn id="35" xr3:uid="{00000000-0010-0000-0100-000023000000}" name="Controlo_Qualidade"/>
    <tableColumn id="36" xr3:uid="{00000000-0010-0000-0100-000024000000}" name="IDs_Contexto"/>
    <tableColumn id="37" xr3:uid="{00000000-0010-0000-0100-000025000000}" name="ID_RO"/>
    <tableColumn id="38" xr3:uid="{00000000-0010-0000-0100-000026000000}" name="ID_Registo_Corporativo"/>
    <tableColumn id="39" xr3:uid="{00000000-0010-0000-0100-000027000000}" name="IDs_Aspetos"/>
    <tableColumn id="40" xr3:uid="{00000000-0010-0000-0100-000028000000}" name="ID_Legal"/>
    <tableColumn id="41" xr3:uid="{00000000-0010-0000-0100-000029000000}" name="ID_OBJ"/>
    <tableColumn id="42" xr3:uid="{00000000-0010-0000-0100-00002A000000}" name="ID_KPI"/>
    <tableColumn id="43" xr3:uid="{00000000-0010-0000-0100-00002B000000}" name="ID_PAM"/>
    <tableColumn id="44" xr3:uid="{00000000-0010-0000-0100-00002C000000}" name="Resposta_Gestao"/>
    <tableColumn id="45" xr3:uid="{00000000-0010-0000-0100-00002D000000}" name="Responsavel"/>
    <tableColumn id="46" xr3:uid="{00000000-0010-0000-0100-00002E000000}" name="Estado_Validacao"/>
    <tableColumn id="47" xr3:uid="{00000000-0010-0000-0100-00002F000000}" name="Data_Avaliacao"/>
    <tableColumn id="48" xr3:uid="{00000000-0010-0000-0100-000030000000}" name="Proxima_Revisao"/>
    <tableColumn id="49" xr3:uid="{00000000-0010-0000-0100-000031000000}" name="Nota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ma_evidencias" displayName="tbl_dma_evidencias" ref="A4:L115">
  <autoFilter ref="A4:L115" xr:uid="{00000000-0009-0000-0100-000003000000}"/>
  <tableColumns count="12">
    <tableColumn id="1" xr3:uid="{00000000-0010-0000-0200-000001000000}" name="ID_Evidencia"/>
    <tableColumn id="2" xr3:uid="{00000000-0010-0000-0200-000002000000}" name="ID_IRO"/>
    <tableColumn id="3" xr3:uid="{00000000-0010-0000-0200-000003000000}" name="ID_Tema"/>
    <tableColumn id="4" xr3:uid="{00000000-0010-0000-0200-000004000000}" name="Indicador"/>
    <tableColumn id="5" xr3:uid="{00000000-0010-0000-0200-000005000000}" name="Valor"/>
    <tableColumn id="6" xr3:uid="{00000000-0010-0000-0200-000006000000}" name="Unidade"/>
    <tableColumn id="7" xr3:uid="{00000000-0010-0000-0200-000007000000}" name="Periodo"/>
    <tableColumn id="8" xr3:uid="{00000000-0010-0000-0200-000008000000}" name="Registo_Fonte"/>
    <tableColumn id="9" xr3:uid="{00000000-0010-0000-0200-000009000000}" name="ID_Fonte"/>
    <tableColumn id="10" xr3:uid="{00000000-0010-0000-0200-00000A000000}" name="Tipo_Dado"/>
    <tableColumn id="11" xr3:uid="{00000000-0010-0000-0200-00000B000000}" name="Qualidade"/>
    <tableColumn id="12" xr3:uid="{00000000-0010-0000-0200-00000C000000}" name="Observa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ma_consultas" displayName="tbl_dma_consultas" ref="A4:K76">
  <autoFilter ref="A4:K76" xr:uid="{00000000-0009-0000-0100-000004000000}"/>
  <tableColumns count="11">
    <tableColumn id="1" xr3:uid="{00000000-0010-0000-0300-000001000000}" name="ID_Contributo"/>
    <tableColumn id="2" xr3:uid="{00000000-0010-0000-0300-000002000000}" name="Data"/>
    <tableColumn id="3" xr3:uid="{00000000-0010-0000-0300-000003000000}" name="Parte_Interessada"/>
    <tableColumn id="4" xr3:uid="{00000000-0010-0000-0300-000004000000}" name="Metodo"/>
    <tableColumn id="5" xr3:uid="{00000000-0010-0000-0300-000005000000}" name="N_Participantes"/>
    <tableColumn id="6" xr3:uid="{00000000-0010-0000-0300-000006000000}" name="ID_Tema"/>
    <tableColumn id="7" xr3:uid="{00000000-0010-0000-0300-000007000000}" name="Tema"/>
    <tableColumn id="8" xr3:uid="{00000000-0010-0000-0300-000008000000}" name="Relevancia_Percebida"/>
    <tableColumn id="9" xr3:uid="{00000000-0010-0000-0300-000009000000}" name="Tipo_Contributo"/>
    <tableColumn id="10" xr3:uid="{00000000-0010-0000-0300-00000A000000}" name="Comentario"/>
    <tableColumn id="11" xr3:uid="{00000000-0010-0000-0300-00000B000000}" name="Incorporado_na_Avaliac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ma_escalas" displayName="tbl_dma_escalas" ref="A28:F53">
  <autoFilter ref="A28:F53" xr:uid="{00000000-0009-0000-0100-000005000000}"/>
  <tableColumns count="6">
    <tableColumn id="1" xr3:uid="{00000000-0010-0000-0400-000001000000}" name="Criterio"/>
    <tableColumn id="2" xr3:uid="{00000000-0010-0000-0400-000002000000}" name="Nivel"/>
    <tableColumn id="3" xr3:uid="{00000000-0010-0000-0400-000003000000}" name="Rotulo"/>
    <tableColumn id="4" xr3:uid="{00000000-0010-0000-0400-000004000000}" name="Descricao"/>
    <tableColumn id="5" xr3:uid="{00000000-0010-0000-0400-000005000000}" name="Limite_Inferior_EUR"/>
    <tableColumn id="6" xr3:uid="{00000000-0010-0000-0400-000006000000}" name="Probabilidade_Medi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ma_parametros" displayName="tbl_dma_parametros" ref="A57:E69">
  <autoFilter ref="A57:E69" xr:uid="{00000000-0009-0000-0100-000006000000}"/>
  <tableColumns count="5">
    <tableColumn id="1" xr3:uid="{00000000-0010-0000-0500-000001000000}" name="Parametro"/>
    <tableColumn id="2" xr3:uid="{00000000-0010-0000-0500-000002000000}" name="Valor"/>
    <tableColumn id="3" xr3:uid="{00000000-0010-0000-0500-000003000000}" name="Unidade"/>
    <tableColumn id="4" xr3:uid="{00000000-0010-0000-0500-000004000000}" name="Descricao"/>
    <tableColumn id="5" xr3:uid="{00000000-0010-0000-0500-000005000000}" name="Font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cionario" displayName="tbl_dicionario" ref="A1:I104">
  <autoFilter ref="A1:I104" xr:uid="{00000000-0009-0000-0100-000007000000}"/>
  <tableColumns count="9">
    <tableColumn id="1" xr3:uid="{00000000-0010-0000-0600-000001000000}" name="Folha"/>
    <tableColumn id="2" xr3:uid="{00000000-0010-0000-0600-000002000000}" name="Tabela"/>
    <tableColumn id="3" xr3:uid="{00000000-0010-0000-0600-000003000000}" name="Coluna"/>
    <tableColumn id="4" xr3:uid="{00000000-0010-0000-0600-000004000000}" name="Tipo"/>
    <tableColumn id="5" xr3:uid="{00000000-0010-0000-0600-000005000000}" name="Origem"/>
    <tableColumn id="6" xr3:uid="{00000000-0010-0000-0600-000006000000}" name="Descricao"/>
    <tableColumn id="7" xr3:uid="{00000000-0010-0000-0600-000007000000}" name="Dominio_Unidade"/>
    <tableColumn id="8" xr3:uid="{00000000-0010-0000-0600-000008000000}" name="Obrigatorio"/>
    <tableColumn id="9" xr3:uid="{00000000-0010-0000-06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6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46289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6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ht="26.4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9" spans="1:2" x14ac:dyDescent="0.3">
      <c r="A29" s="3" t="s">
        <v>42</v>
      </c>
      <c r="B29" s="4"/>
    </row>
    <row r="30" spans="1:2" ht="26.4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x14ac:dyDescent="0.3">
      <c r="A43" s="5" t="s">
        <v>66</v>
      </c>
      <c r="B43" s="6" t="s">
        <v>67</v>
      </c>
    </row>
    <row r="44" spans="1:2" x14ac:dyDescent="0.3">
      <c r="A44" s="5" t="s">
        <v>68</v>
      </c>
      <c r="B44" s="6" t="s">
        <v>69</v>
      </c>
    </row>
    <row r="45" spans="1:2" ht="26.4" x14ac:dyDescent="0.3">
      <c r="A45" s="5" t="s">
        <v>70</v>
      </c>
      <c r="B45" s="6" t="s">
        <v>71</v>
      </c>
    </row>
    <row r="47" spans="1:2" x14ac:dyDescent="0.3">
      <c r="A47" s="3" t="s">
        <v>72</v>
      </c>
      <c r="B47" s="4"/>
    </row>
    <row r="48" spans="1:2" ht="39.6" x14ac:dyDescent="0.3">
      <c r="A48" s="5" t="s">
        <v>73</v>
      </c>
      <c r="B48" s="6" t="s">
        <v>74</v>
      </c>
    </row>
    <row r="49" spans="1:2" ht="39.6" x14ac:dyDescent="0.3">
      <c r="A49" s="5" t="s">
        <v>75</v>
      </c>
      <c r="B49" s="6" t="s">
        <v>76</v>
      </c>
    </row>
    <row r="50" spans="1:2" ht="52.8" x14ac:dyDescent="0.3">
      <c r="A50" s="5" t="s">
        <v>77</v>
      </c>
      <c r="B50" s="6" t="s">
        <v>78</v>
      </c>
    </row>
    <row r="51" spans="1:2" ht="39.6" x14ac:dyDescent="0.3">
      <c r="A51" s="5" t="s">
        <v>79</v>
      </c>
      <c r="B51" s="6" t="s">
        <v>80</v>
      </c>
    </row>
    <row r="52" spans="1:2" ht="39.6" x14ac:dyDescent="0.3">
      <c r="A52" s="5" t="s">
        <v>81</v>
      </c>
      <c r="B52" s="6" t="s">
        <v>82</v>
      </c>
    </row>
    <row r="53" spans="1:2" ht="39.6" x14ac:dyDescent="0.3">
      <c r="A53" s="5" t="s">
        <v>83</v>
      </c>
      <c r="B53" s="6" t="s">
        <v>84</v>
      </c>
    </row>
    <row r="54" spans="1:2" ht="26.4" x14ac:dyDescent="0.3">
      <c r="A54" s="5" t="s">
        <v>85</v>
      </c>
      <c r="B54" s="6" t="s">
        <v>86</v>
      </c>
    </row>
    <row r="55" spans="1:2" ht="39.6" x14ac:dyDescent="0.3">
      <c r="A55" s="5" t="s">
        <v>87</v>
      </c>
      <c r="B55" s="6" t="s">
        <v>88</v>
      </c>
    </row>
    <row r="56" spans="1:2" ht="39.6" x14ac:dyDescent="0.3">
      <c r="A56" s="5" t="s">
        <v>89</v>
      </c>
      <c r="B56" s="6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AE132"/>
  <sheetViews>
    <sheetView showGridLines="0" workbookViewId="0">
      <pane ySplit="7" topLeftCell="A8" activePane="bottomLeft" state="frozen"/>
      <selection pane="bottomLeft"/>
    </sheetView>
  </sheetViews>
  <sheetFormatPr defaultRowHeight="14.4" x14ac:dyDescent="0.3"/>
  <cols>
    <col min="1" max="1" width="63.44140625" bestFit="1" customWidth="1"/>
    <col min="2" max="2" width="59.44140625" bestFit="1" customWidth="1"/>
    <col min="3" max="8" width="22.88671875" bestFit="1" customWidth="1"/>
    <col min="9" max="9" width="14.5546875" bestFit="1" customWidth="1"/>
    <col min="10" max="11" width="27.6640625" bestFit="1" customWidth="1"/>
  </cols>
  <sheetData>
    <row r="1" spans="1:31" ht="17.399999999999999" x14ac:dyDescent="0.3">
      <c r="A1" s="1" t="s">
        <v>91</v>
      </c>
    </row>
    <row r="2" spans="1:31" x14ac:dyDescent="0.3">
      <c r="A2" s="2" t="s">
        <v>92</v>
      </c>
    </row>
    <row r="3" spans="1:31" x14ac:dyDescent="0.3">
      <c r="Z3" s="8" t="s">
        <v>93</v>
      </c>
    </row>
    <row r="4" spans="1:31" x14ac:dyDescent="0.3">
      <c r="A4" s="3" t="s">
        <v>94</v>
      </c>
      <c r="B4" s="4"/>
      <c r="C4" s="4"/>
      <c r="D4" s="4"/>
      <c r="E4" s="4"/>
      <c r="F4" s="4"/>
      <c r="G4" s="4"/>
      <c r="H4" s="4"/>
      <c r="I4" s="4"/>
      <c r="J4" s="4"/>
      <c r="Z4" s="9" t="s">
        <v>95</v>
      </c>
      <c r="AA4" s="9" t="s">
        <v>96</v>
      </c>
      <c r="AB4" s="9" t="s">
        <v>97</v>
      </c>
      <c r="AC4" s="9" t="s">
        <v>98</v>
      </c>
      <c r="AD4" s="9" t="s">
        <v>99</v>
      </c>
      <c r="AE4" s="9" t="s">
        <v>100</v>
      </c>
    </row>
    <row r="5" spans="1:31" ht="39.6" x14ac:dyDescent="0.3">
      <c r="A5" s="10" t="s">
        <v>101</v>
      </c>
      <c r="B5" s="10" t="s">
        <v>102</v>
      </c>
      <c r="C5" s="10" t="s">
        <v>103</v>
      </c>
      <c r="D5" s="10" t="s">
        <v>104</v>
      </c>
      <c r="E5" s="10" t="s">
        <v>105</v>
      </c>
      <c r="Z5" s="11" t="str">
        <f>IF(AND(INDEX(Temas!$A$5:$A$40,1)&lt;&gt;"",OR($A$6="(Todos)",INDEX(Temas!$B$5:$B$40,1)=$A$6),OR($B$6="(Todos)",INDEX(Temas!$C$5:$C$40,1)=$B$6)),INDEX(Temas!$A$5:$A$40,1),"")</f>
        <v>DM-01</v>
      </c>
      <c r="AA5" s="11">
        <f>IF(AND(INDEX(Temas!$A$5:$A$40,1)&lt;&gt;"",OR($A$6="(Todos)",INDEX(Temas!$B$5:$B$40,1)=$A$6),OR($B$6="(Todos)",INDEX(Temas!$C$5:$C$40,1)=$B$6)),N(INDEX(Temas!$Q$5:$Q$40,1)),NA())</f>
        <v>12</v>
      </c>
      <c r="AB5" s="11">
        <f>IF(AND(AND(INDEX(Temas!$A$5:$A$40,1)&lt;&gt;"",OR($A$6="(Todos)",INDEX(Temas!$B$5:$B$40,1)=$A$6),OR($B$6="(Todos)",INDEX(Temas!$C$5:$C$40,1)=$B$6)),INDEX(Temas!$T$5:$T$40,1)="Dupla materialidade"),N(INDEX(Temas!$P$5:$P$40,1)),NA())</f>
        <v>20</v>
      </c>
      <c r="AC5" s="11" t="e">
        <f>IF(AND(AND(INDEX(Temas!$A$5:$A$40,1)&lt;&gt;"",OR($A$6="(Todos)",INDEX(Temas!$B$5:$B$40,1)=$A$6),OR($B$6="(Todos)",INDEX(Temas!$C$5:$C$40,1)=$B$6)),INDEX(Temas!$T$5:$T$40,1)="Material — impacto"),N(INDEX(Temas!$P$5:$P$40,1)),NA())</f>
        <v>#N/A</v>
      </c>
      <c r="AD5" s="11" t="e">
        <f>IF(AND(AND(INDEX(Temas!$A$5:$A$40,1)&lt;&gt;"",OR($A$6="(Todos)",INDEX(Temas!$B$5:$B$40,1)=$A$6),OR($B$6="(Todos)",INDEX(Temas!$C$5:$C$40,1)=$B$6)),INDEX(Temas!$T$5:$T$40,1)="Material — financeira"),N(INDEX(Temas!$P$5:$P$40,1)),NA())</f>
        <v>#N/A</v>
      </c>
      <c r="AE5" s="11" t="e">
        <f>IF(AND(AND(INDEX(Temas!$A$5:$A$40,1)&lt;&gt;"",OR($A$6="(Todos)",INDEX(Temas!$B$5:$B$40,1)=$A$6),OR($B$6="(Todos)",INDEX(Temas!$C$5:$C$40,1)=$B$6)),INDEX(Temas!$T$5:$T$40,1)="Não material"),N(INDEX(Temas!$P$5:$P$40,1)),NA())</f>
        <v>#N/A</v>
      </c>
    </row>
    <row r="6" spans="1:31" x14ac:dyDescent="0.3">
      <c r="A6" s="12" t="s">
        <v>106</v>
      </c>
      <c r="B6" s="12" t="s">
        <v>106</v>
      </c>
      <c r="C6" s="12" t="s">
        <v>106</v>
      </c>
      <c r="D6" s="12" t="s">
        <v>106</v>
      </c>
      <c r="E6" s="12" t="s">
        <v>106</v>
      </c>
      <c r="Z6" s="11" t="str">
        <f>IF(AND(INDEX(Temas!$A$5:$A$40,2)&lt;&gt;"",OR($A$6="(Todos)",INDEX(Temas!$B$5:$B$40,2)=$A$6),OR($B$6="(Todos)",INDEX(Temas!$C$5:$C$40,2)=$B$6)),INDEX(Temas!$A$5:$A$40,2),"")</f>
        <v>DM-02</v>
      </c>
      <c r="AA6" s="11">
        <f>IF(AND(INDEX(Temas!$A$5:$A$40,2)&lt;&gt;"",OR($A$6="(Todos)",INDEX(Temas!$B$5:$B$40,2)=$A$6),OR($B$6="(Todos)",INDEX(Temas!$C$5:$C$40,2)=$B$6)),N(INDEX(Temas!$Q$5:$Q$40,2)),NA())</f>
        <v>16</v>
      </c>
      <c r="AB6" s="11">
        <f>IF(AND(AND(INDEX(Temas!$A$5:$A$40,2)&lt;&gt;"",OR($A$6="(Todos)",INDEX(Temas!$B$5:$B$40,2)=$A$6),OR($B$6="(Todos)",INDEX(Temas!$C$5:$C$40,2)=$B$6)),INDEX(Temas!$T$5:$T$40,2)="Dupla materialidade"),N(INDEX(Temas!$P$5:$P$40,2)),NA())</f>
        <v>15</v>
      </c>
      <c r="AC6" s="11" t="e">
        <f>IF(AND(AND(INDEX(Temas!$A$5:$A$40,2)&lt;&gt;"",OR($A$6="(Todos)",INDEX(Temas!$B$5:$B$40,2)=$A$6),OR($B$6="(Todos)",INDEX(Temas!$C$5:$C$40,2)=$B$6)),INDEX(Temas!$T$5:$T$40,2)="Material — impacto"),N(INDEX(Temas!$P$5:$P$40,2)),NA())</f>
        <v>#N/A</v>
      </c>
      <c r="AD6" s="11" t="e">
        <f>IF(AND(AND(INDEX(Temas!$A$5:$A$40,2)&lt;&gt;"",OR($A$6="(Todos)",INDEX(Temas!$B$5:$B$40,2)=$A$6),OR($B$6="(Todos)",INDEX(Temas!$C$5:$C$40,2)=$B$6)),INDEX(Temas!$T$5:$T$40,2)="Material — financeira"),N(INDEX(Temas!$P$5:$P$40,2)),NA())</f>
        <v>#N/A</v>
      </c>
      <c r="AE6" s="11" t="e">
        <f>IF(AND(AND(INDEX(Temas!$A$5:$A$40,2)&lt;&gt;"",OR($A$6="(Todos)",INDEX(Temas!$B$5:$B$40,2)=$A$6),OR($B$6="(Todos)",INDEX(Temas!$C$5:$C$40,2)=$B$6)),INDEX(Temas!$T$5:$T$40,2)="Não material"),N(INDEX(Temas!$P$5:$P$40,2)),NA())</f>
        <v>#N/A</v>
      </c>
    </row>
    <row r="7" spans="1:31" x14ac:dyDescent="0.3">
      <c r="A7" s="11" t="str">
        <f>IF(A6="(Todos)","*",A6)</f>
        <v>*</v>
      </c>
      <c r="B7" s="11" t="str">
        <f>IF(B6="(Todos)","*",B6)</f>
        <v>*</v>
      </c>
      <c r="C7" s="11" t="str">
        <f>IF(C6="(Todos)","*",C6)</f>
        <v>*</v>
      </c>
      <c r="D7" s="11" t="str">
        <f>IF(D6="(Todos)","*",D6)</f>
        <v>*</v>
      </c>
      <c r="E7" s="11" t="str">
        <f>IF(E6="(Todos)","*",E6)</f>
        <v>*</v>
      </c>
      <c r="F7" s="8" t="s">
        <v>107</v>
      </c>
      <c r="Z7" s="11" t="str">
        <f>IF(AND(INDEX(Temas!$A$5:$A$40,3)&lt;&gt;"",OR($A$6="(Todos)",INDEX(Temas!$B$5:$B$40,3)=$A$6),OR($B$6="(Todos)",INDEX(Temas!$C$5:$C$40,3)=$B$6)),INDEX(Temas!$A$5:$A$40,3),"")</f>
        <v>DM-03</v>
      </c>
      <c r="AA7" s="11">
        <f>IF(AND(INDEX(Temas!$A$5:$A$40,3)&lt;&gt;"",OR($A$6="(Todos)",INDEX(Temas!$B$5:$B$40,3)=$A$6),OR($B$6="(Todos)",INDEX(Temas!$C$5:$C$40,3)=$B$6)),N(INDEX(Temas!$Q$5:$Q$40,3)),NA())</f>
        <v>12</v>
      </c>
      <c r="AB7" s="11" t="e">
        <f>IF(AND(AND(INDEX(Temas!$A$5:$A$40,3)&lt;&gt;"",OR($A$6="(Todos)",INDEX(Temas!$B$5:$B$40,3)=$A$6),OR($B$6="(Todos)",INDEX(Temas!$C$5:$C$40,3)=$B$6)),INDEX(Temas!$T$5:$T$40,3)="Dupla materialidade"),N(INDEX(Temas!$P$5:$P$40,3)),NA())</f>
        <v>#N/A</v>
      </c>
      <c r="AC7" s="11" t="e">
        <f>IF(AND(AND(INDEX(Temas!$A$5:$A$40,3)&lt;&gt;"",OR($A$6="(Todos)",INDEX(Temas!$B$5:$B$40,3)=$A$6),OR($B$6="(Todos)",INDEX(Temas!$C$5:$C$40,3)=$B$6)),INDEX(Temas!$T$5:$T$40,3)="Material — impacto"),N(INDEX(Temas!$P$5:$P$40,3)),NA())</f>
        <v>#N/A</v>
      </c>
      <c r="AD7" s="11">
        <f>IF(AND(AND(INDEX(Temas!$A$5:$A$40,3)&lt;&gt;"",OR($A$6="(Todos)",INDEX(Temas!$B$5:$B$40,3)=$A$6),OR($B$6="(Todos)",INDEX(Temas!$C$5:$C$40,3)=$B$6)),INDEX(Temas!$T$5:$T$40,3)="Material — financeira"),N(INDEX(Temas!$P$5:$P$40,3)),NA())</f>
        <v>0</v>
      </c>
      <c r="AE7" s="11" t="e">
        <f>IF(AND(AND(INDEX(Temas!$A$5:$A$40,3)&lt;&gt;"",OR($A$6="(Todos)",INDEX(Temas!$B$5:$B$40,3)=$A$6),OR($B$6="(Todos)",INDEX(Temas!$C$5:$C$40,3)=$B$6)),INDEX(Temas!$T$5:$T$40,3)="Não material"),N(INDEX(Temas!$P$5:$P$40,3)),NA())</f>
        <v>#N/A</v>
      </c>
    </row>
    <row r="8" spans="1:31" x14ac:dyDescent="0.3">
      <c r="Z8" s="11" t="str">
        <f>IF(AND(INDEX(Temas!$A$5:$A$40,4)&lt;&gt;"",OR($A$6="(Todos)",INDEX(Temas!$B$5:$B$40,4)=$A$6),OR($B$6="(Todos)",INDEX(Temas!$C$5:$C$40,4)=$B$6)),INDEX(Temas!$A$5:$A$40,4),"")</f>
        <v>DM-04</v>
      </c>
      <c r="AA8" s="11">
        <f>IF(AND(INDEX(Temas!$A$5:$A$40,4)&lt;&gt;"",OR($A$6="(Todos)",INDEX(Temas!$B$5:$B$40,4)=$A$6),OR($B$6="(Todos)",INDEX(Temas!$C$5:$C$40,4)=$B$6)),N(INDEX(Temas!$Q$5:$Q$40,4)),NA())</f>
        <v>4</v>
      </c>
      <c r="AB8" s="11" t="e">
        <f>IF(AND(AND(INDEX(Temas!$A$5:$A$40,4)&lt;&gt;"",OR($A$6="(Todos)",INDEX(Temas!$B$5:$B$40,4)=$A$6),OR($B$6="(Todos)",INDEX(Temas!$C$5:$C$40,4)=$B$6)),INDEX(Temas!$T$5:$T$40,4)="Dupla materialidade"),N(INDEX(Temas!$P$5:$P$40,4)),NA())</f>
        <v>#N/A</v>
      </c>
      <c r="AC8" s="11">
        <f>IF(AND(AND(INDEX(Temas!$A$5:$A$40,4)&lt;&gt;"",OR($A$6="(Todos)",INDEX(Temas!$B$5:$B$40,4)=$A$6),OR($B$6="(Todos)",INDEX(Temas!$C$5:$C$40,4)=$B$6)),INDEX(Temas!$T$5:$T$40,4)="Material — impacto"),N(INDEX(Temas!$P$5:$P$40,4)),NA())</f>
        <v>13.4</v>
      </c>
      <c r="AD8" s="11" t="e">
        <f>IF(AND(AND(INDEX(Temas!$A$5:$A$40,4)&lt;&gt;"",OR($A$6="(Todos)",INDEX(Temas!$B$5:$B$40,4)=$A$6),OR($B$6="(Todos)",INDEX(Temas!$C$5:$C$40,4)=$B$6)),INDEX(Temas!$T$5:$T$40,4)="Material — financeira"),N(INDEX(Temas!$P$5:$P$40,4)),NA())</f>
        <v>#N/A</v>
      </c>
      <c r="AE8" s="11" t="e">
        <f>IF(AND(AND(INDEX(Temas!$A$5:$A$40,4)&lt;&gt;"",OR($A$6="(Todos)",INDEX(Temas!$B$5:$B$40,4)=$A$6),OR($B$6="(Todos)",INDEX(Temas!$C$5:$C$40,4)=$B$6)),INDEX(Temas!$T$5:$T$40,4)="Não material"),N(INDEX(Temas!$P$5:$P$40,4)),NA())</f>
        <v>#N/A</v>
      </c>
    </row>
    <row r="9" spans="1:31" x14ac:dyDescent="0.3">
      <c r="A9" s="3" t="s">
        <v>108</v>
      </c>
      <c r="B9" s="4"/>
      <c r="C9" s="4"/>
      <c r="D9" s="4"/>
      <c r="E9" s="4"/>
      <c r="F9" s="4"/>
      <c r="G9" s="4"/>
      <c r="H9" s="4"/>
      <c r="I9" s="4"/>
      <c r="J9" s="4"/>
      <c r="Z9" s="11" t="str">
        <f>IF(AND(INDEX(Temas!$A$5:$A$40,5)&lt;&gt;"",OR($A$6="(Todos)",INDEX(Temas!$B$5:$B$40,5)=$A$6),OR($B$6="(Todos)",INDEX(Temas!$C$5:$C$40,5)=$B$6)),INDEX(Temas!$A$5:$A$40,5),"")</f>
        <v>DM-05</v>
      </c>
      <c r="AA9" s="11">
        <f>IF(AND(INDEX(Temas!$A$5:$A$40,5)&lt;&gt;"",OR($A$6="(Todos)",INDEX(Temas!$B$5:$B$40,5)=$A$6),OR($B$6="(Todos)",INDEX(Temas!$C$5:$C$40,5)=$B$6)),N(INDEX(Temas!$Q$5:$Q$40,5)),NA())</f>
        <v>4</v>
      </c>
      <c r="AB9" s="11" t="e">
        <f>IF(AND(AND(INDEX(Temas!$A$5:$A$40,5)&lt;&gt;"",OR($A$6="(Todos)",INDEX(Temas!$B$5:$B$40,5)=$A$6),OR($B$6="(Todos)",INDEX(Temas!$C$5:$C$40,5)=$B$6)),INDEX(Temas!$T$5:$T$40,5)="Dupla materialidade"),N(INDEX(Temas!$P$5:$P$40,5)),NA())</f>
        <v>#N/A</v>
      </c>
      <c r="AC9" s="11" t="e">
        <f>IF(AND(AND(INDEX(Temas!$A$5:$A$40,5)&lt;&gt;"",OR($A$6="(Todos)",INDEX(Temas!$B$5:$B$40,5)=$A$6),OR($B$6="(Todos)",INDEX(Temas!$C$5:$C$40,5)=$B$6)),INDEX(Temas!$T$5:$T$40,5)="Material — impacto"),N(INDEX(Temas!$P$5:$P$40,5)),NA())</f>
        <v>#N/A</v>
      </c>
      <c r="AD9" s="11" t="e">
        <f>IF(AND(AND(INDEX(Temas!$A$5:$A$40,5)&lt;&gt;"",OR($A$6="(Todos)",INDEX(Temas!$B$5:$B$40,5)=$A$6),OR($B$6="(Todos)",INDEX(Temas!$C$5:$C$40,5)=$B$6)),INDEX(Temas!$T$5:$T$40,5)="Material — financeira"),N(INDEX(Temas!$P$5:$P$40,5)),NA())</f>
        <v>#N/A</v>
      </c>
      <c r="AE9" s="11">
        <f>IF(AND(AND(INDEX(Temas!$A$5:$A$40,5)&lt;&gt;"",OR($A$6="(Todos)",INDEX(Temas!$B$5:$B$40,5)=$A$6),OR($B$6="(Todos)",INDEX(Temas!$C$5:$C$40,5)=$B$6)),INDEX(Temas!$T$5:$T$40,5)="Não material"),N(INDEX(Temas!$P$5:$P$40,5)),NA())</f>
        <v>10</v>
      </c>
    </row>
    <row r="10" spans="1:31" ht="42" customHeight="1" x14ac:dyDescent="0.3">
      <c r="A10" s="10" t="s">
        <v>109</v>
      </c>
      <c r="B10" s="10" t="s">
        <v>97</v>
      </c>
      <c r="C10" s="10" t="s">
        <v>98</v>
      </c>
      <c r="D10" s="10" t="s">
        <v>99</v>
      </c>
      <c r="E10" s="10" t="s">
        <v>100</v>
      </c>
      <c r="F10" s="10" t="s">
        <v>110</v>
      </c>
      <c r="G10" s="10" t="s">
        <v>111</v>
      </c>
      <c r="H10" s="10" t="s">
        <v>112</v>
      </c>
      <c r="I10" s="10" t="s">
        <v>113</v>
      </c>
      <c r="J10" s="10" t="s">
        <v>114</v>
      </c>
      <c r="Z10" s="11" t="str">
        <f>IF(AND(INDEX(Temas!$A$5:$A$40,6)&lt;&gt;"",OR($A$6="(Todos)",INDEX(Temas!$B$5:$B$40,6)=$A$6),OR($B$6="(Todos)",INDEX(Temas!$C$5:$C$40,6)=$B$6)),INDEX(Temas!$A$5:$A$40,6),"")</f>
        <v>DM-06</v>
      </c>
      <c r="AA10" s="11">
        <f>IF(AND(INDEX(Temas!$A$5:$A$40,6)&lt;&gt;"",OR($A$6="(Todos)",INDEX(Temas!$B$5:$B$40,6)=$A$6),OR($B$6="(Todos)",INDEX(Temas!$C$5:$C$40,6)=$B$6)),N(INDEX(Temas!$Q$5:$Q$40,6)),NA())</f>
        <v>12</v>
      </c>
      <c r="AB10" s="11">
        <f>IF(AND(AND(INDEX(Temas!$A$5:$A$40,6)&lt;&gt;"",OR($A$6="(Todos)",INDEX(Temas!$B$5:$B$40,6)=$A$6),OR($B$6="(Todos)",INDEX(Temas!$C$5:$C$40,6)=$B$6)),INDEX(Temas!$T$5:$T$40,6)="Dupla materialidade"),N(INDEX(Temas!$P$5:$P$40,6)),NA())</f>
        <v>18.399999999999999</v>
      </c>
      <c r="AC10" s="11" t="e">
        <f>IF(AND(AND(INDEX(Temas!$A$5:$A$40,6)&lt;&gt;"",OR($A$6="(Todos)",INDEX(Temas!$B$5:$B$40,6)=$A$6),OR($B$6="(Todos)",INDEX(Temas!$C$5:$C$40,6)=$B$6)),INDEX(Temas!$T$5:$T$40,6)="Material — impacto"),N(INDEX(Temas!$P$5:$P$40,6)),NA())</f>
        <v>#N/A</v>
      </c>
      <c r="AD10" s="11" t="e">
        <f>IF(AND(AND(INDEX(Temas!$A$5:$A$40,6)&lt;&gt;"",OR($A$6="(Todos)",INDEX(Temas!$B$5:$B$40,6)=$A$6),OR($B$6="(Todos)",INDEX(Temas!$C$5:$C$40,6)=$B$6)),INDEX(Temas!$T$5:$T$40,6)="Material — financeira"),N(INDEX(Temas!$P$5:$P$40,6)),NA())</f>
        <v>#N/A</v>
      </c>
      <c r="AE10" s="11" t="e">
        <f>IF(AND(AND(INDEX(Temas!$A$5:$A$40,6)&lt;&gt;"",OR($A$6="(Todos)",INDEX(Temas!$B$5:$B$40,6)=$A$6),OR($B$6="(Todos)",INDEX(Temas!$C$5:$C$40,6)=$B$6)),INDEX(Temas!$T$5:$T$40,6)="Não material"),N(INDEX(Temas!$P$5:$P$40,6)),NA())</f>
        <v>#N/A</v>
      </c>
    </row>
    <row r="11" spans="1:31" ht="30" customHeight="1" x14ac:dyDescent="0.3">
      <c r="A11" s="13">
        <f>COUNTIFS(Temas!$B$5:$B$40,$A$7,Temas!$C$5:$C$40,$B$7)</f>
        <v>24</v>
      </c>
      <c r="B11" s="13">
        <f>COUNTIFS(Temas!$B$5:$B$40,$A$7,Temas!$C$5:$C$40,$B$7,Temas!$T$5:$T$40,"Dupla materialidade")</f>
        <v>6</v>
      </c>
      <c r="C11" s="13">
        <f>COUNTIFS(Temas!$B$5:$B$40,$A$7,Temas!$C$5:$C$40,$B$7,Temas!$T$5:$T$40,"Material — impacto")</f>
        <v>4</v>
      </c>
      <c r="D11" s="13">
        <f>COUNTIFS(Temas!$B$5:$B$40,$A$7,Temas!$C$5:$C$40,$B$7,Temas!$T$5:$T$40,"Material — financeira")</f>
        <v>6</v>
      </c>
      <c r="E11" s="13">
        <f>COUNTIFS(Temas!$B$5:$B$40,$A$7,Temas!$C$5:$C$40,$B$7,Temas!$T$5:$T$40,"Não material")</f>
        <v>8</v>
      </c>
      <c r="F11" s="13">
        <f>COUNTIFS(IRO!$D$5:$D$91,$A$7,IRO!$E$5:$E$91,$B$7,IRO!$J$5:$J$91,$C$7,IRO!$K$5:$K$91,$D$7,IRO!$F$5:$F$91,$E$7)</f>
        <v>57</v>
      </c>
      <c r="G11" s="13">
        <f>COUNTIFS(IRO!$D$5:$D$91,$A$7,IRO!$E$5:$E$91,$B$7,IRO!$J$5:$J$91,$C$7,IRO!$K$5:$K$91,$D$7,IRO!$F$5:$F$91,$E$7,IRO!$AC$5:$AC$91,"Sim")</f>
        <v>27</v>
      </c>
      <c r="H11" s="14">
        <f>SUMIFS(IRO!$AA$5:$AA$91,IRO!$D$5:$D$91,$A$7,IRO!$E$5:$E$91,$B$7,IRO!$J$5:$J$91,$C$7,IRO!$K$5:$K$91,$D$7,IRO!$F$5:$F$91,$E$7)</f>
        <v>-863000</v>
      </c>
      <c r="I11" s="15">
        <f>IFERROR(COUNTIFS(IRO!$D$5:$D$91,$A$7,IRO!$E$5:$E$91,$B$7,IRO!$J$5:$J$91,$C$7,IRO!$K$5:$K$91,$D$7,IRO!$F$5:$F$91,$E$7,IRO!$AG$5:$AG$91,"Alta")/COUNTIFS(IRO!$D$5:$D$91,$A$7,IRO!$E$5:$E$91,$B$7,IRO!$J$5:$J$91,$C$7,IRO!$K$5:$K$91,$D$7,IRO!$F$5:$F$91,$E$7),0)</f>
        <v>0.33333333333333331</v>
      </c>
      <c r="J11" s="15">
        <f>IFERROR(COUNTIFS(IRO!$D$5:$D$91,$A$7,IRO!$E$5:$E$91,$B$7,IRO!$J$5:$J$91,$C$7,IRO!$K$5:$K$91,$D$7,IRO!$F$5:$F$91,$E$7,IRO!$AT$5:$AT$91,"Aprovado pela Direção")/COUNTIFS(IRO!$D$5:$D$91,$A$7,IRO!$E$5:$E$91,$B$7,IRO!$J$5:$J$91,$C$7,IRO!$K$5:$K$91,$D$7,IRO!$F$5:$F$91,$E$7),0)</f>
        <v>0</v>
      </c>
      <c r="Z11" s="11" t="str">
        <f>IF(AND(INDEX(Temas!$A$5:$A$40,7)&lt;&gt;"",OR($A$6="(Todos)",INDEX(Temas!$B$5:$B$40,7)=$A$6),OR($B$6="(Todos)",INDEX(Temas!$C$5:$C$40,7)=$B$6)),INDEX(Temas!$A$5:$A$40,7),"")</f>
        <v>DM-07</v>
      </c>
      <c r="AA11" s="11">
        <f>IF(AND(INDEX(Temas!$A$5:$A$40,7)&lt;&gt;"",OR($A$6="(Todos)",INDEX(Temas!$B$5:$B$40,7)=$A$6),OR($B$6="(Todos)",INDEX(Temas!$C$5:$C$40,7)=$B$6)),N(INDEX(Temas!$Q$5:$Q$40,7)),NA())</f>
        <v>9</v>
      </c>
      <c r="AB11" s="11" t="e">
        <f>IF(AND(AND(INDEX(Temas!$A$5:$A$40,7)&lt;&gt;"",OR($A$6="(Todos)",INDEX(Temas!$B$5:$B$40,7)=$A$6),OR($B$6="(Todos)",INDEX(Temas!$C$5:$C$40,7)=$B$6)),INDEX(Temas!$T$5:$T$40,7)="Dupla materialidade"),N(INDEX(Temas!$P$5:$P$40,7)),NA())</f>
        <v>#N/A</v>
      </c>
      <c r="AC11" s="11" t="e">
        <f>IF(AND(AND(INDEX(Temas!$A$5:$A$40,7)&lt;&gt;"",OR($A$6="(Todos)",INDEX(Temas!$B$5:$B$40,7)=$A$6),OR($B$6="(Todos)",INDEX(Temas!$C$5:$C$40,7)=$B$6)),INDEX(Temas!$T$5:$T$40,7)="Material — impacto"),N(INDEX(Temas!$P$5:$P$40,7)),NA())</f>
        <v>#N/A</v>
      </c>
      <c r="AD11" s="11" t="e">
        <f>IF(AND(AND(INDEX(Temas!$A$5:$A$40,7)&lt;&gt;"",OR($A$6="(Todos)",INDEX(Temas!$B$5:$B$40,7)=$A$6),OR($B$6="(Todos)",INDEX(Temas!$C$5:$C$40,7)=$B$6)),INDEX(Temas!$T$5:$T$40,7)="Material — financeira"),N(INDEX(Temas!$P$5:$P$40,7)),NA())</f>
        <v>#N/A</v>
      </c>
      <c r="AE11" s="11">
        <f>IF(AND(AND(INDEX(Temas!$A$5:$A$40,7)&lt;&gt;"",OR($A$6="(Todos)",INDEX(Temas!$B$5:$B$40,7)=$A$6),OR($B$6="(Todos)",INDEX(Temas!$C$5:$C$40,7)=$B$6)),INDEX(Temas!$T$5:$T$40,7)="Não material"),N(INDEX(Temas!$P$5:$P$40,7)),NA())</f>
        <v>8</v>
      </c>
    </row>
    <row r="12" spans="1:31" x14ac:dyDescent="0.3">
      <c r="Z12" s="11" t="str">
        <f>IF(AND(INDEX(Temas!$A$5:$A$40,8)&lt;&gt;"",OR($A$6="(Todos)",INDEX(Temas!$B$5:$B$40,8)=$A$6),OR($B$6="(Todos)",INDEX(Temas!$C$5:$C$40,8)=$B$6)),INDEX(Temas!$A$5:$A$40,8),"")</f>
        <v>DM-08</v>
      </c>
      <c r="AA12" s="11">
        <f>IF(AND(INDEX(Temas!$A$5:$A$40,8)&lt;&gt;"",OR($A$6="(Todos)",INDEX(Temas!$B$5:$B$40,8)=$A$6),OR($B$6="(Todos)",INDEX(Temas!$C$5:$C$40,8)=$B$6)),N(INDEX(Temas!$Q$5:$Q$40,8)),NA())</f>
        <v>6</v>
      </c>
      <c r="AB12" s="11" t="e">
        <f>IF(AND(AND(INDEX(Temas!$A$5:$A$40,8)&lt;&gt;"",OR($A$6="(Todos)",INDEX(Temas!$B$5:$B$40,8)=$A$6),OR($B$6="(Todos)",INDEX(Temas!$C$5:$C$40,8)=$B$6)),INDEX(Temas!$T$5:$T$40,8)="Dupla materialidade"),N(INDEX(Temas!$P$5:$P$40,8)),NA())</f>
        <v>#N/A</v>
      </c>
      <c r="AC12" s="11" t="e">
        <f>IF(AND(AND(INDEX(Temas!$A$5:$A$40,8)&lt;&gt;"",OR($A$6="(Todos)",INDEX(Temas!$B$5:$B$40,8)=$A$6),OR($B$6="(Todos)",INDEX(Temas!$C$5:$C$40,8)=$B$6)),INDEX(Temas!$T$5:$T$40,8)="Material — impacto"),N(INDEX(Temas!$P$5:$P$40,8)),NA())</f>
        <v>#N/A</v>
      </c>
      <c r="AD12" s="11" t="e">
        <f>IF(AND(AND(INDEX(Temas!$A$5:$A$40,8)&lt;&gt;"",OR($A$6="(Todos)",INDEX(Temas!$B$5:$B$40,8)=$A$6),OR($B$6="(Todos)",INDEX(Temas!$C$5:$C$40,8)=$B$6)),INDEX(Temas!$T$5:$T$40,8)="Material — financeira"),N(INDEX(Temas!$P$5:$P$40,8)),NA())</f>
        <v>#N/A</v>
      </c>
      <c r="AE12" s="11">
        <f>IF(AND(AND(INDEX(Temas!$A$5:$A$40,8)&lt;&gt;"",OR($A$6="(Todos)",INDEX(Temas!$B$5:$B$40,8)=$A$6),OR($B$6="(Todos)",INDEX(Temas!$C$5:$C$40,8)=$B$6)),INDEX(Temas!$T$5:$T$40,8)="Não material"),N(INDEX(Temas!$P$5:$P$40,8)),NA())</f>
        <v>11.7</v>
      </c>
    </row>
    <row r="13" spans="1:31" x14ac:dyDescent="0.3">
      <c r="A13" s="3" t="s">
        <v>115</v>
      </c>
      <c r="B13" s="4"/>
      <c r="C13" s="4"/>
      <c r="D13" s="4"/>
      <c r="E13" s="4"/>
      <c r="F13" s="4"/>
      <c r="G13" s="4"/>
      <c r="H13" s="4"/>
      <c r="I13" s="4"/>
      <c r="J13" s="4"/>
      <c r="Z13" s="11" t="str">
        <f>IF(AND(INDEX(Temas!$A$5:$A$40,9)&lt;&gt;"",OR($A$6="(Todos)",INDEX(Temas!$B$5:$B$40,9)=$A$6),OR($B$6="(Todos)",INDEX(Temas!$C$5:$C$40,9)=$B$6)),INDEX(Temas!$A$5:$A$40,9),"")</f>
        <v>DM-09</v>
      </c>
      <c r="AA13" s="11">
        <f>IF(AND(INDEX(Temas!$A$5:$A$40,9)&lt;&gt;"",OR($A$6="(Todos)",INDEX(Temas!$B$5:$B$40,9)=$A$6),OR($B$6="(Todos)",INDEX(Temas!$C$5:$C$40,9)=$B$6)),N(INDEX(Temas!$Q$5:$Q$40,9)),NA())</f>
        <v>0</v>
      </c>
      <c r="AB13" s="11" t="e">
        <f>IF(AND(AND(INDEX(Temas!$A$5:$A$40,9)&lt;&gt;"",OR($A$6="(Todos)",INDEX(Temas!$B$5:$B$40,9)=$A$6),OR($B$6="(Todos)",INDEX(Temas!$C$5:$C$40,9)=$B$6)),INDEX(Temas!$T$5:$T$40,9)="Dupla materialidade"),N(INDEX(Temas!$P$5:$P$40,9)),NA())</f>
        <v>#N/A</v>
      </c>
      <c r="AC13" s="11">
        <f>IF(AND(AND(INDEX(Temas!$A$5:$A$40,9)&lt;&gt;"",OR($A$6="(Todos)",INDEX(Temas!$B$5:$B$40,9)=$A$6),OR($B$6="(Todos)",INDEX(Temas!$C$5:$C$40,9)=$B$6)),INDEX(Temas!$T$5:$T$40,9)="Material — impacto"),N(INDEX(Temas!$P$5:$P$40,9)),NA())</f>
        <v>14</v>
      </c>
      <c r="AD13" s="11" t="e">
        <f>IF(AND(AND(INDEX(Temas!$A$5:$A$40,9)&lt;&gt;"",OR($A$6="(Todos)",INDEX(Temas!$B$5:$B$40,9)=$A$6),OR($B$6="(Todos)",INDEX(Temas!$C$5:$C$40,9)=$B$6)),INDEX(Temas!$T$5:$T$40,9)="Material — financeira"),N(INDEX(Temas!$P$5:$P$40,9)),NA())</f>
        <v>#N/A</v>
      </c>
      <c r="AE13" s="11" t="e">
        <f>IF(AND(AND(INDEX(Temas!$A$5:$A$40,9)&lt;&gt;"",OR($A$6="(Todos)",INDEX(Temas!$B$5:$B$40,9)=$A$6),OR($B$6="(Todos)",INDEX(Temas!$C$5:$C$40,9)=$B$6)),INDEX(Temas!$T$5:$T$40,9)="Não material"),N(INDEX(Temas!$P$5:$P$40,9)),NA())</f>
        <v>#N/A</v>
      </c>
    </row>
    <row r="14" spans="1:31" ht="30" customHeight="1" x14ac:dyDescent="0.3">
      <c r="A14" s="16" t="s">
        <v>116</v>
      </c>
      <c r="B14" s="16" t="str">
        <f>"Sem IRO"</f>
        <v>Sem IRO</v>
      </c>
      <c r="C14" s="16" t="str">
        <f>"Baixa (&lt;"&amp;prm_Limiar_Baixo&amp;")"</f>
        <v>Baixa (&lt;6)</v>
      </c>
      <c r="D14" s="16" t="str">
        <f>"Monitorizar ("&amp;prm_Limiar_Baixo&amp;"–&lt;"&amp;prm_Limiar_Financeiro&amp;")"</f>
        <v>Monitorizar (6–&lt;12)</v>
      </c>
      <c r="E14" s="16" t="str">
        <f>"Material ("&amp;prm_Limiar_Financeiro&amp;"–&lt;"&amp;prm_Limiar_Alto&amp;")"</f>
        <v>Material (12–&lt;18)</v>
      </c>
      <c r="F14" s="16" t="str">
        <f>"Alta (≥"&amp;prm_Limiar_Alto&amp;")"</f>
        <v>Alta (≥18)</v>
      </c>
      <c r="Z14" s="11" t="str">
        <f>IF(AND(INDEX(Temas!$A$5:$A$40,10)&lt;&gt;"",OR($A$6="(Todos)",INDEX(Temas!$B$5:$B$40,10)=$A$6),OR($B$6="(Todos)",INDEX(Temas!$C$5:$C$40,10)=$B$6)),INDEX(Temas!$A$5:$A$40,10),"")</f>
        <v>DM-10</v>
      </c>
      <c r="AA14" s="11">
        <f>IF(AND(INDEX(Temas!$A$5:$A$40,10)&lt;&gt;"",OR($A$6="(Todos)",INDEX(Temas!$B$5:$B$40,10)=$A$6),OR($B$6="(Todos)",INDEX(Temas!$C$5:$C$40,10)=$B$6)),N(INDEX(Temas!$Q$5:$Q$40,10)),NA())</f>
        <v>12</v>
      </c>
      <c r="AB14" s="11">
        <f>IF(AND(AND(INDEX(Temas!$A$5:$A$40,10)&lt;&gt;"",OR($A$6="(Todos)",INDEX(Temas!$B$5:$B$40,10)=$A$6),OR($B$6="(Todos)",INDEX(Temas!$C$5:$C$40,10)=$B$6)),INDEX(Temas!$T$5:$T$40,10)="Dupla materialidade"),N(INDEX(Temas!$P$5:$P$40,10)),NA())</f>
        <v>18.399999999999999</v>
      </c>
      <c r="AC14" s="11" t="e">
        <f>IF(AND(AND(INDEX(Temas!$A$5:$A$40,10)&lt;&gt;"",OR($A$6="(Todos)",INDEX(Temas!$B$5:$B$40,10)=$A$6),OR($B$6="(Todos)",INDEX(Temas!$C$5:$C$40,10)=$B$6)),INDEX(Temas!$T$5:$T$40,10)="Material — impacto"),N(INDEX(Temas!$P$5:$P$40,10)),NA())</f>
        <v>#N/A</v>
      </c>
      <c r="AD14" s="11" t="e">
        <f>IF(AND(AND(INDEX(Temas!$A$5:$A$40,10)&lt;&gt;"",OR($A$6="(Todos)",INDEX(Temas!$B$5:$B$40,10)=$A$6),OR($B$6="(Todos)",INDEX(Temas!$C$5:$C$40,10)=$B$6)),INDEX(Temas!$T$5:$T$40,10)="Material — financeira"),N(INDEX(Temas!$P$5:$P$40,10)),NA())</f>
        <v>#N/A</v>
      </c>
      <c r="AE14" s="11" t="e">
        <f>IF(AND(AND(INDEX(Temas!$A$5:$A$40,10)&lt;&gt;"",OR($A$6="(Todos)",INDEX(Temas!$B$5:$B$40,10)=$A$6),OR($B$6="(Todos)",INDEX(Temas!$C$5:$C$40,10)=$B$6)),INDEX(Temas!$T$5:$T$40,10)="Não material"),N(INDEX(Temas!$P$5:$P$40,10)),NA())</f>
        <v>#N/A</v>
      </c>
    </row>
    <row r="15" spans="1:31" ht="25.95" customHeight="1" x14ac:dyDescent="0.3">
      <c r="A15" s="17" t="str">
        <f>"Alta (≥"&amp;prm_Limiar_Alto&amp;")"</f>
        <v>Alta (≥18)</v>
      </c>
      <c r="B15" s="18">
        <f>COUNTIFS(Temas!$U$5:$U$40,4,Temas!$V$5:$V$40,0,Temas!$B$5:$B$40,$A$7,Temas!$C$5:$C$40,$B$7)</f>
        <v>0</v>
      </c>
      <c r="C15" s="18">
        <f>COUNTIFS(Temas!$U$5:$U$40,4,Temas!$V$5:$V$40,1,Temas!$B$5:$B$40,$A$7,Temas!$C$5:$C$40,$B$7)</f>
        <v>0</v>
      </c>
      <c r="D15" s="18">
        <f>COUNTIFS(Temas!$U$5:$U$40,4,Temas!$V$5:$V$40,2,Temas!$B$5:$B$40,$A$7,Temas!$C$5:$C$40,$B$7)</f>
        <v>1</v>
      </c>
      <c r="E15" s="19">
        <f>COUNTIFS(Temas!$U$5:$U$40,4,Temas!$V$5:$V$40,3,Temas!$B$5:$B$40,$A$7,Temas!$C$5:$C$40,$B$7)</f>
        <v>4</v>
      </c>
      <c r="F15" s="19">
        <f>COUNTIFS(Temas!$U$5:$U$40,4,Temas!$V$5:$V$40,4,Temas!$B$5:$B$40,$A$7,Temas!$C$5:$C$40,$B$7)</f>
        <v>0</v>
      </c>
      <c r="G15" s="52" t="s">
        <v>117</v>
      </c>
      <c r="H15" s="53"/>
      <c r="I15" s="53"/>
      <c r="J15" s="53"/>
      <c r="Z15" s="11" t="str">
        <f>IF(AND(INDEX(Temas!$A$5:$A$40,11)&lt;&gt;"",OR($A$6="(Todos)",INDEX(Temas!$B$5:$B$40,11)=$A$6),OR($B$6="(Todos)",INDEX(Temas!$C$5:$C$40,11)=$B$6)),INDEX(Temas!$A$5:$A$40,11),"")</f>
        <v>DM-11</v>
      </c>
      <c r="AA15" s="11">
        <f>IF(AND(INDEX(Temas!$A$5:$A$40,11)&lt;&gt;"",OR($A$6="(Todos)",INDEX(Temas!$B$5:$B$40,11)=$A$6),OR($B$6="(Todos)",INDEX(Temas!$C$5:$C$40,11)=$B$6)),N(INDEX(Temas!$Q$5:$Q$40,11)),NA())</f>
        <v>20</v>
      </c>
      <c r="AB15" s="11">
        <f>IF(AND(AND(INDEX(Temas!$A$5:$A$40,11)&lt;&gt;"",OR($A$6="(Todos)",INDEX(Temas!$B$5:$B$40,11)=$A$6),OR($B$6="(Todos)",INDEX(Temas!$C$5:$C$40,11)=$B$6)),INDEX(Temas!$T$5:$T$40,11)="Dupla materialidade"),N(INDEX(Temas!$P$5:$P$40,11)),NA())</f>
        <v>16.7</v>
      </c>
      <c r="AC15" s="11" t="e">
        <f>IF(AND(AND(INDEX(Temas!$A$5:$A$40,11)&lt;&gt;"",OR($A$6="(Todos)",INDEX(Temas!$B$5:$B$40,11)=$A$6),OR($B$6="(Todos)",INDEX(Temas!$C$5:$C$40,11)=$B$6)),INDEX(Temas!$T$5:$T$40,11)="Material — impacto"),N(INDEX(Temas!$P$5:$P$40,11)),NA())</f>
        <v>#N/A</v>
      </c>
      <c r="AD15" s="11" t="e">
        <f>IF(AND(AND(INDEX(Temas!$A$5:$A$40,11)&lt;&gt;"",OR($A$6="(Todos)",INDEX(Temas!$B$5:$B$40,11)=$A$6),OR($B$6="(Todos)",INDEX(Temas!$C$5:$C$40,11)=$B$6)),INDEX(Temas!$T$5:$T$40,11)="Material — financeira"),N(INDEX(Temas!$P$5:$P$40,11)),NA())</f>
        <v>#N/A</v>
      </c>
      <c r="AE15" s="11" t="e">
        <f>IF(AND(AND(INDEX(Temas!$A$5:$A$40,11)&lt;&gt;"",OR($A$6="(Todos)",INDEX(Temas!$B$5:$B$40,11)=$A$6),OR($B$6="(Todos)",INDEX(Temas!$C$5:$C$40,11)=$B$6)),INDEX(Temas!$T$5:$T$40,11)="Não material"),N(INDEX(Temas!$P$5:$P$40,11)),NA())</f>
        <v>#N/A</v>
      </c>
    </row>
    <row r="16" spans="1:31" ht="25.95" customHeight="1" x14ac:dyDescent="0.3">
      <c r="A16" s="17" t="str">
        <f>"Material ("&amp;prm_Limiar_Impacto&amp;"–&lt;"&amp;prm_Limiar_Alto&amp;")"</f>
        <v>Material (12–&lt;18)</v>
      </c>
      <c r="B16" s="18">
        <f>COUNTIFS(Temas!$U$5:$U$40,3,Temas!$V$5:$V$40,0,Temas!$B$5:$B$40,$A$7,Temas!$C$5:$C$40,$B$7)</f>
        <v>2</v>
      </c>
      <c r="C16" s="18">
        <f>COUNTIFS(Temas!$U$5:$U$40,3,Temas!$V$5:$V$40,1,Temas!$B$5:$B$40,$A$7,Temas!$C$5:$C$40,$B$7)</f>
        <v>1</v>
      </c>
      <c r="D16" s="18">
        <f>COUNTIFS(Temas!$U$5:$U$40,3,Temas!$V$5:$V$40,2,Temas!$B$5:$B$40,$A$7,Temas!$C$5:$C$40,$B$7)</f>
        <v>0</v>
      </c>
      <c r="E16" s="19">
        <f>COUNTIFS(Temas!$U$5:$U$40,3,Temas!$V$5:$V$40,3,Temas!$B$5:$B$40,$A$7,Temas!$C$5:$C$40,$B$7)</f>
        <v>1</v>
      </c>
      <c r="F16" s="19">
        <f>COUNTIFS(Temas!$U$5:$U$40,3,Temas!$V$5:$V$40,4,Temas!$B$5:$B$40,$A$7,Temas!$C$5:$C$40,$B$7)</f>
        <v>1</v>
      </c>
      <c r="G16" s="53"/>
      <c r="H16" s="53"/>
      <c r="I16" s="53"/>
      <c r="J16" s="53"/>
      <c r="Z16" s="11" t="str">
        <f>IF(AND(INDEX(Temas!$A$5:$A$40,12)&lt;&gt;"",OR($A$6="(Todos)",INDEX(Temas!$B$5:$B$40,12)=$A$6),OR($B$6="(Todos)",INDEX(Temas!$C$5:$C$40,12)=$B$6)),INDEX(Temas!$A$5:$A$40,12),"")</f>
        <v>DM-12</v>
      </c>
      <c r="AA16" s="11">
        <f>IF(AND(INDEX(Temas!$A$5:$A$40,12)&lt;&gt;"",OR($A$6="(Todos)",INDEX(Temas!$B$5:$B$40,12)=$A$6),OR($B$6="(Todos)",INDEX(Temas!$C$5:$C$40,12)=$B$6)),N(INDEX(Temas!$Q$5:$Q$40,12)),NA())</f>
        <v>8</v>
      </c>
      <c r="AB16" s="11" t="e">
        <f>IF(AND(AND(INDEX(Temas!$A$5:$A$40,12)&lt;&gt;"",OR($A$6="(Todos)",INDEX(Temas!$B$5:$B$40,12)=$A$6),OR($B$6="(Todos)",INDEX(Temas!$C$5:$C$40,12)=$B$6)),INDEX(Temas!$T$5:$T$40,12)="Dupla materialidade"),N(INDEX(Temas!$P$5:$P$40,12)),NA())</f>
        <v>#N/A</v>
      </c>
      <c r="AC16" s="11" t="e">
        <f>IF(AND(AND(INDEX(Temas!$A$5:$A$40,12)&lt;&gt;"",OR($A$6="(Todos)",INDEX(Temas!$B$5:$B$40,12)=$A$6),OR($B$6="(Todos)",INDEX(Temas!$C$5:$C$40,12)=$B$6)),INDEX(Temas!$T$5:$T$40,12)="Material — impacto"),N(INDEX(Temas!$P$5:$P$40,12)),NA())</f>
        <v>#N/A</v>
      </c>
      <c r="AD16" s="11" t="e">
        <f>IF(AND(AND(INDEX(Temas!$A$5:$A$40,12)&lt;&gt;"",OR($A$6="(Todos)",INDEX(Temas!$B$5:$B$40,12)=$A$6),OR($B$6="(Todos)",INDEX(Temas!$C$5:$C$40,12)=$B$6)),INDEX(Temas!$T$5:$T$40,12)="Material — financeira"),N(INDEX(Temas!$P$5:$P$40,12)),NA())</f>
        <v>#N/A</v>
      </c>
      <c r="AE16" s="11">
        <f>IF(AND(AND(INDEX(Temas!$A$5:$A$40,12)&lt;&gt;"",OR($A$6="(Todos)",INDEX(Temas!$B$5:$B$40,12)=$A$6),OR($B$6="(Todos)",INDEX(Temas!$C$5:$C$40,12)=$B$6)),INDEX(Temas!$T$5:$T$40,12)="Não material"),N(INDEX(Temas!$P$5:$P$40,12)),NA())</f>
        <v>10</v>
      </c>
    </row>
    <row r="17" spans="1:31" ht="25.95" customHeight="1" x14ac:dyDescent="0.3">
      <c r="A17" s="17" t="str">
        <f>"Monitorizar ("&amp;prm_Limiar_Baixo&amp;"–&lt;"&amp;prm_Limiar_Impacto&amp;")"</f>
        <v>Monitorizar (6–&lt;12)</v>
      </c>
      <c r="B17" s="20">
        <f>COUNTIFS(Temas!$U$5:$U$40,2,Temas!$V$5:$V$40,0,Temas!$B$5:$B$40,$A$7,Temas!$C$5:$C$40,$B$7)</f>
        <v>1</v>
      </c>
      <c r="C17" s="20">
        <f>COUNTIFS(Temas!$U$5:$U$40,2,Temas!$V$5:$V$40,1,Temas!$B$5:$B$40,$A$7,Temas!$C$5:$C$40,$B$7)</f>
        <v>1</v>
      </c>
      <c r="D17" s="20">
        <f>COUNTIFS(Temas!$U$5:$U$40,2,Temas!$V$5:$V$40,2,Temas!$B$5:$B$40,$A$7,Temas!$C$5:$C$40,$B$7)</f>
        <v>5</v>
      </c>
      <c r="E17" s="18">
        <f>COUNTIFS(Temas!$U$5:$U$40,2,Temas!$V$5:$V$40,3,Temas!$B$5:$B$40,$A$7,Temas!$C$5:$C$40,$B$7)</f>
        <v>2</v>
      </c>
      <c r="F17" s="18">
        <f>COUNTIFS(Temas!$U$5:$U$40,2,Temas!$V$5:$V$40,4,Temas!$B$5:$B$40,$A$7,Temas!$C$5:$C$40,$B$7)</f>
        <v>1</v>
      </c>
      <c r="G17" s="53"/>
      <c r="H17" s="53"/>
      <c r="I17" s="53"/>
      <c r="J17" s="53"/>
      <c r="Z17" s="11" t="str">
        <f>IF(AND(INDEX(Temas!$A$5:$A$40,13)&lt;&gt;"",OR($A$6="(Todos)",INDEX(Temas!$B$5:$B$40,13)=$A$6),OR($B$6="(Todos)",INDEX(Temas!$C$5:$C$40,13)=$B$6)),INDEX(Temas!$A$5:$A$40,13),"")</f>
        <v>DM-13</v>
      </c>
      <c r="AA17" s="11">
        <f>IF(AND(INDEX(Temas!$A$5:$A$40,13)&lt;&gt;"",OR($A$6="(Todos)",INDEX(Temas!$B$5:$B$40,13)=$A$6),OR($B$6="(Todos)",INDEX(Temas!$C$5:$C$40,13)=$B$6)),N(INDEX(Temas!$Q$5:$Q$40,13)),NA())</f>
        <v>6</v>
      </c>
      <c r="AB17" s="11" t="e">
        <f>IF(AND(AND(INDEX(Temas!$A$5:$A$40,13)&lt;&gt;"",OR($A$6="(Todos)",INDEX(Temas!$B$5:$B$40,13)=$A$6),OR($B$6="(Todos)",INDEX(Temas!$C$5:$C$40,13)=$B$6)),INDEX(Temas!$T$5:$T$40,13)="Dupla materialidade"),N(INDEX(Temas!$P$5:$P$40,13)),NA())</f>
        <v>#N/A</v>
      </c>
      <c r="AC17" s="11">
        <f>IF(AND(AND(INDEX(Temas!$A$5:$A$40,13)&lt;&gt;"",OR($A$6="(Todos)",INDEX(Temas!$B$5:$B$40,13)=$A$6),OR($B$6="(Todos)",INDEX(Temas!$C$5:$C$40,13)=$B$6)),INDEX(Temas!$T$5:$T$40,13)="Material — impacto"),N(INDEX(Temas!$P$5:$P$40,13)),NA())</f>
        <v>20</v>
      </c>
      <c r="AD17" s="11" t="e">
        <f>IF(AND(AND(INDEX(Temas!$A$5:$A$40,13)&lt;&gt;"",OR($A$6="(Todos)",INDEX(Temas!$B$5:$B$40,13)=$A$6),OR($B$6="(Todos)",INDEX(Temas!$C$5:$C$40,13)=$B$6)),INDEX(Temas!$T$5:$T$40,13)="Material — financeira"),N(INDEX(Temas!$P$5:$P$40,13)),NA())</f>
        <v>#N/A</v>
      </c>
      <c r="AE17" s="11" t="e">
        <f>IF(AND(AND(INDEX(Temas!$A$5:$A$40,13)&lt;&gt;"",OR($A$6="(Todos)",INDEX(Temas!$B$5:$B$40,13)=$A$6),OR($B$6="(Todos)",INDEX(Temas!$C$5:$C$40,13)=$B$6)),INDEX(Temas!$T$5:$T$40,13)="Não material"),N(INDEX(Temas!$P$5:$P$40,13)),NA())</f>
        <v>#N/A</v>
      </c>
    </row>
    <row r="18" spans="1:31" ht="25.95" customHeight="1" x14ac:dyDescent="0.3">
      <c r="A18" s="17" t="str">
        <f>"Baixa (&lt;"&amp;prm_Limiar_Baixo&amp;")"</f>
        <v>Baixa (&lt;6)</v>
      </c>
      <c r="B18" s="21">
        <f>COUNTIFS(Temas!$U$5:$U$40,1,Temas!$V$5:$V$40,0,Temas!$B$5:$B$40,$A$7,Temas!$C$5:$C$40,$B$7)</f>
        <v>1</v>
      </c>
      <c r="C18" s="22">
        <f>COUNTIFS(Temas!$U$5:$U$40,1,Temas!$V$5:$V$40,1,Temas!$B$5:$B$40,$A$7,Temas!$C$5:$C$40,$B$7)</f>
        <v>0</v>
      </c>
      <c r="D18" s="20">
        <f>COUNTIFS(Temas!$U$5:$U$40,1,Temas!$V$5:$V$40,2,Temas!$B$5:$B$40,$A$7,Temas!$C$5:$C$40,$B$7)</f>
        <v>0</v>
      </c>
      <c r="E18" s="18">
        <f>COUNTIFS(Temas!$U$5:$U$40,1,Temas!$V$5:$V$40,3,Temas!$B$5:$B$40,$A$7,Temas!$C$5:$C$40,$B$7)</f>
        <v>1</v>
      </c>
      <c r="F18" s="18">
        <f>COUNTIFS(Temas!$U$5:$U$40,1,Temas!$V$5:$V$40,4,Temas!$B$5:$B$40,$A$7,Temas!$C$5:$C$40,$B$7)</f>
        <v>0</v>
      </c>
      <c r="Z18" s="11" t="str">
        <f>IF(AND(INDEX(Temas!$A$5:$A$40,14)&lt;&gt;"",OR($A$6="(Todos)",INDEX(Temas!$B$5:$B$40,14)=$A$6),OR($B$6="(Todos)",INDEX(Temas!$C$5:$C$40,14)=$B$6)),INDEX(Temas!$A$5:$A$40,14),"")</f>
        <v>DM-14</v>
      </c>
      <c r="AA18" s="11">
        <f>IF(AND(INDEX(Temas!$A$5:$A$40,14)&lt;&gt;"",OR($A$6="(Todos)",INDEX(Temas!$B$5:$B$40,14)=$A$6),OR($B$6="(Todos)",INDEX(Temas!$C$5:$C$40,14)=$B$6)),N(INDEX(Temas!$Q$5:$Q$40,14)),NA())</f>
        <v>16</v>
      </c>
      <c r="AB18" s="11" t="e">
        <f>IF(AND(AND(INDEX(Temas!$A$5:$A$40,14)&lt;&gt;"",OR($A$6="(Todos)",INDEX(Temas!$B$5:$B$40,14)=$A$6),OR($B$6="(Todos)",INDEX(Temas!$C$5:$C$40,14)=$B$6)),INDEX(Temas!$T$5:$T$40,14)="Dupla materialidade"),N(INDEX(Temas!$P$5:$P$40,14)),NA())</f>
        <v>#N/A</v>
      </c>
      <c r="AC18" s="11" t="e">
        <f>IF(AND(AND(INDEX(Temas!$A$5:$A$40,14)&lt;&gt;"",OR($A$6="(Todos)",INDEX(Temas!$B$5:$B$40,14)=$A$6),OR($B$6="(Todos)",INDEX(Temas!$C$5:$C$40,14)=$B$6)),INDEX(Temas!$T$5:$T$40,14)="Material — impacto"),N(INDEX(Temas!$P$5:$P$40,14)),NA())</f>
        <v>#N/A</v>
      </c>
      <c r="AD18" s="11">
        <f>IF(AND(AND(INDEX(Temas!$A$5:$A$40,14)&lt;&gt;"",OR($A$6="(Todos)",INDEX(Temas!$B$5:$B$40,14)=$A$6),OR($B$6="(Todos)",INDEX(Temas!$C$5:$C$40,14)=$B$6)),INDEX(Temas!$T$5:$T$40,14)="Material — financeira"),N(INDEX(Temas!$P$5:$P$40,14)),NA())</f>
        <v>11.7</v>
      </c>
      <c r="AE18" s="11" t="e">
        <f>IF(AND(AND(INDEX(Temas!$A$5:$A$40,14)&lt;&gt;"",OR($A$6="(Todos)",INDEX(Temas!$B$5:$B$40,14)=$A$6),OR($B$6="(Todos)",INDEX(Temas!$C$5:$C$40,14)=$B$6)),INDEX(Temas!$T$5:$T$40,14)="Não material"),N(INDEX(Temas!$P$5:$P$40,14)),NA())</f>
        <v>#N/A</v>
      </c>
    </row>
    <row r="19" spans="1:31" ht="25.95" customHeight="1" x14ac:dyDescent="0.3">
      <c r="A19" s="17" t="s">
        <v>118</v>
      </c>
      <c r="B19" s="21">
        <f>COUNTIFS(Temas!$U$5:$U$40,0,Temas!$V$5:$V$40,0,Temas!$B$5:$B$40,$A$7,Temas!$C$5:$C$40,$B$7)</f>
        <v>0</v>
      </c>
      <c r="C19" s="21">
        <f>COUNTIFS(Temas!$U$5:$U$40,0,Temas!$V$5:$V$40,1,Temas!$B$5:$B$40,$A$7,Temas!$C$5:$C$40,$B$7)</f>
        <v>0</v>
      </c>
      <c r="D19" s="20">
        <f>COUNTIFS(Temas!$U$5:$U$40,0,Temas!$V$5:$V$40,2,Temas!$B$5:$B$40,$A$7,Temas!$C$5:$C$40,$B$7)</f>
        <v>0</v>
      </c>
      <c r="E19" s="18">
        <f>COUNTIFS(Temas!$U$5:$U$40,0,Temas!$V$5:$V$40,3,Temas!$B$5:$B$40,$A$7,Temas!$C$5:$C$40,$B$7)</f>
        <v>2</v>
      </c>
      <c r="F19" s="18">
        <f>COUNTIFS(Temas!$U$5:$U$40,0,Temas!$V$5:$V$40,4,Temas!$B$5:$B$40,$A$7,Temas!$C$5:$C$40,$B$7)</f>
        <v>0</v>
      </c>
      <c r="Z19" s="11" t="str">
        <f>IF(AND(INDEX(Temas!$A$5:$A$40,15)&lt;&gt;"",OR($A$6="(Todos)",INDEX(Temas!$B$5:$B$40,15)=$A$6),OR($B$6="(Todos)",INDEX(Temas!$C$5:$C$40,15)=$B$6)),INDEX(Temas!$A$5:$A$40,15),"")</f>
        <v>DM-15</v>
      </c>
      <c r="AA19" s="11">
        <f>IF(AND(INDEX(Temas!$A$5:$A$40,15)&lt;&gt;"",OR($A$6="(Todos)",INDEX(Temas!$B$5:$B$40,15)=$A$6),OR($B$6="(Todos)",INDEX(Temas!$C$5:$C$40,15)=$B$6)),N(INDEX(Temas!$Q$5:$Q$40,15)),NA())</f>
        <v>9</v>
      </c>
      <c r="AB19" s="11" t="e">
        <f>IF(AND(AND(INDEX(Temas!$A$5:$A$40,15)&lt;&gt;"",OR($A$6="(Todos)",INDEX(Temas!$B$5:$B$40,15)=$A$6),OR($B$6="(Todos)",INDEX(Temas!$C$5:$C$40,15)=$B$6)),INDEX(Temas!$T$5:$T$40,15)="Dupla materialidade"),N(INDEX(Temas!$P$5:$P$40,15)),NA())</f>
        <v>#N/A</v>
      </c>
      <c r="AC19" s="11" t="e">
        <f>IF(AND(AND(INDEX(Temas!$A$5:$A$40,15)&lt;&gt;"",OR($A$6="(Todos)",INDEX(Temas!$B$5:$B$40,15)=$A$6),OR($B$6="(Todos)",INDEX(Temas!$C$5:$C$40,15)=$B$6)),INDEX(Temas!$T$5:$T$40,15)="Material — impacto"),N(INDEX(Temas!$P$5:$P$40,15)),NA())</f>
        <v>#N/A</v>
      </c>
      <c r="AD19" s="11" t="e">
        <f>IF(AND(AND(INDEX(Temas!$A$5:$A$40,15)&lt;&gt;"",OR($A$6="(Todos)",INDEX(Temas!$B$5:$B$40,15)=$A$6),OR($B$6="(Todos)",INDEX(Temas!$C$5:$C$40,15)=$B$6)),INDEX(Temas!$T$5:$T$40,15)="Material — financeira"),N(INDEX(Temas!$P$5:$P$40,15)),NA())</f>
        <v>#N/A</v>
      </c>
      <c r="AE19" s="11">
        <f>IF(AND(AND(INDEX(Temas!$A$5:$A$40,15)&lt;&gt;"",OR($A$6="(Todos)",INDEX(Temas!$B$5:$B$40,15)=$A$6),OR($B$6="(Todos)",INDEX(Temas!$C$5:$C$40,15)=$B$6)),INDEX(Temas!$T$5:$T$40,15)="Não material"),N(INDEX(Temas!$P$5:$P$40,15)),NA())</f>
        <v>10</v>
      </c>
    </row>
    <row r="20" spans="1:31" x14ac:dyDescent="0.3">
      <c r="Z20" s="11" t="str">
        <f>IF(AND(INDEX(Temas!$A$5:$A$40,16)&lt;&gt;"",OR($A$6="(Todos)",INDEX(Temas!$B$5:$B$40,16)=$A$6),OR($B$6="(Todos)",INDEX(Temas!$C$5:$C$40,16)=$B$6)),INDEX(Temas!$A$5:$A$40,16),"")</f>
        <v>DM-16</v>
      </c>
      <c r="AA20" s="11">
        <f>IF(AND(INDEX(Temas!$A$5:$A$40,16)&lt;&gt;"",OR($A$6="(Todos)",INDEX(Temas!$B$5:$B$40,16)=$A$6),OR($B$6="(Todos)",INDEX(Temas!$C$5:$C$40,16)=$B$6)),N(INDEX(Temas!$Q$5:$Q$40,16)),NA())</f>
        <v>0</v>
      </c>
      <c r="AB20" s="11" t="e">
        <f>IF(AND(AND(INDEX(Temas!$A$5:$A$40,16)&lt;&gt;"",OR($A$6="(Todos)",INDEX(Temas!$B$5:$B$40,16)=$A$6),OR($B$6="(Todos)",INDEX(Temas!$C$5:$C$40,16)=$B$6)),INDEX(Temas!$T$5:$T$40,16)="Dupla materialidade"),N(INDEX(Temas!$P$5:$P$40,16)),NA())</f>
        <v>#N/A</v>
      </c>
      <c r="AC20" s="11" t="e">
        <f>IF(AND(AND(INDEX(Temas!$A$5:$A$40,16)&lt;&gt;"",OR($A$6="(Todos)",INDEX(Temas!$B$5:$B$40,16)=$A$6),OR($B$6="(Todos)",INDEX(Temas!$C$5:$C$40,16)=$B$6)),INDEX(Temas!$T$5:$T$40,16)="Material — impacto"),N(INDEX(Temas!$P$5:$P$40,16)),NA())</f>
        <v>#N/A</v>
      </c>
      <c r="AD20" s="11" t="e">
        <f>IF(AND(AND(INDEX(Temas!$A$5:$A$40,16)&lt;&gt;"",OR($A$6="(Todos)",INDEX(Temas!$B$5:$B$40,16)=$A$6),OR($B$6="(Todos)",INDEX(Temas!$C$5:$C$40,16)=$B$6)),INDEX(Temas!$T$5:$T$40,16)="Material — financeira"),N(INDEX(Temas!$P$5:$P$40,16)),NA())</f>
        <v>#N/A</v>
      </c>
      <c r="AE20" s="11">
        <f>IF(AND(AND(INDEX(Temas!$A$5:$A$40,16)&lt;&gt;"",OR($A$6="(Todos)",INDEX(Temas!$B$5:$B$40,16)=$A$6),OR($B$6="(Todos)",INDEX(Temas!$C$5:$C$40,16)=$B$6)),INDEX(Temas!$T$5:$T$40,16)="Não material"),N(INDEX(Temas!$P$5:$P$40,16)),NA())</f>
        <v>4</v>
      </c>
    </row>
    <row r="21" spans="1:31" x14ac:dyDescent="0.3">
      <c r="A21" s="3" t="s">
        <v>119</v>
      </c>
      <c r="B21" s="4"/>
      <c r="C21" s="4"/>
      <c r="D21" s="4"/>
      <c r="E21" s="4"/>
      <c r="F21" s="4"/>
      <c r="G21" s="4"/>
      <c r="H21" s="4"/>
      <c r="I21" s="4"/>
      <c r="J21" s="4"/>
      <c r="Z21" s="11" t="str">
        <f>IF(AND(INDEX(Temas!$A$5:$A$40,17)&lt;&gt;"",OR($A$6="(Todos)",INDEX(Temas!$B$5:$B$40,17)=$A$6),OR($B$6="(Todos)",INDEX(Temas!$C$5:$C$40,17)=$B$6)),INDEX(Temas!$A$5:$A$40,17),"")</f>
        <v>DM-17</v>
      </c>
      <c r="AA21" s="11">
        <f>IF(AND(INDEX(Temas!$A$5:$A$40,17)&lt;&gt;"",OR($A$6="(Todos)",INDEX(Temas!$B$5:$B$40,17)=$A$6),OR($B$6="(Todos)",INDEX(Temas!$C$5:$C$40,17)=$B$6)),N(INDEX(Temas!$Q$5:$Q$40,17)),NA())</f>
        <v>0</v>
      </c>
      <c r="AB21" s="11" t="e">
        <f>IF(AND(AND(INDEX(Temas!$A$5:$A$40,17)&lt;&gt;"",OR($A$6="(Todos)",INDEX(Temas!$B$5:$B$40,17)=$A$6),OR($B$6="(Todos)",INDEX(Temas!$C$5:$C$40,17)=$B$6)),INDEX(Temas!$T$5:$T$40,17)="Dupla materialidade"),N(INDEX(Temas!$P$5:$P$40,17)),NA())</f>
        <v>#N/A</v>
      </c>
      <c r="AC21" s="11" t="e">
        <f>IF(AND(AND(INDEX(Temas!$A$5:$A$40,17)&lt;&gt;"",OR($A$6="(Todos)",INDEX(Temas!$B$5:$B$40,17)=$A$6),OR($B$6="(Todos)",INDEX(Temas!$C$5:$C$40,17)=$B$6)),INDEX(Temas!$T$5:$T$40,17)="Material — impacto"),N(INDEX(Temas!$P$5:$P$40,17)),NA())</f>
        <v>#N/A</v>
      </c>
      <c r="AD21" s="11" t="e">
        <f>IF(AND(AND(INDEX(Temas!$A$5:$A$40,17)&lt;&gt;"",OR($A$6="(Todos)",INDEX(Temas!$B$5:$B$40,17)=$A$6),OR($B$6="(Todos)",INDEX(Temas!$C$5:$C$40,17)=$B$6)),INDEX(Temas!$T$5:$T$40,17)="Material — financeira"),N(INDEX(Temas!$P$5:$P$40,17)),NA())</f>
        <v>#N/A</v>
      </c>
      <c r="AE21" s="11">
        <f>IF(AND(AND(INDEX(Temas!$A$5:$A$40,17)&lt;&gt;"",OR($A$6="(Todos)",INDEX(Temas!$B$5:$B$40,17)=$A$6),OR($B$6="(Todos)",INDEX(Temas!$C$5:$C$40,17)=$B$6)),INDEX(Temas!$T$5:$T$40,17)="Não material"),N(INDEX(Temas!$P$5:$P$40,17)),NA())</f>
        <v>6.7</v>
      </c>
    </row>
    <row r="22" spans="1:31" x14ac:dyDescent="0.3">
      <c r="Z22" s="11" t="str">
        <f>IF(AND(INDEX(Temas!$A$5:$A$40,18)&lt;&gt;"",OR($A$6="(Todos)",INDEX(Temas!$B$5:$B$40,18)=$A$6),OR($B$6="(Todos)",INDEX(Temas!$C$5:$C$40,18)=$B$6)),INDEX(Temas!$A$5:$A$40,18),"")</f>
        <v>DM-18</v>
      </c>
      <c r="AA22" s="11">
        <f>IF(AND(INDEX(Temas!$A$5:$A$40,18)&lt;&gt;"",OR($A$6="(Todos)",INDEX(Temas!$B$5:$B$40,18)=$A$6),OR($B$6="(Todos)",INDEX(Temas!$C$5:$C$40,18)=$B$6)),N(INDEX(Temas!$Q$5:$Q$40,18)),NA())</f>
        <v>0</v>
      </c>
      <c r="AB22" s="11" t="e">
        <f>IF(AND(AND(INDEX(Temas!$A$5:$A$40,18)&lt;&gt;"",OR($A$6="(Todos)",INDEX(Temas!$B$5:$B$40,18)=$A$6),OR($B$6="(Todos)",INDEX(Temas!$C$5:$C$40,18)=$B$6)),INDEX(Temas!$T$5:$T$40,18)="Dupla materialidade"),N(INDEX(Temas!$P$5:$P$40,18)),NA())</f>
        <v>#N/A</v>
      </c>
      <c r="AC22" s="11">
        <f>IF(AND(AND(INDEX(Temas!$A$5:$A$40,18)&lt;&gt;"",OR($A$6="(Todos)",INDEX(Temas!$B$5:$B$40,18)=$A$6),OR($B$6="(Todos)",INDEX(Temas!$C$5:$C$40,18)=$B$6)),INDEX(Temas!$T$5:$T$40,18)="Material — impacto"),N(INDEX(Temas!$P$5:$P$40,18)),NA())</f>
        <v>12.5</v>
      </c>
      <c r="AD22" s="11" t="e">
        <f>IF(AND(AND(INDEX(Temas!$A$5:$A$40,18)&lt;&gt;"",OR($A$6="(Todos)",INDEX(Temas!$B$5:$B$40,18)=$A$6),OR($B$6="(Todos)",INDEX(Temas!$C$5:$C$40,18)=$B$6)),INDEX(Temas!$T$5:$T$40,18)="Material — financeira"),N(INDEX(Temas!$P$5:$P$40,18)),NA())</f>
        <v>#N/A</v>
      </c>
      <c r="AE22" s="11" t="e">
        <f>IF(AND(AND(INDEX(Temas!$A$5:$A$40,18)&lt;&gt;"",OR($A$6="(Todos)",INDEX(Temas!$B$5:$B$40,18)=$A$6),OR($B$6="(Todos)",INDEX(Temas!$C$5:$C$40,18)=$B$6)),INDEX(Temas!$T$5:$T$40,18)="Não material"),N(INDEX(Temas!$P$5:$P$40,18)),NA())</f>
        <v>#N/A</v>
      </c>
    </row>
    <row r="23" spans="1:31" x14ac:dyDescent="0.3">
      <c r="Z23" s="11" t="str">
        <f>IF(AND(INDEX(Temas!$A$5:$A$40,19)&lt;&gt;"",OR($A$6="(Todos)",INDEX(Temas!$B$5:$B$40,19)=$A$6),OR($B$6="(Todos)",INDEX(Temas!$C$5:$C$40,19)=$B$6)),INDEX(Temas!$A$5:$A$40,19),"")</f>
        <v>DM-19</v>
      </c>
      <c r="AA23" s="11">
        <f>IF(AND(INDEX(Temas!$A$5:$A$40,19)&lt;&gt;"",OR($A$6="(Todos)",INDEX(Temas!$B$5:$B$40,19)=$A$6),OR($B$6="(Todos)",INDEX(Temas!$C$5:$C$40,19)=$B$6)),N(INDEX(Temas!$Q$5:$Q$40,19)),NA())</f>
        <v>15</v>
      </c>
      <c r="AB23" s="11">
        <f>IF(AND(AND(INDEX(Temas!$A$5:$A$40,19)&lt;&gt;"",OR($A$6="(Todos)",INDEX(Temas!$B$5:$B$40,19)=$A$6),OR($B$6="(Todos)",INDEX(Temas!$C$5:$C$40,19)=$B$6)),INDEX(Temas!$T$5:$T$40,19)="Dupla materialidade"),N(INDEX(Temas!$P$5:$P$40,19)),NA())</f>
        <v>20</v>
      </c>
      <c r="AC23" s="11" t="e">
        <f>IF(AND(AND(INDEX(Temas!$A$5:$A$40,19)&lt;&gt;"",OR($A$6="(Todos)",INDEX(Temas!$B$5:$B$40,19)=$A$6),OR($B$6="(Todos)",INDEX(Temas!$C$5:$C$40,19)=$B$6)),INDEX(Temas!$T$5:$T$40,19)="Material — impacto"),N(INDEX(Temas!$P$5:$P$40,19)),NA())</f>
        <v>#N/A</v>
      </c>
      <c r="AD23" s="11" t="e">
        <f>IF(AND(AND(INDEX(Temas!$A$5:$A$40,19)&lt;&gt;"",OR($A$6="(Todos)",INDEX(Temas!$B$5:$B$40,19)=$A$6),OR($B$6="(Todos)",INDEX(Temas!$C$5:$C$40,19)=$B$6)),INDEX(Temas!$T$5:$T$40,19)="Material — financeira"),N(INDEX(Temas!$P$5:$P$40,19)),NA())</f>
        <v>#N/A</v>
      </c>
      <c r="AE23" s="11" t="e">
        <f>IF(AND(AND(INDEX(Temas!$A$5:$A$40,19)&lt;&gt;"",OR($A$6="(Todos)",INDEX(Temas!$B$5:$B$40,19)=$A$6),OR($B$6="(Todos)",INDEX(Temas!$C$5:$C$40,19)=$B$6)),INDEX(Temas!$T$5:$T$40,19)="Não material"),N(INDEX(Temas!$P$5:$P$40,19)),NA())</f>
        <v>#N/A</v>
      </c>
    </row>
    <row r="24" spans="1:31" x14ac:dyDescent="0.3">
      <c r="Z24" s="11" t="str">
        <f>IF(AND(INDEX(Temas!$A$5:$A$40,20)&lt;&gt;"",OR($A$6="(Todos)",INDEX(Temas!$B$5:$B$40,20)=$A$6),OR($B$6="(Todos)",INDEX(Temas!$C$5:$C$40,20)=$B$6)),INDEX(Temas!$A$5:$A$40,20),"")</f>
        <v>DM-20</v>
      </c>
      <c r="AA24" s="11">
        <f>IF(AND(INDEX(Temas!$A$5:$A$40,20)&lt;&gt;"",OR($A$6="(Todos)",INDEX(Temas!$B$5:$B$40,20)=$A$6),OR($B$6="(Todos)",INDEX(Temas!$C$5:$C$40,20)=$B$6)),N(INDEX(Temas!$Q$5:$Q$40,20)),NA())</f>
        <v>9</v>
      </c>
      <c r="AB24" s="11" t="e">
        <f>IF(AND(AND(INDEX(Temas!$A$5:$A$40,20)&lt;&gt;"",OR($A$6="(Todos)",INDEX(Temas!$B$5:$B$40,20)=$A$6),OR($B$6="(Todos)",INDEX(Temas!$C$5:$C$40,20)=$B$6)),INDEX(Temas!$T$5:$T$40,20)="Dupla materialidade"),N(INDEX(Temas!$P$5:$P$40,20)),NA())</f>
        <v>#N/A</v>
      </c>
      <c r="AC24" s="11" t="e">
        <f>IF(AND(AND(INDEX(Temas!$A$5:$A$40,20)&lt;&gt;"",OR($A$6="(Todos)",INDEX(Temas!$B$5:$B$40,20)=$A$6),OR($B$6="(Todos)",INDEX(Temas!$C$5:$C$40,20)=$B$6)),INDEX(Temas!$T$5:$T$40,20)="Material — impacto"),N(INDEX(Temas!$P$5:$P$40,20)),NA())</f>
        <v>#N/A</v>
      </c>
      <c r="AD24" s="11" t="e">
        <f>IF(AND(AND(INDEX(Temas!$A$5:$A$40,20)&lt;&gt;"",OR($A$6="(Todos)",INDEX(Temas!$B$5:$B$40,20)=$A$6),OR($B$6="(Todos)",INDEX(Temas!$C$5:$C$40,20)=$B$6)),INDEX(Temas!$T$5:$T$40,20)="Material — financeira"),N(INDEX(Temas!$P$5:$P$40,20)),NA())</f>
        <v>#N/A</v>
      </c>
      <c r="AE24" s="11">
        <f>IF(AND(AND(INDEX(Temas!$A$5:$A$40,20)&lt;&gt;"",OR($A$6="(Todos)",INDEX(Temas!$B$5:$B$40,20)=$A$6),OR($B$6="(Todos)",INDEX(Temas!$C$5:$C$40,20)=$B$6)),INDEX(Temas!$T$5:$T$40,20)="Não material"),N(INDEX(Temas!$P$5:$P$40,20)),NA())</f>
        <v>7</v>
      </c>
    </row>
    <row r="25" spans="1:31" x14ac:dyDescent="0.3">
      <c r="Z25" s="11" t="str">
        <f>IF(AND(INDEX(Temas!$A$5:$A$40,21)&lt;&gt;"",OR($A$6="(Todos)",INDEX(Temas!$B$5:$B$40,21)=$A$6),OR($B$6="(Todos)",INDEX(Temas!$C$5:$C$40,21)=$B$6)),INDEX(Temas!$A$5:$A$40,21),"")</f>
        <v>DM-21</v>
      </c>
      <c r="AA25" s="11">
        <f>IF(AND(INDEX(Temas!$A$5:$A$40,21)&lt;&gt;"",OR($A$6="(Todos)",INDEX(Temas!$B$5:$B$40,21)=$A$6),OR($B$6="(Todos)",INDEX(Temas!$C$5:$C$40,21)=$B$6)),N(INDEX(Temas!$Q$5:$Q$40,21)),NA())</f>
        <v>12</v>
      </c>
      <c r="AB25" s="11" t="e">
        <f>IF(AND(AND(INDEX(Temas!$A$5:$A$40,21)&lt;&gt;"",OR($A$6="(Todos)",INDEX(Temas!$B$5:$B$40,21)=$A$6),OR($B$6="(Todos)",INDEX(Temas!$C$5:$C$40,21)=$B$6)),INDEX(Temas!$T$5:$T$40,21)="Dupla materialidade"),N(INDEX(Temas!$P$5:$P$40,21)),NA())</f>
        <v>#N/A</v>
      </c>
      <c r="AC25" s="11" t="e">
        <f>IF(AND(AND(INDEX(Temas!$A$5:$A$40,21)&lt;&gt;"",OR($A$6="(Todos)",INDEX(Temas!$B$5:$B$40,21)=$A$6),OR($B$6="(Todos)",INDEX(Temas!$C$5:$C$40,21)=$B$6)),INDEX(Temas!$T$5:$T$40,21)="Material — impacto"),N(INDEX(Temas!$P$5:$P$40,21)),NA())</f>
        <v>#N/A</v>
      </c>
      <c r="AD25" s="11">
        <f>IF(AND(AND(INDEX(Temas!$A$5:$A$40,21)&lt;&gt;"",OR($A$6="(Todos)",INDEX(Temas!$B$5:$B$40,21)=$A$6),OR($B$6="(Todos)",INDEX(Temas!$C$5:$C$40,21)=$B$6)),INDEX(Temas!$T$5:$T$40,21)="Material — financeira"),N(INDEX(Temas!$P$5:$P$40,21)),NA())</f>
        <v>2</v>
      </c>
      <c r="AE25" s="11" t="e">
        <f>IF(AND(AND(INDEX(Temas!$A$5:$A$40,21)&lt;&gt;"",OR($A$6="(Todos)",INDEX(Temas!$B$5:$B$40,21)=$A$6),OR($B$6="(Todos)",INDEX(Temas!$C$5:$C$40,21)=$B$6)),INDEX(Temas!$T$5:$T$40,21)="Não material"),N(INDEX(Temas!$P$5:$P$40,21)),NA())</f>
        <v>#N/A</v>
      </c>
    </row>
    <row r="26" spans="1:31" x14ac:dyDescent="0.3">
      <c r="Z26" s="11" t="str">
        <f>IF(AND(INDEX(Temas!$A$5:$A$40,22)&lt;&gt;"",OR($A$6="(Todos)",INDEX(Temas!$B$5:$B$40,22)=$A$6),OR($B$6="(Todos)",INDEX(Temas!$C$5:$C$40,22)=$B$6)),INDEX(Temas!$A$5:$A$40,22),"")</f>
        <v>DM-22</v>
      </c>
      <c r="AA26" s="11">
        <f>IF(AND(INDEX(Temas!$A$5:$A$40,22)&lt;&gt;"",OR($A$6="(Todos)",INDEX(Temas!$B$5:$B$40,22)=$A$6),OR($B$6="(Todos)",INDEX(Temas!$C$5:$C$40,22)=$B$6)),N(INDEX(Temas!$Q$5:$Q$40,22)),NA())</f>
        <v>12</v>
      </c>
      <c r="AB26" s="11" t="e">
        <f>IF(AND(AND(INDEX(Temas!$A$5:$A$40,22)&lt;&gt;"",OR($A$6="(Todos)",INDEX(Temas!$B$5:$B$40,22)=$A$6),OR($B$6="(Todos)",INDEX(Temas!$C$5:$C$40,22)=$B$6)),INDEX(Temas!$T$5:$T$40,22)="Dupla materialidade"),N(INDEX(Temas!$P$5:$P$40,22)),NA())</f>
        <v>#N/A</v>
      </c>
      <c r="AC26" s="11" t="e">
        <f>IF(AND(AND(INDEX(Temas!$A$5:$A$40,22)&lt;&gt;"",OR($A$6="(Todos)",INDEX(Temas!$B$5:$B$40,22)=$A$6),OR($B$6="(Todos)",INDEX(Temas!$C$5:$C$40,22)=$B$6)),INDEX(Temas!$T$5:$T$40,22)="Material — impacto"),N(INDEX(Temas!$P$5:$P$40,22)),NA())</f>
        <v>#N/A</v>
      </c>
      <c r="AD26" s="11">
        <f>IF(AND(AND(INDEX(Temas!$A$5:$A$40,22)&lt;&gt;"",OR($A$6="(Todos)",INDEX(Temas!$B$5:$B$40,22)=$A$6),OR($B$6="(Todos)",INDEX(Temas!$C$5:$C$40,22)=$B$6)),INDEX(Temas!$T$5:$T$40,22)="Material — financeira"),N(INDEX(Temas!$P$5:$P$40,22)),NA())</f>
        <v>7.5</v>
      </c>
      <c r="AE26" s="11" t="e">
        <f>IF(AND(AND(INDEX(Temas!$A$5:$A$40,22)&lt;&gt;"",OR($A$6="(Todos)",INDEX(Temas!$B$5:$B$40,22)=$A$6),OR($B$6="(Todos)",INDEX(Temas!$C$5:$C$40,22)=$B$6)),INDEX(Temas!$T$5:$T$40,22)="Não material"),N(INDEX(Temas!$P$5:$P$40,22)),NA())</f>
        <v>#N/A</v>
      </c>
    </row>
    <row r="27" spans="1:31" x14ac:dyDescent="0.3">
      <c r="Z27" s="11" t="str">
        <f>IF(AND(INDEX(Temas!$A$5:$A$40,23)&lt;&gt;"",OR($A$6="(Todos)",INDEX(Temas!$B$5:$B$40,23)=$A$6),OR($B$6="(Todos)",INDEX(Temas!$C$5:$C$40,23)=$B$6)),INDEX(Temas!$A$5:$A$40,23),"")</f>
        <v>DM-23</v>
      </c>
      <c r="AA27" s="11">
        <f>IF(AND(INDEX(Temas!$A$5:$A$40,23)&lt;&gt;"",OR($A$6="(Todos)",INDEX(Temas!$B$5:$B$40,23)=$A$6),OR($B$6="(Todos)",INDEX(Temas!$C$5:$C$40,23)=$B$6)),N(INDEX(Temas!$Q$5:$Q$40,23)),NA())</f>
        <v>20</v>
      </c>
      <c r="AB27" s="11" t="e">
        <f>IF(AND(AND(INDEX(Temas!$A$5:$A$40,23)&lt;&gt;"",OR($A$6="(Todos)",INDEX(Temas!$B$5:$B$40,23)=$A$6),OR($B$6="(Todos)",INDEX(Temas!$C$5:$C$40,23)=$B$6)),INDEX(Temas!$T$5:$T$40,23)="Dupla materialidade"),N(INDEX(Temas!$P$5:$P$40,23)),NA())</f>
        <v>#N/A</v>
      </c>
      <c r="AC27" s="11" t="e">
        <f>IF(AND(AND(INDEX(Temas!$A$5:$A$40,23)&lt;&gt;"",OR($A$6="(Todos)",INDEX(Temas!$B$5:$B$40,23)=$A$6),OR($B$6="(Todos)",INDEX(Temas!$C$5:$C$40,23)=$B$6)),INDEX(Temas!$T$5:$T$40,23)="Material — impacto"),N(INDEX(Temas!$P$5:$P$40,23)),NA())</f>
        <v>#N/A</v>
      </c>
      <c r="AD27" s="11">
        <f>IF(AND(AND(INDEX(Temas!$A$5:$A$40,23)&lt;&gt;"",OR($A$6="(Todos)",INDEX(Temas!$B$5:$B$40,23)=$A$6),OR($B$6="(Todos)",INDEX(Temas!$C$5:$C$40,23)=$B$6)),INDEX(Temas!$T$5:$T$40,23)="Material — financeira"),N(INDEX(Temas!$P$5:$P$40,23)),NA())</f>
        <v>10</v>
      </c>
      <c r="AE27" s="11" t="e">
        <f>IF(AND(AND(INDEX(Temas!$A$5:$A$40,23)&lt;&gt;"",OR($A$6="(Todos)",INDEX(Temas!$B$5:$B$40,23)=$A$6),OR($B$6="(Todos)",INDEX(Temas!$C$5:$C$40,23)=$B$6)),INDEX(Temas!$T$5:$T$40,23)="Não material"),N(INDEX(Temas!$P$5:$P$40,23)),NA())</f>
        <v>#N/A</v>
      </c>
    </row>
    <row r="28" spans="1:31" x14ac:dyDescent="0.3">
      <c r="Z28" s="11" t="str">
        <f>IF(AND(INDEX(Temas!$A$5:$A$40,24)&lt;&gt;"",OR($A$6="(Todos)",INDEX(Temas!$B$5:$B$40,24)=$A$6),OR($B$6="(Todos)",INDEX(Temas!$C$5:$C$40,24)=$B$6)),INDEX(Temas!$A$5:$A$40,24),"")</f>
        <v>DM-24</v>
      </c>
      <c r="AA28" s="11">
        <f>IF(AND(INDEX(Temas!$A$5:$A$40,24)&lt;&gt;"",OR($A$6="(Todos)",INDEX(Temas!$B$5:$B$40,24)=$A$6),OR($B$6="(Todos)",INDEX(Temas!$C$5:$C$40,24)=$B$6)),N(INDEX(Temas!$Q$5:$Q$40,24)),NA())</f>
        <v>12</v>
      </c>
      <c r="AB28" s="11" t="e">
        <f>IF(AND(AND(INDEX(Temas!$A$5:$A$40,24)&lt;&gt;"",OR($A$6="(Todos)",INDEX(Temas!$B$5:$B$40,24)=$A$6),OR($B$6="(Todos)",INDEX(Temas!$C$5:$C$40,24)=$B$6)),INDEX(Temas!$T$5:$T$40,24)="Dupla materialidade"),N(INDEX(Temas!$P$5:$P$40,24)),NA())</f>
        <v>#N/A</v>
      </c>
      <c r="AC28" s="11" t="e">
        <f>IF(AND(AND(INDEX(Temas!$A$5:$A$40,24)&lt;&gt;"",OR($A$6="(Todos)",INDEX(Temas!$B$5:$B$40,24)=$A$6),OR($B$6="(Todos)",INDEX(Temas!$C$5:$C$40,24)=$B$6)),INDEX(Temas!$T$5:$T$40,24)="Material — impacto"),N(INDEX(Temas!$P$5:$P$40,24)),NA())</f>
        <v>#N/A</v>
      </c>
      <c r="AD28" s="11">
        <f>IF(AND(AND(INDEX(Temas!$A$5:$A$40,24)&lt;&gt;"",OR($A$6="(Todos)",INDEX(Temas!$B$5:$B$40,24)=$A$6),OR($B$6="(Todos)",INDEX(Temas!$C$5:$C$40,24)=$B$6)),INDEX(Temas!$T$5:$T$40,24)="Material — financeira"),N(INDEX(Temas!$P$5:$P$40,24)),NA())</f>
        <v>0</v>
      </c>
      <c r="AE28" s="11" t="e">
        <f>IF(AND(AND(INDEX(Temas!$A$5:$A$40,24)&lt;&gt;"",OR($A$6="(Todos)",INDEX(Temas!$B$5:$B$40,24)=$A$6),OR($B$6="(Todos)",INDEX(Temas!$C$5:$C$40,24)=$B$6)),INDEX(Temas!$T$5:$T$40,24)="Não material"),N(INDEX(Temas!$P$5:$P$40,24)),NA())</f>
        <v>#N/A</v>
      </c>
    </row>
    <row r="29" spans="1:31" x14ac:dyDescent="0.3">
      <c r="Z29" s="11" t="str">
        <f>IF(AND(INDEX(Temas!$A$5:$A$40,25)&lt;&gt;"",OR($A$6="(Todos)",INDEX(Temas!$B$5:$B$40,25)=$A$6),OR($B$6="(Todos)",INDEX(Temas!$C$5:$C$40,25)=$B$6)),INDEX(Temas!$A$5:$A$40,25),"")</f>
        <v/>
      </c>
      <c r="AA29" s="11" t="e">
        <f>IF(AND(INDEX(Temas!$A$5:$A$40,25)&lt;&gt;"",OR($A$6="(Todos)",INDEX(Temas!$B$5:$B$40,25)=$A$6),OR($B$6="(Todos)",INDEX(Temas!$C$5:$C$40,25)=$B$6)),N(INDEX(Temas!$Q$5:$Q$40,25)),NA())</f>
        <v>#N/A</v>
      </c>
      <c r="AB29" s="11" t="e">
        <f>IF(AND(AND(INDEX(Temas!$A$5:$A$40,25)&lt;&gt;"",OR($A$6="(Todos)",INDEX(Temas!$B$5:$B$40,25)=$A$6),OR($B$6="(Todos)",INDEX(Temas!$C$5:$C$40,25)=$B$6)),INDEX(Temas!$T$5:$T$40,25)="Dupla materialidade"),N(INDEX(Temas!$P$5:$P$40,25)),NA())</f>
        <v>#N/A</v>
      </c>
      <c r="AC29" s="11" t="e">
        <f>IF(AND(AND(INDEX(Temas!$A$5:$A$40,25)&lt;&gt;"",OR($A$6="(Todos)",INDEX(Temas!$B$5:$B$40,25)=$A$6),OR($B$6="(Todos)",INDEX(Temas!$C$5:$C$40,25)=$B$6)),INDEX(Temas!$T$5:$T$40,25)="Material — impacto"),N(INDEX(Temas!$P$5:$P$40,25)),NA())</f>
        <v>#N/A</v>
      </c>
      <c r="AD29" s="11" t="e">
        <f>IF(AND(AND(INDEX(Temas!$A$5:$A$40,25)&lt;&gt;"",OR($A$6="(Todos)",INDEX(Temas!$B$5:$B$40,25)=$A$6),OR($B$6="(Todos)",INDEX(Temas!$C$5:$C$40,25)=$B$6)),INDEX(Temas!$T$5:$T$40,25)="Material — financeira"),N(INDEX(Temas!$P$5:$P$40,25)),NA())</f>
        <v>#N/A</v>
      </c>
      <c r="AE29" s="11" t="e">
        <f>IF(AND(AND(INDEX(Temas!$A$5:$A$40,25)&lt;&gt;"",OR($A$6="(Todos)",INDEX(Temas!$B$5:$B$40,25)=$A$6),OR($B$6="(Todos)",INDEX(Temas!$C$5:$C$40,25)=$B$6)),INDEX(Temas!$T$5:$T$40,25)="Não material"),N(INDEX(Temas!$P$5:$P$40,25)),NA())</f>
        <v>#N/A</v>
      </c>
    </row>
    <row r="30" spans="1:31" x14ac:dyDescent="0.3">
      <c r="Z30" s="11" t="str">
        <f>IF(AND(INDEX(Temas!$A$5:$A$40,26)&lt;&gt;"",OR($A$6="(Todos)",INDEX(Temas!$B$5:$B$40,26)=$A$6),OR($B$6="(Todos)",INDEX(Temas!$C$5:$C$40,26)=$B$6)),INDEX(Temas!$A$5:$A$40,26),"")</f>
        <v/>
      </c>
      <c r="AA30" s="11" t="e">
        <f>IF(AND(INDEX(Temas!$A$5:$A$40,26)&lt;&gt;"",OR($A$6="(Todos)",INDEX(Temas!$B$5:$B$40,26)=$A$6),OR($B$6="(Todos)",INDEX(Temas!$C$5:$C$40,26)=$B$6)),N(INDEX(Temas!$Q$5:$Q$40,26)),NA())</f>
        <v>#N/A</v>
      </c>
      <c r="AB30" s="11" t="e">
        <f>IF(AND(AND(INDEX(Temas!$A$5:$A$40,26)&lt;&gt;"",OR($A$6="(Todos)",INDEX(Temas!$B$5:$B$40,26)=$A$6),OR($B$6="(Todos)",INDEX(Temas!$C$5:$C$40,26)=$B$6)),INDEX(Temas!$T$5:$T$40,26)="Dupla materialidade"),N(INDEX(Temas!$P$5:$P$40,26)),NA())</f>
        <v>#N/A</v>
      </c>
      <c r="AC30" s="11" t="e">
        <f>IF(AND(AND(INDEX(Temas!$A$5:$A$40,26)&lt;&gt;"",OR($A$6="(Todos)",INDEX(Temas!$B$5:$B$40,26)=$A$6),OR($B$6="(Todos)",INDEX(Temas!$C$5:$C$40,26)=$B$6)),INDEX(Temas!$T$5:$T$40,26)="Material — impacto"),N(INDEX(Temas!$P$5:$P$40,26)),NA())</f>
        <v>#N/A</v>
      </c>
      <c r="AD30" s="11" t="e">
        <f>IF(AND(AND(INDEX(Temas!$A$5:$A$40,26)&lt;&gt;"",OR($A$6="(Todos)",INDEX(Temas!$B$5:$B$40,26)=$A$6),OR($B$6="(Todos)",INDEX(Temas!$C$5:$C$40,26)=$B$6)),INDEX(Temas!$T$5:$T$40,26)="Material — financeira"),N(INDEX(Temas!$P$5:$P$40,26)),NA())</f>
        <v>#N/A</v>
      </c>
      <c r="AE30" s="11" t="e">
        <f>IF(AND(AND(INDEX(Temas!$A$5:$A$40,26)&lt;&gt;"",OR($A$6="(Todos)",INDEX(Temas!$B$5:$B$40,26)=$A$6),OR($B$6="(Todos)",INDEX(Temas!$C$5:$C$40,26)=$B$6)),INDEX(Temas!$T$5:$T$40,26)="Não material"),N(INDEX(Temas!$P$5:$P$40,26)),NA())</f>
        <v>#N/A</v>
      </c>
    </row>
    <row r="31" spans="1:31" x14ac:dyDescent="0.3">
      <c r="Z31" s="11" t="str">
        <f>IF(AND(INDEX(Temas!$A$5:$A$40,27)&lt;&gt;"",OR($A$6="(Todos)",INDEX(Temas!$B$5:$B$40,27)=$A$6),OR($B$6="(Todos)",INDEX(Temas!$C$5:$C$40,27)=$B$6)),INDEX(Temas!$A$5:$A$40,27),"")</f>
        <v/>
      </c>
      <c r="AA31" s="11" t="e">
        <f>IF(AND(INDEX(Temas!$A$5:$A$40,27)&lt;&gt;"",OR($A$6="(Todos)",INDEX(Temas!$B$5:$B$40,27)=$A$6),OR($B$6="(Todos)",INDEX(Temas!$C$5:$C$40,27)=$B$6)),N(INDEX(Temas!$Q$5:$Q$40,27)),NA())</f>
        <v>#N/A</v>
      </c>
      <c r="AB31" s="11" t="e">
        <f>IF(AND(AND(INDEX(Temas!$A$5:$A$40,27)&lt;&gt;"",OR($A$6="(Todos)",INDEX(Temas!$B$5:$B$40,27)=$A$6),OR($B$6="(Todos)",INDEX(Temas!$C$5:$C$40,27)=$B$6)),INDEX(Temas!$T$5:$T$40,27)="Dupla materialidade"),N(INDEX(Temas!$P$5:$P$40,27)),NA())</f>
        <v>#N/A</v>
      </c>
      <c r="AC31" s="11" t="e">
        <f>IF(AND(AND(INDEX(Temas!$A$5:$A$40,27)&lt;&gt;"",OR($A$6="(Todos)",INDEX(Temas!$B$5:$B$40,27)=$A$6),OR($B$6="(Todos)",INDEX(Temas!$C$5:$C$40,27)=$B$6)),INDEX(Temas!$T$5:$T$40,27)="Material — impacto"),N(INDEX(Temas!$P$5:$P$40,27)),NA())</f>
        <v>#N/A</v>
      </c>
      <c r="AD31" s="11" t="e">
        <f>IF(AND(AND(INDEX(Temas!$A$5:$A$40,27)&lt;&gt;"",OR($A$6="(Todos)",INDEX(Temas!$B$5:$B$40,27)=$A$6),OR($B$6="(Todos)",INDEX(Temas!$C$5:$C$40,27)=$B$6)),INDEX(Temas!$T$5:$T$40,27)="Material — financeira"),N(INDEX(Temas!$P$5:$P$40,27)),NA())</f>
        <v>#N/A</v>
      </c>
      <c r="AE31" s="11" t="e">
        <f>IF(AND(AND(INDEX(Temas!$A$5:$A$40,27)&lt;&gt;"",OR($A$6="(Todos)",INDEX(Temas!$B$5:$B$40,27)=$A$6),OR($B$6="(Todos)",INDEX(Temas!$C$5:$C$40,27)=$B$6)),INDEX(Temas!$T$5:$T$40,27)="Não material"),N(INDEX(Temas!$P$5:$P$40,27)),NA())</f>
        <v>#N/A</v>
      </c>
    </row>
    <row r="32" spans="1:31" x14ac:dyDescent="0.3">
      <c r="Z32" s="11" t="str">
        <f>IF(AND(INDEX(Temas!$A$5:$A$40,28)&lt;&gt;"",OR($A$6="(Todos)",INDEX(Temas!$B$5:$B$40,28)=$A$6),OR($B$6="(Todos)",INDEX(Temas!$C$5:$C$40,28)=$B$6)),INDEX(Temas!$A$5:$A$40,28),"")</f>
        <v/>
      </c>
      <c r="AA32" s="11" t="e">
        <f>IF(AND(INDEX(Temas!$A$5:$A$40,28)&lt;&gt;"",OR($A$6="(Todos)",INDEX(Temas!$B$5:$B$40,28)=$A$6),OR($B$6="(Todos)",INDEX(Temas!$C$5:$C$40,28)=$B$6)),N(INDEX(Temas!$Q$5:$Q$40,28)),NA())</f>
        <v>#N/A</v>
      </c>
      <c r="AB32" s="11" t="e">
        <f>IF(AND(AND(INDEX(Temas!$A$5:$A$40,28)&lt;&gt;"",OR($A$6="(Todos)",INDEX(Temas!$B$5:$B$40,28)=$A$6),OR($B$6="(Todos)",INDEX(Temas!$C$5:$C$40,28)=$B$6)),INDEX(Temas!$T$5:$T$40,28)="Dupla materialidade"),N(INDEX(Temas!$P$5:$P$40,28)),NA())</f>
        <v>#N/A</v>
      </c>
      <c r="AC32" s="11" t="e">
        <f>IF(AND(AND(INDEX(Temas!$A$5:$A$40,28)&lt;&gt;"",OR($A$6="(Todos)",INDEX(Temas!$B$5:$B$40,28)=$A$6),OR($B$6="(Todos)",INDEX(Temas!$C$5:$C$40,28)=$B$6)),INDEX(Temas!$T$5:$T$40,28)="Material — impacto"),N(INDEX(Temas!$P$5:$P$40,28)),NA())</f>
        <v>#N/A</v>
      </c>
      <c r="AD32" s="11" t="e">
        <f>IF(AND(AND(INDEX(Temas!$A$5:$A$40,28)&lt;&gt;"",OR($A$6="(Todos)",INDEX(Temas!$B$5:$B$40,28)=$A$6),OR($B$6="(Todos)",INDEX(Temas!$C$5:$C$40,28)=$B$6)),INDEX(Temas!$T$5:$T$40,28)="Material — financeira"),N(INDEX(Temas!$P$5:$P$40,28)),NA())</f>
        <v>#N/A</v>
      </c>
      <c r="AE32" s="11" t="e">
        <f>IF(AND(AND(INDEX(Temas!$A$5:$A$40,28)&lt;&gt;"",OR($A$6="(Todos)",INDEX(Temas!$B$5:$B$40,28)=$A$6),OR($B$6="(Todos)",INDEX(Temas!$C$5:$C$40,28)=$B$6)),INDEX(Temas!$T$5:$T$40,28)="Não material"),N(INDEX(Temas!$P$5:$P$40,28)),NA())</f>
        <v>#N/A</v>
      </c>
    </row>
    <row r="33" spans="26:31" x14ac:dyDescent="0.3">
      <c r="Z33" s="11" t="str">
        <f>IF(AND(INDEX(Temas!$A$5:$A$40,29)&lt;&gt;"",OR($A$6="(Todos)",INDEX(Temas!$B$5:$B$40,29)=$A$6),OR($B$6="(Todos)",INDEX(Temas!$C$5:$C$40,29)=$B$6)),INDEX(Temas!$A$5:$A$40,29),"")</f>
        <v/>
      </c>
      <c r="AA33" s="11" t="e">
        <f>IF(AND(INDEX(Temas!$A$5:$A$40,29)&lt;&gt;"",OR($A$6="(Todos)",INDEX(Temas!$B$5:$B$40,29)=$A$6),OR($B$6="(Todos)",INDEX(Temas!$C$5:$C$40,29)=$B$6)),N(INDEX(Temas!$Q$5:$Q$40,29)),NA())</f>
        <v>#N/A</v>
      </c>
      <c r="AB33" s="11" t="e">
        <f>IF(AND(AND(INDEX(Temas!$A$5:$A$40,29)&lt;&gt;"",OR($A$6="(Todos)",INDEX(Temas!$B$5:$B$40,29)=$A$6),OR($B$6="(Todos)",INDEX(Temas!$C$5:$C$40,29)=$B$6)),INDEX(Temas!$T$5:$T$40,29)="Dupla materialidade"),N(INDEX(Temas!$P$5:$P$40,29)),NA())</f>
        <v>#N/A</v>
      </c>
      <c r="AC33" s="11" t="e">
        <f>IF(AND(AND(INDEX(Temas!$A$5:$A$40,29)&lt;&gt;"",OR($A$6="(Todos)",INDEX(Temas!$B$5:$B$40,29)=$A$6),OR($B$6="(Todos)",INDEX(Temas!$C$5:$C$40,29)=$B$6)),INDEX(Temas!$T$5:$T$40,29)="Material — impacto"),N(INDEX(Temas!$P$5:$P$40,29)),NA())</f>
        <v>#N/A</v>
      </c>
      <c r="AD33" s="11" t="e">
        <f>IF(AND(AND(INDEX(Temas!$A$5:$A$40,29)&lt;&gt;"",OR($A$6="(Todos)",INDEX(Temas!$B$5:$B$40,29)=$A$6),OR($B$6="(Todos)",INDEX(Temas!$C$5:$C$40,29)=$B$6)),INDEX(Temas!$T$5:$T$40,29)="Material — financeira"),N(INDEX(Temas!$P$5:$P$40,29)),NA())</f>
        <v>#N/A</v>
      </c>
      <c r="AE33" s="11" t="e">
        <f>IF(AND(AND(INDEX(Temas!$A$5:$A$40,29)&lt;&gt;"",OR($A$6="(Todos)",INDEX(Temas!$B$5:$B$40,29)=$A$6),OR($B$6="(Todos)",INDEX(Temas!$C$5:$C$40,29)=$B$6)),INDEX(Temas!$T$5:$T$40,29)="Não material"),N(INDEX(Temas!$P$5:$P$40,29)),NA())</f>
        <v>#N/A</v>
      </c>
    </row>
    <row r="34" spans="26:31" x14ac:dyDescent="0.3">
      <c r="Z34" s="11" t="str">
        <f>IF(AND(INDEX(Temas!$A$5:$A$40,30)&lt;&gt;"",OR($A$6="(Todos)",INDEX(Temas!$B$5:$B$40,30)=$A$6),OR($B$6="(Todos)",INDEX(Temas!$C$5:$C$40,30)=$B$6)),INDEX(Temas!$A$5:$A$40,30),"")</f>
        <v/>
      </c>
      <c r="AA34" s="11" t="e">
        <f>IF(AND(INDEX(Temas!$A$5:$A$40,30)&lt;&gt;"",OR($A$6="(Todos)",INDEX(Temas!$B$5:$B$40,30)=$A$6),OR($B$6="(Todos)",INDEX(Temas!$C$5:$C$40,30)=$B$6)),N(INDEX(Temas!$Q$5:$Q$40,30)),NA())</f>
        <v>#N/A</v>
      </c>
      <c r="AB34" s="11" t="e">
        <f>IF(AND(AND(INDEX(Temas!$A$5:$A$40,30)&lt;&gt;"",OR($A$6="(Todos)",INDEX(Temas!$B$5:$B$40,30)=$A$6),OR($B$6="(Todos)",INDEX(Temas!$C$5:$C$40,30)=$B$6)),INDEX(Temas!$T$5:$T$40,30)="Dupla materialidade"),N(INDEX(Temas!$P$5:$P$40,30)),NA())</f>
        <v>#N/A</v>
      </c>
      <c r="AC34" s="11" t="e">
        <f>IF(AND(AND(INDEX(Temas!$A$5:$A$40,30)&lt;&gt;"",OR($A$6="(Todos)",INDEX(Temas!$B$5:$B$40,30)=$A$6),OR($B$6="(Todos)",INDEX(Temas!$C$5:$C$40,30)=$B$6)),INDEX(Temas!$T$5:$T$40,30)="Material — impacto"),N(INDEX(Temas!$P$5:$P$40,30)),NA())</f>
        <v>#N/A</v>
      </c>
      <c r="AD34" s="11" t="e">
        <f>IF(AND(AND(INDEX(Temas!$A$5:$A$40,30)&lt;&gt;"",OR($A$6="(Todos)",INDEX(Temas!$B$5:$B$40,30)=$A$6),OR($B$6="(Todos)",INDEX(Temas!$C$5:$C$40,30)=$B$6)),INDEX(Temas!$T$5:$T$40,30)="Material — financeira"),N(INDEX(Temas!$P$5:$P$40,30)),NA())</f>
        <v>#N/A</v>
      </c>
      <c r="AE34" s="11" t="e">
        <f>IF(AND(AND(INDEX(Temas!$A$5:$A$40,30)&lt;&gt;"",OR($A$6="(Todos)",INDEX(Temas!$B$5:$B$40,30)=$A$6),OR($B$6="(Todos)",INDEX(Temas!$C$5:$C$40,30)=$B$6)),INDEX(Temas!$T$5:$T$40,30)="Não material"),N(INDEX(Temas!$P$5:$P$40,30)),NA())</f>
        <v>#N/A</v>
      </c>
    </row>
    <row r="35" spans="26:31" x14ac:dyDescent="0.3">
      <c r="Z35" s="11" t="str">
        <f>IF(AND(INDEX(Temas!$A$5:$A$40,31)&lt;&gt;"",OR($A$6="(Todos)",INDEX(Temas!$B$5:$B$40,31)=$A$6),OR($B$6="(Todos)",INDEX(Temas!$C$5:$C$40,31)=$B$6)),INDEX(Temas!$A$5:$A$40,31),"")</f>
        <v/>
      </c>
      <c r="AA35" s="11" t="e">
        <f>IF(AND(INDEX(Temas!$A$5:$A$40,31)&lt;&gt;"",OR($A$6="(Todos)",INDEX(Temas!$B$5:$B$40,31)=$A$6),OR($B$6="(Todos)",INDEX(Temas!$C$5:$C$40,31)=$B$6)),N(INDEX(Temas!$Q$5:$Q$40,31)),NA())</f>
        <v>#N/A</v>
      </c>
      <c r="AB35" s="11" t="e">
        <f>IF(AND(AND(INDEX(Temas!$A$5:$A$40,31)&lt;&gt;"",OR($A$6="(Todos)",INDEX(Temas!$B$5:$B$40,31)=$A$6),OR($B$6="(Todos)",INDEX(Temas!$C$5:$C$40,31)=$B$6)),INDEX(Temas!$T$5:$T$40,31)="Dupla materialidade"),N(INDEX(Temas!$P$5:$P$40,31)),NA())</f>
        <v>#N/A</v>
      </c>
      <c r="AC35" s="11" t="e">
        <f>IF(AND(AND(INDEX(Temas!$A$5:$A$40,31)&lt;&gt;"",OR($A$6="(Todos)",INDEX(Temas!$B$5:$B$40,31)=$A$6),OR($B$6="(Todos)",INDEX(Temas!$C$5:$C$40,31)=$B$6)),INDEX(Temas!$T$5:$T$40,31)="Material — impacto"),N(INDEX(Temas!$P$5:$P$40,31)),NA())</f>
        <v>#N/A</v>
      </c>
      <c r="AD35" s="11" t="e">
        <f>IF(AND(AND(INDEX(Temas!$A$5:$A$40,31)&lt;&gt;"",OR($A$6="(Todos)",INDEX(Temas!$B$5:$B$40,31)=$A$6),OR($B$6="(Todos)",INDEX(Temas!$C$5:$C$40,31)=$B$6)),INDEX(Temas!$T$5:$T$40,31)="Material — financeira"),N(INDEX(Temas!$P$5:$P$40,31)),NA())</f>
        <v>#N/A</v>
      </c>
      <c r="AE35" s="11" t="e">
        <f>IF(AND(AND(INDEX(Temas!$A$5:$A$40,31)&lt;&gt;"",OR($A$6="(Todos)",INDEX(Temas!$B$5:$B$40,31)=$A$6),OR($B$6="(Todos)",INDEX(Temas!$C$5:$C$40,31)=$B$6)),INDEX(Temas!$T$5:$T$40,31)="Não material"),N(INDEX(Temas!$P$5:$P$40,31)),NA())</f>
        <v>#N/A</v>
      </c>
    </row>
    <row r="36" spans="26:31" x14ac:dyDescent="0.3">
      <c r="Z36" s="11" t="str">
        <f>IF(AND(INDEX(Temas!$A$5:$A$40,32)&lt;&gt;"",OR($A$6="(Todos)",INDEX(Temas!$B$5:$B$40,32)=$A$6),OR($B$6="(Todos)",INDEX(Temas!$C$5:$C$40,32)=$B$6)),INDEX(Temas!$A$5:$A$40,32),"")</f>
        <v/>
      </c>
      <c r="AA36" s="11" t="e">
        <f>IF(AND(INDEX(Temas!$A$5:$A$40,32)&lt;&gt;"",OR($A$6="(Todos)",INDEX(Temas!$B$5:$B$40,32)=$A$6),OR($B$6="(Todos)",INDEX(Temas!$C$5:$C$40,32)=$B$6)),N(INDEX(Temas!$Q$5:$Q$40,32)),NA())</f>
        <v>#N/A</v>
      </c>
      <c r="AB36" s="11" t="e">
        <f>IF(AND(AND(INDEX(Temas!$A$5:$A$40,32)&lt;&gt;"",OR($A$6="(Todos)",INDEX(Temas!$B$5:$B$40,32)=$A$6),OR($B$6="(Todos)",INDEX(Temas!$C$5:$C$40,32)=$B$6)),INDEX(Temas!$T$5:$T$40,32)="Dupla materialidade"),N(INDEX(Temas!$P$5:$P$40,32)),NA())</f>
        <v>#N/A</v>
      </c>
      <c r="AC36" s="11" t="e">
        <f>IF(AND(AND(INDEX(Temas!$A$5:$A$40,32)&lt;&gt;"",OR($A$6="(Todos)",INDEX(Temas!$B$5:$B$40,32)=$A$6),OR($B$6="(Todos)",INDEX(Temas!$C$5:$C$40,32)=$B$6)),INDEX(Temas!$T$5:$T$40,32)="Material — impacto"),N(INDEX(Temas!$P$5:$P$40,32)),NA())</f>
        <v>#N/A</v>
      </c>
      <c r="AD36" s="11" t="e">
        <f>IF(AND(AND(INDEX(Temas!$A$5:$A$40,32)&lt;&gt;"",OR($A$6="(Todos)",INDEX(Temas!$B$5:$B$40,32)=$A$6),OR($B$6="(Todos)",INDEX(Temas!$C$5:$C$40,32)=$B$6)),INDEX(Temas!$T$5:$T$40,32)="Material — financeira"),N(INDEX(Temas!$P$5:$P$40,32)),NA())</f>
        <v>#N/A</v>
      </c>
      <c r="AE36" s="11" t="e">
        <f>IF(AND(AND(INDEX(Temas!$A$5:$A$40,32)&lt;&gt;"",OR($A$6="(Todos)",INDEX(Temas!$B$5:$B$40,32)=$A$6),OR($B$6="(Todos)",INDEX(Temas!$C$5:$C$40,32)=$B$6)),INDEX(Temas!$T$5:$T$40,32)="Não material"),N(INDEX(Temas!$P$5:$P$40,32)),NA())</f>
        <v>#N/A</v>
      </c>
    </row>
    <row r="37" spans="26:31" x14ac:dyDescent="0.3">
      <c r="Z37" s="11" t="str">
        <f>IF(AND(INDEX(Temas!$A$5:$A$40,33)&lt;&gt;"",OR($A$6="(Todos)",INDEX(Temas!$B$5:$B$40,33)=$A$6),OR($B$6="(Todos)",INDEX(Temas!$C$5:$C$40,33)=$B$6)),INDEX(Temas!$A$5:$A$40,33),"")</f>
        <v/>
      </c>
      <c r="AA37" s="11" t="e">
        <f>IF(AND(INDEX(Temas!$A$5:$A$40,33)&lt;&gt;"",OR($A$6="(Todos)",INDEX(Temas!$B$5:$B$40,33)=$A$6),OR($B$6="(Todos)",INDEX(Temas!$C$5:$C$40,33)=$B$6)),N(INDEX(Temas!$Q$5:$Q$40,33)),NA())</f>
        <v>#N/A</v>
      </c>
      <c r="AB37" s="11" t="e">
        <f>IF(AND(AND(INDEX(Temas!$A$5:$A$40,33)&lt;&gt;"",OR($A$6="(Todos)",INDEX(Temas!$B$5:$B$40,33)=$A$6),OR($B$6="(Todos)",INDEX(Temas!$C$5:$C$40,33)=$B$6)),INDEX(Temas!$T$5:$T$40,33)="Dupla materialidade"),N(INDEX(Temas!$P$5:$P$40,33)),NA())</f>
        <v>#N/A</v>
      </c>
      <c r="AC37" s="11" t="e">
        <f>IF(AND(AND(INDEX(Temas!$A$5:$A$40,33)&lt;&gt;"",OR($A$6="(Todos)",INDEX(Temas!$B$5:$B$40,33)=$A$6),OR($B$6="(Todos)",INDEX(Temas!$C$5:$C$40,33)=$B$6)),INDEX(Temas!$T$5:$T$40,33)="Material — impacto"),N(INDEX(Temas!$P$5:$P$40,33)),NA())</f>
        <v>#N/A</v>
      </c>
      <c r="AD37" s="11" t="e">
        <f>IF(AND(AND(INDEX(Temas!$A$5:$A$40,33)&lt;&gt;"",OR($A$6="(Todos)",INDEX(Temas!$B$5:$B$40,33)=$A$6),OR($B$6="(Todos)",INDEX(Temas!$C$5:$C$40,33)=$B$6)),INDEX(Temas!$T$5:$T$40,33)="Material — financeira"),N(INDEX(Temas!$P$5:$P$40,33)),NA())</f>
        <v>#N/A</v>
      </c>
      <c r="AE37" s="11" t="e">
        <f>IF(AND(AND(INDEX(Temas!$A$5:$A$40,33)&lt;&gt;"",OR($A$6="(Todos)",INDEX(Temas!$B$5:$B$40,33)=$A$6),OR($B$6="(Todos)",INDEX(Temas!$C$5:$C$40,33)=$B$6)),INDEX(Temas!$T$5:$T$40,33)="Não material"),N(INDEX(Temas!$P$5:$P$40,33)),NA())</f>
        <v>#N/A</v>
      </c>
    </row>
    <row r="38" spans="26:31" x14ac:dyDescent="0.3">
      <c r="Z38" s="11" t="str">
        <f>IF(AND(INDEX(Temas!$A$5:$A$40,34)&lt;&gt;"",OR($A$6="(Todos)",INDEX(Temas!$B$5:$B$40,34)=$A$6),OR($B$6="(Todos)",INDEX(Temas!$C$5:$C$40,34)=$B$6)),INDEX(Temas!$A$5:$A$40,34),"")</f>
        <v/>
      </c>
      <c r="AA38" s="11" t="e">
        <f>IF(AND(INDEX(Temas!$A$5:$A$40,34)&lt;&gt;"",OR($A$6="(Todos)",INDEX(Temas!$B$5:$B$40,34)=$A$6),OR($B$6="(Todos)",INDEX(Temas!$C$5:$C$40,34)=$B$6)),N(INDEX(Temas!$Q$5:$Q$40,34)),NA())</f>
        <v>#N/A</v>
      </c>
      <c r="AB38" s="11" t="e">
        <f>IF(AND(AND(INDEX(Temas!$A$5:$A$40,34)&lt;&gt;"",OR($A$6="(Todos)",INDEX(Temas!$B$5:$B$40,34)=$A$6),OR($B$6="(Todos)",INDEX(Temas!$C$5:$C$40,34)=$B$6)),INDEX(Temas!$T$5:$T$40,34)="Dupla materialidade"),N(INDEX(Temas!$P$5:$P$40,34)),NA())</f>
        <v>#N/A</v>
      </c>
      <c r="AC38" s="11" t="e">
        <f>IF(AND(AND(INDEX(Temas!$A$5:$A$40,34)&lt;&gt;"",OR($A$6="(Todos)",INDEX(Temas!$B$5:$B$40,34)=$A$6),OR($B$6="(Todos)",INDEX(Temas!$C$5:$C$40,34)=$B$6)),INDEX(Temas!$T$5:$T$40,34)="Material — impacto"),N(INDEX(Temas!$P$5:$P$40,34)),NA())</f>
        <v>#N/A</v>
      </c>
      <c r="AD38" s="11" t="e">
        <f>IF(AND(AND(INDEX(Temas!$A$5:$A$40,34)&lt;&gt;"",OR($A$6="(Todos)",INDEX(Temas!$B$5:$B$40,34)=$A$6),OR($B$6="(Todos)",INDEX(Temas!$C$5:$C$40,34)=$B$6)),INDEX(Temas!$T$5:$T$40,34)="Material — financeira"),N(INDEX(Temas!$P$5:$P$40,34)),NA())</f>
        <v>#N/A</v>
      </c>
      <c r="AE38" s="11" t="e">
        <f>IF(AND(AND(INDEX(Temas!$A$5:$A$40,34)&lt;&gt;"",OR($A$6="(Todos)",INDEX(Temas!$B$5:$B$40,34)=$A$6),OR($B$6="(Todos)",INDEX(Temas!$C$5:$C$40,34)=$B$6)),INDEX(Temas!$T$5:$T$40,34)="Não material"),N(INDEX(Temas!$P$5:$P$40,34)),NA())</f>
        <v>#N/A</v>
      </c>
    </row>
    <row r="39" spans="26:31" x14ac:dyDescent="0.3">
      <c r="Z39" s="11" t="str">
        <f>IF(AND(INDEX(Temas!$A$5:$A$40,35)&lt;&gt;"",OR($A$6="(Todos)",INDEX(Temas!$B$5:$B$40,35)=$A$6),OR($B$6="(Todos)",INDEX(Temas!$C$5:$C$40,35)=$B$6)),INDEX(Temas!$A$5:$A$40,35),"")</f>
        <v/>
      </c>
      <c r="AA39" s="11" t="e">
        <f>IF(AND(INDEX(Temas!$A$5:$A$40,35)&lt;&gt;"",OR($A$6="(Todos)",INDEX(Temas!$B$5:$B$40,35)=$A$6),OR($B$6="(Todos)",INDEX(Temas!$C$5:$C$40,35)=$B$6)),N(INDEX(Temas!$Q$5:$Q$40,35)),NA())</f>
        <v>#N/A</v>
      </c>
      <c r="AB39" s="11" t="e">
        <f>IF(AND(AND(INDEX(Temas!$A$5:$A$40,35)&lt;&gt;"",OR($A$6="(Todos)",INDEX(Temas!$B$5:$B$40,35)=$A$6),OR($B$6="(Todos)",INDEX(Temas!$C$5:$C$40,35)=$B$6)),INDEX(Temas!$T$5:$T$40,35)="Dupla materialidade"),N(INDEX(Temas!$P$5:$P$40,35)),NA())</f>
        <v>#N/A</v>
      </c>
      <c r="AC39" s="11" t="e">
        <f>IF(AND(AND(INDEX(Temas!$A$5:$A$40,35)&lt;&gt;"",OR($A$6="(Todos)",INDEX(Temas!$B$5:$B$40,35)=$A$6),OR($B$6="(Todos)",INDEX(Temas!$C$5:$C$40,35)=$B$6)),INDEX(Temas!$T$5:$T$40,35)="Material — impacto"),N(INDEX(Temas!$P$5:$P$40,35)),NA())</f>
        <v>#N/A</v>
      </c>
      <c r="AD39" s="11" t="e">
        <f>IF(AND(AND(INDEX(Temas!$A$5:$A$40,35)&lt;&gt;"",OR($A$6="(Todos)",INDEX(Temas!$B$5:$B$40,35)=$A$6),OR($B$6="(Todos)",INDEX(Temas!$C$5:$C$40,35)=$B$6)),INDEX(Temas!$T$5:$T$40,35)="Material — financeira"),N(INDEX(Temas!$P$5:$P$40,35)),NA())</f>
        <v>#N/A</v>
      </c>
      <c r="AE39" s="11" t="e">
        <f>IF(AND(AND(INDEX(Temas!$A$5:$A$40,35)&lt;&gt;"",OR($A$6="(Todos)",INDEX(Temas!$B$5:$B$40,35)=$A$6),OR($B$6="(Todos)",INDEX(Temas!$C$5:$C$40,35)=$B$6)),INDEX(Temas!$T$5:$T$40,35)="Não material"),N(INDEX(Temas!$P$5:$P$40,35)),NA())</f>
        <v>#N/A</v>
      </c>
    </row>
    <row r="40" spans="26:31" x14ac:dyDescent="0.3">
      <c r="Z40" s="11" t="str">
        <f>IF(AND(INDEX(Temas!$A$5:$A$40,36)&lt;&gt;"",OR($A$6="(Todos)",INDEX(Temas!$B$5:$B$40,36)=$A$6),OR($B$6="(Todos)",INDEX(Temas!$C$5:$C$40,36)=$B$6)),INDEX(Temas!$A$5:$A$40,36),"")</f>
        <v/>
      </c>
      <c r="AA40" s="11" t="e">
        <f>IF(AND(INDEX(Temas!$A$5:$A$40,36)&lt;&gt;"",OR($A$6="(Todos)",INDEX(Temas!$B$5:$B$40,36)=$A$6),OR($B$6="(Todos)",INDEX(Temas!$C$5:$C$40,36)=$B$6)),N(INDEX(Temas!$Q$5:$Q$40,36)),NA())</f>
        <v>#N/A</v>
      </c>
      <c r="AB40" s="11" t="e">
        <f>IF(AND(AND(INDEX(Temas!$A$5:$A$40,36)&lt;&gt;"",OR($A$6="(Todos)",INDEX(Temas!$B$5:$B$40,36)=$A$6),OR($B$6="(Todos)",INDEX(Temas!$C$5:$C$40,36)=$B$6)),INDEX(Temas!$T$5:$T$40,36)="Dupla materialidade"),N(INDEX(Temas!$P$5:$P$40,36)),NA())</f>
        <v>#N/A</v>
      </c>
      <c r="AC40" s="11" t="e">
        <f>IF(AND(AND(INDEX(Temas!$A$5:$A$40,36)&lt;&gt;"",OR($A$6="(Todos)",INDEX(Temas!$B$5:$B$40,36)=$A$6),OR($B$6="(Todos)",INDEX(Temas!$C$5:$C$40,36)=$B$6)),INDEX(Temas!$T$5:$T$40,36)="Material — impacto"),N(INDEX(Temas!$P$5:$P$40,36)),NA())</f>
        <v>#N/A</v>
      </c>
      <c r="AD40" s="11" t="e">
        <f>IF(AND(AND(INDEX(Temas!$A$5:$A$40,36)&lt;&gt;"",OR($A$6="(Todos)",INDEX(Temas!$B$5:$B$40,36)=$A$6),OR($B$6="(Todos)",INDEX(Temas!$C$5:$C$40,36)=$B$6)),INDEX(Temas!$T$5:$T$40,36)="Material — financeira"),N(INDEX(Temas!$P$5:$P$40,36)),NA())</f>
        <v>#N/A</v>
      </c>
      <c r="AE40" s="11" t="e">
        <f>IF(AND(AND(INDEX(Temas!$A$5:$A$40,36)&lt;&gt;"",OR($A$6="(Todos)",INDEX(Temas!$B$5:$B$40,36)=$A$6),OR($B$6="(Todos)",INDEX(Temas!$C$5:$C$40,36)=$B$6)),INDEX(Temas!$T$5:$T$40,36)="Não material"),N(INDEX(Temas!$P$5:$P$40,36)),NA())</f>
        <v>#N/A</v>
      </c>
    </row>
    <row r="42" spans="26:31" x14ac:dyDescent="0.3">
      <c r="Z42" s="9" t="s">
        <v>120</v>
      </c>
    </row>
    <row r="43" spans="26:31" x14ac:dyDescent="0.3">
      <c r="Z43" s="11">
        <f>prm_Limiar_Financeiro</f>
        <v>12</v>
      </c>
      <c r="AA43" s="11">
        <v>0</v>
      </c>
    </row>
    <row r="44" spans="26:31" x14ac:dyDescent="0.3">
      <c r="Z44" s="11">
        <f>prm_Limiar_Financeiro</f>
        <v>12</v>
      </c>
      <c r="AA44" s="11">
        <v>25</v>
      </c>
    </row>
    <row r="45" spans="26:31" x14ac:dyDescent="0.3">
      <c r="Z45" s="11">
        <v>0</v>
      </c>
      <c r="AA45" s="11">
        <f>prm_Limiar_Impacto</f>
        <v>12</v>
      </c>
    </row>
    <row r="46" spans="26:31" x14ac:dyDescent="0.3">
      <c r="Z46" s="11">
        <v>25</v>
      </c>
      <c r="AA46" s="11">
        <f>prm_Limiar_Impacto</f>
        <v>12</v>
      </c>
    </row>
    <row r="49" spans="1:10" x14ac:dyDescent="0.3">
      <c r="A49" s="3" t="s">
        <v>121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 ht="42" customHeight="1" x14ac:dyDescent="0.3">
      <c r="A50" s="10" t="s">
        <v>102</v>
      </c>
      <c r="B50" s="10" t="s">
        <v>30</v>
      </c>
      <c r="C50" s="10" t="s">
        <v>122</v>
      </c>
      <c r="D50" s="10" t="s">
        <v>97</v>
      </c>
      <c r="E50" s="10" t="s">
        <v>123</v>
      </c>
      <c r="F50" s="10" t="s">
        <v>124</v>
      </c>
      <c r="G50" s="10" t="s">
        <v>32</v>
      </c>
      <c r="H50" s="10" t="s">
        <v>125</v>
      </c>
      <c r="I50" s="10" t="s">
        <v>126</v>
      </c>
      <c r="J50" s="10" t="s">
        <v>127</v>
      </c>
    </row>
    <row r="51" spans="1:10" x14ac:dyDescent="0.3">
      <c r="A51" s="23" t="s">
        <v>128</v>
      </c>
      <c r="B51" s="24">
        <f>COUNTIFS(Temas!$C$5:$C$40,"E1 Alterações climáticas")</f>
        <v>3</v>
      </c>
      <c r="C51" s="25">
        <f>COUNTIFS(Temas!$C$5:$C$40,"E1 Alterações climáticas",Temas!$T$5:$T$40,"&lt;&gt;Não material")</f>
        <v>3</v>
      </c>
      <c r="D51" s="25">
        <f>COUNTIFS(Temas!$C$5:$C$40,"E1 Alterações climáticas",Temas!$T$5:$T$40,"Dupla materialidade")</f>
        <v>2</v>
      </c>
      <c r="E51" s="26">
        <f>_xlfn.MAXIFS(Temas!$P$5:$P$40,Temas!$C$5:$C$40,"E1 Alterações climáticas")</f>
        <v>20</v>
      </c>
      <c r="F51" s="26">
        <f>_xlfn.MAXIFS(Temas!$Q$5:$Q$40,Temas!$C$5:$C$40,"E1 Alterações climáticas")</f>
        <v>16</v>
      </c>
      <c r="G51" s="24">
        <f>SUMIFS(Temas!$M$5:$M$40,Temas!$C$5:$C$40,"E1 Alterações climáticas")</f>
        <v>10</v>
      </c>
      <c r="H51" s="27">
        <f>SUMIFS(Temas!$Y$5:$Y$40,Temas!$C$5:$C$40,"E1 Alterações climáticas")</f>
        <v>258750</v>
      </c>
      <c r="I51" s="27">
        <f>SUMIFS(Temas!$Z$5:$Z$40,Temas!$C$5:$C$40,"E1 Alterações climáticas")</f>
        <v>120750</v>
      </c>
      <c r="J51" s="28">
        <f>IFERROR(AVERAGEIFS(Temas!$AA$5:$AA$40,Temas!$C$5:$C$40,"E1 Alterações climáticas"),"—")</f>
        <v>4</v>
      </c>
    </row>
    <row r="52" spans="1:10" x14ac:dyDescent="0.3">
      <c r="A52" s="23" t="s">
        <v>129</v>
      </c>
      <c r="B52" s="24">
        <f>COUNTIFS(Temas!$C$5:$C$40,"E2 Poluição")</f>
        <v>4</v>
      </c>
      <c r="C52" s="25">
        <f>COUNTIFS(Temas!$C$5:$C$40,"E2 Poluição",Temas!$T$5:$T$40,"&lt;&gt;Não material")</f>
        <v>2</v>
      </c>
      <c r="D52" s="25">
        <f>COUNTIFS(Temas!$C$5:$C$40,"E2 Poluição",Temas!$T$5:$T$40,"Dupla materialidade")</f>
        <v>1</v>
      </c>
      <c r="E52" s="26">
        <f>_xlfn.MAXIFS(Temas!$P$5:$P$40,Temas!$C$5:$C$40,"E2 Poluição")</f>
        <v>18.399999999999999</v>
      </c>
      <c r="F52" s="26">
        <f>_xlfn.MAXIFS(Temas!$Q$5:$Q$40,Temas!$C$5:$C$40,"E2 Poluição")</f>
        <v>12</v>
      </c>
      <c r="G52" s="24">
        <f>SUMIFS(Temas!$M$5:$M$40,Temas!$C$5:$C$40,"E2 Poluição")</f>
        <v>9</v>
      </c>
      <c r="H52" s="27">
        <f>SUMIFS(Temas!$Y$5:$Y$40,Temas!$C$5:$C$40,"E2 Poluição")</f>
        <v>51000</v>
      </c>
      <c r="I52" s="27">
        <f>SUMIFS(Temas!$Z$5:$Z$40,Temas!$C$5:$C$40,"E2 Poluição")</f>
        <v>0</v>
      </c>
      <c r="J52" s="28">
        <f>IFERROR(AVERAGEIFS(Temas!$AA$5:$AA$40,Temas!$C$5:$C$40,"E2 Poluição"),"—")</f>
        <v>3.1666666666666665</v>
      </c>
    </row>
    <row r="53" spans="1:10" x14ac:dyDescent="0.3">
      <c r="A53" s="23" t="s">
        <v>130</v>
      </c>
      <c r="B53" s="24">
        <f>COUNTIFS(Temas!$C$5:$C$40,"E3 Água e recursos marinhos")</f>
        <v>1</v>
      </c>
      <c r="C53" s="25">
        <f>COUNTIFS(Temas!$C$5:$C$40,"E3 Água e recursos marinhos",Temas!$T$5:$T$40,"&lt;&gt;Não material")</f>
        <v>0</v>
      </c>
      <c r="D53" s="25">
        <f>COUNTIFS(Temas!$C$5:$C$40,"E3 Água e recursos marinhos",Temas!$T$5:$T$40,"Dupla materialidade")</f>
        <v>0</v>
      </c>
      <c r="E53" s="26">
        <f>_xlfn.MAXIFS(Temas!$P$5:$P$40,Temas!$C$5:$C$40,"E3 Água e recursos marinhos")</f>
        <v>11.7</v>
      </c>
      <c r="F53" s="26">
        <f>_xlfn.MAXIFS(Temas!$Q$5:$Q$40,Temas!$C$5:$C$40,"E3 Água e recursos marinhos")</f>
        <v>6</v>
      </c>
      <c r="G53" s="24">
        <f>SUMIFS(Temas!$M$5:$M$40,Temas!$C$5:$C$40,"E3 Água e recursos marinhos")</f>
        <v>2</v>
      </c>
      <c r="H53" s="27">
        <f>SUMIFS(Temas!$Y$5:$Y$40,Temas!$C$5:$C$40,"E3 Água e recursos marinhos")</f>
        <v>8000</v>
      </c>
      <c r="I53" s="27">
        <f>SUMIFS(Temas!$Z$5:$Z$40,Temas!$C$5:$C$40,"E3 Água e recursos marinhos")</f>
        <v>0</v>
      </c>
      <c r="J53" s="28">
        <f>IFERROR(AVERAGEIFS(Temas!$AA$5:$AA$40,Temas!$C$5:$C$40,"E3 Água e recursos marinhos"),"—")</f>
        <v>3</v>
      </c>
    </row>
    <row r="54" spans="1:10" x14ac:dyDescent="0.3">
      <c r="A54" s="23" t="s">
        <v>131</v>
      </c>
      <c r="B54" s="24">
        <f>COUNTIFS(Temas!$C$5:$C$40,"E4 Biodiversidade e ecossistemas")</f>
        <v>1</v>
      </c>
      <c r="C54" s="25">
        <f>COUNTIFS(Temas!$C$5:$C$40,"E4 Biodiversidade e ecossistemas",Temas!$T$5:$T$40,"&lt;&gt;Não material")</f>
        <v>1</v>
      </c>
      <c r="D54" s="25">
        <f>COUNTIFS(Temas!$C$5:$C$40,"E4 Biodiversidade e ecossistemas",Temas!$T$5:$T$40,"Dupla materialidade")</f>
        <v>0</v>
      </c>
      <c r="E54" s="26">
        <f>_xlfn.MAXIFS(Temas!$P$5:$P$40,Temas!$C$5:$C$40,"E4 Biodiversidade e ecossistemas")</f>
        <v>14</v>
      </c>
      <c r="F54" s="26">
        <f>_xlfn.MAXIFS(Temas!$Q$5:$Q$40,Temas!$C$5:$C$40,"E4 Biodiversidade e ecossistemas")</f>
        <v>0</v>
      </c>
      <c r="G54" s="24">
        <f>SUMIFS(Temas!$M$5:$M$40,Temas!$C$5:$C$40,"E4 Biodiversidade e ecossistemas")</f>
        <v>2</v>
      </c>
      <c r="H54" s="27">
        <f>SUMIFS(Temas!$Y$5:$Y$40,Temas!$C$5:$C$40,"E4 Biodiversidade e ecossistemas")</f>
        <v>0</v>
      </c>
      <c r="I54" s="27">
        <f>SUMIFS(Temas!$Z$5:$Z$40,Temas!$C$5:$C$40,"E4 Biodiversidade e ecossistemas")</f>
        <v>0</v>
      </c>
      <c r="J54" s="28" t="str">
        <f>IFERROR(AVERAGEIFS(Temas!$AA$5:$AA$40,Temas!$C$5:$C$40,"E4 Biodiversidade e ecossistemas"),"—")</f>
        <v>—</v>
      </c>
    </row>
    <row r="55" spans="1:10" ht="26.4" x14ac:dyDescent="0.3">
      <c r="A55" s="23" t="s">
        <v>132</v>
      </c>
      <c r="B55" s="24">
        <f>COUNTIFS(Temas!$C$5:$C$40,"E5 Uso de recursos e economia circular")</f>
        <v>3</v>
      </c>
      <c r="C55" s="25">
        <f>COUNTIFS(Temas!$C$5:$C$40,"E5 Uso de recursos e economia circular",Temas!$T$5:$T$40,"&lt;&gt;Não material")</f>
        <v>2</v>
      </c>
      <c r="D55" s="25">
        <f>COUNTIFS(Temas!$C$5:$C$40,"E5 Uso de recursos e economia circular",Temas!$T$5:$T$40,"Dupla materialidade")</f>
        <v>2</v>
      </c>
      <c r="E55" s="26">
        <f>_xlfn.MAXIFS(Temas!$P$5:$P$40,Temas!$C$5:$C$40,"E5 Uso de recursos e economia circular")</f>
        <v>18.399999999999999</v>
      </c>
      <c r="F55" s="26">
        <f>_xlfn.MAXIFS(Temas!$Q$5:$Q$40,Temas!$C$5:$C$40,"E5 Uso de recursos e economia circular")</f>
        <v>20</v>
      </c>
      <c r="G55" s="24">
        <f>SUMIFS(Temas!$M$5:$M$40,Temas!$C$5:$C$40,"E5 Uso de recursos e economia circular")</f>
        <v>10</v>
      </c>
      <c r="H55" s="27">
        <f>SUMIFS(Temas!$Y$5:$Y$40,Temas!$C$5:$C$40,"E5 Uso de recursos e economia circular")</f>
        <v>292000</v>
      </c>
      <c r="I55" s="27">
        <f>SUMIFS(Temas!$Z$5:$Z$40,Temas!$C$5:$C$40,"E5 Uso de recursos e economia circular")</f>
        <v>93000</v>
      </c>
      <c r="J55" s="28">
        <f>IFERROR(AVERAGEIFS(Temas!$AA$5:$AA$40,Temas!$C$5:$C$40,"E5 Uso de recursos e economia circular"),"—")</f>
        <v>4.2233333333333336</v>
      </c>
    </row>
    <row r="56" spans="1:10" x14ac:dyDescent="0.3">
      <c r="A56" s="23" t="s">
        <v>133</v>
      </c>
      <c r="B56" s="24">
        <f>COUNTIFS(Temas!$C$5:$C$40,"S1 Trabalhadores próprios")</f>
        <v>4</v>
      </c>
      <c r="C56" s="25">
        <f>COUNTIFS(Temas!$C$5:$C$40,"S1 Trabalhadores próprios",Temas!$T$5:$T$40,"&lt;&gt;Não material")</f>
        <v>2</v>
      </c>
      <c r="D56" s="25">
        <f>COUNTIFS(Temas!$C$5:$C$40,"S1 Trabalhadores próprios",Temas!$T$5:$T$40,"Dupla materialidade")</f>
        <v>0</v>
      </c>
      <c r="E56" s="26">
        <f>_xlfn.MAXIFS(Temas!$P$5:$P$40,Temas!$C$5:$C$40,"S1 Trabalhadores próprios")</f>
        <v>20</v>
      </c>
      <c r="F56" s="26">
        <f>_xlfn.MAXIFS(Temas!$Q$5:$Q$40,Temas!$C$5:$C$40,"S1 Trabalhadores próprios")</f>
        <v>16</v>
      </c>
      <c r="G56" s="24">
        <f>SUMIFS(Temas!$M$5:$M$40,Temas!$C$5:$C$40,"S1 Trabalhadores próprios")</f>
        <v>8</v>
      </c>
      <c r="H56" s="27">
        <f>SUMIFS(Temas!$Y$5:$Y$40,Temas!$C$5:$C$40,"S1 Trabalhadores próprios")</f>
        <v>113500</v>
      </c>
      <c r="I56" s="27">
        <f>SUMIFS(Temas!$Z$5:$Z$40,Temas!$C$5:$C$40,"S1 Trabalhadores próprios")</f>
        <v>16000</v>
      </c>
      <c r="J56" s="28">
        <f>IFERROR(AVERAGEIFS(Temas!$AA$5:$AA$40,Temas!$C$5:$C$40,"S1 Trabalhadores próprios"),"—")</f>
        <v>3.625</v>
      </c>
    </row>
    <row r="57" spans="1:10" ht="26.4" x14ac:dyDescent="0.3">
      <c r="A57" s="23" t="s">
        <v>134</v>
      </c>
      <c r="B57" s="24">
        <f>COUNTIFS(Temas!$C$5:$C$40,"S2 Trabalhadores da cadeia de valor")</f>
        <v>1</v>
      </c>
      <c r="C57" s="25">
        <f>COUNTIFS(Temas!$C$5:$C$40,"S2 Trabalhadores da cadeia de valor",Temas!$T$5:$T$40,"&lt;&gt;Não material")</f>
        <v>0</v>
      </c>
      <c r="D57" s="25">
        <f>COUNTIFS(Temas!$C$5:$C$40,"S2 Trabalhadores da cadeia de valor",Temas!$T$5:$T$40,"Dupla materialidade")</f>
        <v>0</v>
      </c>
      <c r="E57" s="26">
        <f>_xlfn.MAXIFS(Temas!$P$5:$P$40,Temas!$C$5:$C$40,"S2 Trabalhadores da cadeia de valor")</f>
        <v>6.7</v>
      </c>
      <c r="F57" s="26">
        <f>_xlfn.MAXIFS(Temas!$Q$5:$Q$40,Temas!$C$5:$C$40,"S2 Trabalhadores da cadeia de valor")</f>
        <v>0</v>
      </c>
      <c r="G57" s="24">
        <f>SUMIFS(Temas!$M$5:$M$40,Temas!$C$5:$C$40,"S2 Trabalhadores da cadeia de valor")</f>
        <v>1</v>
      </c>
      <c r="H57" s="27">
        <f>SUMIFS(Temas!$Y$5:$Y$40,Temas!$C$5:$C$40,"S2 Trabalhadores da cadeia de valor")</f>
        <v>0</v>
      </c>
      <c r="I57" s="27">
        <f>SUMIFS(Temas!$Z$5:$Z$40,Temas!$C$5:$C$40,"S2 Trabalhadores da cadeia de valor")</f>
        <v>0</v>
      </c>
      <c r="J57" s="28">
        <f>IFERROR(AVERAGEIFS(Temas!$AA$5:$AA$40,Temas!$C$5:$C$40,"S2 Trabalhadores da cadeia de valor"),"—")</f>
        <v>3</v>
      </c>
    </row>
    <row r="58" spans="1:10" x14ac:dyDescent="0.3">
      <c r="A58" s="23" t="s">
        <v>135</v>
      </c>
      <c r="B58" s="24">
        <f>COUNTIFS(Temas!$C$5:$C$40,"S3 Comunidades afetadas")</f>
        <v>1</v>
      </c>
      <c r="C58" s="25">
        <f>COUNTIFS(Temas!$C$5:$C$40,"S3 Comunidades afetadas",Temas!$T$5:$T$40,"&lt;&gt;Não material")</f>
        <v>1</v>
      </c>
      <c r="D58" s="25">
        <f>COUNTIFS(Temas!$C$5:$C$40,"S3 Comunidades afetadas",Temas!$T$5:$T$40,"Dupla materialidade")</f>
        <v>0</v>
      </c>
      <c r="E58" s="26">
        <f>_xlfn.MAXIFS(Temas!$P$5:$P$40,Temas!$C$5:$C$40,"S3 Comunidades afetadas")</f>
        <v>12.5</v>
      </c>
      <c r="F58" s="26">
        <f>_xlfn.MAXIFS(Temas!$Q$5:$Q$40,Temas!$C$5:$C$40,"S3 Comunidades afetadas")</f>
        <v>0</v>
      </c>
      <c r="G58" s="24">
        <f>SUMIFS(Temas!$M$5:$M$40,Temas!$C$5:$C$40,"S3 Comunidades afetadas")</f>
        <v>3</v>
      </c>
      <c r="H58" s="27">
        <f>SUMIFS(Temas!$Y$5:$Y$40,Temas!$C$5:$C$40,"S3 Comunidades afetadas")</f>
        <v>0</v>
      </c>
      <c r="I58" s="27">
        <f>SUMIFS(Temas!$Z$5:$Z$40,Temas!$C$5:$C$40,"S3 Comunidades afetadas")</f>
        <v>0</v>
      </c>
      <c r="J58" s="28">
        <f>IFERROR(AVERAGEIFS(Temas!$AA$5:$AA$40,Temas!$C$5:$C$40,"S3 Comunidades afetadas"),"—")</f>
        <v>4</v>
      </c>
    </row>
    <row r="59" spans="1:10" ht="26.4" x14ac:dyDescent="0.3">
      <c r="A59" s="23" t="s">
        <v>136</v>
      </c>
      <c r="B59" s="24">
        <f>COUNTIFS(Temas!$C$5:$C$40,"S4 Consumidores e utilizadores finais")</f>
        <v>2</v>
      </c>
      <c r="C59" s="25">
        <f>COUNTIFS(Temas!$C$5:$C$40,"S4 Consumidores e utilizadores finais",Temas!$T$5:$T$40,"&lt;&gt;Não material")</f>
        <v>1</v>
      </c>
      <c r="D59" s="25">
        <f>COUNTIFS(Temas!$C$5:$C$40,"S4 Consumidores e utilizadores finais",Temas!$T$5:$T$40,"Dupla materialidade")</f>
        <v>1</v>
      </c>
      <c r="E59" s="26">
        <f>_xlfn.MAXIFS(Temas!$P$5:$P$40,Temas!$C$5:$C$40,"S4 Consumidores e utilizadores finais")</f>
        <v>20</v>
      </c>
      <c r="F59" s="26">
        <f>_xlfn.MAXIFS(Temas!$Q$5:$Q$40,Temas!$C$5:$C$40,"S4 Consumidores e utilizadores finais")</f>
        <v>15</v>
      </c>
      <c r="G59" s="24">
        <f>SUMIFS(Temas!$M$5:$M$40,Temas!$C$5:$C$40,"S4 Consumidores e utilizadores finais")</f>
        <v>4</v>
      </c>
      <c r="H59" s="27">
        <f>SUMIFS(Temas!$Y$5:$Y$40,Temas!$C$5:$C$40,"S4 Consumidores e utilizadores finais")</f>
        <v>140000</v>
      </c>
      <c r="I59" s="27">
        <f>SUMIFS(Temas!$Z$5:$Z$40,Temas!$C$5:$C$40,"S4 Consumidores e utilizadores finais")</f>
        <v>0</v>
      </c>
      <c r="J59" s="28">
        <f>IFERROR(AVERAGEIFS(Temas!$AA$5:$AA$40,Temas!$C$5:$C$40,"S4 Consumidores e utilizadores finais"),"—")</f>
        <v>4.5</v>
      </c>
    </row>
    <row r="60" spans="1:10" x14ac:dyDescent="0.3">
      <c r="A60" s="23" t="s">
        <v>137</v>
      </c>
      <c r="B60" s="24">
        <f>COUNTIFS(Temas!$C$5:$C$40,"G1 Conduta empresarial")</f>
        <v>2</v>
      </c>
      <c r="C60" s="25">
        <f>COUNTIFS(Temas!$C$5:$C$40,"G1 Conduta empresarial",Temas!$T$5:$T$40,"&lt;&gt;Não material")</f>
        <v>2</v>
      </c>
      <c r="D60" s="25">
        <f>COUNTIFS(Temas!$C$5:$C$40,"G1 Conduta empresarial",Temas!$T$5:$T$40,"Dupla materialidade")</f>
        <v>0</v>
      </c>
      <c r="E60" s="26">
        <f>_xlfn.MAXIFS(Temas!$P$5:$P$40,Temas!$C$5:$C$40,"G1 Conduta empresarial")</f>
        <v>7.5</v>
      </c>
      <c r="F60" s="26">
        <f>_xlfn.MAXIFS(Temas!$Q$5:$Q$40,Temas!$C$5:$C$40,"G1 Conduta empresarial")</f>
        <v>12</v>
      </c>
      <c r="G60" s="24">
        <f>SUMIFS(Temas!$M$5:$M$40,Temas!$C$5:$C$40,"G1 Conduta empresarial")</f>
        <v>4</v>
      </c>
      <c r="H60" s="27">
        <f>SUMIFS(Temas!$Y$5:$Y$40,Temas!$C$5:$C$40,"G1 Conduta empresarial")</f>
        <v>88000</v>
      </c>
      <c r="I60" s="27">
        <f>SUMIFS(Temas!$Z$5:$Z$40,Temas!$C$5:$C$40,"G1 Conduta empresarial")</f>
        <v>0</v>
      </c>
      <c r="J60" s="28">
        <f>IFERROR(AVERAGEIFS(Temas!$AA$5:$AA$40,Temas!$C$5:$C$40,"G1 Conduta empresarial"),"—")</f>
        <v>3.5</v>
      </c>
    </row>
    <row r="61" spans="1:10" x14ac:dyDescent="0.3">
      <c r="A61" s="23" t="s">
        <v>138</v>
      </c>
      <c r="B61" s="24">
        <f>COUNTIFS(Temas!$C$5:$C$40,"Específico da entidade")</f>
        <v>2</v>
      </c>
      <c r="C61" s="25">
        <f>COUNTIFS(Temas!$C$5:$C$40,"Específico da entidade",Temas!$T$5:$T$40,"&lt;&gt;Não material")</f>
        <v>2</v>
      </c>
      <c r="D61" s="25">
        <f>COUNTIFS(Temas!$C$5:$C$40,"Específico da entidade",Temas!$T$5:$T$40,"Dupla materialidade")</f>
        <v>0</v>
      </c>
      <c r="E61" s="26">
        <f>_xlfn.MAXIFS(Temas!$P$5:$P$40,Temas!$C$5:$C$40,"Específico da entidade")</f>
        <v>10</v>
      </c>
      <c r="F61" s="26">
        <f>_xlfn.MAXIFS(Temas!$Q$5:$Q$40,Temas!$C$5:$C$40,"Específico da entidade")</f>
        <v>20</v>
      </c>
      <c r="G61" s="24">
        <f>SUMIFS(Temas!$M$5:$M$40,Temas!$C$5:$C$40,"Específico da entidade")</f>
        <v>4</v>
      </c>
      <c r="H61" s="27">
        <f>SUMIFS(Temas!$Y$5:$Y$40,Temas!$C$5:$C$40,"Específico da entidade")</f>
        <v>174000</v>
      </c>
      <c r="I61" s="27">
        <f>SUMIFS(Temas!$Z$5:$Z$40,Temas!$C$5:$C$40,"Específico da entidade")</f>
        <v>32500</v>
      </c>
      <c r="J61" s="28">
        <f>IFERROR(AVERAGEIFS(Temas!$AA$5:$AA$40,Temas!$C$5:$C$40,"Específico da entidade"),"—")</f>
        <v>4.5</v>
      </c>
    </row>
    <row r="62" spans="1:10" x14ac:dyDescent="0.3">
      <c r="A62" s="29" t="s">
        <v>139</v>
      </c>
      <c r="B62" s="30">
        <f>SUM(B51:B61)</f>
        <v>24</v>
      </c>
      <c r="C62" s="30">
        <f>SUM(C51:C61)</f>
        <v>16</v>
      </c>
      <c r="D62" s="30">
        <f>SUM(D51:D61)</f>
        <v>6</v>
      </c>
      <c r="G62" s="30">
        <f>SUM(G51:G61)</f>
        <v>57</v>
      </c>
      <c r="H62" s="31">
        <f>SUM(H51:H61)</f>
        <v>1125250</v>
      </c>
      <c r="I62" s="31">
        <f>SUM(I51:I61)</f>
        <v>262250</v>
      </c>
    </row>
    <row r="64" spans="1:10" x14ac:dyDescent="0.3">
      <c r="A64" s="3" t="s">
        <v>140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ht="30" customHeight="1" x14ac:dyDescent="0.3">
      <c r="A65" s="10" t="s">
        <v>141</v>
      </c>
      <c r="B65" s="10" t="s">
        <v>95</v>
      </c>
      <c r="C65" s="10" t="s">
        <v>102</v>
      </c>
      <c r="D65" s="10" t="s">
        <v>101</v>
      </c>
      <c r="E65" s="10" t="s">
        <v>123</v>
      </c>
      <c r="F65" s="10" t="s">
        <v>124</v>
      </c>
      <c r="G65" s="10" t="s">
        <v>142</v>
      </c>
      <c r="H65" s="10" t="s">
        <v>143</v>
      </c>
      <c r="I65" s="10" t="s">
        <v>125</v>
      </c>
      <c r="J65" s="10" t="s">
        <v>144</v>
      </c>
    </row>
    <row r="66" spans="1:10" ht="52.8" x14ac:dyDescent="0.3">
      <c r="A66" s="23" t="str">
        <f>IFERROR(1&amp;". "&amp;INDEX(Temas!$E$5:$E$40,MATCH(1,Temas!$X$5:$X$40,0)),"")</f>
        <v>1. Reciclabilidade e conformidade PPWR das embalagens</v>
      </c>
      <c r="B66" s="32" t="str">
        <f>IFERROR(INDEX(Temas!$A$5:$A$40,MATCH(1,Temas!$X$5:$X$40,0))&amp;"","")</f>
        <v>DM-11</v>
      </c>
      <c r="C66" s="32" t="str">
        <f>IFERROR(INDEX(Temas!$C$5:$C$40,MATCH(1,Temas!$X$5:$X$40,0))&amp;"","")</f>
        <v>E5 Uso de recursos e economia circular</v>
      </c>
      <c r="D66" s="32" t="str">
        <f>IFERROR(INDEX(Temas!$B$5:$B$40,MATCH(1,Temas!$X$5:$X$40,0))&amp;"","")</f>
        <v>Ambiental</v>
      </c>
      <c r="E66" s="28">
        <f>IFERROR(INDEX(Temas!$P$5:$P$40,MATCH(1,Temas!$X$5:$X$40,0)),"")</f>
        <v>16.7</v>
      </c>
      <c r="F66" s="28">
        <f>IFERROR(INDEX(Temas!$Q$5:$Q$40,MATCH(1,Temas!$X$5:$X$40,0)),"")</f>
        <v>20</v>
      </c>
      <c r="G66" s="32" t="str">
        <f>IFERROR(INDEX(Temas!$T$5:$T$40,MATCH(1,Temas!$X$5:$X$40,0))&amp;"","")</f>
        <v>Dupla materialidade</v>
      </c>
      <c r="H66" s="28">
        <f>IFERROR(INDEX(Temas!$AA$5:$AA$40,MATCH(1,Temas!$X$5:$X$40,0)),"")</f>
        <v>4.67</v>
      </c>
      <c r="I66" s="27">
        <f>IFERROR(INDEX(Temas!$Y$5:$Y$40,MATCH(1,Temas!$X$5:$X$40,0)),"")</f>
        <v>227500</v>
      </c>
      <c r="J66" s="32" t="str">
        <f>IFERROR(INDEX(Temas!$AD$5:$AD$40,MATCH(1,Temas!$X$5:$X$40,0))&amp;"","")</f>
        <v>OK</v>
      </c>
    </row>
    <row r="67" spans="1:10" ht="52.8" x14ac:dyDescent="0.3">
      <c r="A67" s="23" t="str">
        <f>IFERROR(2&amp;". "&amp;INDEX(Temas!$E$5:$E$40,MATCH(2,Temas!$X$5:$X$40,0)),"")</f>
        <v>2. Segurança do produto (contacto alimentar, farmacêutico e cosmético)</v>
      </c>
      <c r="B67" s="32" t="str">
        <f>IFERROR(INDEX(Temas!$A$5:$A$40,MATCH(2,Temas!$X$5:$X$40,0))&amp;"","")</f>
        <v>DM-19</v>
      </c>
      <c r="C67" s="32" t="str">
        <f>IFERROR(INDEX(Temas!$C$5:$C$40,MATCH(2,Temas!$X$5:$X$40,0))&amp;"","")</f>
        <v>S4 Consumidores e utilizadores finais</v>
      </c>
      <c r="D67" s="32" t="str">
        <f>IFERROR(INDEX(Temas!$B$5:$B$40,MATCH(2,Temas!$X$5:$X$40,0))&amp;"","")</f>
        <v>Social</v>
      </c>
      <c r="E67" s="28">
        <f>IFERROR(INDEX(Temas!$P$5:$P$40,MATCH(2,Temas!$X$5:$X$40,0)),"")</f>
        <v>20</v>
      </c>
      <c r="F67" s="28">
        <f>IFERROR(INDEX(Temas!$Q$5:$Q$40,MATCH(2,Temas!$X$5:$X$40,0)),"")</f>
        <v>15</v>
      </c>
      <c r="G67" s="32" t="str">
        <f>IFERROR(INDEX(Temas!$T$5:$T$40,MATCH(2,Temas!$X$5:$X$40,0))&amp;"","")</f>
        <v>Dupla materialidade</v>
      </c>
      <c r="H67" s="28">
        <f>IFERROR(INDEX(Temas!$AA$5:$AA$40,MATCH(2,Temas!$X$5:$X$40,0)),"")</f>
        <v>5</v>
      </c>
      <c r="I67" s="27">
        <f>IFERROR(INDEX(Temas!$Y$5:$Y$40,MATCH(2,Temas!$X$5:$X$40,0)),"")</f>
        <v>120000</v>
      </c>
      <c r="J67" s="32" t="str">
        <f>IFERROR(INDEX(Temas!$AD$5:$AD$40,MATCH(2,Temas!$X$5:$X$40,0))&amp;"","")</f>
        <v>OK</v>
      </c>
    </row>
    <row r="68" spans="1:10" ht="26.4" x14ac:dyDescent="0.3">
      <c r="A68" s="23" t="str">
        <f>IFERROR(3&amp;". "&amp;INDEX(Temas!$E$5:$E$40,MATCH(3,Temas!$X$5:$X$40,0)),"")</f>
        <v>3. Emissões de GEE (âmbitos 1, 2 e 3)</v>
      </c>
      <c r="B68" s="32" t="str">
        <f>IFERROR(INDEX(Temas!$A$5:$A$40,MATCH(3,Temas!$X$5:$X$40,0))&amp;"","")</f>
        <v>DM-01</v>
      </c>
      <c r="C68" s="32" t="str">
        <f>IFERROR(INDEX(Temas!$C$5:$C$40,MATCH(3,Temas!$X$5:$X$40,0))&amp;"","")</f>
        <v>E1 Alterações climáticas</v>
      </c>
      <c r="D68" s="32" t="str">
        <f>IFERROR(INDEX(Temas!$B$5:$B$40,MATCH(3,Temas!$X$5:$X$40,0))&amp;"","")</f>
        <v>Ambiental</v>
      </c>
      <c r="E68" s="28">
        <f>IFERROR(INDEX(Temas!$P$5:$P$40,MATCH(3,Temas!$X$5:$X$40,0)),"")</f>
        <v>20</v>
      </c>
      <c r="F68" s="28">
        <f>IFERROR(INDEX(Temas!$Q$5:$Q$40,MATCH(3,Temas!$X$5:$X$40,0)),"")</f>
        <v>12</v>
      </c>
      <c r="G68" s="32" t="str">
        <f>IFERROR(INDEX(Temas!$T$5:$T$40,MATCH(3,Temas!$X$5:$X$40,0))&amp;"","")</f>
        <v>Dupla materialidade</v>
      </c>
      <c r="H68" s="28">
        <f>IFERROR(INDEX(Temas!$AA$5:$AA$40,MATCH(3,Temas!$X$5:$X$40,0)),"")</f>
        <v>4</v>
      </c>
      <c r="I68" s="27">
        <f>IFERROR(INDEX(Temas!$Y$5:$Y$40,MATCH(3,Temas!$X$5:$X$40,0)),"")</f>
        <v>60000</v>
      </c>
      <c r="J68" s="32" t="str">
        <f>IFERROR(INDEX(Temas!$AD$5:$AD$40,MATCH(3,Temas!$X$5:$X$40,0))&amp;"","")</f>
        <v>OK</v>
      </c>
    </row>
    <row r="69" spans="1:10" ht="26.4" x14ac:dyDescent="0.3">
      <c r="A69" s="23" t="str">
        <f>IFERROR(4&amp;". "&amp;INDEX(Temas!$E$5:$E$40,MATCH(4,Temas!$X$5:$X$40,0)),"")</f>
        <v>4. Consumo e eficiência energética</v>
      </c>
      <c r="B69" s="32" t="str">
        <f>IFERROR(INDEX(Temas!$A$5:$A$40,MATCH(4,Temas!$X$5:$X$40,0))&amp;"","")</f>
        <v>DM-02</v>
      </c>
      <c r="C69" s="32" t="str">
        <f>IFERROR(INDEX(Temas!$C$5:$C$40,MATCH(4,Temas!$X$5:$X$40,0))&amp;"","")</f>
        <v>E1 Alterações climáticas</v>
      </c>
      <c r="D69" s="32" t="str">
        <f>IFERROR(INDEX(Temas!$B$5:$B$40,MATCH(4,Temas!$X$5:$X$40,0))&amp;"","")</f>
        <v>Ambiental</v>
      </c>
      <c r="E69" s="28">
        <f>IFERROR(INDEX(Temas!$P$5:$P$40,MATCH(4,Temas!$X$5:$X$40,0)),"")</f>
        <v>15</v>
      </c>
      <c r="F69" s="28">
        <f>IFERROR(INDEX(Temas!$Q$5:$Q$40,MATCH(4,Temas!$X$5:$X$40,0)),"")</f>
        <v>16</v>
      </c>
      <c r="G69" s="32" t="str">
        <f>IFERROR(INDEX(Temas!$T$5:$T$40,MATCH(4,Temas!$X$5:$X$40,0))&amp;"","")</f>
        <v>Dupla materialidade</v>
      </c>
      <c r="H69" s="28">
        <f>IFERROR(INDEX(Temas!$AA$5:$AA$40,MATCH(4,Temas!$X$5:$X$40,0)),"")</f>
        <v>4.5</v>
      </c>
      <c r="I69" s="27">
        <f>IFERROR(INDEX(Temas!$Y$5:$Y$40,MATCH(4,Temas!$X$5:$X$40,0)),"")</f>
        <v>139750</v>
      </c>
      <c r="J69" s="32" t="str">
        <f>IFERROR(INDEX(Temas!$AD$5:$AD$40,MATCH(4,Temas!$X$5:$X$40,0))&amp;"","")</f>
        <v>OK</v>
      </c>
    </row>
    <row r="70" spans="1:10" x14ac:dyDescent="0.3">
      <c r="A70" s="23" t="str">
        <f>IFERROR(5&amp;". "&amp;INDEX(Temas!$E$5:$E$40,MATCH(5,Temas!$X$5:$X$40,0)),"")</f>
        <v>5. Perdas de granulado de plástico</v>
      </c>
      <c r="B70" s="32" t="str">
        <f>IFERROR(INDEX(Temas!$A$5:$A$40,MATCH(5,Temas!$X$5:$X$40,0))&amp;"","")</f>
        <v>DM-06</v>
      </c>
      <c r="C70" s="32" t="str">
        <f>IFERROR(INDEX(Temas!$C$5:$C$40,MATCH(5,Temas!$X$5:$X$40,0))&amp;"","")</f>
        <v>E2 Poluição</v>
      </c>
      <c r="D70" s="32" t="str">
        <f>IFERROR(INDEX(Temas!$B$5:$B$40,MATCH(5,Temas!$X$5:$X$40,0))&amp;"","")</f>
        <v>Ambiental</v>
      </c>
      <c r="E70" s="28">
        <f>IFERROR(INDEX(Temas!$P$5:$P$40,MATCH(5,Temas!$X$5:$X$40,0)),"")</f>
        <v>18.399999999999999</v>
      </c>
      <c r="F70" s="28">
        <f>IFERROR(INDEX(Temas!$Q$5:$Q$40,MATCH(5,Temas!$X$5:$X$40,0)),"")</f>
        <v>12</v>
      </c>
      <c r="G70" s="32" t="str">
        <f>IFERROR(INDEX(Temas!$T$5:$T$40,MATCH(5,Temas!$X$5:$X$40,0))&amp;"","")</f>
        <v>Dupla materialidade</v>
      </c>
      <c r="H70" s="28">
        <f>IFERROR(INDEX(Temas!$AA$5:$AA$40,MATCH(5,Temas!$X$5:$X$40,0)),"")</f>
        <v>3.5</v>
      </c>
      <c r="I70" s="27">
        <f>IFERROR(INDEX(Temas!$Y$5:$Y$40,MATCH(5,Temas!$X$5:$X$40,0)),"")</f>
        <v>19500</v>
      </c>
      <c r="J70" s="32" t="str">
        <f>IFERROR(INDEX(Temas!$AD$5:$AD$40,MATCH(5,Temas!$X$5:$X$40,0))&amp;"","")</f>
        <v>OK</v>
      </c>
    </row>
    <row r="71" spans="1:10" ht="52.8" x14ac:dyDescent="0.3">
      <c r="A71" s="23" t="str">
        <f>IFERROR(6&amp;". "&amp;INDEX(Temas!$E$5:$E$40,MATCH(6,Temas!$X$5:$X$40,0)),"")</f>
        <v>6. Polímeros virgens e conteúdo reciclado</v>
      </c>
      <c r="B71" s="32" t="str">
        <f>IFERROR(INDEX(Temas!$A$5:$A$40,MATCH(6,Temas!$X$5:$X$40,0))&amp;"","")</f>
        <v>DM-10</v>
      </c>
      <c r="C71" s="32" t="str">
        <f>IFERROR(INDEX(Temas!$C$5:$C$40,MATCH(6,Temas!$X$5:$X$40,0))&amp;"","")</f>
        <v>E5 Uso de recursos e economia circular</v>
      </c>
      <c r="D71" s="32" t="str">
        <f>IFERROR(INDEX(Temas!$B$5:$B$40,MATCH(6,Temas!$X$5:$X$40,0))&amp;"","")</f>
        <v>Ambiental</v>
      </c>
      <c r="E71" s="28">
        <f>IFERROR(INDEX(Temas!$P$5:$P$40,MATCH(6,Temas!$X$5:$X$40,0)),"")</f>
        <v>18.399999999999999</v>
      </c>
      <c r="F71" s="28">
        <f>IFERROR(INDEX(Temas!$Q$5:$Q$40,MATCH(6,Temas!$X$5:$X$40,0)),"")</f>
        <v>12</v>
      </c>
      <c r="G71" s="32" t="str">
        <f>IFERROR(INDEX(Temas!$T$5:$T$40,MATCH(6,Temas!$X$5:$X$40,0))&amp;"","")</f>
        <v>Dupla materialidade</v>
      </c>
      <c r="H71" s="28">
        <f>IFERROR(INDEX(Temas!$AA$5:$AA$40,MATCH(6,Temas!$X$5:$X$40,0)),"")</f>
        <v>4.5</v>
      </c>
      <c r="I71" s="27">
        <f>IFERROR(INDEX(Temas!$Y$5:$Y$40,MATCH(6,Temas!$X$5:$X$40,0)),"")</f>
        <v>58500</v>
      </c>
      <c r="J71" s="32" t="str">
        <f>IFERROR(INDEX(Temas!$AD$5:$AD$40,MATCH(6,Temas!$X$5:$X$40,0))&amp;"","")</f>
        <v>OK</v>
      </c>
    </row>
    <row r="72" spans="1:10" ht="26.4" x14ac:dyDescent="0.3">
      <c r="A72" s="23" t="str">
        <f>IFERROR(7&amp;". "&amp;INDEX(Temas!$E$5:$E$40,MATCH(7,Temas!$X$5:$X$40,0)),"")</f>
        <v>7. Qualidade do produto e custo da não-qualidade</v>
      </c>
      <c r="B72" s="32" t="str">
        <f>IFERROR(INDEX(Temas!$A$5:$A$40,MATCH(7,Temas!$X$5:$X$40,0))&amp;"","")</f>
        <v>DM-23</v>
      </c>
      <c r="C72" s="32" t="str">
        <f>IFERROR(INDEX(Temas!$C$5:$C$40,MATCH(7,Temas!$X$5:$X$40,0))&amp;"","")</f>
        <v>Específico da entidade</v>
      </c>
      <c r="D72" s="32" t="str">
        <f>IFERROR(INDEX(Temas!$B$5:$B$40,MATCH(7,Temas!$X$5:$X$40,0))&amp;"","")</f>
        <v>Governança</v>
      </c>
      <c r="E72" s="28">
        <f>IFERROR(INDEX(Temas!$P$5:$P$40,MATCH(7,Temas!$X$5:$X$40,0)),"")</f>
        <v>10</v>
      </c>
      <c r="F72" s="28">
        <f>IFERROR(INDEX(Temas!$Q$5:$Q$40,MATCH(7,Temas!$X$5:$X$40,0)),"")</f>
        <v>20</v>
      </c>
      <c r="G72" s="32" t="str">
        <f>IFERROR(INDEX(Temas!$T$5:$T$40,MATCH(7,Temas!$X$5:$X$40,0))&amp;"","")</f>
        <v>Material — financeira</v>
      </c>
      <c r="H72" s="28">
        <f>IFERROR(INDEX(Temas!$AA$5:$AA$40,MATCH(7,Temas!$X$5:$X$40,0)),"")</f>
        <v>5</v>
      </c>
      <c r="I72" s="27">
        <f>IFERROR(INDEX(Temas!$Y$5:$Y$40,MATCH(7,Temas!$X$5:$X$40,0)),"")</f>
        <v>162000</v>
      </c>
      <c r="J72" s="32" t="str">
        <f>IFERROR(INDEX(Temas!$AD$5:$AD$40,MATCH(7,Temas!$X$5:$X$40,0))&amp;"","")</f>
        <v>OK</v>
      </c>
    </row>
    <row r="73" spans="1:10" ht="39.6" x14ac:dyDescent="0.3">
      <c r="A73" s="23" t="str">
        <f>IFERROR(8&amp;". "&amp;INDEX(Temas!$E$5:$E$40,MATCH(8,Temas!$X$5:$X$40,0)),"")</f>
        <v>8. Condições de trabalho e disponibilidade de pessoas</v>
      </c>
      <c r="B73" s="32" t="str">
        <f>IFERROR(INDEX(Temas!$A$5:$A$40,MATCH(8,Temas!$X$5:$X$40,0))&amp;"","")</f>
        <v>DM-14</v>
      </c>
      <c r="C73" s="32" t="str">
        <f>IFERROR(INDEX(Temas!$C$5:$C$40,MATCH(8,Temas!$X$5:$X$40,0))&amp;"","")</f>
        <v>S1 Trabalhadores próprios</v>
      </c>
      <c r="D73" s="32" t="str">
        <f>IFERROR(INDEX(Temas!$B$5:$B$40,MATCH(8,Temas!$X$5:$X$40,0))&amp;"","")</f>
        <v>Social</v>
      </c>
      <c r="E73" s="28">
        <f>IFERROR(INDEX(Temas!$P$5:$P$40,MATCH(8,Temas!$X$5:$X$40,0)),"")</f>
        <v>11.7</v>
      </c>
      <c r="F73" s="28">
        <f>IFERROR(INDEX(Temas!$Q$5:$Q$40,MATCH(8,Temas!$X$5:$X$40,0)),"")</f>
        <v>16</v>
      </c>
      <c r="G73" s="32" t="str">
        <f>IFERROR(INDEX(Temas!$T$5:$T$40,MATCH(8,Temas!$X$5:$X$40,0))&amp;"","")</f>
        <v>Material — financeira</v>
      </c>
      <c r="H73" s="28">
        <f>IFERROR(INDEX(Temas!$AA$5:$AA$40,MATCH(8,Temas!$X$5:$X$40,0)),"")</f>
        <v>4</v>
      </c>
      <c r="I73" s="27">
        <f>IFERROR(INDEX(Temas!$Y$5:$Y$40,MATCH(8,Temas!$X$5:$X$40,0)),"")</f>
        <v>97500</v>
      </c>
      <c r="J73" s="32" t="str">
        <f>IFERROR(INDEX(Temas!$AD$5:$AD$40,MATCH(8,Temas!$X$5:$X$40,0))&amp;"","")</f>
        <v>OK</v>
      </c>
    </row>
    <row r="74" spans="1:10" ht="39.6" x14ac:dyDescent="0.3">
      <c r="A74" s="23" t="str">
        <f>IFERROR(9&amp;". "&amp;INDEX(Temas!$E$5:$E$40,MATCH(9,Temas!$X$5:$X$40,0)),"")</f>
        <v>9. Saúde e segurança no trabalho</v>
      </c>
      <c r="B74" s="32" t="str">
        <f>IFERROR(INDEX(Temas!$A$5:$A$40,MATCH(9,Temas!$X$5:$X$40,0))&amp;"","")</f>
        <v>DM-13</v>
      </c>
      <c r="C74" s="32" t="str">
        <f>IFERROR(INDEX(Temas!$C$5:$C$40,MATCH(9,Temas!$X$5:$X$40,0))&amp;"","")</f>
        <v>S1 Trabalhadores próprios</v>
      </c>
      <c r="D74" s="32" t="str">
        <f>IFERROR(INDEX(Temas!$B$5:$B$40,MATCH(9,Temas!$X$5:$X$40,0))&amp;"","")</f>
        <v>Social</v>
      </c>
      <c r="E74" s="28">
        <f>IFERROR(INDEX(Temas!$P$5:$P$40,MATCH(9,Temas!$X$5:$X$40,0)),"")</f>
        <v>20</v>
      </c>
      <c r="F74" s="28">
        <f>IFERROR(INDEX(Temas!$Q$5:$Q$40,MATCH(9,Temas!$X$5:$X$40,0)),"")</f>
        <v>6</v>
      </c>
      <c r="G74" s="32" t="str">
        <f>IFERROR(INDEX(Temas!$T$5:$T$40,MATCH(9,Temas!$X$5:$X$40,0))&amp;"","")</f>
        <v>Material — impacto</v>
      </c>
      <c r="H74" s="28">
        <f>IFERROR(INDEX(Temas!$AA$5:$AA$40,MATCH(9,Temas!$X$5:$X$40,0)),"")</f>
        <v>4.5</v>
      </c>
      <c r="I74" s="27">
        <f>IFERROR(INDEX(Temas!$Y$5:$Y$40,MATCH(9,Temas!$X$5:$X$40,0)),"")</f>
        <v>16000</v>
      </c>
      <c r="J74" s="32" t="str">
        <f>IFERROR(INDEX(Temas!$AD$5:$AD$40,MATCH(9,Temas!$X$5:$X$40,0))&amp;"","")</f>
        <v>OK</v>
      </c>
    </row>
    <row r="75" spans="1:10" ht="26.4" x14ac:dyDescent="0.3">
      <c r="A75" s="23" t="str">
        <f>IFERROR(10&amp;". "&amp;INDEX(Temas!$E$5:$E$40,MATCH(10,Temas!$X$5:$X$40,0)),"")</f>
        <v>10. Gestão e avaliação de fornecedores</v>
      </c>
      <c r="B75" s="32" t="str">
        <f>IFERROR(INDEX(Temas!$A$5:$A$40,MATCH(10,Temas!$X$5:$X$40,0))&amp;"","")</f>
        <v>DM-22</v>
      </c>
      <c r="C75" s="32" t="str">
        <f>IFERROR(INDEX(Temas!$C$5:$C$40,MATCH(10,Temas!$X$5:$X$40,0))&amp;"","")</f>
        <v>G1 Conduta empresarial</v>
      </c>
      <c r="D75" s="32" t="str">
        <f>IFERROR(INDEX(Temas!$B$5:$B$40,MATCH(10,Temas!$X$5:$X$40,0))&amp;"","")</f>
        <v>Governança</v>
      </c>
      <c r="E75" s="28">
        <f>IFERROR(INDEX(Temas!$P$5:$P$40,MATCH(10,Temas!$X$5:$X$40,0)),"")</f>
        <v>7.5</v>
      </c>
      <c r="F75" s="28">
        <f>IFERROR(INDEX(Temas!$Q$5:$Q$40,MATCH(10,Temas!$X$5:$X$40,0)),"")</f>
        <v>12</v>
      </c>
      <c r="G75" s="32" t="str">
        <f>IFERROR(INDEX(Temas!$T$5:$T$40,MATCH(10,Temas!$X$5:$X$40,0))&amp;"","")</f>
        <v>Material — financeira</v>
      </c>
      <c r="H75" s="28">
        <f>IFERROR(INDEX(Temas!$AA$5:$AA$40,MATCH(10,Temas!$X$5:$X$40,0)),"")</f>
        <v>3</v>
      </c>
      <c r="I75" s="27">
        <f>IFERROR(INDEX(Temas!$Y$5:$Y$40,MATCH(10,Temas!$X$5:$X$40,0)),"")</f>
        <v>40000</v>
      </c>
      <c r="J75" s="32" t="str">
        <f>IFERROR(INDEX(Temas!$AD$5:$AD$40,MATCH(10,Temas!$X$5:$X$40,0))&amp;"","")</f>
        <v>OK</v>
      </c>
    </row>
    <row r="76" spans="1:10" ht="39.6" x14ac:dyDescent="0.3">
      <c r="A76" s="23" t="str">
        <f>IFERROR(11&amp;". "&amp;INDEX(Temas!$E$5:$E$40,MATCH(11,Temas!$X$5:$X$40,0)),"")</f>
        <v>11. Formação e competências</v>
      </c>
      <c r="B76" s="32" t="str">
        <f>IFERROR(INDEX(Temas!$A$5:$A$40,MATCH(11,Temas!$X$5:$X$40,0))&amp;"","")</f>
        <v>DM-15</v>
      </c>
      <c r="C76" s="32" t="str">
        <f>IFERROR(INDEX(Temas!$C$5:$C$40,MATCH(11,Temas!$X$5:$X$40,0))&amp;"","")</f>
        <v>S1 Trabalhadores próprios</v>
      </c>
      <c r="D76" s="32" t="str">
        <f>IFERROR(INDEX(Temas!$B$5:$B$40,MATCH(11,Temas!$X$5:$X$40,0))&amp;"","")</f>
        <v>Social</v>
      </c>
      <c r="E76" s="28">
        <f>IFERROR(INDEX(Temas!$P$5:$P$40,MATCH(11,Temas!$X$5:$X$40,0)),"")</f>
        <v>10</v>
      </c>
      <c r="F76" s="28">
        <f>IFERROR(INDEX(Temas!$Q$5:$Q$40,MATCH(11,Temas!$X$5:$X$40,0)),"")</f>
        <v>9</v>
      </c>
      <c r="G76" s="32" t="str">
        <f>IFERROR(INDEX(Temas!$T$5:$T$40,MATCH(11,Temas!$X$5:$X$40,0))&amp;"","")</f>
        <v>Não material</v>
      </c>
      <c r="H76" s="28">
        <f>IFERROR(INDEX(Temas!$AA$5:$AA$40,MATCH(11,Temas!$X$5:$X$40,0)),"")</f>
        <v>4</v>
      </c>
      <c r="I76" s="27">
        <f>IFERROR(INDEX(Temas!$Y$5:$Y$40,MATCH(11,Temas!$X$5:$X$40,0)),"")</f>
        <v>0</v>
      </c>
      <c r="J76" s="32" t="str">
        <f>IFERROR(INDEX(Temas!$AD$5:$AD$40,MATCH(11,Temas!$X$5:$X$40,0))&amp;"","")</f>
        <v>Rever: relevância alta para as partes interessadas</v>
      </c>
    </row>
    <row r="77" spans="1:10" ht="52.8" x14ac:dyDescent="0.3">
      <c r="A77" s="23" t="str">
        <f>IFERROR(12&amp;". "&amp;INDEX(Temas!$E$5:$E$40,MATCH(12,Temas!$X$5:$X$40,0)),"")</f>
        <v>12. Resíduos da produção</v>
      </c>
      <c r="B77" s="32" t="str">
        <f>IFERROR(INDEX(Temas!$A$5:$A$40,MATCH(12,Temas!$X$5:$X$40,0))&amp;"","")</f>
        <v>DM-12</v>
      </c>
      <c r="C77" s="32" t="str">
        <f>IFERROR(INDEX(Temas!$C$5:$C$40,MATCH(12,Temas!$X$5:$X$40,0))&amp;"","")</f>
        <v>E5 Uso de recursos e economia circular</v>
      </c>
      <c r="D77" s="32" t="str">
        <f>IFERROR(INDEX(Temas!$B$5:$B$40,MATCH(12,Temas!$X$5:$X$40,0))&amp;"","")</f>
        <v>Ambiental</v>
      </c>
      <c r="E77" s="28">
        <f>IFERROR(INDEX(Temas!$P$5:$P$40,MATCH(12,Temas!$X$5:$X$40,0)),"")</f>
        <v>10</v>
      </c>
      <c r="F77" s="28">
        <f>IFERROR(INDEX(Temas!$Q$5:$Q$40,MATCH(12,Temas!$X$5:$X$40,0)),"")</f>
        <v>8</v>
      </c>
      <c r="G77" s="32" t="str">
        <f>IFERROR(INDEX(Temas!$T$5:$T$40,MATCH(12,Temas!$X$5:$X$40,0))&amp;"","")</f>
        <v>Não material</v>
      </c>
      <c r="H77" s="28">
        <f>IFERROR(INDEX(Temas!$AA$5:$AA$40,MATCH(12,Temas!$X$5:$X$40,0)),"")</f>
        <v>3.5</v>
      </c>
      <c r="I77" s="27">
        <f>IFERROR(INDEX(Temas!$Y$5:$Y$40,MATCH(12,Temas!$X$5:$X$40,0)),"")</f>
        <v>6000</v>
      </c>
      <c r="J77" s="32" t="str">
        <f>IFERROR(INDEX(Temas!$AD$5:$AD$40,MATCH(12,Temas!$X$5:$X$40,0))&amp;"","")</f>
        <v>OK</v>
      </c>
    </row>
    <row r="78" spans="1:10" ht="39.6" x14ac:dyDescent="0.3">
      <c r="A78" s="23" t="str">
        <f>IFERROR(13&amp;". "&amp;INDEX(Temas!$E$5:$E$40,MATCH(13,Temas!$X$5:$X$40,0)),"")</f>
        <v>13. Consumo de água</v>
      </c>
      <c r="B78" s="32" t="str">
        <f>IFERROR(INDEX(Temas!$A$5:$A$40,MATCH(13,Temas!$X$5:$X$40,0))&amp;"","")</f>
        <v>DM-08</v>
      </c>
      <c r="C78" s="32" t="str">
        <f>IFERROR(INDEX(Temas!$C$5:$C$40,MATCH(13,Temas!$X$5:$X$40,0))&amp;"","")</f>
        <v>E3 Água e recursos marinhos</v>
      </c>
      <c r="D78" s="32" t="str">
        <f>IFERROR(INDEX(Temas!$B$5:$B$40,MATCH(13,Temas!$X$5:$X$40,0))&amp;"","")</f>
        <v>Ambiental</v>
      </c>
      <c r="E78" s="28">
        <f>IFERROR(INDEX(Temas!$P$5:$P$40,MATCH(13,Temas!$X$5:$X$40,0)),"")</f>
        <v>11.7</v>
      </c>
      <c r="F78" s="28">
        <f>IFERROR(INDEX(Temas!$Q$5:$Q$40,MATCH(13,Temas!$X$5:$X$40,0)),"")</f>
        <v>6</v>
      </c>
      <c r="G78" s="32" t="str">
        <f>IFERROR(INDEX(Temas!$T$5:$T$40,MATCH(13,Temas!$X$5:$X$40,0))&amp;"","")</f>
        <v>Não material</v>
      </c>
      <c r="H78" s="28">
        <f>IFERROR(INDEX(Temas!$AA$5:$AA$40,MATCH(13,Temas!$X$5:$X$40,0)),"")</f>
        <v>3</v>
      </c>
      <c r="I78" s="27">
        <f>IFERROR(INDEX(Temas!$Y$5:$Y$40,MATCH(13,Temas!$X$5:$X$40,0)),"")</f>
        <v>8000</v>
      </c>
      <c r="J78" s="32" t="str">
        <f>IFERROR(INDEX(Temas!$AD$5:$AD$40,MATCH(13,Temas!$X$5:$X$40,0))&amp;"","")</f>
        <v>OK</v>
      </c>
    </row>
    <row r="79" spans="1:10" ht="26.4" x14ac:dyDescent="0.3">
      <c r="A79" s="23" t="str">
        <f>IFERROR(14&amp;". "&amp;INDEX(Temas!$E$5:$E$40,MATCH(14,Temas!$X$5:$X$40,0)),"")</f>
        <v>14. Emissões de COV da serigrafia</v>
      </c>
      <c r="B79" s="32" t="str">
        <f>IFERROR(INDEX(Temas!$A$5:$A$40,MATCH(14,Temas!$X$5:$X$40,0))&amp;"","")</f>
        <v>DM-04</v>
      </c>
      <c r="C79" s="32" t="str">
        <f>IFERROR(INDEX(Temas!$C$5:$C$40,MATCH(14,Temas!$X$5:$X$40,0))&amp;"","")</f>
        <v>E2 Poluição</v>
      </c>
      <c r="D79" s="32" t="str">
        <f>IFERROR(INDEX(Temas!$B$5:$B$40,MATCH(14,Temas!$X$5:$X$40,0))&amp;"","")</f>
        <v>Ambiental</v>
      </c>
      <c r="E79" s="28">
        <f>IFERROR(INDEX(Temas!$P$5:$P$40,MATCH(14,Temas!$X$5:$X$40,0)),"")</f>
        <v>13.4</v>
      </c>
      <c r="F79" s="28">
        <f>IFERROR(INDEX(Temas!$Q$5:$Q$40,MATCH(14,Temas!$X$5:$X$40,0)),"")</f>
        <v>4</v>
      </c>
      <c r="G79" s="32" t="str">
        <f>IFERROR(INDEX(Temas!$T$5:$T$40,MATCH(14,Temas!$X$5:$X$40,0))&amp;"","")</f>
        <v>Material — impacto</v>
      </c>
      <c r="H79" s="28">
        <f>IFERROR(INDEX(Temas!$AA$5:$AA$40,MATCH(14,Temas!$X$5:$X$40,0)),"")</f>
        <v>3</v>
      </c>
      <c r="I79" s="27">
        <f>IFERROR(INDEX(Temas!$Y$5:$Y$40,MATCH(14,Temas!$X$5:$X$40,0)),"")</f>
        <v>3000</v>
      </c>
      <c r="J79" s="32" t="str">
        <f>IFERROR(INDEX(Temas!$AD$5:$AD$40,MATCH(14,Temas!$X$5:$X$40,0))&amp;"","")</f>
        <v>OK</v>
      </c>
    </row>
    <row r="80" spans="1:10" ht="26.4" x14ac:dyDescent="0.3">
      <c r="A80" s="23" t="str">
        <f>IFERROR(15&amp;". "&amp;INDEX(Temas!$E$5:$E$40,MATCH(15,Temas!$X$5:$X$40,0)),"")</f>
        <v>15. Substâncias perigosas em tintas e aditivos</v>
      </c>
      <c r="B80" s="32" t="str">
        <f>IFERROR(INDEX(Temas!$A$5:$A$40,MATCH(15,Temas!$X$5:$X$40,0))&amp;"","")</f>
        <v>DM-07</v>
      </c>
      <c r="C80" s="32" t="str">
        <f>IFERROR(INDEX(Temas!$C$5:$C$40,MATCH(15,Temas!$X$5:$X$40,0))&amp;"","")</f>
        <v>E2 Poluição</v>
      </c>
      <c r="D80" s="32" t="str">
        <f>IFERROR(INDEX(Temas!$B$5:$B$40,MATCH(15,Temas!$X$5:$X$40,0))&amp;"","")</f>
        <v>Ambiental</v>
      </c>
      <c r="E80" s="28">
        <f>IFERROR(INDEX(Temas!$P$5:$P$40,MATCH(15,Temas!$X$5:$X$40,0)),"")</f>
        <v>8</v>
      </c>
      <c r="F80" s="28">
        <f>IFERROR(INDEX(Temas!$Q$5:$Q$40,MATCH(15,Temas!$X$5:$X$40,0)),"")</f>
        <v>9</v>
      </c>
      <c r="G80" s="32" t="str">
        <f>IFERROR(INDEX(Temas!$T$5:$T$40,MATCH(15,Temas!$X$5:$X$40,0))&amp;"","")</f>
        <v>Não material</v>
      </c>
      <c r="H80" s="28" t="str">
        <f>IFERROR(INDEX(Temas!$AA$5:$AA$40,MATCH(15,Temas!$X$5:$X$40,0)),"")</f>
        <v/>
      </c>
      <c r="I80" s="27">
        <f>IFERROR(INDEX(Temas!$Y$5:$Y$40,MATCH(15,Temas!$X$5:$X$40,0)),"")</f>
        <v>16000</v>
      </c>
      <c r="J80" s="32" t="str">
        <f>IFERROR(INDEX(Temas!$AD$5:$AD$40,MATCH(15,Temas!$X$5:$X$40,0))&amp;"","")</f>
        <v>OK</v>
      </c>
    </row>
    <row r="82" spans="1:10" x14ac:dyDescent="0.3">
      <c r="A82" s="3" t="s">
        <v>145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 ht="30" customHeight="1" x14ac:dyDescent="0.3">
      <c r="A83" s="10" t="s">
        <v>103</v>
      </c>
      <c r="B83" s="10" t="s">
        <v>146</v>
      </c>
      <c r="C83" s="10" t="s">
        <v>147</v>
      </c>
      <c r="D83" s="10" t="s">
        <v>148</v>
      </c>
      <c r="E83" s="10" t="s">
        <v>111</v>
      </c>
      <c r="F83" s="10" t="s">
        <v>110</v>
      </c>
      <c r="G83" s="10" t="s">
        <v>149</v>
      </c>
    </row>
    <row r="84" spans="1:10" x14ac:dyDescent="0.3">
      <c r="A84" s="23" t="s">
        <v>150</v>
      </c>
      <c r="B84" s="25">
        <f>COUNTIFS(IRO!$D$5:$D$91,$A$7,IRO!$E$5:$E$91,$B$7,IRO!$F$5:$F$91,$E$7,IRO!$J$5:$J$91,$A84,IRO!$K$5:$K$91,"Curto prazo (≤ 1 ano)",IRO!$AC$5:$AC$91,"Sim")</f>
        <v>3</v>
      </c>
      <c r="C84" s="25">
        <f>COUNTIFS(IRO!$D$5:$D$91,$A$7,IRO!$E$5:$E$91,$B$7,IRO!$F$5:$F$91,$E$7,IRO!$J$5:$J$91,$A84,IRO!$K$5:$K$91,"Médio prazo (1–5 anos)",IRO!$AC$5:$AC$91,"Sim")</f>
        <v>1</v>
      </c>
      <c r="D84" s="25">
        <f>COUNTIFS(IRO!$D$5:$D$91,$A$7,IRO!$E$5:$E$91,$B$7,IRO!$F$5:$F$91,$E$7,IRO!$J$5:$J$91,$A84,IRO!$K$5:$K$91,"Longo prazo (&gt; 5 anos)",IRO!$AC$5:$AC$91,"Sim")</f>
        <v>0</v>
      </c>
      <c r="E84" s="30">
        <f>SUM(B84:D84)</f>
        <v>4</v>
      </c>
      <c r="F84" s="24">
        <f>COUNTIFS(IRO!$D$5:$D$91,$A$7,IRO!$E$5:$E$91,$B$7,IRO!$F$5:$F$91,$E$7,IRO!$J$5:$J$91,$A84)</f>
        <v>7</v>
      </c>
      <c r="G84" s="33">
        <f>IFERROR(E84/F84,0)</f>
        <v>0.5714285714285714</v>
      </c>
    </row>
    <row r="85" spans="1:10" x14ac:dyDescent="0.3">
      <c r="A85" s="23" t="s">
        <v>151</v>
      </c>
      <c r="B85" s="25">
        <f>COUNTIFS(IRO!$D$5:$D$91,$A$7,IRO!$E$5:$E$91,$B$7,IRO!$F$5:$F$91,$E$7,IRO!$J$5:$J$91,$A85,IRO!$K$5:$K$91,"Curto prazo (≤ 1 ano)",IRO!$AC$5:$AC$91,"Sim")</f>
        <v>13</v>
      </c>
      <c r="C85" s="25">
        <f>COUNTIFS(IRO!$D$5:$D$91,$A$7,IRO!$E$5:$E$91,$B$7,IRO!$F$5:$F$91,$E$7,IRO!$J$5:$J$91,$A85,IRO!$K$5:$K$91,"Médio prazo (1–5 anos)",IRO!$AC$5:$AC$91,"Sim")</f>
        <v>3</v>
      </c>
      <c r="D85" s="25">
        <f>COUNTIFS(IRO!$D$5:$D$91,$A$7,IRO!$E$5:$E$91,$B$7,IRO!$F$5:$F$91,$E$7,IRO!$J$5:$J$91,$A85,IRO!$K$5:$K$91,"Longo prazo (&gt; 5 anos)",IRO!$AC$5:$AC$91,"Sim")</f>
        <v>0</v>
      </c>
      <c r="E85" s="30">
        <f>SUM(B85:D85)</f>
        <v>16</v>
      </c>
      <c r="F85" s="24">
        <f>COUNTIFS(IRO!$D$5:$D$91,$A$7,IRO!$E$5:$E$91,$B$7,IRO!$F$5:$F$91,$E$7,IRO!$J$5:$J$91,$A85)</f>
        <v>37</v>
      </c>
      <c r="G85" s="33">
        <f>IFERROR(E85/F85,0)</f>
        <v>0.43243243243243246</v>
      </c>
    </row>
    <row r="86" spans="1:10" x14ac:dyDescent="0.3">
      <c r="A86" s="23" t="s">
        <v>152</v>
      </c>
      <c r="B86" s="25">
        <f>COUNTIFS(IRO!$D$5:$D$91,$A$7,IRO!$E$5:$E$91,$B$7,IRO!$F$5:$F$91,$E$7,IRO!$J$5:$J$91,$A86,IRO!$K$5:$K$91,"Curto prazo (≤ 1 ano)",IRO!$AC$5:$AC$91,"Sim")</f>
        <v>0</v>
      </c>
      <c r="C86" s="25">
        <f>COUNTIFS(IRO!$D$5:$D$91,$A$7,IRO!$E$5:$E$91,$B$7,IRO!$F$5:$F$91,$E$7,IRO!$J$5:$J$91,$A86,IRO!$K$5:$K$91,"Médio prazo (1–5 anos)",IRO!$AC$5:$AC$91,"Sim")</f>
        <v>1</v>
      </c>
      <c r="D86" s="25">
        <f>COUNTIFS(IRO!$D$5:$D$91,$A$7,IRO!$E$5:$E$91,$B$7,IRO!$F$5:$F$91,$E$7,IRO!$J$5:$J$91,$A86,IRO!$K$5:$K$91,"Longo prazo (&gt; 5 anos)",IRO!$AC$5:$AC$91,"Sim")</f>
        <v>0</v>
      </c>
      <c r="E86" s="30">
        <f>SUM(B86:D86)</f>
        <v>1</v>
      </c>
      <c r="F86" s="24">
        <f>COUNTIFS(IRO!$D$5:$D$91,$A$7,IRO!$E$5:$E$91,$B$7,IRO!$F$5:$F$91,$E$7,IRO!$J$5:$J$91,$A86)</f>
        <v>2</v>
      </c>
      <c r="G86" s="33">
        <f>IFERROR(E86/F86,0)</f>
        <v>0.5</v>
      </c>
    </row>
    <row r="87" spans="1:10" x14ac:dyDescent="0.3">
      <c r="A87" s="23" t="s">
        <v>153</v>
      </c>
      <c r="B87" s="25">
        <f>COUNTIFS(IRO!$D$5:$D$91,$A$7,IRO!$E$5:$E$91,$B$7,IRO!$F$5:$F$91,$E$7,IRO!$J$5:$J$91,$A87,IRO!$K$5:$K$91,"Curto prazo (≤ 1 ano)",IRO!$AC$5:$AC$91,"Sim")</f>
        <v>3</v>
      </c>
      <c r="C87" s="25">
        <f>COUNTIFS(IRO!$D$5:$D$91,$A$7,IRO!$E$5:$E$91,$B$7,IRO!$F$5:$F$91,$E$7,IRO!$J$5:$J$91,$A87,IRO!$K$5:$K$91,"Médio prazo (1–5 anos)",IRO!$AC$5:$AC$91,"Sim")</f>
        <v>1</v>
      </c>
      <c r="D87" s="25">
        <f>COUNTIFS(IRO!$D$5:$D$91,$A$7,IRO!$E$5:$E$91,$B$7,IRO!$F$5:$F$91,$E$7,IRO!$J$5:$J$91,$A87,IRO!$K$5:$K$91,"Longo prazo (&gt; 5 anos)",IRO!$AC$5:$AC$91,"Sim")</f>
        <v>0</v>
      </c>
      <c r="E87" s="30">
        <f>SUM(B87:D87)</f>
        <v>4</v>
      </c>
      <c r="F87" s="24">
        <f>COUNTIFS(IRO!$D$5:$D$91,$A$7,IRO!$E$5:$E$91,$B$7,IRO!$F$5:$F$91,$E$7,IRO!$J$5:$J$91,$A87)</f>
        <v>7</v>
      </c>
      <c r="G87" s="33">
        <f>IFERROR(E87/F87,0)</f>
        <v>0.5714285714285714</v>
      </c>
    </row>
    <row r="88" spans="1:10" x14ac:dyDescent="0.3">
      <c r="A88" s="23" t="s">
        <v>154</v>
      </c>
      <c r="B88" s="25">
        <f>COUNTIFS(IRO!$D$5:$D$91,$A$7,IRO!$E$5:$E$91,$B$7,IRO!$F$5:$F$91,$E$7,IRO!$J$5:$J$91,$A88,IRO!$K$5:$K$91,"Curto prazo (≤ 1 ano)",IRO!$AC$5:$AC$91,"Sim")</f>
        <v>0</v>
      </c>
      <c r="C88" s="25">
        <f>COUNTIFS(IRO!$D$5:$D$91,$A$7,IRO!$E$5:$E$91,$B$7,IRO!$F$5:$F$91,$E$7,IRO!$J$5:$J$91,$A88,IRO!$K$5:$K$91,"Médio prazo (1–5 anos)",IRO!$AC$5:$AC$91,"Sim")</f>
        <v>1</v>
      </c>
      <c r="D88" s="25">
        <f>COUNTIFS(IRO!$D$5:$D$91,$A$7,IRO!$E$5:$E$91,$B$7,IRO!$F$5:$F$91,$E$7,IRO!$J$5:$J$91,$A88,IRO!$K$5:$K$91,"Longo prazo (&gt; 5 anos)",IRO!$AC$5:$AC$91,"Sim")</f>
        <v>1</v>
      </c>
      <c r="E88" s="30">
        <f>SUM(B88:D88)</f>
        <v>2</v>
      </c>
      <c r="F88" s="24">
        <f>COUNTIFS(IRO!$D$5:$D$91,$A$7,IRO!$E$5:$E$91,$B$7,IRO!$F$5:$F$91,$E$7,IRO!$J$5:$J$91,$A88)</f>
        <v>4</v>
      </c>
      <c r="G88" s="33">
        <f>IFERROR(E88/F88,0)</f>
        <v>0.5</v>
      </c>
    </row>
    <row r="91" spans="1:10" x14ac:dyDescent="0.3">
      <c r="A91" s="3" t="s">
        <v>155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 x14ac:dyDescent="0.3">
      <c r="A92" s="2" t="s">
        <v>156</v>
      </c>
    </row>
    <row r="94" spans="1:10" x14ac:dyDescent="0.3">
      <c r="C94" s="54" t="s">
        <v>394</v>
      </c>
      <c r="D94" s="54" t="s">
        <v>1409</v>
      </c>
    </row>
    <row r="95" spans="1:10" x14ac:dyDescent="0.3">
      <c r="C95" t="s">
        <v>1404</v>
      </c>
      <c r="E95" t="s">
        <v>98</v>
      </c>
      <c r="G95" t="s">
        <v>100</v>
      </c>
      <c r="I95" t="s">
        <v>1406</v>
      </c>
      <c r="J95" t="s">
        <v>1407</v>
      </c>
    </row>
    <row r="96" spans="1:10" x14ac:dyDescent="0.3">
      <c r="A96" s="54" t="s">
        <v>160</v>
      </c>
      <c r="B96" s="54" t="s">
        <v>141</v>
      </c>
      <c r="C96" t="s">
        <v>1405</v>
      </c>
      <c r="D96" t="s">
        <v>1408</v>
      </c>
      <c r="E96" t="s">
        <v>1405</v>
      </c>
      <c r="F96" t="s">
        <v>1408</v>
      </c>
      <c r="G96" t="s">
        <v>1405</v>
      </c>
      <c r="H96" t="s">
        <v>1408</v>
      </c>
    </row>
    <row r="97" spans="1:10" x14ac:dyDescent="0.3">
      <c r="A97" t="s">
        <v>128</v>
      </c>
      <c r="B97" t="s">
        <v>200</v>
      </c>
      <c r="C97" s="55">
        <v>3</v>
      </c>
      <c r="D97" s="56">
        <v>-19000</v>
      </c>
      <c r="E97" s="55">
        <v>1</v>
      </c>
      <c r="F97" s="56">
        <v>0</v>
      </c>
      <c r="G97" s="55"/>
      <c r="H97" s="56"/>
      <c r="I97" s="55">
        <v>4</v>
      </c>
      <c r="J97" s="56">
        <v>-19000</v>
      </c>
    </row>
    <row r="98" spans="1:10" x14ac:dyDescent="0.3">
      <c r="B98" t="s">
        <v>191</v>
      </c>
      <c r="C98" s="55">
        <v>1</v>
      </c>
      <c r="D98" s="56">
        <v>-60000</v>
      </c>
      <c r="E98" s="55">
        <v>2</v>
      </c>
      <c r="F98" s="56">
        <v>0</v>
      </c>
      <c r="G98" s="55">
        <v>1</v>
      </c>
      <c r="H98" s="56">
        <v>0</v>
      </c>
      <c r="I98" s="55">
        <v>4</v>
      </c>
      <c r="J98" s="56">
        <v>-60000</v>
      </c>
    </row>
    <row r="99" spans="1:10" x14ac:dyDescent="0.3">
      <c r="B99" t="s">
        <v>208</v>
      </c>
      <c r="C99" s="55">
        <v>1</v>
      </c>
      <c r="D99" s="56">
        <v>-39000</v>
      </c>
      <c r="E99" s="55"/>
      <c r="F99" s="56"/>
      <c r="G99" s="55">
        <v>1</v>
      </c>
      <c r="H99" s="56">
        <v>-20000</v>
      </c>
      <c r="I99" s="55">
        <v>2</v>
      </c>
      <c r="J99" s="56">
        <v>-59000</v>
      </c>
    </row>
    <row r="100" spans="1:10" x14ac:dyDescent="0.3">
      <c r="A100" t="s">
        <v>1410</v>
      </c>
      <c r="C100" s="55">
        <v>5</v>
      </c>
      <c r="D100" s="56">
        <v>-118000</v>
      </c>
      <c r="E100" s="55">
        <v>3</v>
      </c>
      <c r="F100" s="56">
        <v>0</v>
      </c>
      <c r="G100" s="55">
        <v>2</v>
      </c>
      <c r="H100" s="56">
        <v>-20000</v>
      </c>
      <c r="I100" s="55">
        <v>10</v>
      </c>
      <c r="J100" s="56">
        <v>-138000</v>
      </c>
    </row>
    <row r="101" spans="1:10" x14ac:dyDescent="0.3">
      <c r="A101" t="s">
        <v>129</v>
      </c>
      <c r="B101" t="s">
        <v>223</v>
      </c>
      <c r="C101" s="55"/>
      <c r="D101" s="56"/>
      <c r="E101" s="55"/>
      <c r="F101" s="56"/>
      <c r="G101" s="55">
        <v>3</v>
      </c>
      <c r="H101" s="56">
        <v>-12500</v>
      </c>
      <c r="I101" s="55">
        <v>3</v>
      </c>
      <c r="J101" s="56">
        <v>-12500</v>
      </c>
    </row>
    <row r="102" spans="1:10" x14ac:dyDescent="0.3">
      <c r="B102" t="s">
        <v>216</v>
      </c>
      <c r="C102" s="55"/>
      <c r="D102" s="56"/>
      <c r="E102" s="55">
        <v>1</v>
      </c>
      <c r="F102" s="56">
        <v>0</v>
      </c>
      <c r="G102" s="55">
        <v>1</v>
      </c>
      <c r="H102" s="56">
        <v>-3000</v>
      </c>
      <c r="I102" s="55">
        <v>2</v>
      </c>
      <c r="J102" s="56">
        <v>-3000</v>
      </c>
    </row>
    <row r="103" spans="1:10" x14ac:dyDescent="0.3">
      <c r="B103" t="s">
        <v>230</v>
      </c>
      <c r="C103" s="55">
        <v>1</v>
      </c>
      <c r="D103" s="56">
        <v>-19500</v>
      </c>
      <c r="E103" s="55">
        <v>1</v>
      </c>
      <c r="F103" s="56">
        <v>0</v>
      </c>
      <c r="G103" s="55"/>
      <c r="H103" s="56"/>
      <c r="I103" s="55">
        <v>2</v>
      </c>
      <c r="J103" s="56">
        <v>-19500</v>
      </c>
    </row>
    <row r="104" spans="1:10" x14ac:dyDescent="0.3">
      <c r="B104" t="s">
        <v>237</v>
      </c>
      <c r="C104" s="55"/>
      <c r="D104" s="56"/>
      <c r="E104" s="55"/>
      <c r="F104" s="56"/>
      <c r="G104" s="55">
        <v>2</v>
      </c>
      <c r="H104" s="56">
        <v>-16000</v>
      </c>
      <c r="I104" s="55">
        <v>2</v>
      </c>
      <c r="J104" s="56">
        <v>-16000</v>
      </c>
    </row>
    <row r="105" spans="1:10" x14ac:dyDescent="0.3">
      <c r="A105" t="s">
        <v>1411</v>
      </c>
      <c r="C105" s="55">
        <v>1</v>
      </c>
      <c r="D105" s="56">
        <v>-19500</v>
      </c>
      <c r="E105" s="55">
        <v>2</v>
      </c>
      <c r="F105" s="56">
        <v>0</v>
      </c>
      <c r="G105" s="55">
        <v>6</v>
      </c>
      <c r="H105" s="56">
        <v>-31500</v>
      </c>
      <c r="I105" s="55">
        <v>9</v>
      </c>
      <c r="J105" s="56">
        <v>-51000</v>
      </c>
    </row>
    <row r="106" spans="1:10" x14ac:dyDescent="0.3">
      <c r="A106" t="s">
        <v>130</v>
      </c>
      <c r="B106" t="s">
        <v>245</v>
      </c>
      <c r="C106" s="55"/>
      <c r="D106" s="56"/>
      <c r="E106" s="55"/>
      <c r="F106" s="56"/>
      <c r="G106" s="55">
        <v>2</v>
      </c>
      <c r="H106" s="56">
        <v>-8000</v>
      </c>
      <c r="I106" s="55">
        <v>2</v>
      </c>
      <c r="J106" s="56">
        <v>-8000</v>
      </c>
    </row>
    <row r="107" spans="1:10" x14ac:dyDescent="0.3">
      <c r="A107" t="s">
        <v>1412</v>
      </c>
      <c r="C107" s="55"/>
      <c r="D107" s="56"/>
      <c r="E107" s="55"/>
      <c r="F107" s="56"/>
      <c r="G107" s="55">
        <v>2</v>
      </c>
      <c r="H107" s="56">
        <v>-8000</v>
      </c>
      <c r="I107" s="55">
        <v>2</v>
      </c>
      <c r="J107" s="56">
        <v>-8000</v>
      </c>
    </row>
    <row r="108" spans="1:10" x14ac:dyDescent="0.3">
      <c r="A108" t="s">
        <v>131</v>
      </c>
      <c r="B108" t="s">
        <v>253</v>
      </c>
      <c r="C108" s="55"/>
      <c r="D108" s="56"/>
      <c r="E108" s="55">
        <v>1</v>
      </c>
      <c r="F108" s="56">
        <v>0</v>
      </c>
      <c r="G108" s="55">
        <v>1</v>
      </c>
      <c r="H108" s="56">
        <v>0</v>
      </c>
      <c r="I108" s="55">
        <v>2</v>
      </c>
      <c r="J108" s="56">
        <v>0</v>
      </c>
    </row>
    <row r="109" spans="1:10" x14ac:dyDescent="0.3">
      <c r="A109" t="s">
        <v>1413</v>
      </c>
      <c r="C109" s="55"/>
      <c r="D109" s="56"/>
      <c r="E109" s="55">
        <v>1</v>
      </c>
      <c r="F109" s="56">
        <v>0</v>
      </c>
      <c r="G109" s="55">
        <v>1</v>
      </c>
      <c r="H109" s="56">
        <v>0</v>
      </c>
      <c r="I109" s="55">
        <v>2</v>
      </c>
      <c r="J109" s="56">
        <v>0</v>
      </c>
    </row>
    <row r="110" spans="1:10" x14ac:dyDescent="0.3">
      <c r="A110" t="s">
        <v>132</v>
      </c>
      <c r="B110" t="s">
        <v>260</v>
      </c>
      <c r="C110" s="55">
        <v>1</v>
      </c>
      <c r="D110" s="56">
        <v>-58500</v>
      </c>
      <c r="E110" s="55">
        <v>1</v>
      </c>
      <c r="F110" s="56">
        <v>0</v>
      </c>
      <c r="G110" s="55">
        <v>1</v>
      </c>
      <c r="H110" s="56">
        <v>7800</v>
      </c>
      <c r="I110" s="55">
        <v>3</v>
      </c>
      <c r="J110" s="56">
        <v>-50700</v>
      </c>
    </row>
    <row r="111" spans="1:10" x14ac:dyDescent="0.3">
      <c r="B111" t="s">
        <v>268</v>
      </c>
      <c r="C111" s="55">
        <v>2</v>
      </c>
      <c r="D111" s="56">
        <v>-147500</v>
      </c>
      <c r="E111" s="55">
        <v>1</v>
      </c>
      <c r="F111" s="56">
        <v>0</v>
      </c>
      <c r="G111" s="55">
        <v>1</v>
      </c>
      <c r="H111" s="56">
        <v>0</v>
      </c>
      <c r="I111" s="55">
        <v>4</v>
      </c>
      <c r="J111" s="56">
        <v>-147500</v>
      </c>
    </row>
    <row r="112" spans="1:10" x14ac:dyDescent="0.3">
      <c r="B112" t="s">
        <v>275</v>
      </c>
      <c r="C112" s="55"/>
      <c r="D112" s="56"/>
      <c r="E112" s="55"/>
      <c r="F112" s="56"/>
      <c r="G112" s="55">
        <v>3</v>
      </c>
      <c r="H112" s="56">
        <v>-800</v>
      </c>
      <c r="I112" s="55">
        <v>3</v>
      </c>
      <c r="J112" s="56">
        <v>-800</v>
      </c>
    </row>
    <row r="113" spans="1:10" x14ac:dyDescent="0.3">
      <c r="A113" t="s">
        <v>1414</v>
      </c>
      <c r="C113" s="55">
        <v>3</v>
      </c>
      <c r="D113" s="56">
        <v>-206000</v>
      </c>
      <c r="E113" s="55">
        <v>2</v>
      </c>
      <c r="F113" s="56">
        <v>0</v>
      </c>
      <c r="G113" s="55">
        <v>5</v>
      </c>
      <c r="H113" s="56">
        <v>7000</v>
      </c>
      <c r="I113" s="55">
        <v>10</v>
      </c>
      <c r="J113" s="56">
        <v>-199000</v>
      </c>
    </row>
    <row r="114" spans="1:10" x14ac:dyDescent="0.3">
      <c r="A114" t="s">
        <v>138</v>
      </c>
      <c r="B114" t="s">
        <v>363</v>
      </c>
      <c r="C114" s="55">
        <v>1</v>
      </c>
      <c r="D114" s="56">
        <v>32500</v>
      </c>
      <c r="E114" s="55"/>
      <c r="F114" s="56"/>
      <c r="G114" s="55">
        <v>1</v>
      </c>
      <c r="H114" s="56">
        <v>-12000</v>
      </c>
      <c r="I114" s="55">
        <v>2</v>
      </c>
      <c r="J114" s="56">
        <v>20500</v>
      </c>
    </row>
    <row r="115" spans="1:10" x14ac:dyDescent="0.3">
      <c r="B115" t="s">
        <v>356</v>
      </c>
      <c r="C115" s="55">
        <v>1</v>
      </c>
      <c r="D115" s="56">
        <v>-162000</v>
      </c>
      <c r="E115" s="55"/>
      <c r="F115" s="56"/>
      <c r="G115" s="55">
        <v>1</v>
      </c>
      <c r="H115" s="56">
        <v>0</v>
      </c>
      <c r="I115" s="55">
        <v>2</v>
      </c>
      <c r="J115" s="56">
        <v>-162000</v>
      </c>
    </row>
    <row r="116" spans="1:10" x14ac:dyDescent="0.3">
      <c r="A116" t="s">
        <v>1415</v>
      </c>
      <c r="C116" s="55">
        <v>2</v>
      </c>
      <c r="D116" s="56">
        <v>-129500</v>
      </c>
      <c r="E116" s="55"/>
      <c r="F116" s="56"/>
      <c r="G116" s="55">
        <v>2</v>
      </c>
      <c r="H116" s="56">
        <v>-12000</v>
      </c>
      <c r="I116" s="55">
        <v>4</v>
      </c>
      <c r="J116" s="56">
        <v>-141500</v>
      </c>
    </row>
    <row r="117" spans="1:10" x14ac:dyDescent="0.3">
      <c r="A117" t="s">
        <v>137</v>
      </c>
      <c r="B117" t="s">
        <v>341</v>
      </c>
      <c r="C117" s="55">
        <v>1</v>
      </c>
      <c r="D117" s="56">
        <v>-48000</v>
      </c>
      <c r="E117" s="55"/>
      <c r="F117" s="56"/>
      <c r="G117" s="55">
        <v>1</v>
      </c>
      <c r="H117" s="56">
        <v>0</v>
      </c>
      <c r="I117" s="55">
        <v>2</v>
      </c>
      <c r="J117" s="56">
        <v>-48000</v>
      </c>
    </row>
    <row r="118" spans="1:10" x14ac:dyDescent="0.3">
      <c r="B118" t="s">
        <v>349</v>
      </c>
      <c r="C118" s="55">
        <v>1</v>
      </c>
      <c r="D118" s="56">
        <v>-40000</v>
      </c>
      <c r="E118" s="55"/>
      <c r="F118" s="56"/>
      <c r="G118" s="55">
        <v>1</v>
      </c>
      <c r="H118" s="56">
        <v>0</v>
      </c>
      <c r="I118" s="55">
        <v>2</v>
      </c>
      <c r="J118" s="56">
        <v>-40000</v>
      </c>
    </row>
    <row r="119" spans="1:10" x14ac:dyDescent="0.3">
      <c r="A119" t="s">
        <v>1416</v>
      </c>
      <c r="C119" s="55">
        <v>2</v>
      </c>
      <c r="D119" s="56">
        <v>-88000</v>
      </c>
      <c r="E119" s="55"/>
      <c r="F119" s="56"/>
      <c r="G119" s="55">
        <v>2</v>
      </c>
      <c r="H119" s="56">
        <v>0</v>
      </c>
      <c r="I119" s="55">
        <v>4</v>
      </c>
      <c r="J119" s="56">
        <v>-88000</v>
      </c>
    </row>
    <row r="120" spans="1:10" x14ac:dyDescent="0.3">
      <c r="A120" t="s">
        <v>133</v>
      </c>
      <c r="B120" t="s">
        <v>290</v>
      </c>
      <c r="C120" s="55">
        <v>1</v>
      </c>
      <c r="D120" s="56">
        <v>-97500</v>
      </c>
      <c r="E120" s="55"/>
      <c r="F120" s="56"/>
      <c r="G120" s="55">
        <v>1</v>
      </c>
      <c r="H120" s="56">
        <v>0</v>
      </c>
      <c r="I120" s="55">
        <v>2</v>
      </c>
      <c r="J120" s="56">
        <v>-97500</v>
      </c>
    </row>
    <row r="121" spans="1:10" x14ac:dyDescent="0.3">
      <c r="B121" t="s">
        <v>297</v>
      </c>
      <c r="C121" s="55"/>
      <c r="D121" s="56"/>
      <c r="E121" s="55"/>
      <c r="F121" s="56"/>
      <c r="G121" s="55">
        <v>2</v>
      </c>
      <c r="H121" s="56">
        <v>16000</v>
      </c>
      <c r="I121" s="55">
        <v>2</v>
      </c>
      <c r="J121" s="56">
        <v>16000</v>
      </c>
    </row>
    <row r="122" spans="1:10" x14ac:dyDescent="0.3">
      <c r="B122" t="s">
        <v>304</v>
      </c>
      <c r="C122" s="55"/>
      <c r="D122" s="56"/>
      <c r="E122" s="55"/>
      <c r="F122" s="56"/>
      <c r="G122" s="55">
        <v>1</v>
      </c>
      <c r="H122" s="56">
        <v>0</v>
      </c>
      <c r="I122" s="55">
        <v>1</v>
      </c>
      <c r="J122" s="56">
        <v>0</v>
      </c>
    </row>
    <row r="123" spans="1:10" x14ac:dyDescent="0.3">
      <c r="B123" t="s">
        <v>282</v>
      </c>
      <c r="C123" s="55"/>
      <c r="D123" s="56"/>
      <c r="E123" s="55">
        <v>2</v>
      </c>
      <c r="F123" s="56">
        <v>0</v>
      </c>
      <c r="G123" s="55">
        <v>1</v>
      </c>
      <c r="H123" s="56">
        <v>-16000</v>
      </c>
      <c r="I123" s="55">
        <v>3</v>
      </c>
      <c r="J123" s="56">
        <v>-16000</v>
      </c>
    </row>
    <row r="124" spans="1:10" x14ac:dyDescent="0.3">
      <c r="A124" t="s">
        <v>1417</v>
      </c>
      <c r="C124" s="55">
        <v>1</v>
      </c>
      <c r="D124" s="56">
        <v>-97500</v>
      </c>
      <c r="E124" s="55">
        <v>2</v>
      </c>
      <c r="F124" s="56">
        <v>0</v>
      </c>
      <c r="G124" s="55">
        <v>5</v>
      </c>
      <c r="H124" s="56">
        <v>0</v>
      </c>
      <c r="I124" s="55">
        <v>8</v>
      </c>
      <c r="J124" s="56">
        <v>-97500</v>
      </c>
    </row>
    <row r="125" spans="1:10" x14ac:dyDescent="0.3">
      <c r="A125" t="s">
        <v>134</v>
      </c>
      <c r="B125" t="s">
        <v>312</v>
      </c>
      <c r="C125" s="55"/>
      <c r="D125" s="56"/>
      <c r="E125" s="55"/>
      <c r="F125" s="56"/>
      <c r="G125" s="55">
        <v>1</v>
      </c>
      <c r="H125" s="56">
        <v>0</v>
      </c>
      <c r="I125" s="55">
        <v>1</v>
      </c>
      <c r="J125" s="56">
        <v>0</v>
      </c>
    </row>
    <row r="126" spans="1:10" x14ac:dyDescent="0.3">
      <c r="A126" t="s">
        <v>1418</v>
      </c>
      <c r="C126" s="55"/>
      <c r="D126" s="56"/>
      <c r="E126" s="55"/>
      <c r="F126" s="56"/>
      <c r="G126" s="55">
        <v>1</v>
      </c>
      <c r="H126" s="56">
        <v>0</v>
      </c>
      <c r="I126" s="55">
        <v>1</v>
      </c>
      <c r="J126" s="56">
        <v>0</v>
      </c>
    </row>
    <row r="127" spans="1:10" x14ac:dyDescent="0.3">
      <c r="A127" t="s">
        <v>135</v>
      </c>
      <c r="B127" t="s">
        <v>319</v>
      </c>
      <c r="C127" s="55"/>
      <c r="D127" s="56"/>
      <c r="E127" s="55">
        <v>1</v>
      </c>
      <c r="F127" s="56">
        <v>0</v>
      </c>
      <c r="G127" s="55">
        <v>2</v>
      </c>
      <c r="H127" s="56">
        <v>0</v>
      </c>
      <c r="I127" s="55">
        <v>3</v>
      </c>
      <c r="J127" s="56">
        <v>0</v>
      </c>
    </row>
    <row r="128" spans="1:10" x14ac:dyDescent="0.3">
      <c r="A128" t="s">
        <v>1419</v>
      </c>
      <c r="C128" s="55"/>
      <c r="D128" s="56"/>
      <c r="E128" s="55">
        <v>1</v>
      </c>
      <c r="F128" s="56">
        <v>0</v>
      </c>
      <c r="G128" s="55">
        <v>2</v>
      </c>
      <c r="H128" s="56">
        <v>0</v>
      </c>
      <c r="I128" s="55">
        <v>3</v>
      </c>
      <c r="J128" s="56">
        <v>0</v>
      </c>
    </row>
    <row r="129" spans="1:10" x14ac:dyDescent="0.3">
      <c r="A129" t="s">
        <v>136</v>
      </c>
      <c r="B129" t="s">
        <v>333</v>
      </c>
      <c r="C129" s="55"/>
      <c r="D129" s="56"/>
      <c r="E129" s="55"/>
      <c r="F129" s="56"/>
      <c r="G129" s="55">
        <v>2</v>
      </c>
      <c r="H129" s="56">
        <v>-20000</v>
      </c>
      <c r="I129" s="55">
        <v>2</v>
      </c>
      <c r="J129" s="56">
        <v>-20000</v>
      </c>
    </row>
    <row r="130" spans="1:10" x14ac:dyDescent="0.3">
      <c r="B130" t="s">
        <v>326</v>
      </c>
      <c r="C130" s="55">
        <v>1</v>
      </c>
      <c r="D130" s="56">
        <v>-120000</v>
      </c>
      <c r="E130" s="55">
        <v>1</v>
      </c>
      <c r="F130" s="56">
        <v>0</v>
      </c>
      <c r="G130" s="55"/>
      <c r="H130" s="56"/>
      <c r="I130" s="55">
        <v>2</v>
      </c>
      <c r="J130" s="56">
        <v>-120000</v>
      </c>
    </row>
    <row r="131" spans="1:10" x14ac:dyDescent="0.3">
      <c r="A131" t="s">
        <v>1420</v>
      </c>
      <c r="C131" s="55">
        <v>1</v>
      </c>
      <c r="D131" s="56">
        <v>-120000</v>
      </c>
      <c r="E131" s="55">
        <v>1</v>
      </c>
      <c r="F131" s="56">
        <v>0</v>
      </c>
      <c r="G131" s="55">
        <v>2</v>
      </c>
      <c r="H131" s="56">
        <v>-20000</v>
      </c>
      <c r="I131" s="55">
        <v>4</v>
      </c>
      <c r="J131" s="56">
        <v>-140000</v>
      </c>
    </row>
    <row r="132" spans="1:10" x14ac:dyDescent="0.3">
      <c r="A132" t="s">
        <v>1403</v>
      </c>
      <c r="C132" s="55">
        <v>15</v>
      </c>
      <c r="D132" s="56">
        <v>-778500</v>
      </c>
      <c r="E132" s="55">
        <v>12</v>
      </c>
      <c r="F132" s="56">
        <v>0</v>
      </c>
      <c r="G132" s="55">
        <v>30</v>
      </c>
      <c r="H132" s="56">
        <v>-84500</v>
      </c>
      <c r="I132" s="55">
        <v>57</v>
      </c>
      <c r="J132" s="56">
        <v>-863000</v>
      </c>
    </row>
  </sheetData>
  <mergeCells count="1">
    <mergeCell ref="G15:J17"/>
  </mergeCells>
  <conditionalFormatting sqref="G66:G80">
    <cfRule type="expression" dxfId="28" priority="1">
      <formula>ISNUMBER(SEARCH("Dupla",G66))</formula>
    </cfRule>
    <cfRule type="expression" dxfId="27" priority="2">
      <formula>ISNUMBER(SEARCH("impacto",G66))</formula>
    </cfRule>
    <cfRule type="expression" dxfId="26" priority="3">
      <formula>ISNUMBER(SEARCH("financeira",G66))</formula>
    </cfRule>
    <cfRule type="expression" dxfId="25" priority="4">
      <formula>ISNUMBER(SEARCH("Não material",G66))</formula>
    </cfRule>
  </conditionalFormatting>
  <dataValidations count="5">
    <dataValidation type="list" sqref="A6" xr:uid="{00000000-0002-0000-0100-000000000000}">
      <formula1>lst_FPilar</formula1>
    </dataValidation>
    <dataValidation type="list" sqref="B6" xr:uid="{00000000-0002-0000-0100-000001000000}">
      <formula1>lst_FTopico</formula1>
    </dataValidation>
    <dataValidation type="list" sqref="C6" xr:uid="{00000000-0002-0000-0100-000002000000}">
      <formula1>lst_FEtapa</formula1>
    </dataValidation>
    <dataValidation type="list" sqref="D6" xr:uid="{00000000-0002-0000-0100-000003000000}">
      <formula1>lst_FHorizonte</formula1>
    </dataValidation>
    <dataValidation type="list" sqref="E6" xr:uid="{00000000-0002-0000-0100-000004000000}">
      <formula1>lst_FTipo</formula1>
    </dataValidation>
  </dataValidations>
  <pageMargins left="0.75" right="0.75" top="1" bottom="1" header="0.5" footer="0.5"/>
  <pageSetup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4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1" customWidth="1"/>
    <col min="3" max="3" width="24" customWidth="1"/>
    <col min="4" max="4" width="26" customWidth="1"/>
    <col min="5" max="5" width="32" customWidth="1"/>
    <col min="6" max="6" width="46" customWidth="1"/>
    <col min="7" max="7" width="12" customWidth="1"/>
    <col min="8" max="8" width="11" customWidth="1"/>
    <col min="9" max="9" width="34" customWidth="1"/>
    <col min="10" max="10" width="24" customWidth="1"/>
    <col min="11" max="11" width="46" customWidth="1"/>
    <col min="12" max="12" width="11" customWidth="1"/>
    <col min="13" max="13" width="7" customWidth="1"/>
    <col min="14" max="14" width="8" customWidth="1"/>
    <col min="15" max="17" width="10" customWidth="1"/>
    <col min="18" max="19" width="9" customWidth="1"/>
    <col min="20" max="20" width="20" customWidth="1"/>
    <col min="21" max="22" width="8" customWidth="1"/>
    <col min="23" max="23" width="9" customWidth="1"/>
    <col min="24" max="24" width="7" customWidth="1"/>
    <col min="25" max="26" width="12" customWidth="1"/>
    <col min="27" max="27" width="11" customWidth="1"/>
    <col min="28" max="28" width="9" customWidth="1"/>
    <col min="29" max="29" width="10" customWidth="1"/>
    <col min="30" max="30" width="26" customWidth="1"/>
    <col min="31" max="31" width="34" customWidth="1"/>
  </cols>
  <sheetData>
    <row r="1" spans="1:31" ht="17.399999999999999" x14ac:dyDescent="0.3">
      <c r="A1" s="1" t="s">
        <v>157</v>
      </c>
    </row>
    <row r="2" spans="1:31" x14ac:dyDescent="0.3">
      <c r="A2" s="2" t="s">
        <v>158</v>
      </c>
    </row>
    <row r="4" spans="1:31" ht="39.6" x14ac:dyDescent="0.3">
      <c r="A4" s="10" t="s">
        <v>159</v>
      </c>
      <c r="B4" s="10" t="s">
        <v>101</v>
      </c>
      <c r="C4" s="10" t="s">
        <v>160</v>
      </c>
      <c r="D4" s="10" t="s">
        <v>161</v>
      </c>
      <c r="E4" s="10" t="s">
        <v>141</v>
      </c>
      <c r="F4" s="10" t="s">
        <v>162</v>
      </c>
      <c r="G4" s="10" t="s">
        <v>163</v>
      </c>
      <c r="H4" s="10" t="s">
        <v>164</v>
      </c>
      <c r="I4" s="10" t="s">
        <v>165</v>
      </c>
      <c r="J4" s="10" t="s">
        <v>166</v>
      </c>
      <c r="K4" s="10" t="s">
        <v>167</v>
      </c>
      <c r="L4" s="10" t="s">
        <v>168</v>
      </c>
      <c r="M4" s="34" t="s">
        <v>169</v>
      </c>
      <c r="N4" s="34" t="s">
        <v>170</v>
      </c>
      <c r="O4" s="34" t="s">
        <v>171</v>
      </c>
      <c r="P4" s="34" t="s">
        <v>172</v>
      </c>
      <c r="Q4" s="34" t="s">
        <v>173</v>
      </c>
      <c r="R4" s="34" t="s">
        <v>174</v>
      </c>
      <c r="S4" s="34" t="s">
        <v>175</v>
      </c>
      <c r="T4" s="34" t="s">
        <v>176</v>
      </c>
      <c r="U4" s="34" t="s">
        <v>177</v>
      </c>
      <c r="V4" s="34" t="s">
        <v>178</v>
      </c>
      <c r="W4" s="34" t="s">
        <v>179</v>
      </c>
      <c r="X4" s="34" t="s">
        <v>180</v>
      </c>
      <c r="Y4" s="34" t="s">
        <v>181</v>
      </c>
      <c r="Z4" s="34" t="s">
        <v>182</v>
      </c>
      <c r="AA4" s="34" t="s">
        <v>183</v>
      </c>
      <c r="AB4" s="34" t="s">
        <v>184</v>
      </c>
      <c r="AC4" s="34" t="s">
        <v>185</v>
      </c>
      <c r="AD4" s="34" t="s">
        <v>186</v>
      </c>
      <c r="AE4" s="34" t="s">
        <v>187</v>
      </c>
    </row>
    <row r="5" spans="1:31" ht="48" customHeight="1" x14ac:dyDescent="0.3">
      <c r="A5" s="35" t="s">
        <v>188</v>
      </c>
      <c r="B5" s="35" t="s">
        <v>189</v>
      </c>
      <c r="C5" s="35" t="s">
        <v>128</v>
      </c>
      <c r="D5" s="35" t="s">
        <v>190</v>
      </c>
      <c r="E5" s="35" t="s">
        <v>191</v>
      </c>
      <c r="F5" s="35" t="s">
        <v>192</v>
      </c>
      <c r="G5" s="35" t="s">
        <v>193</v>
      </c>
      <c r="H5" s="35" t="s">
        <v>194</v>
      </c>
      <c r="I5" s="35" t="s">
        <v>195</v>
      </c>
      <c r="J5" s="35" t="s">
        <v>196</v>
      </c>
      <c r="K5" s="35" t="s">
        <v>197</v>
      </c>
      <c r="L5" s="36">
        <v>46289</v>
      </c>
      <c r="M5" s="37">
        <f>IF(A5="","",COUNTIF(IRO!$B$5:$B$91,A5))</f>
        <v>4</v>
      </c>
      <c r="N5" s="37">
        <f>IF(A5="","",COUNTIFS(IRO!$B$5:$B$91,A5,IRO!$G$5:$G$91,"Impacto"))</f>
        <v>3</v>
      </c>
      <c r="O5" s="37">
        <f>IF(A5="","",COUNTIFS(IRO!$B$5:$B$91,A5,IRO!$G$5:$G$91,"Financeira"))</f>
        <v>1</v>
      </c>
      <c r="P5" s="38">
        <f>IF(OR(A5="",N5=0),"",_xlfn.MAXIFS(IRO!$T$5:$T$91,IRO!$B$5:$B$91,A5))</f>
        <v>20</v>
      </c>
      <c r="Q5" s="38">
        <f>IF(OR(A5="",O5=0),"",_xlfn.MAXIFS(IRO!$Z$5:$Z$91,IRO!$B$5:$B$91,A5))</f>
        <v>12</v>
      </c>
      <c r="R5" s="39" t="str">
        <f t="shared" ref="R5:R40" si="0">IF(A5="","",IF(P5="","Não",IF(P5&gt;=prm_Limiar_Impacto,"Sim","Não")))</f>
        <v>Sim</v>
      </c>
      <c r="S5" s="39" t="str">
        <f t="shared" ref="S5:S40" si="1">IF(A5="","",IF(Q5="","Não",IF(Q5&gt;=prm_Limiar_Financeiro,"Sim","Não")))</f>
        <v>Sim</v>
      </c>
      <c r="T5" s="39" t="str">
        <f t="shared" ref="T5:T40" si="2">IF(A5="","",IF(AND(R5="Sim",S5="Sim"),"Dupla materialidade",IF(R5="Sim","Material — impacto",IF(S5="Sim","Material — financeira","Não material"))))</f>
        <v>Dupla materialidade</v>
      </c>
      <c r="U5" s="37">
        <f t="shared" ref="U5:U40" si="3">IF(A5="","",IF(P5="",0,IF(P5&gt;=prm_Limiar_Alto,4,IF(P5&gt;=prm_Limiar_Impacto,3,IF(P5&gt;=prm_Limiar_Baixo,2,1)))))</f>
        <v>4</v>
      </c>
      <c r="V5" s="37">
        <f t="shared" ref="V5:V40" si="4">IF(A5="","",IF(Q5="",0,IF(Q5&gt;=prm_Limiar_Alto,4,IF(Q5&gt;=prm_Limiar_Financeiro,3,IF(Q5&gt;=prm_Limiar_Baixo,2,1)))))</f>
        <v>3</v>
      </c>
      <c r="W5" s="38">
        <f t="shared" ref="W5:W40" si="5">IF(A5="","",N(P5)+N(Q5))</f>
        <v>32</v>
      </c>
      <c r="X5" s="37">
        <f t="shared" ref="X5:X40" si="6">IF(A5="","",RANK(W5,$W$5:$W$40,0)+COUNTIFS($W$5:$W$40,W5,$A$5:$A$40,"&lt;"&amp;A5))</f>
        <v>3</v>
      </c>
      <c r="Y5" s="40">
        <f>IF(A5="","",-SUMIFS(IRO!$AA$5:$AA$91,IRO!$B$5:$B$91,A5,IRO!$F$5:$F$91,"Risco"))</f>
        <v>60000</v>
      </c>
      <c r="Z5" s="40">
        <f>IF(A5="","",SUMIFS(IRO!$AA$5:$AA$91,IRO!$B$5:$B$91,A5,IRO!$F$5:$F$91,"Oportunidade"))</f>
        <v>0</v>
      </c>
      <c r="AA5" s="41">
        <f>IF(A5="","",IFERROR(ROUND(AVERAGEIFS(Consultas!$H$5:$H$76,Consultas!$F$5:$F$76,A5),2),""))</f>
        <v>4</v>
      </c>
      <c r="AB5" s="37">
        <f>IF(A5="","",COUNTIF(Consultas!$F$5:$F$76,A5))</f>
        <v>2</v>
      </c>
      <c r="AC5" s="42">
        <f>IF(OR(A5="",N(M5)=0),"",(COUNTIFS(IRO!$B$5:$B$91,A5,IRO!$AG$5:$AG$91,"Alta")+COUNTIFS(IRO!$B$5:$B$91,A5,IRO!$AG$5:$AG$91,"Média"))/M5)</f>
        <v>0.5</v>
      </c>
      <c r="AD5" s="39" t="str">
        <f t="shared" ref="AD5:AD40" si="7">IF(A5="","",IF(AND(AA5&lt;&gt;"",N(AA5)&gt;=prm_Relev_Alerta,T5="Não material"),"Rever: relevância alta para as partes interessadas",IF(AND(T5&lt;&gt;"Não material",AC5&lt;&gt;"",N(AC5)&lt;0.5),"Material com evidência fraca","OK")))</f>
        <v>OK</v>
      </c>
      <c r="AE5" s="39" t="str">
        <f t="shared" ref="AE5:AE40" si="8">IF(A5="","",IF(T5="Não material","Monitorizar e reavaliar na próxima DMA","Gerir: política, ações, meta e KPI; divulgar (VSME / ESRS voluntário)"))</f>
        <v>Gerir: política, ações, meta e KPI; divulgar (VSME / ESRS voluntário)</v>
      </c>
    </row>
    <row r="6" spans="1:31" ht="48" customHeight="1" x14ac:dyDescent="0.3">
      <c r="A6" s="35" t="s">
        <v>198</v>
      </c>
      <c r="B6" s="35" t="s">
        <v>189</v>
      </c>
      <c r="C6" s="35" t="s">
        <v>128</v>
      </c>
      <c r="D6" s="35" t="s">
        <v>199</v>
      </c>
      <c r="E6" s="35" t="s">
        <v>200</v>
      </c>
      <c r="F6" s="35" t="s">
        <v>201</v>
      </c>
      <c r="G6" s="35" t="s">
        <v>202</v>
      </c>
      <c r="H6" s="35" t="s">
        <v>194</v>
      </c>
      <c r="I6" s="35" t="s">
        <v>203</v>
      </c>
      <c r="J6" s="35" t="s">
        <v>204</v>
      </c>
      <c r="K6" s="35" t="s">
        <v>205</v>
      </c>
      <c r="L6" s="36">
        <v>46289</v>
      </c>
      <c r="M6" s="37">
        <f>IF(A6="","",COUNTIF(IRO!$B$5:$B$91,A6))</f>
        <v>4</v>
      </c>
      <c r="N6" s="37">
        <f>IF(A6="","",COUNTIFS(IRO!$B$5:$B$91,A6,IRO!$G$5:$G$91,"Impacto"))</f>
        <v>1</v>
      </c>
      <c r="O6" s="37">
        <f>IF(A6="","",COUNTIFS(IRO!$B$5:$B$91,A6,IRO!$G$5:$G$91,"Financeira"))</f>
        <v>3</v>
      </c>
      <c r="P6" s="38">
        <f>IF(OR(A6="",N6=0),"",_xlfn.MAXIFS(IRO!$T$5:$T$91,IRO!$B$5:$B$91,A6))</f>
        <v>15</v>
      </c>
      <c r="Q6" s="38">
        <f>IF(OR(A6="",O6=0),"",_xlfn.MAXIFS(IRO!$Z$5:$Z$91,IRO!$B$5:$B$91,A6))</f>
        <v>16</v>
      </c>
      <c r="R6" s="39" t="str">
        <f t="shared" si="0"/>
        <v>Sim</v>
      </c>
      <c r="S6" s="39" t="str">
        <f t="shared" si="1"/>
        <v>Sim</v>
      </c>
      <c r="T6" s="39" t="str">
        <f t="shared" si="2"/>
        <v>Dupla materialidade</v>
      </c>
      <c r="U6" s="37">
        <f t="shared" si="3"/>
        <v>3</v>
      </c>
      <c r="V6" s="37">
        <f t="shared" si="4"/>
        <v>3</v>
      </c>
      <c r="W6" s="38">
        <f t="shared" si="5"/>
        <v>31</v>
      </c>
      <c r="X6" s="37">
        <f t="shared" si="6"/>
        <v>4</v>
      </c>
      <c r="Y6" s="40">
        <f>IF(A6="","",-SUMIFS(IRO!$AA$5:$AA$91,IRO!$B$5:$B$91,A6,IRO!$F$5:$F$91,"Risco"))</f>
        <v>139750</v>
      </c>
      <c r="Z6" s="40">
        <f>IF(A6="","",SUMIFS(IRO!$AA$5:$AA$91,IRO!$B$5:$B$91,A6,IRO!$F$5:$F$91,"Oportunidade"))</f>
        <v>120750</v>
      </c>
      <c r="AA6" s="41">
        <f>IF(A6="","",IFERROR(ROUND(AVERAGEIFS(Consultas!$H$5:$H$76,Consultas!$F$5:$F$76,A6),2),""))</f>
        <v>4.5</v>
      </c>
      <c r="AB6" s="37">
        <f>IF(A6="","",COUNTIF(Consultas!$F$5:$F$76,A6))</f>
        <v>2</v>
      </c>
      <c r="AC6" s="42">
        <f>IF(OR(A6="",N(M6)=0),"",(COUNTIFS(IRO!$B$5:$B$91,A6,IRO!$AG$5:$AG$91,"Alta")+COUNTIFS(IRO!$B$5:$B$91,A6,IRO!$AG$5:$AG$91,"Média"))/M6)</f>
        <v>1</v>
      </c>
      <c r="AD6" s="39" t="str">
        <f t="shared" si="7"/>
        <v>OK</v>
      </c>
      <c r="AE6" s="39" t="str">
        <f t="shared" si="8"/>
        <v>Gerir: política, ações, meta e KPI; divulgar (VSME / ESRS voluntário)</v>
      </c>
    </row>
    <row r="7" spans="1:31" ht="48" customHeight="1" x14ac:dyDescent="0.3">
      <c r="A7" s="35" t="s">
        <v>206</v>
      </c>
      <c r="B7" s="35" t="s">
        <v>189</v>
      </c>
      <c r="C7" s="35" t="s">
        <v>128</v>
      </c>
      <c r="D7" s="35" t="s">
        <v>207</v>
      </c>
      <c r="E7" s="35" t="s">
        <v>208</v>
      </c>
      <c r="F7" s="35" t="s">
        <v>209</v>
      </c>
      <c r="G7" s="35" t="s">
        <v>210</v>
      </c>
      <c r="H7" s="35" t="s">
        <v>211</v>
      </c>
      <c r="I7" s="35" t="s">
        <v>212</v>
      </c>
      <c r="J7" s="35" t="s">
        <v>204</v>
      </c>
      <c r="K7" s="35" t="s">
        <v>213</v>
      </c>
      <c r="L7" s="36">
        <v>46289</v>
      </c>
      <c r="M7" s="37">
        <f>IF(A7="","",COUNTIF(IRO!$B$5:$B$91,A7))</f>
        <v>2</v>
      </c>
      <c r="N7" s="37">
        <f>IF(A7="","",COUNTIFS(IRO!$B$5:$B$91,A7,IRO!$G$5:$G$91,"Impacto"))</f>
        <v>0</v>
      </c>
      <c r="O7" s="37">
        <f>IF(A7="","",COUNTIFS(IRO!$B$5:$B$91,A7,IRO!$G$5:$G$91,"Financeira"))</f>
        <v>2</v>
      </c>
      <c r="P7" s="38" t="str">
        <f>IF(OR(A7="",N7=0),"",_xlfn.MAXIFS(IRO!$T$5:$T$91,IRO!$B$5:$B$91,A7))</f>
        <v/>
      </c>
      <c r="Q7" s="38">
        <f>IF(OR(A7="",O7=0),"",_xlfn.MAXIFS(IRO!$Z$5:$Z$91,IRO!$B$5:$B$91,A7))</f>
        <v>12</v>
      </c>
      <c r="R7" s="39" t="str">
        <f t="shared" si="0"/>
        <v>Não</v>
      </c>
      <c r="S7" s="39" t="str">
        <f t="shared" si="1"/>
        <v>Sim</v>
      </c>
      <c r="T7" s="39" t="str">
        <f t="shared" si="2"/>
        <v>Material — financeira</v>
      </c>
      <c r="U7" s="37">
        <f t="shared" si="3"/>
        <v>0</v>
      </c>
      <c r="V7" s="37">
        <f t="shared" si="4"/>
        <v>3</v>
      </c>
      <c r="W7" s="38">
        <f t="shared" si="5"/>
        <v>12</v>
      </c>
      <c r="X7" s="37">
        <f t="shared" si="6"/>
        <v>21</v>
      </c>
      <c r="Y7" s="40">
        <f>IF(A7="","",-SUMIFS(IRO!$AA$5:$AA$91,IRO!$B$5:$B$91,A7,IRO!$F$5:$F$91,"Risco"))</f>
        <v>59000</v>
      </c>
      <c r="Z7" s="40">
        <f>IF(A7="","",SUMIFS(IRO!$AA$5:$AA$91,IRO!$B$5:$B$91,A7,IRO!$F$5:$F$91,"Oportunidade"))</f>
        <v>0</v>
      </c>
      <c r="AA7" s="41">
        <f>IF(A7="","",IFERROR(ROUND(AVERAGEIFS(Consultas!$H$5:$H$76,Consultas!$F$5:$F$76,A7),2),""))</f>
        <v>3.5</v>
      </c>
      <c r="AB7" s="37">
        <f>IF(A7="","",COUNTIF(Consultas!$F$5:$F$76,A7))</f>
        <v>2</v>
      </c>
      <c r="AC7" s="42">
        <f>IF(OR(A7="",N(M7)=0),"",(COUNTIFS(IRO!$B$5:$B$91,A7,IRO!$AG$5:$AG$91,"Alta")+COUNTIFS(IRO!$B$5:$B$91,A7,IRO!$AG$5:$AG$91,"Média"))/M7)</f>
        <v>1</v>
      </c>
      <c r="AD7" s="39" t="str">
        <f t="shared" si="7"/>
        <v>OK</v>
      </c>
      <c r="AE7" s="39" t="str">
        <f t="shared" si="8"/>
        <v>Gerir: política, ações, meta e KPI; divulgar (VSME / ESRS voluntário)</v>
      </c>
    </row>
    <row r="8" spans="1:31" ht="48" customHeight="1" x14ac:dyDescent="0.3">
      <c r="A8" s="35" t="s">
        <v>214</v>
      </c>
      <c r="B8" s="35" t="s">
        <v>189</v>
      </c>
      <c r="C8" s="35" t="s">
        <v>129</v>
      </c>
      <c r="D8" s="35" t="s">
        <v>215</v>
      </c>
      <c r="E8" s="35" t="s">
        <v>216</v>
      </c>
      <c r="F8" s="35" t="s">
        <v>217</v>
      </c>
      <c r="G8" s="35" t="s">
        <v>218</v>
      </c>
      <c r="H8" s="35" t="s">
        <v>211</v>
      </c>
      <c r="I8" s="35" t="s">
        <v>219</v>
      </c>
      <c r="J8" s="35" t="s">
        <v>196</v>
      </c>
      <c r="K8" s="35" t="s">
        <v>220</v>
      </c>
      <c r="L8" s="36">
        <v>46289</v>
      </c>
      <c r="M8" s="37">
        <f>IF(A8="","",COUNTIF(IRO!$B$5:$B$91,A8))</f>
        <v>2</v>
      </c>
      <c r="N8" s="37">
        <f>IF(A8="","",COUNTIFS(IRO!$B$5:$B$91,A8,IRO!$G$5:$G$91,"Impacto"))</f>
        <v>1</v>
      </c>
      <c r="O8" s="37">
        <f>IF(A8="","",COUNTIFS(IRO!$B$5:$B$91,A8,IRO!$G$5:$G$91,"Financeira"))</f>
        <v>1</v>
      </c>
      <c r="P8" s="38">
        <f>IF(OR(A8="",N8=0),"",_xlfn.MAXIFS(IRO!$T$5:$T$91,IRO!$B$5:$B$91,A8))</f>
        <v>13.4</v>
      </c>
      <c r="Q8" s="38">
        <f>IF(OR(A8="",O8=0),"",_xlfn.MAXIFS(IRO!$Z$5:$Z$91,IRO!$B$5:$B$91,A8))</f>
        <v>4</v>
      </c>
      <c r="R8" s="39" t="str">
        <f t="shared" si="0"/>
        <v>Sim</v>
      </c>
      <c r="S8" s="39" t="str">
        <f t="shared" si="1"/>
        <v>Não</v>
      </c>
      <c r="T8" s="39" t="str">
        <f t="shared" si="2"/>
        <v>Material — impacto</v>
      </c>
      <c r="U8" s="37">
        <f t="shared" si="3"/>
        <v>3</v>
      </c>
      <c r="V8" s="37">
        <f t="shared" si="4"/>
        <v>1</v>
      </c>
      <c r="W8" s="38">
        <f t="shared" si="5"/>
        <v>17.399999999999999</v>
      </c>
      <c r="X8" s="37">
        <f t="shared" si="6"/>
        <v>14</v>
      </c>
      <c r="Y8" s="40">
        <f>IF(A8="","",-SUMIFS(IRO!$AA$5:$AA$91,IRO!$B$5:$B$91,A8,IRO!$F$5:$F$91,"Risco"))</f>
        <v>3000</v>
      </c>
      <c r="Z8" s="40">
        <f>IF(A8="","",SUMIFS(IRO!$AA$5:$AA$91,IRO!$B$5:$B$91,A8,IRO!$F$5:$F$91,"Oportunidade"))</f>
        <v>0</v>
      </c>
      <c r="AA8" s="41">
        <f>IF(A8="","",IFERROR(ROUND(AVERAGEIFS(Consultas!$H$5:$H$76,Consultas!$F$5:$F$76,A8),2),""))</f>
        <v>3</v>
      </c>
      <c r="AB8" s="37">
        <f>IF(A8="","",COUNTIF(Consultas!$F$5:$F$76,A8))</f>
        <v>1</v>
      </c>
      <c r="AC8" s="42">
        <f>IF(OR(A8="",N(M8)=0),"",(COUNTIFS(IRO!$B$5:$B$91,A8,IRO!$AG$5:$AG$91,"Alta")+COUNTIFS(IRO!$B$5:$B$91,A8,IRO!$AG$5:$AG$91,"Média"))/M8)</f>
        <v>1</v>
      </c>
      <c r="AD8" s="39" t="str">
        <f t="shared" si="7"/>
        <v>OK</v>
      </c>
      <c r="AE8" s="39" t="str">
        <f t="shared" si="8"/>
        <v>Gerir: política, ações, meta e KPI; divulgar (VSME / ESRS voluntário)</v>
      </c>
    </row>
    <row r="9" spans="1:31" ht="48" customHeight="1" x14ac:dyDescent="0.3">
      <c r="A9" s="35" t="s">
        <v>221</v>
      </c>
      <c r="B9" s="35" t="s">
        <v>189</v>
      </c>
      <c r="C9" s="35" t="s">
        <v>129</v>
      </c>
      <c r="D9" s="35" t="s">
        <v>222</v>
      </c>
      <c r="E9" s="35" t="s">
        <v>223</v>
      </c>
      <c r="F9" s="35" t="s">
        <v>224</v>
      </c>
      <c r="G9" s="35" t="s">
        <v>225</v>
      </c>
      <c r="H9" s="35" t="s">
        <v>211</v>
      </c>
      <c r="I9" s="35" t="s">
        <v>226</v>
      </c>
      <c r="J9" s="35" t="s">
        <v>196</v>
      </c>
      <c r="K9" s="35" t="s">
        <v>227</v>
      </c>
      <c r="L9" s="36">
        <v>46289</v>
      </c>
      <c r="M9" s="37">
        <f>IF(A9="","",COUNTIF(IRO!$B$5:$B$91,A9))</f>
        <v>3</v>
      </c>
      <c r="N9" s="37">
        <f>IF(A9="","",COUNTIFS(IRO!$B$5:$B$91,A9,IRO!$G$5:$G$91,"Impacto"))</f>
        <v>2</v>
      </c>
      <c r="O9" s="37">
        <f>IF(A9="","",COUNTIFS(IRO!$B$5:$B$91,A9,IRO!$G$5:$G$91,"Financeira"))</f>
        <v>1</v>
      </c>
      <c r="P9" s="38">
        <f>IF(OR(A9="",N9=0),"",_xlfn.MAXIFS(IRO!$T$5:$T$91,IRO!$B$5:$B$91,A9))</f>
        <v>10</v>
      </c>
      <c r="Q9" s="38">
        <f>IF(OR(A9="",O9=0),"",_xlfn.MAXIFS(IRO!$Z$5:$Z$91,IRO!$B$5:$B$91,A9))</f>
        <v>4</v>
      </c>
      <c r="R9" s="39" t="str">
        <f t="shared" si="0"/>
        <v>Não</v>
      </c>
      <c r="S9" s="39" t="str">
        <f t="shared" si="1"/>
        <v>Não</v>
      </c>
      <c r="T9" s="39" t="str">
        <f t="shared" si="2"/>
        <v>Não material</v>
      </c>
      <c r="U9" s="37">
        <f t="shared" si="3"/>
        <v>2</v>
      </c>
      <c r="V9" s="37">
        <f t="shared" si="4"/>
        <v>1</v>
      </c>
      <c r="W9" s="38">
        <f t="shared" si="5"/>
        <v>14</v>
      </c>
      <c r="X9" s="37">
        <f t="shared" si="6"/>
        <v>17</v>
      </c>
      <c r="Y9" s="40">
        <f>IF(A9="","",-SUMIFS(IRO!$AA$5:$AA$91,IRO!$B$5:$B$91,A9,IRO!$F$5:$F$91,"Risco"))</f>
        <v>12500</v>
      </c>
      <c r="Z9" s="40">
        <f>IF(A9="","",SUMIFS(IRO!$AA$5:$AA$91,IRO!$B$5:$B$91,A9,IRO!$F$5:$F$91,"Oportunidade"))</f>
        <v>0</v>
      </c>
      <c r="AA9" s="41">
        <f>IF(A9="","",IFERROR(ROUND(AVERAGEIFS(Consultas!$H$5:$H$76,Consultas!$F$5:$F$76,A9),2),""))</f>
        <v>3</v>
      </c>
      <c r="AB9" s="37">
        <f>IF(A9="","",COUNTIF(Consultas!$F$5:$F$76,A9))</f>
        <v>1</v>
      </c>
      <c r="AC9" s="42">
        <f>IF(OR(A9="",N(M9)=0),"",(COUNTIFS(IRO!$B$5:$B$91,A9,IRO!$AG$5:$AG$91,"Alta")+COUNTIFS(IRO!$B$5:$B$91,A9,IRO!$AG$5:$AG$91,"Média"))/M9)</f>
        <v>0.66666666666666663</v>
      </c>
      <c r="AD9" s="39" t="str">
        <f t="shared" si="7"/>
        <v>OK</v>
      </c>
      <c r="AE9" s="39" t="str">
        <f t="shared" si="8"/>
        <v>Monitorizar e reavaliar na próxima DMA</v>
      </c>
    </row>
    <row r="10" spans="1:31" ht="48" customHeight="1" x14ac:dyDescent="0.3">
      <c r="A10" s="35" t="s">
        <v>228</v>
      </c>
      <c r="B10" s="35" t="s">
        <v>189</v>
      </c>
      <c r="C10" s="35" t="s">
        <v>129</v>
      </c>
      <c r="D10" s="35" t="s">
        <v>229</v>
      </c>
      <c r="E10" s="35" t="s">
        <v>230</v>
      </c>
      <c r="F10" s="35" t="s">
        <v>231</v>
      </c>
      <c r="G10" s="35" t="s">
        <v>232</v>
      </c>
      <c r="H10" s="35" t="s">
        <v>194</v>
      </c>
      <c r="I10" s="35" t="s">
        <v>233</v>
      </c>
      <c r="J10" s="35" t="s">
        <v>196</v>
      </c>
      <c r="K10" s="35" t="s">
        <v>234</v>
      </c>
      <c r="L10" s="36">
        <v>46289</v>
      </c>
      <c r="M10" s="37">
        <f>IF(A10="","",COUNTIF(IRO!$B$5:$B$91,A10))</f>
        <v>2</v>
      </c>
      <c r="N10" s="37">
        <f>IF(A10="","",COUNTIFS(IRO!$B$5:$B$91,A10,IRO!$G$5:$G$91,"Impacto"))</f>
        <v>1</v>
      </c>
      <c r="O10" s="37">
        <f>IF(A10="","",COUNTIFS(IRO!$B$5:$B$91,A10,IRO!$G$5:$G$91,"Financeira"))</f>
        <v>1</v>
      </c>
      <c r="P10" s="38">
        <f>IF(OR(A10="",N10=0),"",_xlfn.MAXIFS(IRO!$T$5:$T$91,IRO!$B$5:$B$91,A10))</f>
        <v>18.399999999999999</v>
      </c>
      <c r="Q10" s="38">
        <f>IF(OR(A10="",O10=0),"",_xlfn.MAXIFS(IRO!$Z$5:$Z$91,IRO!$B$5:$B$91,A10))</f>
        <v>12</v>
      </c>
      <c r="R10" s="39" t="str">
        <f t="shared" si="0"/>
        <v>Sim</v>
      </c>
      <c r="S10" s="39" t="str">
        <f t="shared" si="1"/>
        <v>Sim</v>
      </c>
      <c r="T10" s="39" t="str">
        <f t="shared" si="2"/>
        <v>Dupla materialidade</v>
      </c>
      <c r="U10" s="37">
        <f t="shared" si="3"/>
        <v>4</v>
      </c>
      <c r="V10" s="37">
        <f t="shared" si="4"/>
        <v>3</v>
      </c>
      <c r="W10" s="38">
        <f t="shared" si="5"/>
        <v>30.4</v>
      </c>
      <c r="X10" s="37">
        <f t="shared" si="6"/>
        <v>5</v>
      </c>
      <c r="Y10" s="40">
        <f>IF(A10="","",-SUMIFS(IRO!$AA$5:$AA$91,IRO!$B$5:$B$91,A10,IRO!$F$5:$F$91,"Risco"))</f>
        <v>19500</v>
      </c>
      <c r="Z10" s="40">
        <f>IF(A10="","",SUMIFS(IRO!$AA$5:$AA$91,IRO!$B$5:$B$91,A10,IRO!$F$5:$F$91,"Oportunidade"))</f>
        <v>0</v>
      </c>
      <c r="AA10" s="41">
        <f>IF(A10="","",IFERROR(ROUND(AVERAGEIFS(Consultas!$H$5:$H$76,Consultas!$F$5:$F$76,A10),2),""))</f>
        <v>3.5</v>
      </c>
      <c r="AB10" s="37">
        <f>IF(A10="","",COUNTIF(Consultas!$F$5:$F$76,A10))</f>
        <v>2</v>
      </c>
      <c r="AC10" s="42">
        <f>IF(OR(A10="",N(M10)=0),"",(COUNTIFS(IRO!$B$5:$B$91,A10,IRO!$AG$5:$AG$91,"Alta")+COUNTIFS(IRO!$B$5:$B$91,A10,IRO!$AG$5:$AG$91,"Média"))/M10)</f>
        <v>1</v>
      </c>
      <c r="AD10" s="39" t="str">
        <f t="shared" si="7"/>
        <v>OK</v>
      </c>
      <c r="AE10" s="39" t="str">
        <f t="shared" si="8"/>
        <v>Gerir: política, ações, meta e KPI; divulgar (VSME / ESRS voluntário)</v>
      </c>
    </row>
    <row r="11" spans="1:31" ht="48" customHeight="1" x14ac:dyDescent="0.3">
      <c r="A11" s="35" t="s">
        <v>235</v>
      </c>
      <c r="B11" s="35" t="s">
        <v>189</v>
      </c>
      <c r="C11" s="35" t="s">
        <v>129</v>
      </c>
      <c r="D11" s="35" t="s">
        <v>236</v>
      </c>
      <c r="E11" s="35" t="s">
        <v>237</v>
      </c>
      <c r="F11" s="35" t="s">
        <v>238</v>
      </c>
      <c r="G11" s="35" t="s">
        <v>239</v>
      </c>
      <c r="H11" s="35" t="s">
        <v>211</v>
      </c>
      <c r="I11" s="35" t="s">
        <v>240</v>
      </c>
      <c r="J11" s="35" t="s">
        <v>241</v>
      </c>
      <c r="K11" s="35" t="s">
        <v>242</v>
      </c>
      <c r="L11" s="36">
        <v>46289</v>
      </c>
      <c r="M11" s="37">
        <f>IF(A11="","",COUNTIF(IRO!$B$5:$B$91,A11))</f>
        <v>2</v>
      </c>
      <c r="N11" s="37">
        <f>IF(A11="","",COUNTIFS(IRO!$B$5:$B$91,A11,IRO!$G$5:$G$91,"Impacto"))</f>
        <v>1</v>
      </c>
      <c r="O11" s="37">
        <f>IF(A11="","",COUNTIFS(IRO!$B$5:$B$91,A11,IRO!$G$5:$G$91,"Financeira"))</f>
        <v>1</v>
      </c>
      <c r="P11" s="38">
        <f>IF(OR(A11="",N11=0),"",_xlfn.MAXIFS(IRO!$T$5:$T$91,IRO!$B$5:$B$91,A11))</f>
        <v>8</v>
      </c>
      <c r="Q11" s="38">
        <f>IF(OR(A11="",O11=0),"",_xlfn.MAXIFS(IRO!$Z$5:$Z$91,IRO!$B$5:$B$91,A11))</f>
        <v>9</v>
      </c>
      <c r="R11" s="39" t="str">
        <f t="shared" si="0"/>
        <v>Não</v>
      </c>
      <c r="S11" s="39" t="str">
        <f t="shared" si="1"/>
        <v>Não</v>
      </c>
      <c r="T11" s="39" t="str">
        <f t="shared" si="2"/>
        <v>Não material</v>
      </c>
      <c r="U11" s="37">
        <f t="shared" si="3"/>
        <v>2</v>
      </c>
      <c r="V11" s="37">
        <f t="shared" si="4"/>
        <v>2</v>
      </c>
      <c r="W11" s="38">
        <f t="shared" si="5"/>
        <v>17</v>
      </c>
      <c r="X11" s="37">
        <f t="shared" si="6"/>
        <v>15</v>
      </c>
      <c r="Y11" s="40">
        <f>IF(A11="","",-SUMIFS(IRO!$AA$5:$AA$91,IRO!$B$5:$B$91,A11,IRO!$F$5:$F$91,"Risco"))</f>
        <v>16000</v>
      </c>
      <c r="Z11" s="40">
        <f>IF(A11="","",SUMIFS(IRO!$AA$5:$AA$91,IRO!$B$5:$B$91,A11,IRO!$F$5:$F$91,"Oportunidade"))</f>
        <v>0</v>
      </c>
      <c r="AA11" s="41" t="str">
        <f>IF(A11="","",IFERROR(ROUND(AVERAGEIFS(Consultas!$H$5:$H$76,Consultas!$F$5:$F$76,A11),2),""))</f>
        <v/>
      </c>
      <c r="AB11" s="37">
        <f>IF(A11="","",COUNTIF(Consultas!$F$5:$F$76,A11))</f>
        <v>0</v>
      </c>
      <c r="AC11" s="42">
        <f>IF(OR(A11="",N(M11)=0),"",(COUNTIFS(IRO!$B$5:$B$91,A11,IRO!$AG$5:$AG$91,"Alta")+COUNTIFS(IRO!$B$5:$B$91,A11,IRO!$AG$5:$AG$91,"Média"))/M11)</f>
        <v>1</v>
      </c>
      <c r="AD11" s="39" t="str">
        <f t="shared" si="7"/>
        <v>OK</v>
      </c>
      <c r="AE11" s="39" t="str">
        <f t="shared" si="8"/>
        <v>Monitorizar e reavaliar na próxima DMA</v>
      </c>
    </row>
    <row r="12" spans="1:31" ht="48" customHeight="1" x14ac:dyDescent="0.3">
      <c r="A12" s="35" t="s">
        <v>243</v>
      </c>
      <c r="B12" s="35" t="s">
        <v>189</v>
      </c>
      <c r="C12" s="35" t="s">
        <v>130</v>
      </c>
      <c r="D12" s="35" t="s">
        <v>244</v>
      </c>
      <c r="E12" s="35" t="s">
        <v>245</v>
      </c>
      <c r="F12" s="35" t="s">
        <v>246</v>
      </c>
      <c r="G12" s="35" t="s">
        <v>247</v>
      </c>
      <c r="H12" s="35" t="s">
        <v>211</v>
      </c>
      <c r="I12" s="35" t="s">
        <v>248</v>
      </c>
      <c r="J12" s="35" t="s">
        <v>249</v>
      </c>
      <c r="K12" s="35" t="s">
        <v>250</v>
      </c>
      <c r="L12" s="36">
        <v>46289</v>
      </c>
      <c r="M12" s="37">
        <f>IF(A12="","",COUNTIF(IRO!$B$5:$B$91,A12))</f>
        <v>2</v>
      </c>
      <c r="N12" s="37">
        <f>IF(A12="","",COUNTIFS(IRO!$B$5:$B$91,A12,IRO!$G$5:$G$91,"Impacto"))</f>
        <v>1</v>
      </c>
      <c r="O12" s="37">
        <f>IF(A12="","",COUNTIFS(IRO!$B$5:$B$91,A12,IRO!$G$5:$G$91,"Financeira"))</f>
        <v>1</v>
      </c>
      <c r="P12" s="38">
        <f>IF(OR(A12="",N12=0),"",_xlfn.MAXIFS(IRO!$T$5:$T$91,IRO!$B$5:$B$91,A12))</f>
        <v>11.7</v>
      </c>
      <c r="Q12" s="38">
        <f>IF(OR(A12="",O12=0),"",_xlfn.MAXIFS(IRO!$Z$5:$Z$91,IRO!$B$5:$B$91,A12))</f>
        <v>6</v>
      </c>
      <c r="R12" s="39" t="str">
        <f t="shared" si="0"/>
        <v>Não</v>
      </c>
      <c r="S12" s="39" t="str">
        <f t="shared" si="1"/>
        <v>Não</v>
      </c>
      <c r="T12" s="39" t="str">
        <f t="shared" si="2"/>
        <v>Não material</v>
      </c>
      <c r="U12" s="37">
        <f t="shared" si="3"/>
        <v>2</v>
      </c>
      <c r="V12" s="37">
        <f t="shared" si="4"/>
        <v>2</v>
      </c>
      <c r="W12" s="38">
        <f t="shared" si="5"/>
        <v>17.7</v>
      </c>
      <c r="X12" s="37">
        <f t="shared" si="6"/>
        <v>13</v>
      </c>
      <c r="Y12" s="40">
        <f>IF(A12="","",-SUMIFS(IRO!$AA$5:$AA$91,IRO!$B$5:$B$91,A12,IRO!$F$5:$F$91,"Risco"))</f>
        <v>8000</v>
      </c>
      <c r="Z12" s="40">
        <f>IF(A12="","",SUMIFS(IRO!$AA$5:$AA$91,IRO!$B$5:$B$91,A12,IRO!$F$5:$F$91,"Oportunidade"))</f>
        <v>0</v>
      </c>
      <c r="AA12" s="41">
        <f>IF(A12="","",IFERROR(ROUND(AVERAGEIFS(Consultas!$H$5:$H$76,Consultas!$F$5:$F$76,A12),2),""))</f>
        <v>3</v>
      </c>
      <c r="AB12" s="37">
        <f>IF(A12="","",COUNTIF(Consultas!$F$5:$F$76,A12))</f>
        <v>1</v>
      </c>
      <c r="AC12" s="42">
        <f>IF(OR(A12="",N(M12)=0),"",(COUNTIFS(IRO!$B$5:$B$91,A12,IRO!$AG$5:$AG$91,"Alta")+COUNTIFS(IRO!$B$5:$B$91,A12,IRO!$AG$5:$AG$91,"Média"))/M12)</f>
        <v>0.5</v>
      </c>
      <c r="AD12" s="39" t="str">
        <f t="shared" si="7"/>
        <v>OK</v>
      </c>
      <c r="AE12" s="39" t="str">
        <f t="shared" si="8"/>
        <v>Monitorizar e reavaliar na próxima DMA</v>
      </c>
    </row>
    <row r="13" spans="1:31" ht="48" customHeight="1" x14ac:dyDescent="0.3">
      <c r="A13" s="35" t="s">
        <v>251</v>
      </c>
      <c r="B13" s="35" t="s">
        <v>189</v>
      </c>
      <c r="C13" s="35" t="s">
        <v>131</v>
      </c>
      <c r="D13" s="35" t="s">
        <v>252</v>
      </c>
      <c r="E13" s="35" t="s">
        <v>253</v>
      </c>
      <c r="F13" s="35" t="s">
        <v>254</v>
      </c>
      <c r="G13" s="35" t="s">
        <v>255</v>
      </c>
      <c r="H13" s="35" t="s">
        <v>211</v>
      </c>
      <c r="I13" s="35" t="s">
        <v>256</v>
      </c>
      <c r="J13" s="35" t="s">
        <v>196</v>
      </c>
      <c r="K13" s="35" t="s">
        <v>257</v>
      </c>
      <c r="L13" s="36">
        <v>46289</v>
      </c>
      <c r="M13" s="37">
        <f>IF(A13="","",COUNTIF(IRO!$B$5:$B$91,A13))</f>
        <v>2</v>
      </c>
      <c r="N13" s="37">
        <f>IF(A13="","",COUNTIFS(IRO!$B$5:$B$91,A13,IRO!$G$5:$G$91,"Impacto"))</f>
        <v>2</v>
      </c>
      <c r="O13" s="37">
        <f>IF(A13="","",COUNTIFS(IRO!$B$5:$B$91,A13,IRO!$G$5:$G$91,"Financeira"))</f>
        <v>0</v>
      </c>
      <c r="P13" s="38">
        <f>IF(OR(A13="",N13=0),"",_xlfn.MAXIFS(IRO!$T$5:$T$91,IRO!$B$5:$B$91,A13))</f>
        <v>14</v>
      </c>
      <c r="Q13" s="38" t="str">
        <f>IF(OR(A13="",O13=0),"",_xlfn.MAXIFS(IRO!$Z$5:$Z$91,IRO!$B$5:$B$91,A13))</f>
        <v/>
      </c>
      <c r="R13" s="39" t="str">
        <f t="shared" si="0"/>
        <v>Sim</v>
      </c>
      <c r="S13" s="39" t="str">
        <f t="shared" si="1"/>
        <v>Não</v>
      </c>
      <c r="T13" s="39" t="str">
        <f t="shared" si="2"/>
        <v>Material — impacto</v>
      </c>
      <c r="U13" s="37">
        <f t="shared" si="3"/>
        <v>3</v>
      </c>
      <c r="V13" s="37">
        <f t="shared" si="4"/>
        <v>0</v>
      </c>
      <c r="W13" s="38">
        <f t="shared" si="5"/>
        <v>14</v>
      </c>
      <c r="X13" s="37">
        <f t="shared" si="6"/>
        <v>18</v>
      </c>
      <c r="Y13" s="40">
        <f>IF(A13="","",-SUMIFS(IRO!$AA$5:$AA$91,IRO!$B$5:$B$91,A13,IRO!$F$5:$F$91,"Risco"))</f>
        <v>0</v>
      </c>
      <c r="Z13" s="40">
        <f>IF(A13="","",SUMIFS(IRO!$AA$5:$AA$91,IRO!$B$5:$B$91,A13,IRO!$F$5:$F$91,"Oportunidade"))</f>
        <v>0</v>
      </c>
      <c r="AA13" s="41" t="str">
        <f>IF(A13="","",IFERROR(ROUND(AVERAGEIFS(Consultas!$H$5:$H$76,Consultas!$F$5:$F$76,A13),2),""))</f>
        <v/>
      </c>
      <c r="AB13" s="37">
        <f>IF(A13="","",COUNTIF(Consultas!$F$5:$F$76,A13))</f>
        <v>0</v>
      </c>
      <c r="AC13" s="42">
        <f>IF(OR(A13="",N(M13)=0),"",(COUNTIFS(IRO!$B$5:$B$91,A13,IRO!$AG$5:$AG$91,"Alta")+COUNTIFS(IRO!$B$5:$B$91,A13,IRO!$AG$5:$AG$91,"Média"))/M13)</f>
        <v>0.5</v>
      </c>
      <c r="AD13" s="39" t="str">
        <f t="shared" si="7"/>
        <v>OK</v>
      </c>
      <c r="AE13" s="39" t="str">
        <f t="shared" si="8"/>
        <v>Gerir: política, ações, meta e KPI; divulgar (VSME / ESRS voluntário)</v>
      </c>
    </row>
    <row r="14" spans="1:31" ht="48" customHeight="1" x14ac:dyDescent="0.3">
      <c r="A14" s="35" t="s">
        <v>258</v>
      </c>
      <c r="B14" s="35" t="s">
        <v>189</v>
      </c>
      <c r="C14" s="35" t="s">
        <v>132</v>
      </c>
      <c r="D14" s="35" t="s">
        <v>259</v>
      </c>
      <c r="E14" s="35" t="s">
        <v>260</v>
      </c>
      <c r="F14" s="35" t="s">
        <v>261</v>
      </c>
      <c r="G14" s="35" t="s">
        <v>262</v>
      </c>
      <c r="H14" s="35" t="s">
        <v>194</v>
      </c>
      <c r="I14" s="35" t="s">
        <v>263</v>
      </c>
      <c r="J14" s="35" t="s">
        <v>264</v>
      </c>
      <c r="K14" s="35" t="s">
        <v>265</v>
      </c>
      <c r="L14" s="36">
        <v>46289</v>
      </c>
      <c r="M14" s="37">
        <f>IF(A14="","",COUNTIF(IRO!$B$5:$B$91,A14))</f>
        <v>3</v>
      </c>
      <c r="N14" s="37">
        <f>IF(A14="","",COUNTIFS(IRO!$B$5:$B$91,A14,IRO!$G$5:$G$91,"Impacto"))</f>
        <v>1</v>
      </c>
      <c r="O14" s="37">
        <f>IF(A14="","",COUNTIFS(IRO!$B$5:$B$91,A14,IRO!$G$5:$G$91,"Financeira"))</f>
        <v>2</v>
      </c>
      <c r="P14" s="38">
        <f>IF(OR(A14="",N14=0),"",_xlfn.MAXIFS(IRO!$T$5:$T$91,IRO!$B$5:$B$91,A14))</f>
        <v>18.399999999999999</v>
      </c>
      <c r="Q14" s="38">
        <f>IF(OR(A14="",O14=0),"",_xlfn.MAXIFS(IRO!$Z$5:$Z$91,IRO!$B$5:$B$91,A14))</f>
        <v>12</v>
      </c>
      <c r="R14" s="39" t="str">
        <f t="shared" si="0"/>
        <v>Sim</v>
      </c>
      <c r="S14" s="39" t="str">
        <f t="shared" si="1"/>
        <v>Sim</v>
      </c>
      <c r="T14" s="39" t="str">
        <f t="shared" si="2"/>
        <v>Dupla materialidade</v>
      </c>
      <c r="U14" s="37">
        <f t="shared" si="3"/>
        <v>4</v>
      </c>
      <c r="V14" s="37">
        <f t="shared" si="4"/>
        <v>3</v>
      </c>
      <c r="W14" s="38">
        <f t="shared" si="5"/>
        <v>30.4</v>
      </c>
      <c r="X14" s="37">
        <f t="shared" si="6"/>
        <v>6</v>
      </c>
      <c r="Y14" s="40">
        <f>IF(A14="","",-SUMIFS(IRO!$AA$5:$AA$91,IRO!$B$5:$B$91,A14,IRO!$F$5:$F$91,"Risco"))</f>
        <v>58500</v>
      </c>
      <c r="Z14" s="40">
        <f>IF(A14="","",SUMIFS(IRO!$AA$5:$AA$91,IRO!$B$5:$B$91,A14,IRO!$F$5:$F$91,"Oportunidade"))</f>
        <v>7800</v>
      </c>
      <c r="AA14" s="41">
        <f>IF(A14="","",IFERROR(ROUND(AVERAGEIFS(Consultas!$H$5:$H$76,Consultas!$F$5:$F$76,A14),2),""))</f>
        <v>4.5</v>
      </c>
      <c r="AB14" s="37">
        <f>IF(A14="","",COUNTIF(Consultas!$F$5:$F$76,A14))</f>
        <v>2</v>
      </c>
      <c r="AC14" s="42">
        <f>IF(OR(A14="",N(M14)=0),"",(COUNTIFS(IRO!$B$5:$B$91,A14,IRO!$AG$5:$AG$91,"Alta")+COUNTIFS(IRO!$B$5:$B$91,A14,IRO!$AG$5:$AG$91,"Média"))/M14)</f>
        <v>1</v>
      </c>
      <c r="AD14" s="39" t="str">
        <f t="shared" si="7"/>
        <v>OK</v>
      </c>
      <c r="AE14" s="39" t="str">
        <f t="shared" si="8"/>
        <v>Gerir: política, ações, meta e KPI; divulgar (VSME / ESRS voluntário)</v>
      </c>
    </row>
    <row r="15" spans="1:31" ht="48" customHeight="1" x14ac:dyDescent="0.3">
      <c r="A15" s="35" t="s">
        <v>266</v>
      </c>
      <c r="B15" s="35" t="s">
        <v>189</v>
      </c>
      <c r="C15" s="35" t="s">
        <v>132</v>
      </c>
      <c r="D15" s="35" t="s">
        <v>267</v>
      </c>
      <c r="E15" s="35" t="s">
        <v>268</v>
      </c>
      <c r="F15" s="35" t="s">
        <v>269</v>
      </c>
      <c r="G15" s="35" t="s">
        <v>270</v>
      </c>
      <c r="H15" s="35" t="s">
        <v>194</v>
      </c>
      <c r="I15" s="35" t="s">
        <v>271</v>
      </c>
      <c r="J15" s="35" t="s">
        <v>241</v>
      </c>
      <c r="K15" s="35" t="s">
        <v>272</v>
      </c>
      <c r="L15" s="36">
        <v>46289</v>
      </c>
      <c r="M15" s="37">
        <f>IF(A15="","",COUNTIF(IRO!$B$5:$B$91,A15))</f>
        <v>4</v>
      </c>
      <c r="N15" s="37">
        <f>IF(A15="","",COUNTIFS(IRO!$B$5:$B$91,A15,IRO!$G$5:$G$91,"Impacto"))</f>
        <v>2</v>
      </c>
      <c r="O15" s="37">
        <f>IF(A15="","",COUNTIFS(IRO!$B$5:$B$91,A15,IRO!$G$5:$G$91,"Financeira"))</f>
        <v>2</v>
      </c>
      <c r="P15" s="38">
        <f>IF(OR(A15="",N15=0),"",_xlfn.MAXIFS(IRO!$T$5:$T$91,IRO!$B$5:$B$91,A15))</f>
        <v>16.7</v>
      </c>
      <c r="Q15" s="38">
        <f>IF(OR(A15="",O15=0),"",_xlfn.MAXIFS(IRO!$Z$5:$Z$91,IRO!$B$5:$B$91,A15))</f>
        <v>20</v>
      </c>
      <c r="R15" s="39" t="str">
        <f t="shared" si="0"/>
        <v>Sim</v>
      </c>
      <c r="S15" s="39" t="str">
        <f t="shared" si="1"/>
        <v>Sim</v>
      </c>
      <c r="T15" s="39" t="str">
        <f t="shared" si="2"/>
        <v>Dupla materialidade</v>
      </c>
      <c r="U15" s="37">
        <f t="shared" si="3"/>
        <v>3</v>
      </c>
      <c r="V15" s="37">
        <f t="shared" si="4"/>
        <v>4</v>
      </c>
      <c r="W15" s="38">
        <f t="shared" si="5"/>
        <v>36.700000000000003</v>
      </c>
      <c r="X15" s="37">
        <f t="shared" si="6"/>
        <v>1</v>
      </c>
      <c r="Y15" s="40">
        <f>IF(A15="","",-SUMIFS(IRO!$AA$5:$AA$91,IRO!$B$5:$B$91,A15,IRO!$F$5:$F$91,"Risco"))</f>
        <v>227500</v>
      </c>
      <c r="Z15" s="40">
        <f>IF(A15="","",SUMIFS(IRO!$AA$5:$AA$91,IRO!$B$5:$B$91,A15,IRO!$F$5:$F$91,"Oportunidade"))</f>
        <v>80000</v>
      </c>
      <c r="AA15" s="41">
        <f>IF(A15="","",IFERROR(ROUND(AVERAGEIFS(Consultas!$H$5:$H$76,Consultas!$F$5:$F$76,A15),2),""))</f>
        <v>4.67</v>
      </c>
      <c r="AB15" s="37">
        <f>IF(A15="","",COUNTIF(Consultas!$F$5:$F$76,A15))</f>
        <v>3</v>
      </c>
      <c r="AC15" s="42">
        <f>IF(OR(A15="",N(M15)=0),"",(COUNTIFS(IRO!$B$5:$B$91,A15,IRO!$AG$5:$AG$91,"Alta")+COUNTIFS(IRO!$B$5:$B$91,A15,IRO!$AG$5:$AG$91,"Média"))/M15)</f>
        <v>1</v>
      </c>
      <c r="AD15" s="39" t="str">
        <f t="shared" si="7"/>
        <v>OK</v>
      </c>
      <c r="AE15" s="39" t="str">
        <f t="shared" si="8"/>
        <v>Gerir: política, ações, meta e KPI; divulgar (VSME / ESRS voluntário)</v>
      </c>
    </row>
    <row r="16" spans="1:31" ht="48" customHeight="1" x14ac:dyDescent="0.3">
      <c r="A16" s="35" t="s">
        <v>273</v>
      </c>
      <c r="B16" s="35" t="s">
        <v>189</v>
      </c>
      <c r="C16" s="35" t="s">
        <v>132</v>
      </c>
      <c r="D16" s="35" t="s">
        <v>274</v>
      </c>
      <c r="E16" s="35" t="s">
        <v>275</v>
      </c>
      <c r="F16" s="35" t="s">
        <v>276</v>
      </c>
      <c r="G16" s="35" t="s">
        <v>232</v>
      </c>
      <c r="H16" s="35" t="s">
        <v>211</v>
      </c>
      <c r="I16" s="35" t="s">
        <v>277</v>
      </c>
      <c r="J16" s="35" t="s">
        <v>196</v>
      </c>
      <c r="K16" s="35" t="s">
        <v>278</v>
      </c>
      <c r="L16" s="36">
        <v>46289</v>
      </c>
      <c r="M16" s="37">
        <f>IF(A16="","",COUNTIF(IRO!$B$5:$B$91,A16))</f>
        <v>3</v>
      </c>
      <c r="N16" s="37">
        <f>IF(A16="","",COUNTIFS(IRO!$B$5:$B$91,A16,IRO!$G$5:$G$91,"Impacto"))</f>
        <v>1</v>
      </c>
      <c r="O16" s="37">
        <f>IF(A16="","",COUNTIFS(IRO!$B$5:$B$91,A16,IRO!$G$5:$G$91,"Financeira"))</f>
        <v>2</v>
      </c>
      <c r="P16" s="38">
        <f>IF(OR(A16="",N16=0),"",_xlfn.MAXIFS(IRO!$T$5:$T$91,IRO!$B$5:$B$91,A16))</f>
        <v>10</v>
      </c>
      <c r="Q16" s="38">
        <f>IF(OR(A16="",O16=0),"",_xlfn.MAXIFS(IRO!$Z$5:$Z$91,IRO!$B$5:$B$91,A16))</f>
        <v>8</v>
      </c>
      <c r="R16" s="39" t="str">
        <f t="shared" si="0"/>
        <v>Não</v>
      </c>
      <c r="S16" s="39" t="str">
        <f t="shared" si="1"/>
        <v>Não</v>
      </c>
      <c r="T16" s="39" t="str">
        <f t="shared" si="2"/>
        <v>Não material</v>
      </c>
      <c r="U16" s="37">
        <f t="shared" si="3"/>
        <v>2</v>
      </c>
      <c r="V16" s="37">
        <f t="shared" si="4"/>
        <v>2</v>
      </c>
      <c r="W16" s="38">
        <f t="shared" si="5"/>
        <v>18</v>
      </c>
      <c r="X16" s="37">
        <f t="shared" si="6"/>
        <v>12</v>
      </c>
      <c r="Y16" s="40">
        <f>IF(A16="","",-SUMIFS(IRO!$AA$5:$AA$91,IRO!$B$5:$B$91,A16,IRO!$F$5:$F$91,"Risco"))</f>
        <v>6000</v>
      </c>
      <c r="Z16" s="40">
        <f>IF(A16="","",SUMIFS(IRO!$AA$5:$AA$91,IRO!$B$5:$B$91,A16,IRO!$F$5:$F$91,"Oportunidade"))</f>
        <v>5200</v>
      </c>
      <c r="AA16" s="41">
        <f>IF(A16="","",IFERROR(ROUND(AVERAGEIFS(Consultas!$H$5:$H$76,Consultas!$F$5:$F$76,A16),2),""))</f>
        <v>3.5</v>
      </c>
      <c r="AB16" s="37">
        <f>IF(A16="","",COUNTIF(Consultas!$F$5:$F$76,A16))</f>
        <v>2</v>
      </c>
      <c r="AC16" s="42">
        <f>IF(OR(A16="",N(M16)=0),"",(COUNTIFS(IRO!$B$5:$B$91,A16,IRO!$AG$5:$AG$91,"Alta")+COUNTIFS(IRO!$B$5:$B$91,A16,IRO!$AG$5:$AG$91,"Média"))/M16)</f>
        <v>1</v>
      </c>
      <c r="AD16" s="39" t="str">
        <f t="shared" si="7"/>
        <v>OK</v>
      </c>
      <c r="AE16" s="39" t="str">
        <f t="shared" si="8"/>
        <v>Monitorizar e reavaliar na próxima DMA</v>
      </c>
    </row>
    <row r="17" spans="1:31" ht="48" customHeight="1" x14ac:dyDescent="0.3">
      <c r="A17" s="35" t="s">
        <v>279</v>
      </c>
      <c r="B17" s="35" t="s">
        <v>280</v>
      </c>
      <c r="C17" s="35" t="s">
        <v>133</v>
      </c>
      <c r="D17" s="35" t="s">
        <v>281</v>
      </c>
      <c r="E17" s="35" t="s">
        <v>282</v>
      </c>
      <c r="F17" s="35" t="s">
        <v>283</v>
      </c>
      <c r="G17" s="35" t="s">
        <v>284</v>
      </c>
      <c r="H17" s="35" t="s">
        <v>194</v>
      </c>
      <c r="I17" s="35" t="s">
        <v>285</v>
      </c>
      <c r="J17" s="35" t="s">
        <v>286</v>
      </c>
      <c r="K17" s="35" t="s">
        <v>287</v>
      </c>
      <c r="L17" s="36">
        <v>46289</v>
      </c>
      <c r="M17" s="37">
        <f>IF(A17="","",COUNTIF(IRO!$B$5:$B$91,A17))</f>
        <v>3</v>
      </c>
      <c r="N17" s="37">
        <f>IF(A17="","",COUNTIFS(IRO!$B$5:$B$91,A17,IRO!$G$5:$G$91,"Impacto"))</f>
        <v>2</v>
      </c>
      <c r="O17" s="37">
        <f>IF(A17="","",COUNTIFS(IRO!$B$5:$B$91,A17,IRO!$G$5:$G$91,"Financeira"))</f>
        <v>1</v>
      </c>
      <c r="P17" s="38">
        <f>IF(OR(A17="",N17=0),"",_xlfn.MAXIFS(IRO!$T$5:$T$91,IRO!$B$5:$B$91,A17))</f>
        <v>20</v>
      </c>
      <c r="Q17" s="38">
        <f>IF(OR(A17="",O17=0),"",_xlfn.MAXIFS(IRO!$Z$5:$Z$91,IRO!$B$5:$B$91,A17))</f>
        <v>6</v>
      </c>
      <c r="R17" s="39" t="str">
        <f t="shared" si="0"/>
        <v>Sim</v>
      </c>
      <c r="S17" s="39" t="str">
        <f t="shared" si="1"/>
        <v>Não</v>
      </c>
      <c r="T17" s="39" t="str">
        <f t="shared" si="2"/>
        <v>Material — impacto</v>
      </c>
      <c r="U17" s="37">
        <f t="shared" si="3"/>
        <v>4</v>
      </c>
      <c r="V17" s="37">
        <f t="shared" si="4"/>
        <v>2</v>
      </c>
      <c r="W17" s="38">
        <f t="shared" si="5"/>
        <v>26</v>
      </c>
      <c r="X17" s="37">
        <f t="shared" si="6"/>
        <v>9</v>
      </c>
      <c r="Y17" s="40">
        <f>IF(A17="","",-SUMIFS(IRO!$AA$5:$AA$91,IRO!$B$5:$B$91,A17,IRO!$F$5:$F$91,"Risco"))</f>
        <v>16000</v>
      </c>
      <c r="Z17" s="40">
        <f>IF(A17="","",SUMIFS(IRO!$AA$5:$AA$91,IRO!$B$5:$B$91,A17,IRO!$F$5:$F$91,"Oportunidade"))</f>
        <v>0</v>
      </c>
      <c r="AA17" s="41">
        <f>IF(A17="","",IFERROR(ROUND(AVERAGEIFS(Consultas!$H$5:$H$76,Consultas!$F$5:$F$76,A17),2),""))</f>
        <v>4.5</v>
      </c>
      <c r="AB17" s="37">
        <f>IF(A17="","",COUNTIF(Consultas!$F$5:$F$76,A17))</f>
        <v>2</v>
      </c>
      <c r="AC17" s="42">
        <f>IF(OR(A17="",N(M17)=0),"",(COUNTIFS(IRO!$B$5:$B$91,A17,IRO!$AG$5:$AG$91,"Alta")+COUNTIFS(IRO!$B$5:$B$91,A17,IRO!$AG$5:$AG$91,"Média"))/M17)</f>
        <v>1</v>
      </c>
      <c r="AD17" s="39" t="str">
        <f t="shared" si="7"/>
        <v>OK</v>
      </c>
      <c r="AE17" s="39" t="str">
        <f t="shared" si="8"/>
        <v>Gerir: política, ações, meta e KPI; divulgar (VSME / ESRS voluntário)</v>
      </c>
    </row>
    <row r="18" spans="1:31" ht="48" customHeight="1" x14ac:dyDescent="0.3">
      <c r="A18" s="35" t="s">
        <v>288</v>
      </c>
      <c r="B18" s="35" t="s">
        <v>280</v>
      </c>
      <c r="C18" s="35" t="s">
        <v>133</v>
      </c>
      <c r="D18" s="35" t="s">
        <v>289</v>
      </c>
      <c r="E18" s="35" t="s">
        <v>290</v>
      </c>
      <c r="F18" s="35" t="s">
        <v>291</v>
      </c>
      <c r="G18" s="35" t="s">
        <v>292</v>
      </c>
      <c r="H18" s="35" t="s">
        <v>211</v>
      </c>
      <c r="I18" s="35" t="s">
        <v>293</v>
      </c>
      <c r="J18" s="35" t="s">
        <v>286</v>
      </c>
      <c r="K18" s="35" t="s">
        <v>294</v>
      </c>
      <c r="L18" s="36">
        <v>46289</v>
      </c>
      <c r="M18" s="37">
        <f>IF(A18="","",COUNTIF(IRO!$B$5:$B$91,A18))</f>
        <v>2</v>
      </c>
      <c r="N18" s="37">
        <f>IF(A18="","",COUNTIFS(IRO!$B$5:$B$91,A18,IRO!$G$5:$G$91,"Impacto"))</f>
        <v>1</v>
      </c>
      <c r="O18" s="37">
        <f>IF(A18="","",COUNTIFS(IRO!$B$5:$B$91,A18,IRO!$G$5:$G$91,"Financeira"))</f>
        <v>1</v>
      </c>
      <c r="P18" s="38">
        <f>IF(OR(A18="",N18=0),"",_xlfn.MAXIFS(IRO!$T$5:$T$91,IRO!$B$5:$B$91,A18))</f>
        <v>11.7</v>
      </c>
      <c r="Q18" s="38">
        <f>IF(OR(A18="",O18=0),"",_xlfn.MAXIFS(IRO!$Z$5:$Z$91,IRO!$B$5:$B$91,A18))</f>
        <v>16</v>
      </c>
      <c r="R18" s="39" t="str">
        <f t="shared" si="0"/>
        <v>Não</v>
      </c>
      <c r="S18" s="39" t="str">
        <f t="shared" si="1"/>
        <v>Sim</v>
      </c>
      <c r="T18" s="39" t="str">
        <f t="shared" si="2"/>
        <v>Material — financeira</v>
      </c>
      <c r="U18" s="37">
        <f t="shared" si="3"/>
        <v>2</v>
      </c>
      <c r="V18" s="37">
        <f t="shared" si="4"/>
        <v>3</v>
      </c>
      <c r="W18" s="38">
        <f t="shared" si="5"/>
        <v>27.7</v>
      </c>
      <c r="X18" s="37">
        <f t="shared" si="6"/>
        <v>8</v>
      </c>
      <c r="Y18" s="40">
        <f>IF(A18="","",-SUMIFS(IRO!$AA$5:$AA$91,IRO!$B$5:$B$91,A18,IRO!$F$5:$F$91,"Risco"))</f>
        <v>97500</v>
      </c>
      <c r="Z18" s="40">
        <f>IF(A18="","",SUMIFS(IRO!$AA$5:$AA$91,IRO!$B$5:$B$91,A18,IRO!$F$5:$F$91,"Oportunidade"))</f>
        <v>0</v>
      </c>
      <c r="AA18" s="41">
        <f>IF(A18="","",IFERROR(ROUND(AVERAGEIFS(Consultas!$H$5:$H$76,Consultas!$F$5:$F$76,A18),2),""))</f>
        <v>4</v>
      </c>
      <c r="AB18" s="37">
        <f>IF(A18="","",COUNTIF(Consultas!$F$5:$F$76,A18))</f>
        <v>1</v>
      </c>
      <c r="AC18" s="42">
        <f>IF(OR(A18="",N(M18)=0),"",(COUNTIFS(IRO!$B$5:$B$91,A18,IRO!$AG$5:$AG$91,"Alta")+COUNTIFS(IRO!$B$5:$B$91,A18,IRO!$AG$5:$AG$91,"Média"))/M18)</f>
        <v>1</v>
      </c>
      <c r="AD18" s="39" t="str">
        <f t="shared" si="7"/>
        <v>OK</v>
      </c>
      <c r="AE18" s="39" t="str">
        <f t="shared" si="8"/>
        <v>Gerir: política, ações, meta e KPI; divulgar (VSME / ESRS voluntário)</v>
      </c>
    </row>
    <row r="19" spans="1:31" ht="48" customHeight="1" x14ac:dyDescent="0.3">
      <c r="A19" s="35" t="s">
        <v>295</v>
      </c>
      <c r="B19" s="35" t="s">
        <v>280</v>
      </c>
      <c r="C19" s="35" t="s">
        <v>133</v>
      </c>
      <c r="D19" s="35" t="s">
        <v>296</v>
      </c>
      <c r="E19" s="35" t="s">
        <v>297</v>
      </c>
      <c r="F19" s="35" t="s">
        <v>298</v>
      </c>
      <c r="G19" s="35" t="s">
        <v>299</v>
      </c>
      <c r="H19" s="35" t="s">
        <v>211</v>
      </c>
      <c r="I19" s="35" t="s">
        <v>300</v>
      </c>
      <c r="J19" s="35" t="s">
        <v>286</v>
      </c>
      <c r="K19" s="35" t="s">
        <v>301</v>
      </c>
      <c r="L19" s="36">
        <v>46289</v>
      </c>
      <c r="M19" s="37">
        <f>IF(A19="","",COUNTIF(IRO!$B$5:$B$91,A19))</f>
        <v>2</v>
      </c>
      <c r="N19" s="37">
        <f>IF(A19="","",COUNTIFS(IRO!$B$5:$B$91,A19,IRO!$G$5:$G$91,"Impacto"))</f>
        <v>1</v>
      </c>
      <c r="O19" s="37">
        <f>IF(A19="","",COUNTIFS(IRO!$B$5:$B$91,A19,IRO!$G$5:$G$91,"Financeira"))</f>
        <v>1</v>
      </c>
      <c r="P19" s="38">
        <f>IF(OR(A19="",N19=0),"",_xlfn.MAXIFS(IRO!$T$5:$T$91,IRO!$B$5:$B$91,A19))</f>
        <v>10</v>
      </c>
      <c r="Q19" s="38">
        <f>IF(OR(A19="",O19=0),"",_xlfn.MAXIFS(IRO!$Z$5:$Z$91,IRO!$B$5:$B$91,A19))</f>
        <v>9</v>
      </c>
      <c r="R19" s="39" t="str">
        <f t="shared" si="0"/>
        <v>Não</v>
      </c>
      <c r="S19" s="39" t="str">
        <f t="shared" si="1"/>
        <v>Não</v>
      </c>
      <c r="T19" s="39" t="str">
        <f t="shared" si="2"/>
        <v>Não material</v>
      </c>
      <c r="U19" s="37">
        <f t="shared" si="3"/>
        <v>2</v>
      </c>
      <c r="V19" s="37">
        <f t="shared" si="4"/>
        <v>2</v>
      </c>
      <c r="W19" s="38">
        <f t="shared" si="5"/>
        <v>19</v>
      </c>
      <c r="X19" s="37">
        <f t="shared" si="6"/>
        <v>11</v>
      </c>
      <c r="Y19" s="40">
        <f>IF(A19="","",-SUMIFS(IRO!$AA$5:$AA$91,IRO!$B$5:$B$91,A19,IRO!$F$5:$F$91,"Risco"))</f>
        <v>0</v>
      </c>
      <c r="Z19" s="40">
        <f>IF(A19="","",SUMIFS(IRO!$AA$5:$AA$91,IRO!$B$5:$B$91,A19,IRO!$F$5:$F$91,"Oportunidade"))</f>
        <v>16000</v>
      </c>
      <c r="AA19" s="41">
        <f>IF(A19="","",IFERROR(ROUND(AVERAGEIFS(Consultas!$H$5:$H$76,Consultas!$F$5:$F$76,A19),2),""))</f>
        <v>4</v>
      </c>
      <c r="AB19" s="37">
        <f>IF(A19="","",COUNTIF(Consultas!$F$5:$F$76,A19))</f>
        <v>1</v>
      </c>
      <c r="AC19" s="42">
        <f>IF(OR(A19="",N(M19)=0),"",(COUNTIFS(IRO!$B$5:$B$91,A19,IRO!$AG$5:$AG$91,"Alta")+COUNTIFS(IRO!$B$5:$B$91,A19,IRO!$AG$5:$AG$91,"Média"))/M19)</f>
        <v>1</v>
      </c>
      <c r="AD19" s="39" t="str">
        <f t="shared" si="7"/>
        <v>Rever: relevância alta para as partes interessadas</v>
      </c>
      <c r="AE19" s="39" t="str">
        <f t="shared" si="8"/>
        <v>Monitorizar e reavaliar na próxima DMA</v>
      </c>
    </row>
    <row r="20" spans="1:31" ht="48" customHeight="1" x14ac:dyDescent="0.3">
      <c r="A20" s="35" t="s">
        <v>302</v>
      </c>
      <c r="B20" s="35" t="s">
        <v>280</v>
      </c>
      <c r="C20" s="35" t="s">
        <v>133</v>
      </c>
      <c r="D20" s="35" t="s">
        <v>303</v>
      </c>
      <c r="E20" s="35" t="s">
        <v>304</v>
      </c>
      <c r="F20" s="35" t="s">
        <v>305</v>
      </c>
      <c r="G20" s="35" t="s">
        <v>306</v>
      </c>
      <c r="H20" s="35" t="s">
        <v>307</v>
      </c>
      <c r="I20" s="35" t="s">
        <v>308</v>
      </c>
      <c r="J20" s="35" t="s">
        <v>286</v>
      </c>
      <c r="K20" s="35" t="s">
        <v>309</v>
      </c>
      <c r="L20" s="36">
        <v>46289</v>
      </c>
      <c r="M20" s="37">
        <f>IF(A20="","",COUNTIF(IRO!$B$5:$B$91,A20))</f>
        <v>1</v>
      </c>
      <c r="N20" s="37">
        <f>IF(A20="","",COUNTIFS(IRO!$B$5:$B$91,A20,IRO!$G$5:$G$91,"Impacto"))</f>
        <v>1</v>
      </c>
      <c r="O20" s="37">
        <f>IF(A20="","",COUNTIFS(IRO!$B$5:$B$91,A20,IRO!$G$5:$G$91,"Financeira"))</f>
        <v>0</v>
      </c>
      <c r="P20" s="38">
        <f>IF(OR(A20="",N20=0),"",_xlfn.MAXIFS(IRO!$T$5:$T$91,IRO!$B$5:$B$91,A20))</f>
        <v>4</v>
      </c>
      <c r="Q20" s="38" t="str">
        <f>IF(OR(A20="",O20=0),"",_xlfn.MAXIFS(IRO!$Z$5:$Z$91,IRO!$B$5:$B$91,A20))</f>
        <v/>
      </c>
      <c r="R20" s="39" t="str">
        <f t="shared" si="0"/>
        <v>Não</v>
      </c>
      <c r="S20" s="39" t="str">
        <f t="shared" si="1"/>
        <v>Não</v>
      </c>
      <c r="T20" s="39" t="str">
        <f t="shared" si="2"/>
        <v>Não material</v>
      </c>
      <c r="U20" s="37">
        <f t="shared" si="3"/>
        <v>1</v>
      </c>
      <c r="V20" s="37">
        <f t="shared" si="4"/>
        <v>0</v>
      </c>
      <c r="W20" s="38">
        <f t="shared" si="5"/>
        <v>4</v>
      </c>
      <c r="X20" s="37">
        <f t="shared" si="6"/>
        <v>24</v>
      </c>
      <c r="Y20" s="40">
        <f>IF(A20="","",-SUMIFS(IRO!$AA$5:$AA$91,IRO!$B$5:$B$91,A20,IRO!$F$5:$F$91,"Risco"))</f>
        <v>0</v>
      </c>
      <c r="Z20" s="40">
        <f>IF(A20="","",SUMIFS(IRO!$AA$5:$AA$91,IRO!$B$5:$B$91,A20,IRO!$F$5:$F$91,"Oportunidade"))</f>
        <v>0</v>
      </c>
      <c r="AA20" s="41">
        <f>IF(A20="","",IFERROR(ROUND(AVERAGEIFS(Consultas!$H$5:$H$76,Consultas!$F$5:$F$76,A20),2),""))</f>
        <v>2</v>
      </c>
      <c r="AB20" s="37">
        <f>IF(A20="","",COUNTIF(Consultas!$F$5:$F$76,A20))</f>
        <v>1</v>
      </c>
      <c r="AC20" s="42">
        <f>IF(OR(A20="",N(M20)=0),"",(COUNTIFS(IRO!$B$5:$B$91,A20,IRO!$AG$5:$AG$91,"Alta")+COUNTIFS(IRO!$B$5:$B$91,A20,IRO!$AG$5:$AG$91,"Média"))/M20)</f>
        <v>0</v>
      </c>
      <c r="AD20" s="39" t="str">
        <f t="shared" si="7"/>
        <v>OK</v>
      </c>
      <c r="AE20" s="39" t="str">
        <f t="shared" si="8"/>
        <v>Monitorizar e reavaliar na próxima DMA</v>
      </c>
    </row>
    <row r="21" spans="1:31" ht="48" customHeight="1" x14ac:dyDescent="0.3">
      <c r="A21" s="35" t="s">
        <v>310</v>
      </c>
      <c r="B21" s="35" t="s">
        <v>280</v>
      </c>
      <c r="C21" s="35" t="s">
        <v>134</v>
      </c>
      <c r="D21" s="35" t="s">
        <v>311</v>
      </c>
      <c r="E21" s="35" t="s">
        <v>312</v>
      </c>
      <c r="F21" s="35" t="s">
        <v>313</v>
      </c>
      <c r="G21" s="35" t="s">
        <v>314</v>
      </c>
      <c r="H21" s="35" t="s">
        <v>211</v>
      </c>
      <c r="I21" s="35" t="s">
        <v>315</v>
      </c>
      <c r="J21" s="35" t="s">
        <v>264</v>
      </c>
      <c r="K21" s="35" t="s">
        <v>316</v>
      </c>
      <c r="L21" s="36">
        <v>46289</v>
      </c>
      <c r="M21" s="37">
        <f>IF(A21="","",COUNTIF(IRO!$B$5:$B$91,A21))</f>
        <v>1</v>
      </c>
      <c r="N21" s="37">
        <f>IF(A21="","",COUNTIFS(IRO!$B$5:$B$91,A21,IRO!$G$5:$G$91,"Impacto"))</f>
        <v>1</v>
      </c>
      <c r="O21" s="37">
        <f>IF(A21="","",COUNTIFS(IRO!$B$5:$B$91,A21,IRO!$G$5:$G$91,"Financeira"))</f>
        <v>0</v>
      </c>
      <c r="P21" s="38">
        <f>IF(OR(A21="",N21=0),"",_xlfn.MAXIFS(IRO!$T$5:$T$91,IRO!$B$5:$B$91,A21))</f>
        <v>6.7</v>
      </c>
      <c r="Q21" s="38" t="str">
        <f>IF(OR(A21="",O21=0),"",_xlfn.MAXIFS(IRO!$Z$5:$Z$91,IRO!$B$5:$B$91,A21))</f>
        <v/>
      </c>
      <c r="R21" s="39" t="str">
        <f t="shared" si="0"/>
        <v>Não</v>
      </c>
      <c r="S21" s="39" t="str">
        <f t="shared" si="1"/>
        <v>Não</v>
      </c>
      <c r="T21" s="39" t="str">
        <f t="shared" si="2"/>
        <v>Não material</v>
      </c>
      <c r="U21" s="37">
        <f t="shared" si="3"/>
        <v>2</v>
      </c>
      <c r="V21" s="37">
        <f t="shared" si="4"/>
        <v>0</v>
      </c>
      <c r="W21" s="38">
        <f t="shared" si="5"/>
        <v>6.7</v>
      </c>
      <c r="X21" s="37">
        <f t="shared" si="6"/>
        <v>23</v>
      </c>
      <c r="Y21" s="40">
        <f>IF(A21="","",-SUMIFS(IRO!$AA$5:$AA$91,IRO!$B$5:$B$91,A21,IRO!$F$5:$F$91,"Risco"))</f>
        <v>0</v>
      </c>
      <c r="Z21" s="40">
        <f>IF(A21="","",SUMIFS(IRO!$AA$5:$AA$91,IRO!$B$5:$B$91,A21,IRO!$F$5:$F$91,"Oportunidade"))</f>
        <v>0</v>
      </c>
      <c r="AA21" s="41">
        <f>IF(A21="","",IFERROR(ROUND(AVERAGEIFS(Consultas!$H$5:$H$76,Consultas!$F$5:$F$76,A21),2),""))</f>
        <v>3</v>
      </c>
      <c r="AB21" s="37">
        <f>IF(A21="","",COUNTIF(Consultas!$F$5:$F$76,A21))</f>
        <v>1</v>
      </c>
      <c r="AC21" s="42">
        <f>IF(OR(A21="",N(M21)=0),"",(COUNTIFS(IRO!$B$5:$B$91,A21,IRO!$AG$5:$AG$91,"Alta")+COUNTIFS(IRO!$B$5:$B$91,A21,IRO!$AG$5:$AG$91,"Média"))/M21)</f>
        <v>0</v>
      </c>
      <c r="AD21" s="39" t="str">
        <f t="shared" si="7"/>
        <v>OK</v>
      </c>
      <c r="AE21" s="39" t="str">
        <f t="shared" si="8"/>
        <v>Monitorizar e reavaliar na próxima DMA</v>
      </c>
    </row>
    <row r="22" spans="1:31" ht="48" customHeight="1" x14ac:dyDescent="0.3">
      <c r="A22" s="35" t="s">
        <v>317</v>
      </c>
      <c r="B22" s="35" t="s">
        <v>280</v>
      </c>
      <c r="C22" s="35" t="s">
        <v>135</v>
      </c>
      <c r="D22" s="35" t="s">
        <v>318</v>
      </c>
      <c r="E22" s="35" t="s">
        <v>319</v>
      </c>
      <c r="F22" s="35" t="s">
        <v>320</v>
      </c>
      <c r="G22" s="35" t="s">
        <v>321</v>
      </c>
      <c r="H22" s="35" t="s">
        <v>211</v>
      </c>
      <c r="I22" s="35" t="s">
        <v>322</v>
      </c>
      <c r="J22" s="35" t="s">
        <v>196</v>
      </c>
      <c r="K22" s="35" t="s">
        <v>323</v>
      </c>
      <c r="L22" s="36">
        <v>46289</v>
      </c>
      <c r="M22" s="37">
        <f>IF(A22="","",COUNTIF(IRO!$B$5:$B$91,A22))</f>
        <v>3</v>
      </c>
      <c r="N22" s="37">
        <f>IF(A22="","",COUNTIFS(IRO!$B$5:$B$91,A22,IRO!$G$5:$G$91,"Impacto"))</f>
        <v>3</v>
      </c>
      <c r="O22" s="37">
        <f>IF(A22="","",COUNTIFS(IRO!$B$5:$B$91,A22,IRO!$G$5:$G$91,"Financeira"))</f>
        <v>0</v>
      </c>
      <c r="P22" s="38">
        <f>IF(OR(A22="",N22=0),"",_xlfn.MAXIFS(IRO!$T$5:$T$91,IRO!$B$5:$B$91,A22))</f>
        <v>12.5</v>
      </c>
      <c r="Q22" s="38" t="str">
        <f>IF(OR(A22="",O22=0),"",_xlfn.MAXIFS(IRO!$Z$5:$Z$91,IRO!$B$5:$B$91,A22))</f>
        <v/>
      </c>
      <c r="R22" s="39" t="str">
        <f t="shared" si="0"/>
        <v>Sim</v>
      </c>
      <c r="S22" s="39" t="str">
        <f t="shared" si="1"/>
        <v>Não</v>
      </c>
      <c r="T22" s="39" t="str">
        <f t="shared" si="2"/>
        <v>Material — impacto</v>
      </c>
      <c r="U22" s="37">
        <f t="shared" si="3"/>
        <v>3</v>
      </c>
      <c r="V22" s="37">
        <f t="shared" si="4"/>
        <v>0</v>
      </c>
      <c r="W22" s="38">
        <f t="shared" si="5"/>
        <v>12.5</v>
      </c>
      <c r="X22" s="37">
        <f t="shared" si="6"/>
        <v>20</v>
      </c>
      <c r="Y22" s="40">
        <f>IF(A22="","",-SUMIFS(IRO!$AA$5:$AA$91,IRO!$B$5:$B$91,A22,IRO!$F$5:$F$91,"Risco"))</f>
        <v>0</v>
      </c>
      <c r="Z22" s="40">
        <f>IF(A22="","",SUMIFS(IRO!$AA$5:$AA$91,IRO!$B$5:$B$91,A22,IRO!$F$5:$F$91,"Oportunidade"))</f>
        <v>0</v>
      </c>
      <c r="AA22" s="41">
        <f>IF(A22="","",IFERROR(ROUND(AVERAGEIFS(Consultas!$H$5:$H$76,Consultas!$F$5:$F$76,A22),2),""))</f>
        <v>4</v>
      </c>
      <c r="AB22" s="37">
        <f>IF(A22="","",COUNTIF(Consultas!$F$5:$F$76,A22))</f>
        <v>1</v>
      </c>
      <c r="AC22" s="42">
        <f>IF(OR(A22="",N(M22)=0),"",(COUNTIFS(IRO!$B$5:$B$91,A22,IRO!$AG$5:$AG$91,"Alta")+COUNTIFS(IRO!$B$5:$B$91,A22,IRO!$AG$5:$AG$91,"Média"))/M22)</f>
        <v>1</v>
      </c>
      <c r="AD22" s="39" t="str">
        <f t="shared" si="7"/>
        <v>OK</v>
      </c>
      <c r="AE22" s="39" t="str">
        <f t="shared" si="8"/>
        <v>Gerir: política, ações, meta e KPI; divulgar (VSME / ESRS voluntário)</v>
      </c>
    </row>
    <row r="23" spans="1:31" ht="48" customHeight="1" x14ac:dyDescent="0.3">
      <c r="A23" s="35" t="s">
        <v>324</v>
      </c>
      <c r="B23" s="35" t="s">
        <v>280</v>
      </c>
      <c r="C23" s="35" t="s">
        <v>136</v>
      </c>
      <c r="D23" s="35" t="s">
        <v>325</v>
      </c>
      <c r="E23" s="35" t="s">
        <v>326</v>
      </c>
      <c r="F23" s="35" t="s">
        <v>327</v>
      </c>
      <c r="G23" s="35" t="s">
        <v>239</v>
      </c>
      <c r="H23" s="35" t="s">
        <v>194</v>
      </c>
      <c r="I23" s="35" t="s">
        <v>328</v>
      </c>
      <c r="J23" s="35" t="s">
        <v>329</v>
      </c>
      <c r="K23" s="35" t="s">
        <v>330</v>
      </c>
      <c r="L23" s="36">
        <v>46289</v>
      </c>
      <c r="M23" s="37">
        <f>IF(A23="","",COUNTIF(IRO!$B$5:$B$91,A23))</f>
        <v>2</v>
      </c>
      <c r="N23" s="37">
        <f>IF(A23="","",COUNTIFS(IRO!$B$5:$B$91,A23,IRO!$G$5:$G$91,"Impacto"))</f>
        <v>1</v>
      </c>
      <c r="O23" s="37">
        <f>IF(A23="","",COUNTIFS(IRO!$B$5:$B$91,A23,IRO!$G$5:$G$91,"Financeira"))</f>
        <v>1</v>
      </c>
      <c r="P23" s="38">
        <f>IF(OR(A23="",N23=0),"",_xlfn.MAXIFS(IRO!$T$5:$T$91,IRO!$B$5:$B$91,A23))</f>
        <v>20</v>
      </c>
      <c r="Q23" s="38">
        <f>IF(OR(A23="",O23=0),"",_xlfn.MAXIFS(IRO!$Z$5:$Z$91,IRO!$B$5:$B$91,A23))</f>
        <v>15</v>
      </c>
      <c r="R23" s="39" t="str">
        <f t="shared" si="0"/>
        <v>Sim</v>
      </c>
      <c r="S23" s="39" t="str">
        <f t="shared" si="1"/>
        <v>Sim</v>
      </c>
      <c r="T23" s="39" t="str">
        <f t="shared" si="2"/>
        <v>Dupla materialidade</v>
      </c>
      <c r="U23" s="37">
        <f t="shared" si="3"/>
        <v>4</v>
      </c>
      <c r="V23" s="37">
        <f t="shared" si="4"/>
        <v>3</v>
      </c>
      <c r="W23" s="38">
        <f t="shared" si="5"/>
        <v>35</v>
      </c>
      <c r="X23" s="37">
        <f t="shared" si="6"/>
        <v>2</v>
      </c>
      <c r="Y23" s="40">
        <f>IF(A23="","",-SUMIFS(IRO!$AA$5:$AA$91,IRO!$B$5:$B$91,A23,IRO!$F$5:$F$91,"Risco"))</f>
        <v>120000</v>
      </c>
      <c r="Z23" s="40">
        <f>IF(A23="","",SUMIFS(IRO!$AA$5:$AA$91,IRO!$B$5:$B$91,A23,IRO!$F$5:$F$91,"Oportunidade"))</f>
        <v>0</v>
      </c>
      <c r="AA23" s="41">
        <f>IF(A23="","",IFERROR(ROUND(AVERAGEIFS(Consultas!$H$5:$H$76,Consultas!$F$5:$F$76,A23),2),""))</f>
        <v>5</v>
      </c>
      <c r="AB23" s="37">
        <f>IF(A23="","",COUNTIF(Consultas!$F$5:$F$76,A23))</f>
        <v>1</v>
      </c>
      <c r="AC23" s="42">
        <f>IF(OR(A23="",N(M23)=0),"",(COUNTIFS(IRO!$B$5:$B$91,A23,IRO!$AG$5:$AG$91,"Alta")+COUNTIFS(IRO!$B$5:$B$91,A23,IRO!$AG$5:$AG$91,"Média"))/M23)</f>
        <v>1</v>
      </c>
      <c r="AD23" s="39" t="str">
        <f t="shared" si="7"/>
        <v>OK</v>
      </c>
      <c r="AE23" s="39" t="str">
        <f t="shared" si="8"/>
        <v>Gerir: política, ações, meta e KPI; divulgar (VSME / ESRS voluntário)</v>
      </c>
    </row>
    <row r="24" spans="1:31" ht="48" customHeight="1" x14ac:dyDescent="0.3">
      <c r="A24" s="35" t="s">
        <v>331</v>
      </c>
      <c r="B24" s="35" t="s">
        <v>280</v>
      </c>
      <c r="C24" s="35" t="s">
        <v>136</v>
      </c>
      <c r="D24" s="35" t="s">
        <v>332</v>
      </c>
      <c r="E24" s="35" t="s">
        <v>333</v>
      </c>
      <c r="F24" s="35" t="s">
        <v>334</v>
      </c>
      <c r="G24" s="35" t="s">
        <v>335</v>
      </c>
      <c r="H24" s="35" t="s">
        <v>211</v>
      </c>
      <c r="I24" s="35" t="s">
        <v>336</v>
      </c>
      <c r="J24" s="35" t="s">
        <v>241</v>
      </c>
      <c r="K24" s="35" t="s">
        <v>337</v>
      </c>
      <c r="L24" s="36">
        <v>46289</v>
      </c>
      <c r="M24" s="37">
        <f>IF(A24="","",COUNTIF(IRO!$B$5:$B$91,A24))</f>
        <v>2</v>
      </c>
      <c r="N24" s="37">
        <f>IF(A24="","",COUNTIFS(IRO!$B$5:$B$91,A24,IRO!$G$5:$G$91,"Impacto"))</f>
        <v>1</v>
      </c>
      <c r="O24" s="37">
        <f>IF(A24="","",COUNTIFS(IRO!$B$5:$B$91,A24,IRO!$G$5:$G$91,"Financeira"))</f>
        <v>1</v>
      </c>
      <c r="P24" s="38">
        <f>IF(OR(A24="",N24=0),"",_xlfn.MAXIFS(IRO!$T$5:$T$91,IRO!$B$5:$B$91,A24))</f>
        <v>7</v>
      </c>
      <c r="Q24" s="38">
        <f>IF(OR(A24="",O24=0),"",_xlfn.MAXIFS(IRO!$Z$5:$Z$91,IRO!$B$5:$B$91,A24))</f>
        <v>9</v>
      </c>
      <c r="R24" s="39" t="str">
        <f t="shared" si="0"/>
        <v>Não</v>
      </c>
      <c r="S24" s="39" t="str">
        <f t="shared" si="1"/>
        <v>Não</v>
      </c>
      <c r="T24" s="39" t="str">
        <f t="shared" si="2"/>
        <v>Não material</v>
      </c>
      <c r="U24" s="37">
        <f t="shared" si="3"/>
        <v>2</v>
      </c>
      <c r="V24" s="37">
        <f t="shared" si="4"/>
        <v>2</v>
      </c>
      <c r="W24" s="38">
        <f t="shared" si="5"/>
        <v>16</v>
      </c>
      <c r="X24" s="37">
        <f t="shared" si="6"/>
        <v>16</v>
      </c>
      <c r="Y24" s="40">
        <f>IF(A24="","",-SUMIFS(IRO!$AA$5:$AA$91,IRO!$B$5:$B$91,A24,IRO!$F$5:$F$91,"Risco"))</f>
        <v>20000</v>
      </c>
      <c r="Z24" s="40">
        <f>IF(A24="","",SUMIFS(IRO!$AA$5:$AA$91,IRO!$B$5:$B$91,A24,IRO!$F$5:$F$91,"Oportunidade"))</f>
        <v>0</v>
      </c>
      <c r="AA24" s="41">
        <f>IF(A24="","",IFERROR(ROUND(AVERAGEIFS(Consultas!$H$5:$H$76,Consultas!$F$5:$F$76,A24),2),""))</f>
        <v>4</v>
      </c>
      <c r="AB24" s="37">
        <f>IF(A24="","",COUNTIF(Consultas!$F$5:$F$76,A24))</f>
        <v>1</v>
      </c>
      <c r="AC24" s="42">
        <f>IF(OR(A24="",N(M24)=0),"",(COUNTIFS(IRO!$B$5:$B$91,A24,IRO!$AG$5:$AG$91,"Alta")+COUNTIFS(IRO!$B$5:$B$91,A24,IRO!$AG$5:$AG$91,"Média"))/M24)</f>
        <v>1</v>
      </c>
      <c r="AD24" s="39" t="str">
        <f t="shared" si="7"/>
        <v>Rever: relevância alta para as partes interessadas</v>
      </c>
      <c r="AE24" s="39" t="str">
        <f t="shared" si="8"/>
        <v>Monitorizar e reavaliar na próxima DMA</v>
      </c>
    </row>
    <row r="25" spans="1:31" ht="48" customHeight="1" x14ac:dyDescent="0.3">
      <c r="A25" s="35" t="s">
        <v>338</v>
      </c>
      <c r="B25" s="35" t="s">
        <v>339</v>
      </c>
      <c r="C25" s="35" t="s">
        <v>137</v>
      </c>
      <c r="D25" s="35" t="s">
        <v>340</v>
      </c>
      <c r="E25" s="35" t="s">
        <v>341</v>
      </c>
      <c r="F25" s="35" t="s">
        <v>342</v>
      </c>
      <c r="G25" s="35" t="s">
        <v>343</v>
      </c>
      <c r="H25" s="35" t="s">
        <v>211</v>
      </c>
      <c r="I25" s="35" t="s">
        <v>344</v>
      </c>
      <c r="J25" s="35" t="s">
        <v>345</v>
      </c>
      <c r="K25" s="35" t="s">
        <v>346</v>
      </c>
      <c r="L25" s="36">
        <v>46289</v>
      </c>
      <c r="M25" s="37">
        <f>IF(A25="","",COUNTIF(IRO!$B$5:$B$91,A25))</f>
        <v>2</v>
      </c>
      <c r="N25" s="37">
        <f>IF(A25="","",COUNTIFS(IRO!$B$5:$B$91,A25,IRO!$G$5:$G$91,"Impacto"))</f>
        <v>1</v>
      </c>
      <c r="O25" s="37">
        <f>IF(A25="","",COUNTIFS(IRO!$B$5:$B$91,A25,IRO!$G$5:$G$91,"Financeira"))</f>
        <v>1</v>
      </c>
      <c r="P25" s="38">
        <f>IF(OR(A25="",N25=0),"",_xlfn.MAXIFS(IRO!$T$5:$T$91,IRO!$B$5:$B$91,A25))</f>
        <v>2</v>
      </c>
      <c r="Q25" s="38">
        <f>IF(OR(A25="",O25=0),"",_xlfn.MAXIFS(IRO!$Z$5:$Z$91,IRO!$B$5:$B$91,A25))</f>
        <v>12</v>
      </c>
      <c r="R25" s="39" t="str">
        <f t="shared" si="0"/>
        <v>Não</v>
      </c>
      <c r="S25" s="39" t="str">
        <f t="shared" si="1"/>
        <v>Sim</v>
      </c>
      <c r="T25" s="39" t="str">
        <f t="shared" si="2"/>
        <v>Material — financeira</v>
      </c>
      <c r="U25" s="37">
        <f t="shared" si="3"/>
        <v>1</v>
      </c>
      <c r="V25" s="37">
        <f t="shared" si="4"/>
        <v>3</v>
      </c>
      <c r="W25" s="38">
        <f t="shared" si="5"/>
        <v>14</v>
      </c>
      <c r="X25" s="37">
        <f t="shared" si="6"/>
        <v>19</v>
      </c>
      <c r="Y25" s="40">
        <f>IF(A25="","",-SUMIFS(IRO!$AA$5:$AA$91,IRO!$B$5:$B$91,A25,IRO!$F$5:$F$91,"Risco"))</f>
        <v>48000</v>
      </c>
      <c r="Z25" s="40">
        <f>IF(A25="","",SUMIFS(IRO!$AA$5:$AA$91,IRO!$B$5:$B$91,A25,IRO!$F$5:$F$91,"Oportunidade"))</f>
        <v>0</v>
      </c>
      <c r="AA25" s="41">
        <f>IF(A25="","",IFERROR(ROUND(AVERAGEIFS(Consultas!$H$5:$H$76,Consultas!$F$5:$F$76,A25),2),""))</f>
        <v>4</v>
      </c>
      <c r="AB25" s="37">
        <f>IF(A25="","",COUNTIF(Consultas!$F$5:$F$76,A25))</f>
        <v>1</v>
      </c>
      <c r="AC25" s="42">
        <f>IF(OR(A25="",N(M25)=0),"",(COUNTIFS(IRO!$B$5:$B$91,A25,IRO!$AG$5:$AG$91,"Alta")+COUNTIFS(IRO!$B$5:$B$91,A25,IRO!$AG$5:$AG$91,"Média"))/M25)</f>
        <v>0.5</v>
      </c>
      <c r="AD25" s="39" t="str">
        <f t="shared" si="7"/>
        <v>OK</v>
      </c>
      <c r="AE25" s="39" t="str">
        <f t="shared" si="8"/>
        <v>Gerir: política, ações, meta e KPI; divulgar (VSME / ESRS voluntário)</v>
      </c>
    </row>
    <row r="26" spans="1:31" ht="48" customHeight="1" x14ac:dyDescent="0.3">
      <c r="A26" s="35" t="s">
        <v>347</v>
      </c>
      <c r="B26" s="35" t="s">
        <v>339</v>
      </c>
      <c r="C26" s="35" t="s">
        <v>137</v>
      </c>
      <c r="D26" s="35" t="s">
        <v>348</v>
      </c>
      <c r="E26" s="35" t="s">
        <v>349</v>
      </c>
      <c r="F26" s="35" t="s">
        <v>350</v>
      </c>
      <c r="G26" s="35" t="s">
        <v>351</v>
      </c>
      <c r="H26" s="35" t="s">
        <v>211</v>
      </c>
      <c r="I26" s="35" t="s">
        <v>352</v>
      </c>
      <c r="J26" s="35" t="s">
        <v>264</v>
      </c>
      <c r="K26" s="35" t="s">
        <v>353</v>
      </c>
      <c r="L26" s="36">
        <v>46289</v>
      </c>
      <c r="M26" s="37">
        <f>IF(A26="","",COUNTIF(IRO!$B$5:$B$91,A26))</f>
        <v>2</v>
      </c>
      <c r="N26" s="37">
        <f>IF(A26="","",COUNTIFS(IRO!$B$5:$B$91,A26,IRO!$G$5:$G$91,"Impacto"))</f>
        <v>1</v>
      </c>
      <c r="O26" s="37">
        <f>IF(A26="","",COUNTIFS(IRO!$B$5:$B$91,A26,IRO!$G$5:$G$91,"Financeira"))</f>
        <v>1</v>
      </c>
      <c r="P26" s="38">
        <f>IF(OR(A26="",N26=0),"",_xlfn.MAXIFS(IRO!$T$5:$T$91,IRO!$B$5:$B$91,A26))</f>
        <v>7.5</v>
      </c>
      <c r="Q26" s="38">
        <f>IF(OR(A26="",O26=0),"",_xlfn.MAXIFS(IRO!$Z$5:$Z$91,IRO!$B$5:$B$91,A26))</f>
        <v>12</v>
      </c>
      <c r="R26" s="39" t="str">
        <f t="shared" si="0"/>
        <v>Não</v>
      </c>
      <c r="S26" s="39" t="str">
        <f t="shared" si="1"/>
        <v>Sim</v>
      </c>
      <c r="T26" s="39" t="str">
        <f t="shared" si="2"/>
        <v>Material — financeira</v>
      </c>
      <c r="U26" s="37">
        <f t="shared" si="3"/>
        <v>2</v>
      </c>
      <c r="V26" s="37">
        <f t="shared" si="4"/>
        <v>3</v>
      </c>
      <c r="W26" s="38">
        <f t="shared" si="5"/>
        <v>19.5</v>
      </c>
      <c r="X26" s="37">
        <f t="shared" si="6"/>
        <v>10</v>
      </c>
      <c r="Y26" s="40">
        <f>IF(A26="","",-SUMIFS(IRO!$AA$5:$AA$91,IRO!$B$5:$B$91,A26,IRO!$F$5:$F$91,"Risco"))</f>
        <v>40000</v>
      </c>
      <c r="Z26" s="40">
        <f>IF(A26="","",SUMIFS(IRO!$AA$5:$AA$91,IRO!$B$5:$B$91,A26,IRO!$F$5:$F$91,"Oportunidade"))</f>
        <v>0</v>
      </c>
      <c r="AA26" s="41">
        <f>IF(A26="","",IFERROR(ROUND(AVERAGEIFS(Consultas!$H$5:$H$76,Consultas!$F$5:$F$76,A26),2),""))</f>
        <v>3</v>
      </c>
      <c r="AB26" s="37">
        <f>IF(A26="","",COUNTIF(Consultas!$F$5:$F$76,A26))</f>
        <v>1</v>
      </c>
      <c r="AC26" s="42">
        <f>IF(OR(A26="",N(M26)=0),"",(COUNTIFS(IRO!$B$5:$B$91,A26,IRO!$AG$5:$AG$91,"Alta")+COUNTIFS(IRO!$B$5:$B$91,A26,IRO!$AG$5:$AG$91,"Média"))/M26)</f>
        <v>1</v>
      </c>
      <c r="AD26" s="39" t="str">
        <f t="shared" si="7"/>
        <v>OK</v>
      </c>
      <c r="AE26" s="39" t="str">
        <f t="shared" si="8"/>
        <v>Gerir: política, ações, meta e KPI; divulgar (VSME / ESRS voluntário)</v>
      </c>
    </row>
    <row r="27" spans="1:31" ht="48" customHeight="1" x14ac:dyDescent="0.3">
      <c r="A27" s="35" t="s">
        <v>354</v>
      </c>
      <c r="B27" s="35" t="s">
        <v>339</v>
      </c>
      <c r="C27" s="35" t="s">
        <v>138</v>
      </c>
      <c r="D27" s="35" t="s">
        <v>355</v>
      </c>
      <c r="E27" s="35" t="s">
        <v>356</v>
      </c>
      <c r="F27" s="35" t="s">
        <v>357</v>
      </c>
      <c r="G27" s="35" t="s">
        <v>358</v>
      </c>
      <c r="H27" s="35" t="s">
        <v>194</v>
      </c>
      <c r="I27" s="35" t="s">
        <v>359</v>
      </c>
      <c r="J27" s="35" t="s">
        <v>329</v>
      </c>
      <c r="K27" s="35" t="s">
        <v>360</v>
      </c>
      <c r="L27" s="36">
        <v>46289</v>
      </c>
      <c r="M27" s="37">
        <f>IF(A27="","",COUNTIF(IRO!$B$5:$B$91,A27))</f>
        <v>2</v>
      </c>
      <c r="N27" s="37">
        <f>IF(A27="","",COUNTIFS(IRO!$B$5:$B$91,A27,IRO!$G$5:$G$91,"Impacto"))</f>
        <v>1</v>
      </c>
      <c r="O27" s="37">
        <f>IF(A27="","",COUNTIFS(IRO!$B$5:$B$91,A27,IRO!$G$5:$G$91,"Financeira"))</f>
        <v>1</v>
      </c>
      <c r="P27" s="38">
        <f>IF(OR(A27="",N27=0),"",_xlfn.MAXIFS(IRO!$T$5:$T$91,IRO!$B$5:$B$91,A27))</f>
        <v>10</v>
      </c>
      <c r="Q27" s="38">
        <f>IF(OR(A27="",O27=0),"",_xlfn.MAXIFS(IRO!$Z$5:$Z$91,IRO!$B$5:$B$91,A27))</f>
        <v>20</v>
      </c>
      <c r="R27" s="39" t="str">
        <f t="shared" si="0"/>
        <v>Não</v>
      </c>
      <c r="S27" s="39" t="str">
        <f t="shared" si="1"/>
        <v>Sim</v>
      </c>
      <c r="T27" s="39" t="str">
        <f t="shared" si="2"/>
        <v>Material — financeira</v>
      </c>
      <c r="U27" s="37">
        <f t="shared" si="3"/>
        <v>2</v>
      </c>
      <c r="V27" s="37">
        <f t="shared" si="4"/>
        <v>4</v>
      </c>
      <c r="W27" s="38">
        <f t="shared" si="5"/>
        <v>30</v>
      </c>
      <c r="X27" s="37">
        <f t="shared" si="6"/>
        <v>7</v>
      </c>
      <c r="Y27" s="40">
        <f>IF(A27="","",-SUMIFS(IRO!$AA$5:$AA$91,IRO!$B$5:$B$91,A27,IRO!$F$5:$F$91,"Risco"))</f>
        <v>162000</v>
      </c>
      <c r="Z27" s="40">
        <f>IF(A27="","",SUMIFS(IRO!$AA$5:$AA$91,IRO!$B$5:$B$91,A27,IRO!$F$5:$F$91,"Oportunidade"))</f>
        <v>0</v>
      </c>
      <c r="AA27" s="41">
        <f>IF(A27="","",IFERROR(ROUND(AVERAGEIFS(Consultas!$H$5:$H$76,Consultas!$F$5:$F$76,A27),2),""))</f>
        <v>5</v>
      </c>
      <c r="AB27" s="37">
        <f>IF(A27="","",COUNTIF(Consultas!$F$5:$F$76,A27))</f>
        <v>2</v>
      </c>
      <c r="AC27" s="42">
        <f>IF(OR(A27="",N(M27)=0),"",(COUNTIFS(IRO!$B$5:$B$91,A27,IRO!$AG$5:$AG$91,"Alta")+COUNTIFS(IRO!$B$5:$B$91,A27,IRO!$AG$5:$AG$91,"Média"))/M27)</f>
        <v>1</v>
      </c>
      <c r="AD27" s="39" t="str">
        <f t="shared" si="7"/>
        <v>OK</v>
      </c>
      <c r="AE27" s="39" t="str">
        <f t="shared" si="8"/>
        <v>Gerir: política, ações, meta e KPI; divulgar (VSME / ESRS voluntário)</v>
      </c>
    </row>
    <row r="28" spans="1:31" ht="48" customHeight="1" x14ac:dyDescent="0.3">
      <c r="A28" s="35" t="s">
        <v>361</v>
      </c>
      <c r="B28" s="35" t="s">
        <v>339</v>
      </c>
      <c r="C28" s="35" t="s">
        <v>138</v>
      </c>
      <c r="D28" s="35" t="s">
        <v>362</v>
      </c>
      <c r="E28" s="35" t="s">
        <v>363</v>
      </c>
      <c r="F28" s="35" t="s">
        <v>364</v>
      </c>
      <c r="G28" s="35" t="s">
        <v>365</v>
      </c>
      <c r="H28" s="35" t="s">
        <v>211</v>
      </c>
      <c r="I28" s="35" t="s">
        <v>366</v>
      </c>
      <c r="J28" s="35" t="s">
        <v>345</v>
      </c>
      <c r="K28" s="35" t="s">
        <v>367</v>
      </c>
      <c r="L28" s="36">
        <v>46289</v>
      </c>
      <c r="M28" s="37">
        <f>IF(A28="","",COUNTIF(IRO!$B$5:$B$91,A28))</f>
        <v>2</v>
      </c>
      <c r="N28" s="37">
        <f>IF(A28="","",COUNTIFS(IRO!$B$5:$B$91,A28,IRO!$G$5:$G$91,"Impacto"))</f>
        <v>0</v>
      </c>
      <c r="O28" s="37">
        <f>IF(A28="","",COUNTIFS(IRO!$B$5:$B$91,A28,IRO!$G$5:$G$91,"Financeira"))</f>
        <v>2</v>
      </c>
      <c r="P28" s="38" t="str">
        <f>IF(OR(A28="",N28=0),"",_xlfn.MAXIFS(IRO!$T$5:$T$91,IRO!$B$5:$B$91,A28))</f>
        <v/>
      </c>
      <c r="Q28" s="38">
        <f>IF(OR(A28="",O28=0),"",_xlfn.MAXIFS(IRO!$Z$5:$Z$91,IRO!$B$5:$B$91,A28))</f>
        <v>12</v>
      </c>
      <c r="R28" s="39" t="str">
        <f t="shared" si="0"/>
        <v>Não</v>
      </c>
      <c r="S28" s="39" t="str">
        <f t="shared" si="1"/>
        <v>Sim</v>
      </c>
      <c r="T28" s="39" t="str">
        <f t="shared" si="2"/>
        <v>Material — financeira</v>
      </c>
      <c r="U28" s="37">
        <f t="shared" si="3"/>
        <v>0</v>
      </c>
      <c r="V28" s="37">
        <f t="shared" si="4"/>
        <v>3</v>
      </c>
      <c r="W28" s="38">
        <f t="shared" si="5"/>
        <v>12</v>
      </c>
      <c r="X28" s="37">
        <f t="shared" si="6"/>
        <v>22</v>
      </c>
      <c r="Y28" s="40">
        <f>IF(A28="","",-SUMIFS(IRO!$AA$5:$AA$91,IRO!$B$5:$B$91,A28,IRO!$F$5:$F$91,"Risco"))</f>
        <v>12000</v>
      </c>
      <c r="Z28" s="40">
        <f>IF(A28="","",SUMIFS(IRO!$AA$5:$AA$91,IRO!$B$5:$B$91,A28,IRO!$F$5:$F$91,"Oportunidade"))</f>
        <v>32500</v>
      </c>
      <c r="AA28" s="41">
        <f>IF(A28="","",IFERROR(ROUND(AVERAGEIFS(Consultas!$H$5:$H$76,Consultas!$F$5:$F$76,A28),2),""))</f>
        <v>4</v>
      </c>
      <c r="AB28" s="37">
        <f>IF(A28="","",COUNTIF(Consultas!$F$5:$F$76,A28))</f>
        <v>1</v>
      </c>
      <c r="AC28" s="42">
        <f>IF(OR(A28="",N(M28)=0),"",(COUNTIFS(IRO!$B$5:$B$91,A28,IRO!$AG$5:$AG$91,"Alta")+COUNTIFS(IRO!$B$5:$B$91,A28,IRO!$AG$5:$AG$91,"Média"))/M28)</f>
        <v>1</v>
      </c>
      <c r="AD28" s="39" t="str">
        <f t="shared" si="7"/>
        <v>OK</v>
      </c>
      <c r="AE28" s="39" t="str">
        <f t="shared" si="8"/>
        <v>Gerir: política, ações, meta e KPI; divulgar (VSME / ESRS voluntário)</v>
      </c>
    </row>
    <row r="29" spans="1:31" ht="48" customHeight="1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  <c r="M29" s="37" t="str">
        <f>IF(A29="","",COUNTIF(IRO!$B$5:$B$91,A29))</f>
        <v/>
      </c>
      <c r="N29" s="37" t="str">
        <f>IF(A29="","",COUNTIFS(IRO!$B$5:$B$91,A29,IRO!$G$5:$G$91,"Impacto"))</f>
        <v/>
      </c>
      <c r="O29" s="37" t="str">
        <f>IF(A29="","",COUNTIFS(IRO!$B$5:$B$91,A29,IRO!$G$5:$G$91,"Financeira"))</f>
        <v/>
      </c>
      <c r="P29" s="38" t="str">
        <f>IF(OR(A29="",N29=0),"",_xlfn.MAXIFS(IRO!$T$5:$T$91,IRO!$B$5:$B$91,A29))</f>
        <v/>
      </c>
      <c r="Q29" s="38" t="str">
        <f>IF(OR(A29="",O29=0),"",_xlfn.MAXIFS(IRO!$Z$5:$Z$91,IRO!$B$5:$B$91,A29))</f>
        <v/>
      </c>
      <c r="R29" s="39" t="str">
        <f t="shared" si="0"/>
        <v/>
      </c>
      <c r="S29" s="39" t="str">
        <f t="shared" si="1"/>
        <v/>
      </c>
      <c r="T29" s="39" t="str">
        <f t="shared" si="2"/>
        <v/>
      </c>
      <c r="U29" s="37" t="str">
        <f t="shared" si="3"/>
        <v/>
      </c>
      <c r="V29" s="37" t="str">
        <f t="shared" si="4"/>
        <v/>
      </c>
      <c r="W29" s="38" t="str">
        <f t="shared" si="5"/>
        <v/>
      </c>
      <c r="X29" s="37" t="str">
        <f t="shared" si="6"/>
        <v/>
      </c>
      <c r="Y29" s="40" t="str">
        <f>IF(A29="","",-SUMIFS(IRO!$AA$5:$AA$91,IRO!$B$5:$B$91,A29,IRO!$F$5:$F$91,"Risco"))</f>
        <v/>
      </c>
      <c r="Z29" s="40" t="str">
        <f>IF(A29="","",SUMIFS(IRO!$AA$5:$AA$91,IRO!$B$5:$B$91,A29,IRO!$F$5:$F$91,"Oportunidade"))</f>
        <v/>
      </c>
      <c r="AA29" s="41" t="str">
        <f>IF(A29="","",IFERROR(ROUND(AVERAGEIFS(Consultas!$H$5:$H$76,Consultas!$F$5:$F$76,A29),2),""))</f>
        <v/>
      </c>
      <c r="AB29" s="37" t="str">
        <f>IF(A29="","",COUNTIF(Consultas!$F$5:$F$76,A29))</f>
        <v/>
      </c>
      <c r="AC29" s="42" t="str">
        <f>IF(OR(A29="",N(M29)=0),"",(COUNTIFS(IRO!$B$5:$B$91,A29,IRO!$AG$5:$AG$91,"Alta")+COUNTIFS(IRO!$B$5:$B$91,A29,IRO!$AG$5:$AG$91,"Média"))/M29)</f>
        <v/>
      </c>
      <c r="AD29" s="39" t="str">
        <f t="shared" si="7"/>
        <v/>
      </c>
      <c r="AE29" s="39" t="str">
        <f t="shared" si="8"/>
        <v/>
      </c>
    </row>
    <row r="30" spans="1:31" ht="48" customHeigh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  <c r="M30" s="37" t="str">
        <f>IF(A30="","",COUNTIF(IRO!$B$5:$B$91,A30))</f>
        <v/>
      </c>
      <c r="N30" s="37" t="str">
        <f>IF(A30="","",COUNTIFS(IRO!$B$5:$B$91,A30,IRO!$G$5:$G$91,"Impacto"))</f>
        <v/>
      </c>
      <c r="O30" s="37" t="str">
        <f>IF(A30="","",COUNTIFS(IRO!$B$5:$B$91,A30,IRO!$G$5:$G$91,"Financeira"))</f>
        <v/>
      </c>
      <c r="P30" s="38" t="str">
        <f>IF(OR(A30="",N30=0),"",_xlfn.MAXIFS(IRO!$T$5:$T$91,IRO!$B$5:$B$91,A30))</f>
        <v/>
      </c>
      <c r="Q30" s="38" t="str">
        <f>IF(OR(A30="",O30=0),"",_xlfn.MAXIFS(IRO!$Z$5:$Z$91,IRO!$B$5:$B$91,A30))</f>
        <v/>
      </c>
      <c r="R30" s="39" t="str">
        <f t="shared" si="0"/>
        <v/>
      </c>
      <c r="S30" s="39" t="str">
        <f t="shared" si="1"/>
        <v/>
      </c>
      <c r="T30" s="39" t="str">
        <f t="shared" si="2"/>
        <v/>
      </c>
      <c r="U30" s="37" t="str">
        <f t="shared" si="3"/>
        <v/>
      </c>
      <c r="V30" s="37" t="str">
        <f t="shared" si="4"/>
        <v/>
      </c>
      <c r="W30" s="38" t="str">
        <f t="shared" si="5"/>
        <v/>
      </c>
      <c r="X30" s="37" t="str">
        <f t="shared" si="6"/>
        <v/>
      </c>
      <c r="Y30" s="40" t="str">
        <f>IF(A30="","",-SUMIFS(IRO!$AA$5:$AA$91,IRO!$B$5:$B$91,A30,IRO!$F$5:$F$91,"Risco"))</f>
        <v/>
      </c>
      <c r="Z30" s="40" t="str">
        <f>IF(A30="","",SUMIFS(IRO!$AA$5:$AA$91,IRO!$B$5:$B$91,A30,IRO!$F$5:$F$91,"Oportunidade"))</f>
        <v/>
      </c>
      <c r="AA30" s="41" t="str">
        <f>IF(A30="","",IFERROR(ROUND(AVERAGEIFS(Consultas!$H$5:$H$76,Consultas!$F$5:$F$76,A30),2),""))</f>
        <v/>
      </c>
      <c r="AB30" s="37" t="str">
        <f>IF(A30="","",COUNTIF(Consultas!$F$5:$F$76,A30))</f>
        <v/>
      </c>
      <c r="AC30" s="42" t="str">
        <f>IF(OR(A30="",N(M30)=0),"",(COUNTIFS(IRO!$B$5:$B$91,A30,IRO!$AG$5:$AG$91,"Alta")+COUNTIFS(IRO!$B$5:$B$91,A30,IRO!$AG$5:$AG$91,"Média"))/M30)</f>
        <v/>
      </c>
      <c r="AD30" s="39" t="str">
        <f t="shared" si="7"/>
        <v/>
      </c>
      <c r="AE30" s="39" t="str">
        <f t="shared" si="8"/>
        <v/>
      </c>
    </row>
    <row r="31" spans="1:31" ht="48" customHeight="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  <c r="M31" s="37" t="str">
        <f>IF(A31="","",COUNTIF(IRO!$B$5:$B$91,A31))</f>
        <v/>
      </c>
      <c r="N31" s="37" t="str">
        <f>IF(A31="","",COUNTIFS(IRO!$B$5:$B$91,A31,IRO!$G$5:$G$91,"Impacto"))</f>
        <v/>
      </c>
      <c r="O31" s="37" t="str">
        <f>IF(A31="","",COUNTIFS(IRO!$B$5:$B$91,A31,IRO!$G$5:$G$91,"Financeira"))</f>
        <v/>
      </c>
      <c r="P31" s="38" t="str">
        <f>IF(OR(A31="",N31=0),"",_xlfn.MAXIFS(IRO!$T$5:$T$91,IRO!$B$5:$B$91,A31))</f>
        <v/>
      </c>
      <c r="Q31" s="38" t="str">
        <f>IF(OR(A31="",O31=0),"",_xlfn.MAXIFS(IRO!$Z$5:$Z$91,IRO!$B$5:$B$91,A31))</f>
        <v/>
      </c>
      <c r="R31" s="39" t="str">
        <f t="shared" si="0"/>
        <v/>
      </c>
      <c r="S31" s="39" t="str">
        <f t="shared" si="1"/>
        <v/>
      </c>
      <c r="T31" s="39" t="str">
        <f t="shared" si="2"/>
        <v/>
      </c>
      <c r="U31" s="37" t="str">
        <f t="shared" si="3"/>
        <v/>
      </c>
      <c r="V31" s="37" t="str">
        <f t="shared" si="4"/>
        <v/>
      </c>
      <c r="W31" s="38" t="str">
        <f t="shared" si="5"/>
        <v/>
      </c>
      <c r="X31" s="37" t="str">
        <f t="shared" si="6"/>
        <v/>
      </c>
      <c r="Y31" s="40" t="str">
        <f>IF(A31="","",-SUMIFS(IRO!$AA$5:$AA$91,IRO!$B$5:$B$91,A31,IRO!$F$5:$F$91,"Risco"))</f>
        <v/>
      </c>
      <c r="Z31" s="40" t="str">
        <f>IF(A31="","",SUMIFS(IRO!$AA$5:$AA$91,IRO!$B$5:$B$91,A31,IRO!$F$5:$F$91,"Oportunidade"))</f>
        <v/>
      </c>
      <c r="AA31" s="41" t="str">
        <f>IF(A31="","",IFERROR(ROUND(AVERAGEIFS(Consultas!$H$5:$H$76,Consultas!$F$5:$F$76,A31),2),""))</f>
        <v/>
      </c>
      <c r="AB31" s="37" t="str">
        <f>IF(A31="","",COUNTIF(Consultas!$F$5:$F$76,A31))</f>
        <v/>
      </c>
      <c r="AC31" s="42" t="str">
        <f>IF(OR(A31="",N(M31)=0),"",(COUNTIFS(IRO!$B$5:$B$91,A31,IRO!$AG$5:$AG$91,"Alta")+COUNTIFS(IRO!$B$5:$B$91,A31,IRO!$AG$5:$AG$91,"Média"))/M31)</f>
        <v/>
      </c>
      <c r="AD31" s="39" t="str">
        <f t="shared" si="7"/>
        <v/>
      </c>
      <c r="AE31" s="39" t="str">
        <f t="shared" si="8"/>
        <v/>
      </c>
    </row>
    <row r="32" spans="1:31" ht="48" customHeight="1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6"/>
      <c r="M32" s="37" t="str">
        <f>IF(A32="","",COUNTIF(IRO!$B$5:$B$91,A32))</f>
        <v/>
      </c>
      <c r="N32" s="37" t="str">
        <f>IF(A32="","",COUNTIFS(IRO!$B$5:$B$91,A32,IRO!$G$5:$G$91,"Impacto"))</f>
        <v/>
      </c>
      <c r="O32" s="37" t="str">
        <f>IF(A32="","",COUNTIFS(IRO!$B$5:$B$91,A32,IRO!$G$5:$G$91,"Financeira"))</f>
        <v/>
      </c>
      <c r="P32" s="38" t="str">
        <f>IF(OR(A32="",N32=0),"",_xlfn.MAXIFS(IRO!$T$5:$T$91,IRO!$B$5:$B$91,A32))</f>
        <v/>
      </c>
      <c r="Q32" s="38" t="str">
        <f>IF(OR(A32="",O32=0),"",_xlfn.MAXIFS(IRO!$Z$5:$Z$91,IRO!$B$5:$B$91,A32))</f>
        <v/>
      </c>
      <c r="R32" s="39" t="str">
        <f t="shared" si="0"/>
        <v/>
      </c>
      <c r="S32" s="39" t="str">
        <f t="shared" si="1"/>
        <v/>
      </c>
      <c r="T32" s="39" t="str">
        <f t="shared" si="2"/>
        <v/>
      </c>
      <c r="U32" s="37" t="str">
        <f t="shared" si="3"/>
        <v/>
      </c>
      <c r="V32" s="37" t="str">
        <f t="shared" si="4"/>
        <v/>
      </c>
      <c r="W32" s="38" t="str">
        <f t="shared" si="5"/>
        <v/>
      </c>
      <c r="X32" s="37" t="str">
        <f t="shared" si="6"/>
        <v/>
      </c>
      <c r="Y32" s="40" t="str">
        <f>IF(A32="","",-SUMIFS(IRO!$AA$5:$AA$91,IRO!$B$5:$B$91,A32,IRO!$F$5:$F$91,"Risco"))</f>
        <v/>
      </c>
      <c r="Z32" s="40" t="str">
        <f>IF(A32="","",SUMIFS(IRO!$AA$5:$AA$91,IRO!$B$5:$B$91,A32,IRO!$F$5:$F$91,"Oportunidade"))</f>
        <v/>
      </c>
      <c r="AA32" s="41" t="str">
        <f>IF(A32="","",IFERROR(ROUND(AVERAGEIFS(Consultas!$H$5:$H$76,Consultas!$F$5:$F$76,A32),2),""))</f>
        <v/>
      </c>
      <c r="AB32" s="37" t="str">
        <f>IF(A32="","",COUNTIF(Consultas!$F$5:$F$76,A32))</f>
        <v/>
      </c>
      <c r="AC32" s="42" t="str">
        <f>IF(OR(A32="",N(M32)=0),"",(COUNTIFS(IRO!$B$5:$B$91,A32,IRO!$AG$5:$AG$91,"Alta")+COUNTIFS(IRO!$B$5:$B$91,A32,IRO!$AG$5:$AG$91,"Média"))/M32)</f>
        <v/>
      </c>
      <c r="AD32" s="39" t="str">
        <f t="shared" si="7"/>
        <v/>
      </c>
      <c r="AE32" s="39" t="str">
        <f t="shared" si="8"/>
        <v/>
      </c>
    </row>
    <row r="33" spans="1:31" ht="48" customHeight="1" x14ac:dyDescent="0.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  <c r="M33" s="37" t="str">
        <f>IF(A33="","",COUNTIF(IRO!$B$5:$B$91,A33))</f>
        <v/>
      </c>
      <c r="N33" s="37" t="str">
        <f>IF(A33="","",COUNTIFS(IRO!$B$5:$B$91,A33,IRO!$G$5:$G$91,"Impacto"))</f>
        <v/>
      </c>
      <c r="O33" s="37" t="str">
        <f>IF(A33="","",COUNTIFS(IRO!$B$5:$B$91,A33,IRO!$G$5:$G$91,"Financeira"))</f>
        <v/>
      </c>
      <c r="P33" s="38" t="str">
        <f>IF(OR(A33="",N33=0),"",_xlfn.MAXIFS(IRO!$T$5:$T$91,IRO!$B$5:$B$91,A33))</f>
        <v/>
      </c>
      <c r="Q33" s="38" t="str">
        <f>IF(OR(A33="",O33=0),"",_xlfn.MAXIFS(IRO!$Z$5:$Z$91,IRO!$B$5:$B$91,A33))</f>
        <v/>
      </c>
      <c r="R33" s="39" t="str">
        <f t="shared" si="0"/>
        <v/>
      </c>
      <c r="S33" s="39" t="str">
        <f t="shared" si="1"/>
        <v/>
      </c>
      <c r="T33" s="39" t="str">
        <f t="shared" si="2"/>
        <v/>
      </c>
      <c r="U33" s="37" t="str">
        <f t="shared" si="3"/>
        <v/>
      </c>
      <c r="V33" s="37" t="str">
        <f t="shared" si="4"/>
        <v/>
      </c>
      <c r="W33" s="38" t="str">
        <f t="shared" si="5"/>
        <v/>
      </c>
      <c r="X33" s="37" t="str">
        <f t="shared" si="6"/>
        <v/>
      </c>
      <c r="Y33" s="40" t="str">
        <f>IF(A33="","",-SUMIFS(IRO!$AA$5:$AA$91,IRO!$B$5:$B$91,A33,IRO!$F$5:$F$91,"Risco"))</f>
        <v/>
      </c>
      <c r="Z33" s="40" t="str">
        <f>IF(A33="","",SUMIFS(IRO!$AA$5:$AA$91,IRO!$B$5:$B$91,A33,IRO!$F$5:$F$91,"Oportunidade"))</f>
        <v/>
      </c>
      <c r="AA33" s="41" t="str">
        <f>IF(A33="","",IFERROR(ROUND(AVERAGEIFS(Consultas!$H$5:$H$76,Consultas!$F$5:$F$76,A33),2),""))</f>
        <v/>
      </c>
      <c r="AB33" s="37" t="str">
        <f>IF(A33="","",COUNTIF(Consultas!$F$5:$F$76,A33))</f>
        <v/>
      </c>
      <c r="AC33" s="42" t="str">
        <f>IF(OR(A33="",N(M33)=0),"",(COUNTIFS(IRO!$B$5:$B$91,A33,IRO!$AG$5:$AG$91,"Alta")+COUNTIFS(IRO!$B$5:$B$91,A33,IRO!$AG$5:$AG$91,"Média"))/M33)</f>
        <v/>
      </c>
      <c r="AD33" s="39" t="str">
        <f t="shared" si="7"/>
        <v/>
      </c>
      <c r="AE33" s="39" t="str">
        <f t="shared" si="8"/>
        <v/>
      </c>
    </row>
    <row r="34" spans="1:31" ht="48" customHeight="1" x14ac:dyDescent="0.3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  <c r="M34" s="37" t="str">
        <f>IF(A34="","",COUNTIF(IRO!$B$5:$B$91,A34))</f>
        <v/>
      </c>
      <c r="N34" s="37" t="str">
        <f>IF(A34="","",COUNTIFS(IRO!$B$5:$B$91,A34,IRO!$G$5:$G$91,"Impacto"))</f>
        <v/>
      </c>
      <c r="O34" s="37" t="str">
        <f>IF(A34="","",COUNTIFS(IRO!$B$5:$B$91,A34,IRO!$G$5:$G$91,"Financeira"))</f>
        <v/>
      </c>
      <c r="P34" s="38" t="str">
        <f>IF(OR(A34="",N34=0),"",_xlfn.MAXIFS(IRO!$T$5:$T$91,IRO!$B$5:$B$91,A34))</f>
        <v/>
      </c>
      <c r="Q34" s="38" t="str">
        <f>IF(OR(A34="",O34=0),"",_xlfn.MAXIFS(IRO!$Z$5:$Z$91,IRO!$B$5:$B$91,A34))</f>
        <v/>
      </c>
      <c r="R34" s="39" t="str">
        <f t="shared" si="0"/>
        <v/>
      </c>
      <c r="S34" s="39" t="str">
        <f t="shared" si="1"/>
        <v/>
      </c>
      <c r="T34" s="39" t="str">
        <f t="shared" si="2"/>
        <v/>
      </c>
      <c r="U34" s="37" t="str">
        <f t="shared" si="3"/>
        <v/>
      </c>
      <c r="V34" s="37" t="str">
        <f t="shared" si="4"/>
        <v/>
      </c>
      <c r="W34" s="38" t="str">
        <f t="shared" si="5"/>
        <v/>
      </c>
      <c r="X34" s="37" t="str">
        <f t="shared" si="6"/>
        <v/>
      </c>
      <c r="Y34" s="40" t="str">
        <f>IF(A34="","",-SUMIFS(IRO!$AA$5:$AA$91,IRO!$B$5:$B$91,A34,IRO!$F$5:$F$91,"Risco"))</f>
        <v/>
      </c>
      <c r="Z34" s="40" t="str">
        <f>IF(A34="","",SUMIFS(IRO!$AA$5:$AA$91,IRO!$B$5:$B$91,A34,IRO!$F$5:$F$91,"Oportunidade"))</f>
        <v/>
      </c>
      <c r="AA34" s="41" t="str">
        <f>IF(A34="","",IFERROR(ROUND(AVERAGEIFS(Consultas!$H$5:$H$76,Consultas!$F$5:$F$76,A34),2),""))</f>
        <v/>
      </c>
      <c r="AB34" s="37" t="str">
        <f>IF(A34="","",COUNTIF(Consultas!$F$5:$F$76,A34))</f>
        <v/>
      </c>
      <c r="AC34" s="42" t="str">
        <f>IF(OR(A34="",N(M34)=0),"",(COUNTIFS(IRO!$B$5:$B$91,A34,IRO!$AG$5:$AG$91,"Alta")+COUNTIFS(IRO!$B$5:$B$91,A34,IRO!$AG$5:$AG$91,"Média"))/M34)</f>
        <v/>
      </c>
      <c r="AD34" s="39" t="str">
        <f t="shared" si="7"/>
        <v/>
      </c>
      <c r="AE34" s="39" t="str">
        <f t="shared" si="8"/>
        <v/>
      </c>
    </row>
    <row r="35" spans="1:31" ht="48" customHeight="1" x14ac:dyDescent="0.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  <c r="M35" s="37" t="str">
        <f>IF(A35="","",COUNTIF(IRO!$B$5:$B$91,A35))</f>
        <v/>
      </c>
      <c r="N35" s="37" t="str">
        <f>IF(A35="","",COUNTIFS(IRO!$B$5:$B$91,A35,IRO!$G$5:$G$91,"Impacto"))</f>
        <v/>
      </c>
      <c r="O35" s="37" t="str">
        <f>IF(A35="","",COUNTIFS(IRO!$B$5:$B$91,A35,IRO!$G$5:$G$91,"Financeira"))</f>
        <v/>
      </c>
      <c r="P35" s="38" t="str">
        <f>IF(OR(A35="",N35=0),"",_xlfn.MAXIFS(IRO!$T$5:$T$91,IRO!$B$5:$B$91,A35))</f>
        <v/>
      </c>
      <c r="Q35" s="38" t="str">
        <f>IF(OR(A35="",O35=0),"",_xlfn.MAXIFS(IRO!$Z$5:$Z$91,IRO!$B$5:$B$91,A35))</f>
        <v/>
      </c>
      <c r="R35" s="39" t="str">
        <f t="shared" si="0"/>
        <v/>
      </c>
      <c r="S35" s="39" t="str">
        <f t="shared" si="1"/>
        <v/>
      </c>
      <c r="T35" s="39" t="str">
        <f t="shared" si="2"/>
        <v/>
      </c>
      <c r="U35" s="37" t="str">
        <f t="shared" si="3"/>
        <v/>
      </c>
      <c r="V35" s="37" t="str">
        <f t="shared" si="4"/>
        <v/>
      </c>
      <c r="W35" s="38" t="str">
        <f t="shared" si="5"/>
        <v/>
      </c>
      <c r="X35" s="37" t="str">
        <f t="shared" si="6"/>
        <v/>
      </c>
      <c r="Y35" s="40" t="str">
        <f>IF(A35="","",-SUMIFS(IRO!$AA$5:$AA$91,IRO!$B$5:$B$91,A35,IRO!$F$5:$F$91,"Risco"))</f>
        <v/>
      </c>
      <c r="Z35" s="40" t="str">
        <f>IF(A35="","",SUMIFS(IRO!$AA$5:$AA$91,IRO!$B$5:$B$91,A35,IRO!$F$5:$F$91,"Oportunidade"))</f>
        <v/>
      </c>
      <c r="AA35" s="41" t="str">
        <f>IF(A35="","",IFERROR(ROUND(AVERAGEIFS(Consultas!$H$5:$H$76,Consultas!$F$5:$F$76,A35),2),""))</f>
        <v/>
      </c>
      <c r="AB35" s="37" t="str">
        <f>IF(A35="","",COUNTIF(Consultas!$F$5:$F$76,A35))</f>
        <v/>
      </c>
      <c r="AC35" s="42" t="str">
        <f>IF(OR(A35="",N(M35)=0),"",(COUNTIFS(IRO!$B$5:$B$91,A35,IRO!$AG$5:$AG$91,"Alta")+COUNTIFS(IRO!$B$5:$B$91,A35,IRO!$AG$5:$AG$91,"Média"))/M35)</f>
        <v/>
      </c>
      <c r="AD35" s="39" t="str">
        <f t="shared" si="7"/>
        <v/>
      </c>
      <c r="AE35" s="39" t="str">
        <f t="shared" si="8"/>
        <v/>
      </c>
    </row>
    <row r="36" spans="1:31" ht="48" customHeight="1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  <c r="M36" s="37" t="str">
        <f>IF(A36="","",COUNTIF(IRO!$B$5:$B$91,A36))</f>
        <v/>
      </c>
      <c r="N36" s="37" t="str">
        <f>IF(A36="","",COUNTIFS(IRO!$B$5:$B$91,A36,IRO!$G$5:$G$91,"Impacto"))</f>
        <v/>
      </c>
      <c r="O36" s="37" t="str">
        <f>IF(A36="","",COUNTIFS(IRO!$B$5:$B$91,A36,IRO!$G$5:$G$91,"Financeira"))</f>
        <v/>
      </c>
      <c r="P36" s="38" t="str">
        <f>IF(OR(A36="",N36=0),"",_xlfn.MAXIFS(IRO!$T$5:$T$91,IRO!$B$5:$B$91,A36))</f>
        <v/>
      </c>
      <c r="Q36" s="38" t="str">
        <f>IF(OR(A36="",O36=0),"",_xlfn.MAXIFS(IRO!$Z$5:$Z$91,IRO!$B$5:$B$91,A36))</f>
        <v/>
      </c>
      <c r="R36" s="39" t="str">
        <f t="shared" si="0"/>
        <v/>
      </c>
      <c r="S36" s="39" t="str">
        <f t="shared" si="1"/>
        <v/>
      </c>
      <c r="T36" s="39" t="str">
        <f t="shared" si="2"/>
        <v/>
      </c>
      <c r="U36" s="37" t="str">
        <f t="shared" si="3"/>
        <v/>
      </c>
      <c r="V36" s="37" t="str">
        <f t="shared" si="4"/>
        <v/>
      </c>
      <c r="W36" s="38" t="str">
        <f t="shared" si="5"/>
        <v/>
      </c>
      <c r="X36" s="37" t="str">
        <f t="shared" si="6"/>
        <v/>
      </c>
      <c r="Y36" s="40" t="str">
        <f>IF(A36="","",-SUMIFS(IRO!$AA$5:$AA$91,IRO!$B$5:$B$91,A36,IRO!$F$5:$F$91,"Risco"))</f>
        <v/>
      </c>
      <c r="Z36" s="40" t="str">
        <f>IF(A36="","",SUMIFS(IRO!$AA$5:$AA$91,IRO!$B$5:$B$91,A36,IRO!$F$5:$F$91,"Oportunidade"))</f>
        <v/>
      </c>
      <c r="AA36" s="41" t="str">
        <f>IF(A36="","",IFERROR(ROUND(AVERAGEIFS(Consultas!$H$5:$H$76,Consultas!$F$5:$F$76,A36),2),""))</f>
        <v/>
      </c>
      <c r="AB36" s="37" t="str">
        <f>IF(A36="","",COUNTIF(Consultas!$F$5:$F$76,A36))</f>
        <v/>
      </c>
      <c r="AC36" s="42" t="str">
        <f>IF(OR(A36="",N(M36)=0),"",(COUNTIFS(IRO!$B$5:$B$91,A36,IRO!$AG$5:$AG$91,"Alta")+COUNTIFS(IRO!$B$5:$B$91,A36,IRO!$AG$5:$AG$91,"Média"))/M36)</f>
        <v/>
      </c>
      <c r="AD36" s="39" t="str">
        <f t="shared" si="7"/>
        <v/>
      </c>
      <c r="AE36" s="39" t="str">
        <f t="shared" si="8"/>
        <v/>
      </c>
    </row>
    <row r="37" spans="1:31" ht="48" customHeight="1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/>
      <c r="M37" s="37" t="str">
        <f>IF(A37="","",COUNTIF(IRO!$B$5:$B$91,A37))</f>
        <v/>
      </c>
      <c r="N37" s="37" t="str">
        <f>IF(A37="","",COUNTIFS(IRO!$B$5:$B$91,A37,IRO!$G$5:$G$91,"Impacto"))</f>
        <v/>
      </c>
      <c r="O37" s="37" t="str">
        <f>IF(A37="","",COUNTIFS(IRO!$B$5:$B$91,A37,IRO!$G$5:$G$91,"Financeira"))</f>
        <v/>
      </c>
      <c r="P37" s="38" t="str">
        <f>IF(OR(A37="",N37=0),"",_xlfn.MAXIFS(IRO!$T$5:$T$91,IRO!$B$5:$B$91,A37))</f>
        <v/>
      </c>
      <c r="Q37" s="38" t="str">
        <f>IF(OR(A37="",O37=0),"",_xlfn.MAXIFS(IRO!$Z$5:$Z$91,IRO!$B$5:$B$91,A37))</f>
        <v/>
      </c>
      <c r="R37" s="39" t="str">
        <f t="shared" si="0"/>
        <v/>
      </c>
      <c r="S37" s="39" t="str">
        <f t="shared" si="1"/>
        <v/>
      </c>
      <c r="T37" s="39" t="str">
        <f t="shared" si="2"/>
        <v/>
      </c>
      <c r="U37" s="37" t="str">
        <f t="shared" si="3"/>
        <v/>
      </c>
      <c r="V37" s="37" t="str">
        <f t="shared" si="4"/>
        <v/>
      </c>
      <c r="W37" s="38" t="str">
        <f t="shared" si="5"/>
        <v/>
      </c>
      <c r="X37" s="37" t="str">
        <f t="shared" si="6"/>
        <v/>
      </c>
      <c r="Y37" s="40" t="str">
        <f>IF(A37="","",-SUMIFS(IRO!$AA$5:$AA$91,IRO!$B$5:$B$91,A37,IRO!$F$5:$F$91,"Risco"))</f>
        <v/>
      </c>
      <c r="Z37" s="40" t="str">
        <f>IF(A37="","",SUMIFS(IRO!$AA$5:$AA$91,IRO!$B$5:$B$91,A37,IRO!$F$5:$F$91,"Oportunidade"))</f>
        <v/>
      </c>
      <c r="AA37" s="41" t="str">
        <f>IF(A37="","",IFERROR(ROUND(AVERAGEIFS(Consultas!$H$5:$H$76,Consultas!$F$5:$F$76,A37),2),""))</f>
        <v/>
      </c>
      <c r="AB37" s="37" t="str">
        <f>IF(A37="","",COUNTIF(Consultas!$F$5:$F$76,A37))</f>
        <v/>
      </c>
      <c r="AC37" s="42" t="str">
        <f>IF(OR(A37="",N(M37)=0),"",(COUNTIFS(IRO!$B$5:$B$91,A37,IRO!$AG$5:$AG$91,"Alta")+COUNTIFS(IRO!$B$5:$B$91,A37,IRO!$AG$5:$AG$91,"Média"))/M37)</f>
        <v/>
      </c>
      <c r="AD37" s="39" t="str">
        <f t="shared" si="7"/>
        <v/>
      </c>
      <c r="AE37" s="39" t="str">
        <f t="shared" si="8"/>
        <v/>
      </c>
    </row>
    <row r="38" spans="1:31" ht="48" customHeight="1" x14ac:dyDescent="0.3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  <c r="M38" s="37" t="str">
        <f>IF(A38="","",COUNTIF(IRO!$B$5:$B$91,A38))</f>
        <v/>
      </c>
      <c r="N38" s="37" t="str">
        <f>IF(A38="","",COUNTIFS(IRO!$B$5:$B$91,A38,IRO!$G$5:$G$91,"Impacto"))</f>
        <v/>
      </c>
      <c r="O38" s="37" t="str">
        <f>IF(A38="","",COUNTIFS(IRO!$B$5:$B$91,A38,IRO!$G$5:$G$91,"Financeira"))</f>
        <v/>
      </c>
      <c r="P38" s="38" t="str">
        <f>IF(OR(A38="",N38=0),"",_xlfn.MAXIFS(IRO!$T$5:$T$91,IRO!$B$5:$B$91,A38))</f>
        <v/>
      </c>
      <c r="Q38" s="38" t="str">
        <f>IF(OR(A38="",O38=0),"",_xlfn.MAXIFS(IRO!$Z$5:$Z$91,IRO!$B$5:$B$91,A38))</f>
        <v/>
      </c>
      <c r="R38" s="39" t="str">
        <f t="shared" si="0"/>
        <v/>
      </c>
      <c r="S38" s="39" t="str">
        <f t="shared" si="1"/>
        <v/>
      </c>
      <c r="T38" s="39" t="str">
        <f t="shared" si="2"/>
        <v/>
      </c>
      <c r="U38" s="37" t="str">
        <f t="shared" si="3"/>
        <v/>
      </c>
      <c r="V38" s="37" t="str">
        <f t="shared" si="4"/>
        <v/>
      </c>
      <c r="W38" s="38" t="str">
        <f t="shared" si="5"/>
        <v/>
      </c>
      <c r="X38" s="37" t="str">
        <f t="shared" si="6"/>
        <v/>
      </c>
      <c r="Y38" s="40" t="str">
        <f>IF(A38="","",-SUMIFS(IRO!$AA$5:$AA$91,IRO!$B$5:$B$91,A38,IRO!$F$5:$F$91,"Risco"))</f>
        <v/>
      </c>
      <c r="Z38" s="40" t="str">
        <f>IF(A38="","",SUMIFS(IRO!$AA$5:$AA$91,IRO!$B$5:$B$91,A38,IRO!$F$5:$F$91,"Oportunidade"))</f>
        <v/>
      </c>
      <c r="AA38" s="41" t="str">
        <f>IF(A38="","",IFERROR(ROUND(AVERAGEIFS(Consultas!$H$5:$H$76,Consultas!$F$5:$F$76,A38),2),""))</f>
        <v/>
      </c>
      <c r="AB38" s="37" t="str">
        <f>IF(A38="","",COUNTIF(Consultas!$F$5:$F$76,A38))</f>
        <v/>
      </c>
      <c r="AC38" s="42" t="str">
        <f>IF(OR(A38="",N(M38)=0),"",(COUNTIFS(IRO!$B$5:$B$91,A38,IRO!$AG$5:$AG$91,"Alta")+COUNTIFS(IRO!$B$5:$B$91,A38,IRO!$AG$5:$AG$91,"Média"))/M38)</f>
        <v/>
      </c>
      <c r="AD38" s="39" t="str">
        <f t="shared" si="7"/>
        <v/>
      </c>
      <c r="AE38" s="39" t="str">
        <f t="shared" si="8"/>
        <v/>
      </c>
    </row>
    <row r="39" spans="1:31" ht="48" customHeight="1" x14ac:dyDescent="0.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7" t="str">
        <f>IF(A39="","",COUNTIF(IRO!$B$5:$B$91,A39))</f>
        <v/>
      </c>
      <c r="N39" s="37" t="str">
        <f>IF(A39="","",COUNTIFS(IRO!$B$5:$B$91,A39,IRO!$G$5:$G$91,"Impacto"))</f>
        <v/>
      </c>
      <c r="O39" s="37" t="str">
        <f>IF(A39="","",COUNTIFS(IRO!$B$5:$B$91,A39,IRO!$G$5:$G$91,"Financeira"))</f>
        <v/>
      </c>
      <c r="P39" s="38" t="str">
        <f>IF(OR(A39="",N39=0),"",_xlfn.MAXIFS(IRO!$T$5:$T$91,IRO!$B$5:$B$91,A39))</f>
        <v/>
      </c>
      <c r="Q39" s="38" t="str">
        <f>IF(OR(A39="",O39=0),"",_xlfn.MAXIFS(IRO!$Z$5:$Z$91,IRO!$B$5:$B$91,A39))</f>
        <v/>
      </c>
      <c r="R39" s="39" t="str">
        <f t="shared" si="0"/>
        <v/>
      </c>
      <c r="S39" s="39" t="str">
        <f t="shared" si="1"/>
        <v/>
      </c>
      <c r="T39" s="39" t="str">
        <f t="shared" si="2"/>
        <v/>
      </c>
      <c r="U39" s="37" t="str">
        <f t="shared" si="3"/>
        <v/>
      </c>
      <c r="V39" s="37" t="str">
        <f t="shared" si="4"/>
        <v/>
      </c>
      <c r="W39" s="38" t="str">
        <f t="shared" si="5"/>
        <v/>
      </c>
      <c r="X39" s="37" t="str">
        <f t="shared" si="6"/>
        <v/>
      </c>
      <c r="Y39" s="40" t="str">
        <f>IF(A39="","",-SUMIFS(IRO!$AA$5:$AA$91,IRO!$B$5:$B$91,A39,IRO!$F$5:$F$91,"Risco"))</f>
        <v/>
      </c>
      <c r="Z39" s="40" t="str">
        <f>IF(A39="","",SUMIFS(IRO!$AA$5:$AA$91,IRO!$B$5:$B$91,A39,IRO!$F$5:$F$91,"Oportunidade"))</f>
        <v/>
      </c>
      <c r="AA39" s="41" t="str">
        <f>IF(A39="","",IFERROR(ROUND(AVERAGEIFS(Consultas!$H$5:$H$76,Consultas!$F$5:$F$76,A39),2),""))</f>
        <v/>
      </c>
      <c r="AB39" s="37" t="str">
        <f>IF(A39="","",COUNTIF(Consultas!$F$5:$F$76,A39))</f>
        <v/>
      </c>
      <c r="AC39" s="42" t="str">
        <f>IF(OR(A39="",N(M39)=0),"",(COUNTIFS(IRO!$B$5:$B$91,A39,IRO!$AG$5:$AG$91,"Alta")+COUNTIFS(IRO!$B$5:$B$91,A39,IRO!$AG$5:$AG$91,"Média"))/M39)</f>
        <v/>
      </c>
      <c r="AD39" s="39" t="str">
        <f t="shared" si="7"/>
        <v/>
      </c>
      <c r="AE39" s="39" t="str">
        <f t="shared" si="8"/>
        <v/>
      </c>
    </row>
    <row r="40" spans="1:31" ht="48" customHeight="1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  <c r="M40" s="37" t="str">
        <f>IF(A40="","",COUNTIF(IRO!$B$5:$B$91,A40))</f>
        <v/>
      </c>
      <c r="N40" s="37" t="str">
        <f>IF(A40="","",COUNTIFS(IRO!$B$5:$B$91,A40,IRO!$G$5:$G$91,"Impacto"))</f>
        <v/>
      </c>
      <c r="O40" s="37" t="str">
        <f>IF(A40="","",COUNTIFS(IRO!$B$5:$B$91,A40,IRO!$G$5:$G$91,"Financeira"))</f>
        <v/>
      </c>
      <c r="P40" s="38" t="str">
        <f>IF(OR(A40="",N40=0),"",_xlfn.MAXIFS(IRO!$T$5:$T$91,IRO!$B$5:$B$91,A40))</f>
        <v/>
      </c>
      <c r="Q40" s="38" t="str">
        <f>IF(OR(A40="",O40=0),"",_xlfn.MAXIFS(IRO!$Z$5:$Z$91,IRO!$B$5:$B$91,A40))</f>
        <v/>
      </c>
      <c r="R40" s="39" t="str">
        <f t="shared" si="0"/>
        <v/>
      </c>
      <c r="S40" s="39" t="str">
        <f t="shared" si="1"/>
        <v/>
      </c>
      <c r="T40" s="39" t="str">
        <f t="shared" si="2"/>
        <v/>
      </c>
      <c r="U40" s="37" t="str">
        <f t="shared" si="3"/>
        <v/>
      </c>
      <c r="V40" s="37" t="str">
        <f t="shared" si="4"/>
        <v/>
      </c>
      <c r="W40" s="38" t="str">
        <f t="shared" si="5"/>
        <v/>
      </c>
      <c r="X40" s="37" t="str">
        <f t="shared" si="6"/>
        <v/>
      </c>
      <c r="Y40" s="40" t="str">
        <f>IF(A40="","",-SUMIFS(IRO!$AA$5:$AA$91,IRO!$B$5:$B$91,A40,IRO!$F$5:$F$91,"Risco"))</f>
        <v/>
      </c>
      <c r="Z40" s="40" t="str">
        <f>IF(A40="","",SUMIFS(IRO!$AA$5:$AA$91,IRO!$B$5:$B$91,A40,IRO!$F$5:$F$91,"Oportunidade"))</f>
        <v/>
      </c>
      <c r="AA40" s="41" t="str">
        <f>IF(A40="","",IFERROR(ROUND(AVERAGEIFS(Consultas!$H$5:$H$76,Consultas!$F$5:$F$76,A40),2),""))</f>
        <v/>
      </c>
      <c r="AB40" s="37" t="str">
        <f>IF(A40="","",COUNTIF(Consultas!$F$5:$F$76,A40))</f>
        <v/>
      </c>
      <c r="AC40" s="42" t="str">
        <f>IF(OR(A40="",N(M40)=0),"",(COUNTIFS(IRO!$B$5:$B$91,A40,IRO!$AG$5:$AG$91,"Alta")+COUNTIFS(IRO!$B$5:$B$91,A40,IRO!$AG$5:$AG$91,"Média"))/M40)</f>
        <v/>
      </c>
      <c r="AD40" s="39" t="str">
        <f t="shared" si="7"/>
        <v/>
      </c>
      <c r="AE40" s="39" t="str">
        <f t="shared" si="8"/>
        <v/>
      </c>
    </row>
  </sheetData>
  <conditionalFormatting sqref="R5:S240">
    <cfRule type="expression" dxfId="24" priority="5">
      <formula>ISNUMBER(SEARCH("Sim",R5))</formula>
    </cfRule>
  </conditionalFormatting>
  <conditionalFormatting sqref="T5:T240">
    <cfRule type="expression" dxfId="23" priority="1">
      <formula>ISNUMBER(SEARCH("Dupla",T5))</formula>
    </cfRule>
    <cfRule type="expression" dxfId="22" priority="2">
      <formula>ISNUMBER(SEARCH("impacto",T5))</formula>
    </cfRule>
    <cfRule type="expression" dxfId="21" priority="3">
      <formula>ISNUMBER(SEARCH("financeira",T5))</formula>
    </cfRule>
    <cfRule type="expression" dxfId="20" priority="4">
      <formula>ISNUMBER(SEARCH("Não material",T5))</formula>
    </cfRule>
  </conditionalFormatting>
  <conditionalFormatting sqref="AD5:AD240">
    <cfRule type="expression" dxfId="19" priority="7">
      <formula>ISNUMBER(SEARCH("Rever",AD5))</formula>
    </cfRule>
    <cfRule type="expression" dxfId="18" priority="8">
      <formula>ISNUMBER(SEARCH("fraca",AD5))</formula>
    </cfRule>
    <cfRule type="expression" dxfId="17" priority="9">
      <formula>ISNUMBER(SEARCH("OK",AD5))</formula>
    </cfRule>
  </conditionalFormatting>
  <dataValidations count="4">
    <dataValidation type="list" allowBlank="1" showErrorMessage="1" errorTitle="Valor inválido" error="Valor fora da lista controlada (ver folha Listas)." sqref="B5:B240" xr:uid="{00000000-0002-0000-0200-000000000000}">
      <formula1>lst_Pilar</formula1>
    </dataValidation>
    <dataValidation type="list" allowBlank="1" showErrorMessage="1" errorTitle="Valor inválido" error="Valor fora da lista controlada (ver folha Listas)." sqref="C5:C240" xr:uid="{00000000-0002-0000-0200-000001000000}">
      <formula1>lst_TopicoESRS</formula1>
    </dataValidation>
    <dataValidation type="list" allowBlank="1" showErrorMessage="1" errorTitle="Valor inválido" error="Valor fora da lista controlada (ver folha Listas)." sqref="H5:H240" xr:uid="{00000000-0002-0000-0200-000002000000}">
      <formula1>lst_RelevanciaSetorial</formula1>
    </dataValidation>
    <dataValidation type="list" allowBlank="1" showErrorMessage="1" errorTitle="Valor inválido" error="Valor fora da lista controlada (ver folha Listas)." sqref="J5:J240" xr:uid="{00000000-0002-0000-0200-000003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W9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8" customWidth="1"/>
    <col min="3" max="3" width="26" customWidth="1"/>
    <col min="4" max="4" width="10" customWidth="1"/>
    <col min="5" max="5" width="22" customWidth="1"/>
    <col min="6" max="6" width="14" customWidth="1"/>
    <col min="7" max="7" width="10" customWidth="1"/>
    <col min="8" max="8" width="48" customWidth="1"/>
    <col min="9" max="9" width="9" customWidth="1"/>
    <col min="10" max="10" width="20" customWidth="1"/>
    <col min="11" max="11" width="16" customWidth="1"/>
    <col min="12" max="12" width="24" customWidth="1"/>
    <col min="13" max="13" width="8" customWidth="1"/>
    <col min="14" max="15" width="7" customWidth="1"/>
    <col min="16" max="18" width="8" customWidth="1"/>
    <col min="19" max="19" width="9" customWidth="1"/>
    <col min="20" max="20" width="8" customWidth="1"/>
    <col min="21" max="21" width="40" customWidth="1"/>
    <col min="22" max="22" width="20" customWidth="1"/>
    <col min="23" max="23" width="12" customWidth="1"/>
    <col min="24" max="25" width="9" customWidth="1"/>
    <col min="26" max="26" width="8" customWidth="1"/>
    <col min="27" max="27" width="12" customWidth="1"/>
    <col min="28" max="28" width="7" customWidth="1"/>
    <col min="29" max="29" width="8" customWidth="1"/>
    <col min="30" max="30" width="18" customWidth="1"/>
    <col min="31" max="31" width="7" customWidth="1"/>
    <col min="32" max="32" width="34" customWidth="1"/>
    <col min="33" max="33" width="9" customWidth="1"/>
    <col min="34" max="34" width="8" customWidth="1"/>
    <col min="35" max="35" width="20" customWidth="1"/>
    <col min="36" max="36" width="16" customWidth="1"/>
    <col min="37" max="37" width="8" customWidth="1"/>
    <col min="38" max="38" width="10" customWidth="1"/>
    <col min="39" max="39" width="18" customWidth="1"/>
    <col min="40" max="40" width="12" customWidth="1"/>
    <col min="41" max="41" width="8" customWidth="1"/>
    <col min="42" max="42" width="12" customWidth="1"/>
    <col min="43" max="43" width="14" customWidth="1"/>
    <col min="44" max="44" width="36" customWidth="1"/>
    <col min="45" max="45" width="24" customWidth="1"/>
    <col min="46" max="46" width="16" customWidth="1"/>
    <col min="47" max="48" width="11" customWidth="1"/>
    <col min="49" max="49" width="30" customWidth="1"/>
  </cols>
  <sheetData>
    <row r="1" spans="1:49" ht="17.399999999999999" x14ac:dyDescent="0.3">
      <c r="A1" s="1" t="s">
        <v>368</v>
      </c>
    </row>
    <row r="2" spans="1:49" x14ac:dyDescent="0.3">
      <c r="A2" s="2" t="s">
        <v>369</v>
      </c>
    </row>
    <row r="4" spans="1:49" ht="39.6" x14ac:dyDescent="0.3">
      <c r="A4" s="10" t="s">
        <v>370</v>
      </c>
      <c r="B4" s="10" t="s">
        <v>159</v>
      </c>
      <c r="C4" s="34" t="s">
        <v>141</v>
      </c>
      <c r="D4" s="34" t="s">
        <v>101</v>
      </c>
      <c r="E4" s="34" t="s">
        <v>160</v>
      </c>
      <c r="F4" s="10" t="s">
        <v>371</v>
      </c>
      <c r="G4" s="34" t="s">
        <v>372</v>
      </c>
      <c r="H4" s="10" t="s">
        <v>162</v>
      </c>
      <c r="I4" s="10" t="s">
        <v>373</v>
      </c>
      <c r="J4" s="10" t="s">
        <v>374</v>
      </c>
      <c r="K4" s="10" t="s">
        <v>375</v>
      </c>
      <c r="L4" s="10" t="s">
        <v>376</v>
      </c>
      <c r="M4" s="10" t="s">
        <v>377</v>
      </c>
      <c r="N4" s="10" t="s">
        <v>378</v>
      </c>
      <c r="O4" s="10" t="s">
        <v>379</v>
      </c>
      <c r="P4" s="10" t="s">
        <v>380</v>
      </c>
      <c r="Q4" s="10" t="s">
        <v>381</v>
      </c>
      <c r="R4" s="34" t="s">
        <v>382</v>
      </c>
      <c r="S4" s="34" t="s">
        <v>383</v>
      </c>
      <c r="T4" s="34" t="s">
        <v>384</v>
      </c>
      <c r="U4" s="10" t="s">
        <v>385</v>
      </c>
      <c r="V4" s="10" t="s">
        <v>386</v>
      </c>
      <c r="W4" s="10" t="s">
        <v>387</v>
      </c>
      <c r="X4" s="10" t="s">
        <v>388</v>
      </c>
      <c r="Y4" s="34" t="s">
        <v>389</v>
      </c>
      <c r="Z4" s="34" t="s">
        <v>390</v>
      </c>
      <c r="AA4" s="34" t="s">
        <v>391</v>
      </c>
      <c r="AB4" s="34" t="s">
        <v>392</v>
      </c>
      <c r="AC4" s="34" t="s">
        <v>393</v>
      </c>
      <c r="AD4" s="34" t="s">
        <v>394</v>
      </c>
      <c r="AE4" s="34" t="s">
        <v>395</v>
      </c>
      <c r="AF4" s="10" t="s">
        <v>396</v>
      </c>
      <c r="AG4" s="10" t="s">
        <v>397</v>
      </c>
      <c r="AH4" s="34" t="s">
        <v>398</v>
      </c>
      <c r="AI4" s="34" t="s">
        <v>399</v>
      </c>
      <c r="AJ4" s="10" t="s">
        <v>400</v>
      </c>
      <c r="AK4" s="10" t="s">
        <v>401</v>
      </c>
      <c r="AL4" s="10" t="s">
        <v>402</v>
      </c>
      <c r="AM4" s="10" t="s">
        <v>403</v>
      </c>
      <c r="AN4" s="10" t="s">
        <v>404</v>
      </c>
      <c r="AO4" s="10" t="s">
        <v>405</v>
      </c>
      <c r="AP4" s="10" t="s">
        <v>406</v>
      </c>
      <c r="AQ4" s="10" t="s">
        <v>407</v>
      </c>
      <c r="AR4" s="10" t="s">
        <v>408</v>
      </c>
      <c r="AS4" s="10" t="s">
        <v>409</v>
      </c>
      <c r="AT4" s="10" t="s">
        <v>410</v>
      </c>
      <c r="AU4" s="10" t="s">
        <v>168</v>
      </c>
      <c r="AV4" s="34" t="s">
        <v>411</v>
      </c>
      <c r="AW4" s="10" t="s">
        <v>412</v>
      </c>
    </row>
    <row r="5" spans="1:49" ht="60" customHeight="1" x14ac:dyDescent="0.3">
      <c r="A5" s="35" t="s">
        <v>413</v>
      </c>
      <c r="B5" s="35" t="s">
        <v>188</v>
      </c>
      <c r="C5" s="39" t="str">
        <f>IF(B5="","",IFERROR(INDEX(Temas!$E$5:$E$40,MATCH(B5,Temas!$A$5:$A$40,0)),"ID_Tema não encontrado"))</f>
        <v>Emissões de GEE (âmbitos 1, 2 e 3)</v>
      </c>
      <c r="D5" s="39" t="str">
        <f>IF(B5="","",IFERROR(INDEX(Temas!$B$5:$B$40,MATCH(B5,Temas!$A$5:$A$40,0)),""))</f>
        <v>Ambiental</v>
      </c>
      <c r="E5" s="39" t="str">
        <f>IF(B5="","",IFERROR(INDEX(Temas!$C$5:$C$40,MATCH(B5,Temas!$A$5:$A$40,0)),""))</f>
        <v>E1 Alterações climáticas</v>
      </c>
      <c r="F5" s="35" t="s">
        <v>414</v>
      </c>
      <c r="G5" s="39" t="str">
        <f t="shared" ref="G5:G36" si="0">IF(F5="","",IF(LEFT(F5,7)="Impacto","Impacto","Financeira"))</f>
        <v>Impacto</v>
      </c>
      <c r="H5" s="35" t="s">
        <v>415</v>
      </c>
      <c r="I5" s="35" t="s">
        <v>416</v>
      </c>
      <c r="J5" s="35" t="s">
        <v>151</v>
      </c>
      <c r="K5" s="35" t="s">
        <v>146</v>
      </c>
      <c r="L5" s="35" t="s">
        <v>417</v>
      </c>
      <c r="M5" s="35" t="s">
        <v>418</v>
      </c>
      <c r="N5" s="43">
        <v>3</v>
      </c>
      <c r="O5" s="43">
        <v>4</v>
      </c>
      <c r="P5" s="43">
        <v>4</v>
      </c>
      <c r="Q5" s="43"/>
      <c r="R5" s="41">
        <f t="shared" ref="R5:R36" si="1">IF(G5&lt;&gt;"Impacto","",IF(F5="Impacto negativo",IF(COUNT(N5,O5,P5)=3,ROUND(AVERAGE(N5,O5,P5),2),""),IF(COUNT(N5,O5)=2,ROUND(AVERAGE(N5,O5),2),"")))</f>
        <v>3.67</v>
      </c>
      <c r="S5" s="37">
        <f t="shared" ref="S5:S36" si="2">IF(OR(G5&lt;&gt;"Impacto",R5=""),"",IF(I5="Real",5,IF(AND(M5="Sim",R5&gt;=prm_Grav_DH),5,IF(Q5="","",Q5))))</f>
        <v>5</v>
      </c>
      <c r="T5" s="38">
        <f t="shared" ref="T5:T36" si="3">IF(OR(R5="",S5=""),"",ROUND(R5*S5,1))</f>
        <v>18.399999999999999</v>
      </c>
      <c r="U5" s="35"/>
      <c r="V5" s="35"/>
      <c r="W5" s="44"/>
      <c r="X5" s="43"/>
      <c r="Y5" s="37" t="str">
        <f t="shared" ref="Y5:Y36" si="4">IF(OR(G5&lt;&gt;"Financeira",W5=""),"",MATCH(W5,esc_Fin_Limite,1))</f>
        <v/>
      </c>
      <c r="Z5" s="38" t="str">
        <f t="shared" ref="Z5:Z36" si="5">IF(OR(Y5="",X5=""),"",Y5*X5)</f>
        <v/>
      </c>
      <c r="AA5" s="40" t="str">
        <f t="shared" ref="AA5:AA36" si="6">IF(Z5="","",ROUND(W5*INDEX(esc_Prob_Media,X5),0)*IF(F5="Risco",-1,1))</f>
        <v/>
      </c>
      <c r="AB5" s="38">
        <f t="shared" ref="AB5:AB36" si="7">IF(G5="","",IF(G5="Impacto",T5,Z5))</f>
        <v>18.399999999999999</v>
      </c>
      <c r="AC5" s="39" t="str">
        <f t="shared" ref="AC5:AC36" si="8">IF(OR(G5="",AB5=""),"",IF(AB5&gt;=IF(G5="Impacto",prm_Limiar_Impacto,prm_Limiar_Financeiro),"Sim","Não"))</f>
        <v>Sim</v>
      </c>
      <c r="AD5" s="39" t="str">
        <f t="shared" ref="AD5:AD36" si="9">IF(AC5="","",IF(AC5="Sim",IF(G5="Impacto","Material — impacto","Material — financeiro"),"Não material"))</f>
        <v>Material — impacto</v>
      </c>
      <c r="AE5" s="37">
        <f t="shared" ref="AE5:AE36" si="10">IF(AB5="","",RANK(AB5,$AB$5:$AB$91,0)+COUNTIFS($AB$5:$AB$91,AB5,$A$5:$A$91,"&lt;"&amp;A5))</f>
        <v>6</v>
      </c>
      <c r="AF5" s="35" t="s">
        <v>419</v>
      </c>
      <c r="AG5" s="35" t="s">
        <v>194</v>
      </c>
      <c r="AH5" s="37">
        <f>IF(A5="","",COUNTIF(Evidencias!$B$5:$B$115,A5))</f>
        <v>2</v>
      </c>
      <c r="AI5" s="39" t="str">
        <f t="shared" ref="AI5:AI36" si="11">IF(A5="","",IF(G5="","FALTA tipo de IRO",IF(AB5="",IF(G5="Impacto","FALTA pontuação de impacto","FALTA estimativa financeira"),IF(AH5=0,"Sem evidência registada","OK"))))</f>
        <v>OK</v>
      </c>
      <c r="AJ5" s="35" t="s">
        <v>420</v>
      </c>
      <c r="AK5" s="35"/>
      <c r="AL5" s="35"/>
      <c r="AM5" s="35" t="s">
        <v>421</v>
      </c>
      <c r="AN5" s="35" t="s">
        <v>422</v>
      </c>
      <c r="AO5" s="35" t="s">
        <v>423</v>
      </c>
      <c r="AP5" s="35" t="s">
        <v>424</v>
      </c>
      <c r="AQ5" s="35" t="s">
        <v>425</v>
      </c>
      <c r="AR5" s="35" t="s">
        <v>426</v>
      </c>
      <c r="AS5" s="35" t="s">
        <v>196</v>
      </c>
      <c r="AT5" s="35" t="s">
        <v>427</v>
      </c>
      <c r="AU5" s="36">
        <v>46289</v>
      </c>
      <c r="AV5" s="45">
        <f t="shared" ref="AV5:AV36" si="12">IF(AU5="","",EDATE(AU5,IF(AC5="Sim",prm_Meses_Rev_Material,prm_Meses_Rev_Outros)))</f>
        <v>46470</v>
      </c>
      <c r="AW5" s="35"/>
    </row>
    <row r="6" spans="1:49" ht="60" customHeight="1" x14ac:dyDescent="0.3">
      <c r="A6" s="35" t="s">
        <v>428</v>
      </c>
      <c r="B6" s="35" t="s">
        <v>188</v>
      </c>
      <c r="C6" s="39" t="str">
        <f>IF(B6="","",IFERROR(INDEX(Temas!$E$5:$E$40,MATCH(B6,Temas!$A$5:$A$40,0)),"ID_Tema não encontrado"))</f>
        <v>Emissões de GEE (âmbitos 1, 2 e 3)</v>
      </c>
      <c r="D6" s="39" t="str">
        <f>IF(B6="","",IFERROR(INDEX(Temas!$B$5:$B$40,MATCH(B6,Temas!$A$5:$A$40,0)),""))</f>
        <v>Ambiental</v>
      </c>
      <c r="E6" s="39" t="str">
        <f>IF(B6="","",IFERROR(INDEX(Temas!$C$5:$C$40,MATCH(B6,Temas!$A$5:$A$40,0)),""))</f>
        <v>E1 Alterações climáticas</v>
      </c>
      <c r="F6" s="35" t="s">
        <v>414</v>
      </c>
      <c r="G6" s="39" t="str">
        <f t="shared" si="0"/>
        <v>Impacto</v>
      </c>
      <c r="H6" s="35" t="s">
        <v>429</v>
      </c>
      <c r="I6" s="35" t="s">
        <v>416</v>
      </c>
      <c r="J6" s="35" t="s">
        <v>150</v>
      </c>
      <c r="K6" s="35" t="s">
        <v>146</v>
      </c>
      <c r="L6" s="35" t="s">
        <v>430</v>
      </c>
      <c r="M6" s="35" t="s">
        <v>418</v>
      </c>
      <c r="N6" s="43">
        <v>4</v>
      </c>
      <c r="O6" s="43">
        <v>4</v>
      </c>
      <c r="P6" s="43">
        <v>4</v>
      </c>
      <c r="Q6" s="43"/>
      <c r="R6" s="41">
        <f t="shared" si="1"/>
        <v>4</v>
      </c>
      <c r="S6" s="37">
        <f t="shared" si="2"/>
        <v>5</v>
      </c>
      <c r="T6" s="38">
        <f t="shared" si="3"/>
        <v>20</v>
      </c>
      <c r="U6" s="35"/>
      <c r="V6" s="35"/>
      <c r="W6" s="44"/>
      <c r="X6" s="43"/>
      <c r="Y6" s="37" t="str">
        <f t="shared" si="4"/>
        <v/>
      </c>
      <c r="Z6" s="38" t="str">
        <f t="shared" si="5"/>
        <v/>
      </c>
      <c r="AA6" s="40" t="str">
        <f t="shared" si="6"/>
        <v/>
      </c>
      <c r="AB6" s="38">
        <f t="shared" si="7"/>
        <v>20</v>
      </c>
      <c r="AC6" s="39" t="str">
        <f t="shared" si="8"/>
        <v>Sim</v>
      </c>
      <c r="AD6" s="39" t="str">
        <f t="shared" si="9"/>
        <v>Material — impacto</v>
      </c>
      <c r="AE6" s="37">
        <f t="shared" si="10"/>
        <v>1</v>
      </c>
      <c r="AF6" s="35" t="s">
        <v>431</v>
      </c>
      <c r="AG6" s="35" t="s">
        <v>307</v>
      </c>
      <c r="AH6" s="37">
        <f>IF(A6="","",COUNTIF(Evidencias!$B$5:$B$115,A6))</f>
        <v>2</v>
      </c>
      <c r="AI6" s="39" t="str">
        <f t="shared" si="11"/>
        <v>OK</v>
      </c>
      <c r="AJ6" s="35" t="s">
        <v>432</v>
      </c>
      <c r="AK6" s="35"/>
      <c r="AL6" s="35"/>
      <c r="AM6" s="35" t="s">
        <v>433</v>
      </c>
      <c r="AN6" s="35"/>
      <c r="AO6" s="35"/>
      <c r="AP6" s="35"/>
      <c r="AQ6" s="35"/>
      <c r="AR6" s="35" t="s">
        <v>434</v>
      </c>
      <c r="AS6" s="35" t="s">
        <v>196</v>
      </c>
      <c r="AT6" s="35" t="s">
        <v>427</v>
      </c>
      <c r="AU6" s="36">
        <v>46289</v>
      </c>
      <c r="AV6" s="45">
        <f t="shared" si="12"/>
        <v>46470</v>
      </c>
      <c r="AW6" s="35" t="s">
        <v>435</v>
      </c>
    </row>
    <row r="7" spans="1:49" ht="60" customHeight="1" x14ac:dyDescent="0.3">
      <c r="A7" s="35" t="s">
        <v>436</v>
      </c>
      <c r="B7" s="35" t="s">
        <v>188</v>
      </c>
      <c r="C7" s="39" t="str">
        <f>IF(B7="","",IFERROR(INDEX(Temas!$E$5:$E$40,MATCH(B7,Temas!$A$5:$A$40,0)),"ID_Tema não encontrado"))</f>
        <v>Emissões de GEE (âmbitos 1, 2 e 3)</v>
      </c>
      <c r="D7" s="39" t="str">
        <f>IF(B7="","",IFERROR(INDEX(Temas!$B$5:$B$40,MATCH(B7,Temas!$A$5:$A$40,0)),""))</f>
        <v>Ambiental</v>
      </c>
      <c r="E7" s="39" t="str">
        <f>IF(B7="","",IFERROR(INDEX(Temas!$C$5:$C$40,MATCH(B7,Temas!$A$5:$A$40,0)),""))</f>
        <v>E1 Alterações climáticas</v>
      </c>
      <c r="F7" s="35" t="s">
        <v>414</v>
      </c>
      <c r="G7" s="39" t="str">
        <f t="shared" si="0"/>
        <v>Impacto</v>
      </c>
      <c r="H7" s="35" t="s">
        <v>437</v>
      </c>
      <c r="I7" s="35" t="s">
        <v>416</v>
      </c>
      <c r="J7" s="35" t="s">
        <v>152</v>
      </c>
      <c r="K7" s="35" t="s">
        <v>146</v>
      </c>
      <c r="L7" s="35" t="s">
        <v>438</v>
      </c>
      <c r="M7" s="35" t="s">
        <v>418</v>
      </c>
      <c r="N7" s="43">
        <v>2</v>
      </c>
      <c r="O7" s="43">
        <v>2</v>
      </c>
      <c r="P7" s="43">
        <v>3</v>
      </c>
      <c r="Q7" s="43"/>
      <c r="R7" s="41">
        <f t="shared" si="1"/>
        <v>2.33</v>
      </c>
      <c r="S7" s="37">
        <f t="shared" si="2"/>
        <v>5</v>
      </c>
      <c r="T7" s="38">
        <f t="shared" si="3"/>
        <v>11.7</v>
      </c>
      <c r="U7" s="35"/>
      <c r="V7" s="35"/>
      <c r="W7" s="44"/>
      <c r="X7" s="43"/>
      <c r="Y7" s="37" t="str">
        <f t="shared" si="4"/>
        <v/>
      </c>
      <c r="Z7" s="38" t="str">
        <f t="shared" si="5"/>
        <v/>
      </c>
      <c r="AA7" s="40" t="str">
        <f t="shared" si="6"/>
        <v/>
      </c>
      <c r="AB7" s="38">
        <f t="shared" si="7"/>
        <v>11.7</v>
      </c>
      <c r="AC7" s="39" t="str">
        <f t="shared" si="8"/>
        <v>Não</v>
      </c>
      <c r="AD7" s="39" t="str">
        <f t="shared" si="9"/>
        <v>Não material</v>
      </c>
      <c r="AE7" s="37">
        <f t="shared" si="10"/>
        <v>28</v>
      </c>
      <c r="AF7" s="35" t="s">
        <v>439</v>
      </c>
      <c r="AG7" s="35" t="s">
        <v>307</v>
      </c>
      <c r="AH7" s="37">
        <f>IF(A7="","",COUNTIF(Evidencias!$B$5:$B$115,A7))</f>
        <v>1</v>
      </c>
      <c r="AI7" s="39" t="str">
        <f t="shared" si="11"/>
        <v>OK</v>
      </c>
      <c r="AJ7" s="35"/>
      <c r="AK7" s="35"/>
      <c r="AL7" s="35"/>
      <c r="AM7" s="35" t="s">
        <v>440</v>
      </c>
      <c r="AN7" s="35"/>
      <c r="AO7" s="35"/>
      <c r="AP7" s="35"/>
      <c r="AQ7" s="35"/>
      <c r="AR7" s="35" t="s">
        <v>441</v>
      </c>
      <c r="AS7" s="35" t="s">
        <v>442</v>
      </c>
      <c r="AT7" s="35" t="s">
        <v>427</v>
      </c>
      <c r="AU7" s="36">
        <v>46289</v>
      </c>
      <c r="AV7" s="45">
        <f t="shared" si="12"/>
        <v>46654</v>
      </c>
      <c r="AW7" s="35"/>
    </row>
    <row r="8" spans="1:49" ht="60" customHeight="1" x14ac:dyDescent="0.3">
      <c r="A8" s="35" t="s">
        <v>443</v>
      </c>
      <c r="B8" s="35" t="s">
        <v>188</v>
      </c>
      <c r="C8" s="39" t="str">
        <f>IF(B8="","",IFERROR(INDEX(Temas!$E$5:$E$40,MATCH(B8,Temas!$A$5:$A$40,0)),"ID_Tema não encontrado"))</f>
        <v>Emissões de GEE (âmbitos 1, 2 e 3)</v>
      </c>
      <c r="D8" s="39" t="str">
        <f>IF(B8="","",IFERROR(INDEX(Temas!$B$5:$B$40,MATCH(B8,Temas!$A$5:$A$40,0)),""))</f>
        <v>Ambiental</v>
      </c>
      <c r="E8" s="39" t="str">
        <f>IF(B8="","",IFERROR(INDEX(Temas!$C$5:$C$40,MATCH(B8,Temas!$A$5:$A$40,0)),""))</f>
        <v>E1 Alterações climáticas</v>
      </c>
      <c r="F8" s="35" t="s">
        <v>444</v>
      </c>
      <c r="G8" s="39" t="str">
        <f t="shared" si="0"/>
        <v>Financeira</v>
      </c>
      <c r="H8" s="35" t="s">
        <v>445</v>
      </c>
      <c r="I8" s="35"/>
      <c r="J8" s="35" t="s">
        <v>152</v>
      </c>
      <c r="K8" s="35" t="s">
        <v>147</v>
      </c>
      <c r="L8" s="35"/>
      <c r="M8" s="35"/>
      <c r="N8" s="43"/>
      <c r="O8" s="43"/>
      <c r="P8" s="43"/>
      <c r="Q8" s="43"/>
      <c r="R8" s="41" t="str">
        <f t="shared" si="1"/>
        <v/>
      </c>
      <c r="S8" s="37" t="str">
        <f t="shared" si="2"/>
        <v/>
      </c>
      <c r="T8" s="38" t="str">
        <f t="shared" si="3"/>
        <v/>
      </c>
      <c r="U8" s="35" t="s">
        <v>446</v>
      </c>
      <c r="V8" s="35" t="s">
        <v>447</v>
      </c>
      <c r="W8" s="44">
        <v>150000</v>
      </c>
      <c r="X8" s="43">
        <v>3</v>
      </c>
      <c r="Y8" s="37">
        <f t="shared" si="4"/>
        <v>4</v>
      </c>
      <c r="Z8" s="38">
        <f t="shared" si="5"/>
        <v>12</v>
      </c>
      <c r="AA8" s="40">
        <f t="shared" si="6"/>
        <v>-60000</v>
      </c>
      <c r="AB8" s="38">
        <f t="shared" si="7"/>
        <v>12</v>
      </c>
      <c r="AC8" s="39" t="str">
        <f t="shared" si="8"/>
        <v>Sim</v>
      </c>
      <c r="AD8" s="39" t="str">
        <f t="shared" si="9"/>
        <v>Material — financeiro</v>
      </c>
      <c r="AE8" s="37">
        <f t="shared" si="10"/>
        <v>18</v>
      </c>
      <c r="AF8" s="35" t="s">
        <v>448</v>
      </c>
      <c r="AG8" s="35" t="s">
        <v>211</v>
      </c>
      <c r="AH8" s="37">
        <f>IF(A8="","",COUNTIF(Evidencias!$B$5:$B$115,A8))</f>
        <v>1</v>
      </c>
      <c r="AI8" s="39" t="str">
        <f t="shared" si="11"/>
        <v>OK</v>
      </c>
      <c r="AJ8" s="35" t="s">
        <v>449</v>
      </c>
      <c r="AK8" s="35"/>
      <c r="AL8" s="35" t="s">
        <v>450</v>
      </c>
      <c r="AM8" s="35"/>
      <c r="AN8" s="35"/>
      <c r="AO8" s="35"/>
      <c r="AP8" s="35"/>
      <c r="AQ8" s="35"/>
      <c r="AR8" s="35" t="s">
        <v>451</v>
      </c>
      <c r="AS8" s="35" t="s">
        <v>345</v>
      </c>
      <c r="AT8" s="35" t="s">
        <v>427</v>
      </c>
      <c r="AU8" s="36">
        <v>46289</v>
      </c>
      <c r="AV8" s="45">
        <f t="shared" si="12"/>
        <v>46470</v>
      </c>
      <c r="AW8" s="35"/>
    </row>
    <row r="9" spans="1:49" ht="60" customHeight="1" x14ac:dyDescent="0.3">
      <c r="A9" s="35" t="s">
        <v>452</v>
      </c>
      <c r="B9" s="35" t="s">
        <v>198</v>
      </c>
      <c r="C9" s="39" t="str">
        <f>IF(B9="","",IFERROR(INDEX(Temas!$E$5:$E$40,MATCH(B9,Temas!$A$5:$A$40,0)),"ID_Tema não encontrado"))</f>
        <v>Consumo e eficiência energética</v>
      </c>
      <c r="D9" s="39" t="str">
        <f>IF(B9="","",IFERROR(INDEX(Temas!$B$5:$B$40,MATCH(B9,Temas!$A$5:$A$40,0)),""))</f>
        <v>Ambiental</v>
      </c>
      <c r="E9" s="39" t="str">
        <f>IF(B9="","",IFERROR(INDEX(Temas!$C$5:$C$40,MATCH(B9,Temas!$A$5:$A$40,0)),""))</f>
        <v>E1 Alterações climáticas</v>
      </c>
      <c r="F9" s="35" t="s">
        <v>414</v>
      </c>
      <c r="G9" s="39" t="str">
        <f t="shared" si="0"/>
        <v>Impacto</v>
      </c>
      <c r="H9" s="35" t="s">
        <v>453</v>
      </c>
      <c r="I9" s="35" t="s">
        <v>416</v>
      </c>
      <c r="J9" s="35" t="s">
        <v>151</v>
      </c>
      <c r="K9" s="35" t="s">
        <v>146</v>
      </c>
      <c r="L9" s="35" t="s">
        <v>454</v>
      </c>
      <c r="M9" s="35" t="s">
        <v>418</v>
      </c>
      <c r="N9" s="43">
        <v>3</v>
      </c>
      <c r="O9" s="43">
        <v>3</v>
      </c>
      <c r="P9" s="43">
        <v>3</v>
      </c>
      <c r="Q9" s="43"/>
      <c r="R9" s="41">
        <f t="shared" si="1"/>
        <v>3</v>
      </c>
      <c r="S9" s="37">
        <f t="shared" si="2"/>
        <v>5</v>
      </c>
      <c r="T9" s="38">
        <f t="shared" si="3"/>
        <v>15</v>
      </c>
      <c r="U9" s="35"/>
      <c r="V9" s="35"/>
      <c r="W9" s="44"/>
      <c r="X9" s="43"/>
      <c r="Y9" s="37" t="str">
        <f t="shared" si="4"/>
        <v/>
      </c>
      <c r="Z9" s="38" t="str">
        <f t="shared" si="5"/>
        <v/>
      </c>
      <c r="AA9" s="40" t="str">
        <f t="shared" si="6"/>
        <v/>
      </c>
      <c r="AB9" s="38">
        <f t="shared" si="7"/>
        <v>15</v>
      </c>
      <c r="AC9" s="39" t="str">
        <f t="shared" si="8"/>
        <v>Sim</v>
      </c>
      <c r="AD9" s="39" t="str">
        <f t="shared" si="9"/>
        <v>Material — impacto</v>
      </c>
      <c r="AE9" s="37">
        <f t="shared" si="10"/>
        <v>12</v>
      </c>
      <c r="AF9" s="35" t="s">
        <v>455</v>
      </c>
      <c r="AG9" s="35" t="s">
        <v>194</v>
      </c>
      <c r="AH9" s="37">
        <f>IF(A9="","",COUNTIF(Evidencias!$B$5:$B$115,A9))</f>
        <v>3</v>
      </c>
      <c r="AI9" s="39" t="str">
        <f t="shared" si="11"/>
        <v>OK</v>
      </c>
      <c r="AJ9" s="35" t="s">
        <v>456</v>
      </c>
      <c r="AK9" s="35" t="s">
        <v>457</v>
      </c>
      <c r="AL9" s="35" t="s">
        <v>458</v>
      </c>
      <c r="AM9" s="35" t="s">
        <v>459</v>
      </c>
      <c r="AN9" s="35" t="s">
        <v>460</v>
      </c>
      <c r="AO9" s="35" t="s">
        <v>423</v>
      </c>
      <c r="AP9" s="35" t="s">
        <v>461</v>
      </c>
      <c r="AQ9" s="35" t="s">
        <v>462</v>
      </c>
      <c r="AR9" s="35" t="s">
        <v>463</v>
      </c>
      <c r="AS9" s="35" t="s">
        <v>204</v>
      </c>
      <c r="AT9" s="35" t="s">
        <v>427</v>
      </c>
      <c r="AU9" s="36">
        <v>46289</v>
      </c>
      <c r="AV9" s="45">
        <f t="shared" si="12"/>
        <v>46470</v>
      </c>
      <c r="AW9" s="35"/>
    </row>
    <row r="10" spans="1:49" ht="60" customHeight="1" x14ac:dyDescent="0.3">
      <c r="A10" s="35" t="s">
        <v>464</v>
      </c>
      <c r="B10" s="35" t="s">
        <v>198</v>
      </c>
      <c r="C10" s="39" t="str">
        <f>IF(B10="","",IFERROR(INDEX(Temas!$E$5:$E$40,MATCH(B10,Temas!$A$5:$A$40,0)),"ID_Tema não encontrado"))</f>
        <v>Consumo e eficiência energética</v>
      </c>
      <c r="D10" s="39" t="str">
        <f>IF(B10="","",IFERROR(INDEX(Temas!$B$5:$B$40,MATCH(B10,Temas!$A$5:$A$40,0)),""))</f>
        <v>Ambiental</v>
      </c>
      <c r="E10" s="39" t="str">
        <f>IF(B10="","",IFERROR(INDEX(Temas!$C$5:$C$40,MATCH(B10,Temas!$A$5:$A$40,0)),""))</f>
        <v>E1 Alterações climáticas</v>
      </c>
      <c r="F10" s="35" t="s">
        <v>444</v>
      </c>
      <c r="G10" s="39" t="str">
        <f t="shared" si="0"/>
        <v>Financeira</v>
      </c>
      <c r="H10" s="35" t="s">
        <v>465</v>
      </c>
      <c r="I10" s="35"/>
      <c r="J10" s="35" t="s">
        <v>151</v>
      </c>
      <c r="K10" s="35" t="s">
        <v>146</v>
      </c>
      <c r="L10" s="35"/>
      <c r="M10" s="35"/>
      <c r="N10" s="43"/>
      <c r="O10" s="43"/>
      <c r="P10" s="43"/>
      <c r="Q10" s="43"/>
      <c r="R10" s="41" t="str">
        <f t="shared" si="1"/>
        <v/>
      </c>
      <c r="S10" s="37" t="str">
        <f t="shared" si="2"/>
        <v/>
      </c>
      <c r="T10" s="38" t="str">
        <f t="shared" si="3"/>
        <v/>
      </c>
      <c r="U10" s="35" t="s">
        <v>466</v>
      </c>
      <c r="V10" s="35" t="s">
        <v>467</v>
      </c>
      <c r="W10" s="44">
        <v>215000</v>
      </c>
      <c r="X10" s="43">
        <v>4</v>
      </c>
      <c r="Y10" s="37">
        <f t="shared" si="4"/>
        <v>4</v>
      </c>
      <c r="Z10" s="38">
        <f t="shared" si="5"/>
        <v>16</v>
      </c>
      <c r="AA10" s="40">
        <f t="shared" si="6"/>
        <v>-139750</v>
      </c>
      <c r="AB10" s="38">
        <f t="shared" si="7"/>
        <v>16</v>
      </c>
      <c r="AC10" s="39" t="str">
        <f t="shared" si="8"/>
        <v>Sim</v>
      </c>
      <c r="AD10" s="39" t="str">
        <f t="shared" si="9"/>
        <v>Material — financeiro</v>
      </c>
      <c r="AE10" s="37">
        <f t="shared" si="10"/>
        <v>10</v>
      </c>
      <c r="AF10" s="35" t="s">
        <v>468</v>
      </c>
      <c r="AG10" s="35" t="s">
        <v>194</v>
      </c>
      <c r="AH10" s="37">
        <f>IF(A10="","",COUNTIF(Evidencias!$B$5:$B$115,A10))</f>
        <v>1</v>
      </c>
      <c r="AI10" s="39" t="str">
        <f t="shared" si="11"/>
        <v>OK</v>
      </c>
      <c r="AJ10" s="35" t="s">
        <v>469</v>
      </c>
      <c r="AK10" s="35"/>
      <c r="AL10" s="35" t="s">
        <v>470</v>
      </c>
      <c r="AM10" s="35"/>
      <c r="AN10" s="35"/>
      <c r="AO10" s="35"/>
      <c r="AP10" s="35" t="s">
        <v>471</v>
      </c>
      <c r="AQ10" s="35"/>
      <c r="AR10" s="35" t="s">
        <v>472</v>
      </c>
      <c r="AS10" s="35" t="s">
        <v>473</v>
      </c>
      <c r="AT10" s="35" t="s">
        <v>427</v>
      </c>
      <c r="AU10" s="36">
        <v>46289</v>
      </c>
      <c r="AV10" s="45">
        <f t="shared" si="12"/>
        <v>46470</v>
      </c>
      <c r="AW10" s="35"/>
    </row>
    <row r="11" spans="1:49" ht="60" customHeight="1" x14ac:dyDescent="0.3">
      <c r="A11" s="35" t="s">
        <v>474</v>
      </c>
      <c r="B11" s="35" t="s">
        <v>198</v>
      </c>
      <c r="C11" s="39" t="str">
        <f>IF(B11="","",IFERROR(INDEX(Temas!$E$5:$E$40,MATCH(B11,Temas!$A$5:$A$40,0)),"ID_Tema não encontrado"))</f>
        <v>Consumo e eficiência energética</v>
      </c>
      <c r="D11" s="39" t="str">
        <f>IF(B11="","",IFERROR(INDEX(Temas!$B$5:$B$40,MATCH(B11,Temas!$A$5:$A$40,0)),""))</f>
        <v>Ambiental</v>
      </c>
      <c r="E11" s="39" t="str">
        <f>IF(B11="","",IFERROR(INDEX(Temas!$C$5:$C$40,MATCH(B11,Temas!$A$5:$A$40,0)),""))</f>
        <v>E1 Alterações climáticas</v>
      </c>
      <c r="F11" s="35" t="s">
        <v>475</v>
      </c>
      <c r="G11" s="39" t="str">
        <f t="shared" si="0"/>
        <v>Financeira</v>
      </c>
      <c r="H11" s="35" t="s">
        <v>476</v>
      </c>
      <c r="I11" s="35"/>
      <c r="J11" s="35" t="s">
        <v>151</v>
      </c>
      <c r="K11" s="35" t="s">
        <v>147</v>
      </c>
      <c r="L11" s="35"/>
      <c r="M11" s="35"/>
      <c r="N11" s="43"/>
      <c r="O11" s="43"/>
      <c r="P11" s="43"/>
      <c r="Q11" s="43"/>
      <c r="R11" s="41" t="str">
        <f t="shared" si="1"/>
        <v/>
      </c>
      <c r="S11" s="37" t="str">
        <f t="shared" si="2"/>
        <v/>
      </c>
      <c r="T11" s="38" t="str">
        <f t="shared" si="3"/>
        <v/>
      </c>
      <c r="U11" s="35" t="s">
        <v>477</v>
      </c>
      <c r="V11" s="35" t="s">
        <v>467</v>
      </c>
      <c r="W11" s="44">
        <v>180000</v>
      </c>
      <c r="X11" s="43">
        <v>3</v>
      </c>
      <c r="Y11" s="37">
        <f t="shared" si="4"/>
        <v>4</v>
      </c>
      <c r="Z11" s="38">
        <f t="shared" si="5"/>
        <v>12</v>
      </c>
      <c r="AA11" s="40">
        <f t="shared" si="6"/>
        <v>72000</v>
      </c>
      <c r="AB11" s="38">
        <f t="shared" si="7"/>
        <v>12</v>
      </c>
      <c r="AC11" s="39" t="str">
        <f t="shared" si="8"/>
        <v>Sim</v>
      </c>
      <c r="AD11" s="39" t="str">
        <f t="shared" si="9"/>
        <v>Material — financeiro</v>
      </c>
      <c r="AE11" s="37">
        <f t="shared" si="10"/>
        <v>19</v>
      </c>
      <c r="AF11" s="35" t="s">
        <v>478</v>
      </c>
      <c r="AG11" s="35" t="s">
        <v>211</v>
      </c>
      <c r="AH11" s="37">
        <f>IF(A11="","",COUNTIF(Evidencias!$B$5:$B$115,A11))</f>
        <v>1</v>
      </c>
      <c r="AI11" s="39" t="str">
        <f t="shared" si="11"/>
        <v>OK</v>
      </c>
      <c r="AJ11" s="35" t="s">
        <v>479</v>
      </c>
      <c r="AK11" s="35" t="s">
        <v>480</v>
      </c>
      <c r="AL11" s="35" t="s">
        <v>481</v>
      </c>
      <c r="AM11" s="35" t="s">
        <v>482</v>
      </c>
      <c r="AN11" s="35"/>
      <c r="AO11" s="35"/>
      <c r="AP11" s="35"/>
      <c r="AQ11" s="35"/>
      <c r="AR11" s="35" t="s">
        <v>483</v>
      </c>
      <c r="AS11" s="35" t="s">
        <v>473</v>
      </c>
      <c r="AT11" s="35" t="s">
        <v>427</v>
      </c>
      <c r="AU11" s="36">
        <v>46289</v>
      </c>
      <c r="AV11" s="45">
        <f t="shared" si="12"/>
        <v>46470</v>
      </c>
      <c r="AW11" s="35"/>
    </row>
    <row r="12" spans="1:49" ht="60" customHeight="1" x14ac:dyDescent="0.3">
      <c r="A12" s="35" t="s">
        <v>484</v>
      </c>
      <c r="B12" s="35" t="s">
        <v>198</v>
      </c>
      <c r="C12" s="39" t="str">
        <f>IF(B12="","",IFERROR(INDEX(Temas!$E$5:$E$40,MATCH(B12,Temas!$A$5:$A$40,0)),"ID_Tema não encontrado"))</f>
        <v>Consumo e eficiência energética</v>
      </c>
      <c r="D12" s="39" t="str">
        <f>IF(B12="","",IFERROR(INDEX(Temas!$B$5:$B$40,MATCH(B12,Temas!$A$5:$A$40,0)),""))</f>
        <v>Ambiental</v>
      </c>
      <c r="E12" s="39" t="str">
        <f>IF(B12="","",IFERROR(INDEX(Temas!$C$5:$C$40,MATCH(B12,Temas!$A$5:$A$40,0)),""))</f>
        <v>E1 Alterações climáticas</v>
      </c>
      <c r="F12" s="35" t="s">
        <v>475</v>
      </c>
      <c r="G12" s="39" t="str">
        <f t="shared" si="0"/>
        <v>Financeira</v>
      </c>
      <c r="H12" s="35" t="s">
        <v>485</v>
      </c>
      <c r="I12" s="35"/>
      <c r="J12" s="35" t="s">
        <v>151</v>
      </c>
      <c r="K12" s="35" t="s">
        <v>146</v>
      </c>
      <c r="L12" s="35"/>
      <c r="M12" s="35"/>
      <c r="N12" s="43"/>
      <c r="O12" s="43"/>
      <c r="P12" s="43"/>
      <c r="Q12" s="43"/>
      <c r="R12" s="41" t="str">
        <f t="shared" si="1"/>
        <v/>
      </c>
      <c r="S12" s="37" t="str">
        <f t="shared" si="2"/>
        <v/>
      </c>
      <c r="T12" s="38" t="str">
        <f t="shared" si="3"/>
        <v/>
      </c>
      <c r="U12" s="35" t="s">
        <v>486</v>
      </c>
      <c r="V12" s="35" t="s">
        <v>467</v>
      </c>
      <c r="W12" s="44">
        <v>75000</v>
      </c>
      <c r="X12" s="43">
        <v>4</v>
      </c>
      <c r="Y12" s="37">
        <f t="shared" si="4"/>
        <v>3</v>
      </c>
      <c r="Z12" s="38">
        <f t="shared" si="5"/>
        <v>12</v>
      </c>
      <c r="AA12" s="40">
        <f t="shared" si="6"/>
        <v>48750</v>
      </c>
      <c r="AB12" s="38">
        <f t="shared" si="7"/>
        <v>12</v>
      </c>
      <c r="AC12" s="39" t="str">
        <f t="shared" si="8"/>
        <v>Sim</v>
      </c>
      <c r="AD12" s="39" t="str">
        <f t="shared" si="9"/>
        <v>Material — financeiro</v>
      </c>
      <c r="AE12" s="37">
        <f t="shared" si="10"/>
        <v>20</v>
      </c>
      <c r="AF12" s="35" t="s">
        <v>487</v>
      </c>
      <c r="AG12" s="35" t="s">
        <v>194</v>
      </c>
      <c r="AH12" s="37">
        <f>IF(A12="","",COUNTIF(Evidencias!$B$5:$B$115,A12))</f>
        <v>1</v>
      </c>
      <c r="AI12" s="39" t="str">
        <f t="shared" si="11"/>
        <v>OK</v>
      </c>
      <c r="AJ12" s="35"/>
      <c r="AK12" s="35" t="s">
        <v>457</v>
      </c>
      <c r="AL12" s="35" t="s">
        <v>488</v>
      </c>
      <c r="AM12" s="35" t="s">
        <v>489</v>
      </c>
      <c r="AN12" s="35"/>
      <c r="AO12" s="35" t="s">
        <v>423</v>
      </c>
      <c r="AP12" s="35" t="s">
        <v>471</v>
      </c>
      <c r="AQ12" s="35" t="s">
        <v>462</v>
      </c>
      <c r="AR12" s="35" t="s">
        <v>490</v>
      </c>
      <c r="AS12" s="35" t="s">
        <v>249</v>
      </c>
      <c r="AT12" s="35" t="s">
        <v>427</v>
      </c>
      <c r="AU12" s="36">
        <v>46289</v>
      </c>
      <c r="AV12" s="45">
        <f t="shared" si="12"/>
        <v>46470</v>
      </c>
      <c r="AW12" s="35"/>
    </row>
    <row r="13" spans="1:49" ht="60" customHeight="1" x14ac:dyDescent="0.3">
      <c r="A13" s="35" t="s">
        <v>491</v>
      </c>
      <c r="B13" s="35" t="s">
        <v>206</v>
      </c>
      <c r="C13" s="39" t="str">
        <f>IF(B13="","",IFERROR(INDEX(Temas!$E$5:$E$40,MATCH(B13,Temas!$A$5:$A$40,0)),"ID_Tema não encontrado"))</f>
        <v>Resiliência a ondas de calor, seca e incêndio</v>
      </c>
      <c r="D13" s="39" t="str">
        <f>IF(B13="","",IFERROR(INDEX(Temas!$B$5:$B$40,MATCH(B13,Temas!$A$5:$A$40,0)),""))</f>
        <v>Ambiental</v>
      </c>
      <c r="E13" s="39" t="str">
        <f>IF(B13="","",IFERROR(INDEX(Temas!$C$5:$C$40,MATCH(B13,Temas!$A$5:$A$40,0)),""))</f>
        <v>E1 Alterações climáticas</v>
      </c>
      <c r="F13" s="35" t="s">
        <v>444</v>
      </c>
      <c r="G13" s="39" t="str">
        <f t="shared" si="0"/>
        <v>Financeira</v>
      </c>
      <c r="H13" s="35" t="s">
        <v>492</v>
      </c>
      <c r="I13" s="35"/>
      <c r="J13" s="35" t="s">
        <v>151</v>
      </c>
      <c r="K13" s="35" t="s">
        <v>147</v>
      </c>
      <c r="L13" s="35"/>
      <c r="M13" s="35"/>
      <c r="N13" s="43"/>
      <c r="O13" s="43"/>
      <c r="P13" s="43"/>
      <c r="Q13" s="43"/>
      <c r="R13" s="41" t="str">
        <f t="shared" si="1"/>
        <v/>
      </c>
      <c r="S13" s="37" t="str">
        <f t="shared" si="2"/>
        <v/>
      </c>
      <c r="T13" s="38" t="str">
        <f t="shared" si="3"/>
        <v/>
      </c>
      <c r="U13" s="35" t="s">
        <v>493</v>
      </c>
      <c r="V13" s="35" t="s">
        <v>494</v>
      </c>
      <c r="W13" s="44">
        <v>60000</v>
      </c>
      <c r="X13" s="43">
        <v>4</v>
      </c>
      <c r="Y13" s="37">
        <f t="shared" si="4"/>
        <v>3</v>
      </c>
      <c r="Z13" s="38">
        <f t="shared" si="5"/>
        <v>12</v>
      </c>
      <c r="AA13" s="40">
        <f t="shared" si="6"/>
        <v>-39000</v>
      </c>
      <c r="AB13" s="38">
        <f t="shared" si="7"/>
        <v>12</v>
      </c>
      <c r="AC13" s="39" t="str">
        <f t="shared" si="8"/>
        <v>Sim</v>
      </c>
      <c r="AD13" s="39" t="str">
        <f t="shared" si="9"/>
        <v>Material — financeiro</v>
      </c>
      <c r="AE13" s="37">
        <f t="shared" si="10"/>
        <v>21</v>
      </c>
      <c r="AF13" s="35" t="s">
        <v>495</v>
      </c>
      <c r="AG13" s="35" t="s">
        <v>211</v>
      </c>
      <c r="AH13" s="37">
        <f>IF(A13="","",COUNTIF(Evidencias!$B$5:$B$115,A13))</f>
        <v>2</v>
      </c>
      <c r="AI13" s="39" t="str">
        <f t="shared" si="11"/>
        <v>OK</v>
      </c>
      <c r="AJ13" s="35" t="s">
        <v>496</v>
      </c>
      <c r="AK13" s="35" t="s">
        <v>497</v>
      </c>
      <c r="AL13" s="35" t="s">
        <v>498</v>
      </c>
      <c r="AM13" s="35" t="s">
        <v>499</v>
      </c>
      <c r="AN13" s="35"/>
      <c r="AO13" s="35" t="s">
        <v>500</v>
      </c>
      <c r="AP13" s="35" t="s">
        <v>501</v>
      </c>
      <c r="AQ13" s="35"/>
      <c r="AR13" s="35" t="s">
        <v>502</v>
      </c>
      <c r="AS13" s="35" t="s">
        <v>204</v>
      </c>
      <c r="AT13" s="35" t="s">
        <v>427</v>
      </c>
      <c r="AU13" s="36">
        <v>46289</v>
      </c>
      <c r="AV13" s="45">
        <f t="shared" si="12"/>
        <v>46470</v>
      </c>
      <c r="AW13" s="35"/>
    </row>
    <row r="14" spans="1:49" ht="60" customHeight="1" x14ac:dyDescent="0.3">
      <c r="A14" s="35" t="s">
        <v>503</v>
      </c>
      <c r="B14" s="35" t="s">
        <v>206</v>
      </c>
      <c r="C14" s="39" t="str">
        <f>IF(B14="","",IFERROR(INDEX(Temas!$E$5:$E$40,MATCH(B14,Temas!$A$5:$A$40,0)),"ID_Tema não encontrado"))</f>
        <v>Resiliência a ondas de calor, seca e incêndio</v>
      </c>
      <c r="D14" s="39" t="str">
        <f>IF(B14="","",IFERROR(INDEX(Temas!$B$5:$B$40,MATCH(B14,Temas!$A$5:$A$40,0)),""))</f>
        <v>Ambiental</v>
      </c>
      <c r="E14" s="39" t="str">
        <f>IF(B14="","",IFERROR(INDEX(Temas!$C$5:$C$40,MATCH(B14,Temas!$A$5:$A$40,0)),""))</f>
        <v>E1 Alterações climáticas</v>
      </c>
      <c r="F14" s="35" t="s">
        <v>444</v>
      </c>
      <c r="G14" s="39" t="str">
        <f t="shared" si="0"/>
        <v>Financeira</v>
      </c>
      <c r="H14" s="35" t="s">
        <v>504</v>
      </c>
      <c r="I14" s="35"/>
      <c r="J14" s="35" t="s">
        <v>151</v>
      </c>
      <c r="K14" s="35" t="s">
        <v>148</v>
      </c>
      <c r="L14" s="35"/>
      <c r="M14" s="35"/>
      <c r="N14" s="43"/>
      <c r="O14" s="43"/>
      <c r="P14" s="43"/>
      <c r="Q14" s="43"/>
      <c r="R14" s="41" t="str">
        <f t="shared" si="1"/>
        <v/>
      </c>
      <c r="S14" s="37" t="str">
        <f t="shared" si="2"/>
        <v/>
      </c>
      <c r="T14" s="38" t="str">
        <f t="shared" si="3"/>
        <v/>
      </c>
      <c r="U14" s="35" t="s">
        <v>505</v>
      </c>
      <c r="V14" s="35" t="s">
        <v>506</v>
      </c>
      <c r="W14" s="44">
        <v>400000</v>
      </c>
      <c r="X14" s="43">
        <v>1</v>
      </c>
      <c r="Y14" s="37">
        <f t="shared" si="4"/>
        <v>5</v>
      </c>
      <c r="Z14" s="38">
        <f t="shared" si="5"/>
        <v>5</v>
      </c>
      <c r="AA14" s="40">
        <f t="shared" si="6"/>
        <v>-20000</v>
      </c>
      <c r="AB14" s="38">
        <f t="shared" si="7"/>
        <v>5</v>
      </c>
      <c r="AC14" s="39" t="str">
        <f t="shared" si="8"/>
        <v>Não</v>
      </c>
      <c r="AD14" s="39" t="str">
        <f t="shared" si="9"/>
        <v>Não material</v>
      </c>
      <c r="AE14" s="37">
        <f t="shared" si="10"/>
        <v>53</v>
      </c>
      <c r="AF14" s="35" t="s">
        <v>507</v>
      </c>
      <c r="AG14" s="35" t="s">
        <v>211</v>
      </c>
      <c r="AH14" s="37">
        <f>IF(A14="","",COUNTIF(Evidencias!$B$5:$B$115,A14))</f>
        <v>1</v>
      </c>
      <c r="AI14" s="39" t="str">
        <f t="shared" si="11"/>
        <v>OK</v>
      </c>
      <c r="AJ14" s="35" t="s">
        <v>508</v>
      </c>
      <c r="AK14" s="35" t="s">
        <v>509</v>
      </c>
      <c r="AL14" s="35" t="s">
        <v>510</v>
      </c>
      <c r="AM14" s="35" t="s">
        <v>511</v>
      </c>
      <c r="AN14" s="35" t="s">
        <v>512</v>
      </c>
      <c r="AO14" s="35"/>
      <c r="AP14" s="35"/>
      <c r="AQ14" s="35"/>
      <c r="AR14" s="35" t="s">
        <v>513</v>
      </c>
      <c r="AS14" s="35" t="s">
        <v>204</v>
      </c>
      <c r="AT14" s="35" t="s">
        <v>427</v>
      </c>
      <c r="AU14" s="36">
        <v>46289</v>
      </c>
      <c r="AV14" s="45">
        <f t="shared" si="12"/>
        <v>46654</v>
      </c>
      <c r="AW14" s="35"/>
    </row>
    <row r="15" spans="1:49" ht="60" customHeight="1" x14ac:dyDescent="0.3">
      <c r="A15" s="35" t="s">
        <v>514</v>
      </c>
      <c r="B15" s="35" t="s">
        <v>214</v>
      </c>
      <c r="C15" s="39" t="str">
        <f>IF(B15="","",IFERROR(INDEX(Temas!$E$5:$E$40,MATCH(B15,Temas!$A$5:$A$40,0)),"ID_Tema não encontrado"))</f>
        <v>Emissões de COV da serigrafia</v>
      </c>
      <c r="D15" s="39" t="str">
        <f>IF(B15="","",IFERROR(INDEX(Temas!$B$5:$B$40,MATCH(B15,Temas!$A$5:$A$40,0)),""))</f>
        <v>Ambiental</v>
      </c>
      <c r="E15" s="39" t="str">
        <f>IF(B15="","",IFERROR(INDEX(Temas!$C$5:$C$40,MATCH(B15,Temas!$A$5:$A$40,0)),""))</f>
        <v>E2 Poluição</v>
      </c>
      <c r="F15" s="35" t="s">
        <v>414</v>
      </c>
      <c r="G15" s="39" t="str">
        <f t="shared" si="0"/>
        <v>Impacto</v>
      </c>
      <c r="H15" s="35" t="s">
        <v>515</v>
      </c>
      <c r="I15" s="35" t="s">
        <v>416</v>
      </c>
      <c r="J15" s="35" t="s">
        <v>151</v>
      </c>
      <c r="K15" s="35" t="s">
        <v>146</v>
      </c>
      <c r="L15" s="35" t="s">
        <v>516</v>
      </c>
      <c r="M15" s="35" t="s">
        <v>418</v>
      </c>
      <c r="N15" s="43">
        <v>3</v>
      </c>
      <c r="O15" s="43">
        <v>3</v>
      </c>
      <c r="P15" s="43">
        <v>2</v>
      </c>
      <c r="Q15" s="43"/>
      <c r="R15" s="41">
        <f t="shared" si="1"/>
        <v>2.67</v>
      </c>
      <c r="S15" s="37">
        <f t="shared" si="2"/>
        <v>5</v>
      </c>
      <c r="T15" s="38">
        <f t="shared" si="3"/>
        <v>13.4</v>
      </c>
      <c r="U15" s="35"/>
      <c r="V15" s="35"/>
      <c r="W15" s="44"/>
      <c r="X15" s="43"/>
      <c r="Y15" s="37" t="str">
        <f t="shared" si="4"/>
        <v/>
      </c>
      <c r="Z15" s="38" t="str">
        <f t="shared" si="5"/>
        <v/>
      </c>
      <c r="AA15" s="40" t="str">
        <f t="shared" si="6"/>
        <v/>
      </c>
      <c r="AB15" s="38">
        <f t="shared" si="7"/>
        <v>13.4</v>
      </c>
      <c r="AC15" s="39" t="str">
        <f t="shared" si="8"/>
        <v>Sim</v>
      </c>
      <c r="AD15" s="39" t="str">
        <f t="shared" si="9"/>
        <v>Material — impacto</v>
      </c>
      <c r="AE15" s="37">
        <f t="shared" si="10"/>
        <v>15</v>
      </c>
      <c r="AF15" s="35" t="s">
        <v>517</v>
      </c>
      <c r="AG15" s="35" t="s">
        <v>194</v>
      </c>
      <c r="AH15" s="37">
        <f>IF(A15="","",COUNTIF(Evidencias!$B$5:$B$115,A15))</f>
        <v>3</v>
      </c>
      <c r="AI15" s="39" t="str">
        <f t="shared" si="11"/>
        <v>OK</v>
      </c>
      <c r="AJ15" s="35"/>
      <c r="AK15" s="35"/>
      <c r="AL15" s="35"/>
      <c r="AM15" s="35" t="s">
        <v>518</v>
      </c>
      <c r="AN15" s="35" t="s">
        <v>519</v>
      </c>
      <c r="AO15" s="35" t="s">
        <v>520</v>
      </c>
      <c r="AP15" s="35" t="s">
        <v>521</v>
      </c>
      <c r="AQ15" s="35" t="s">
        <v>522</v>
      </c>
      <c r="AR15" s="35" t="s">
        <v>523</v>
      </c>
      <c r="AS15" s="35" t="s">
        <v>524</v>
      </c>
      <c r="AT15" s="35" t="s">
        <v>427</v>
      </c>
      <c r="AU15" s="36">
        <v>46289</v>
      </c>
      <c r="AV15" s="45">
        <f t="shared" si="12"/>
        <v>46470</v>
      </c>
      <c r="AW15" s="35"/>
    </row>
    <row r="16" spans="1:49" ht="60" customHeight="1" x14ac:dyDescent="0.3">
      <c r="A16" s="35" t="s">
        <v>525</v>
      </c>
      <c r="B16" s="35" t="s">
        <v>214</v>
      </c>
      <c r="C16" s="39" t="str">
        <f>IF(B16="","",IFERROR(INDEX(Temas!$E$5:$E$40,MATCH(B16,Temas!$A$5:$A$40,0)),"ID_Tema não encontrado"))</f>
        <v>Emissões de COV da serigrafia</v>
      </c>
      <c r="D16" s="39" t="str">
        <f>IF(B16="","",IFERROR(INDEX(Temas!$B$5:$B$40,MATCH(B16,Temas!$A$5:$A$40,0)),""))</f>
        <v>Ambiental</v>
      </c>
      <c r="E16" s="39" t="str">
        <f>IF(B16="","",IFERROR(INDEX(Temas!$C$5:$C$40,MATCH(B16,Temas!$A$5:$A$40,0)),""))</f>
        <v>E2 Poluição</v>
      </c>
      <c r="F16" s="35" t="s">
        <v>444</v>
      </c>
      <c r="G16" s="39" t="str">
        <f t="shared" si="0"/>
        <v>Financeira</v>
      </c>
      <c r="H16" s="35" t="s">
        <v>526</v>
      </c>
      <c r="I16" s="35"/>
      <c r="J16" s="35" t="s">
        <v>151</v>
      </c>
      <c r="K16" s="35" t="s">
        <v>146</v>
      </c>
      <c r="L16" s="35"/>
      <c r="M16" s="35"/>
      <c r="N16" s="43"/>
      <c r="O16" s="43"/>
      <c r="P16" s="43"/>
      <c r="Q16" s="43"/>
      <c r="R16" s="41" t="str">
        <f t="shared" si="1"/>
        <v/>
      </c>
      <c r="S16" s="37" t="str">
        <f t="shared" si="2"/>
        <v/>
      </c>
      <c r="T16" s="38" t="str">
        <f t="shared" si="3"/>
        <v/>
      </c>
      <c r="U16" s="35" t="s">
        <v>527</v>
      </c>
      <c r="V16" s="35" t="s">
        <v>528</v>
      </c>
      <c r="W16" s="44">
        <v>15000</v>
      </c>
      <c r="X16" s="43">
        <v>2</v>
      </c>
      <c r="Y16" s="37">
        <f t="shared" si="4"/>
        <v>2</v>
      </c>
      <c r="Z16" s="38">
        <f t="shared" si="5"/>
        <v>4</v>
      </c>
      <c r="AA16" s="40">
        <f t="shared" si="6"/>
        <v>-3000</v>
      </c>
      <c r="AB16" s="38">
        <f t="shared" si="7"/>
        <v>4</v>
      </c>
      <c r="AC16" s="39" t="str">
        <f t="shared" si="8"/>
        <v>Não</v>
      </c>
      <c r="AD16" s="39" t="str">
        <f t="shared" si="9"/>
        <v>Não material</v>
      </c>
      <c r="AE16" s="37">
        <f t="shared" si="10"/>
        <v>54</v>
      </c>
      <c r="AF16" s="35" t="s">
        <v>529</v>
      </c>
      <c r="AG16" s="35" t="s">
        <v>211</v>
      </c>
      <c r="AH16" s="37">
        <f>IF(A16="","",COUNTIF(Evidencias!$B$5:$B$115,A16))</f>
        <v>1</v>
      </c>
      <c r="AI16" s="39" t="str">
        <f t="shared" si="11"/>
        <v>OK</v>
      </c>
      <c r="AJ16" s="35"/>
      <c r="AK16" s="35"/>
      <c r="AL16" s="35"/>
      <c r="AM16" s="35"/>
      <c r="AN16" s="35" t="s">
        <v>530</v>
      </c>
      <c r="AO16" s="35"/>
      <c r="AP16" s="35"/>
      <c r="AQ16" s="35"/>
      <c r="AR16" s="35"/>
      <c r="AS16" s="35" t="s">
        <v>196</v>
      </c>
      <c r="AT16" s="35" t="s">
        <v>427</v>
      </c>
      <c r="AU16" s="36">
        <v>46289</v>
      </c>
      <c r="AV16" s="45">
        <f t="shared" si="12"/>
        <v>46654</v>
      </c>
      <c r="AW16" s="35"/>
    </row>
    <row r="17" spans="1:49" ht="60" customHeight="1" x14ac:dyDescent="0.3">
      <c r="A17" s="35" t="s">
        <v>531</v>
      </c>
      <c r="B17" s="35" t="s">
        <v>221</v>
      </c>
      <c r="C17" s="39" t="str">
        <f>IF(B17="","",IFERROR(INDEX(Temas!$E$5:$E$40,MATCH(B17,Temas!$A$5:$A$40,0)),"ID_Tema não encontrado"))</f>
        <v>Derrames e descargas</v>
      </c>
      <c r="D17" s="39" t="str">
        <f>IF(B17="","",IFERROR(INDEX(Temas!$B$5:$B$40,MATCH(B17,Temas!$A$5:$A$40,0)),""))</f>
        <v>Ambiental</v>
      </c>
      <c r="E17" s="39" t="str">
        <f>IF(B17="","",IFERROR(INDEX(Temas!$C$5:$C$40,MATCH(B17,Temas!$A$5:$A$40,0)),""))</f>
        <v>E2 Poluição</v>
      </c>
      <c r="F17" s="35" t="s">
        <v>414</v>
      </c>
      <c r="G17" s="39" t="str">
        <f t="shared" si="0"/>
        <v>Impacto</v>
      </c>
      <c r="H17" s="35" t="s">
        <v>532</v>
      </c>
      <c r="I17" s="35" t="s">
        <v>533</v>
      </c>
      <c r="J17" s="35" t="s">
        <v>151</v>
      </c>
      <c r="K17" s="35" t="s">
        <v>146</v>
      </c>
      <c r="L17" s="35" t="s">
        <v>534</v>
      </c>
      <c r="M17" s="35" t="s">
        <v>418</v>
      </c>
      <c r="N17" s="43">
        <v>4</v>
      </c>
      <c r="O17" s="43">
        <v>2</v>
      </c>
      <c r="P17" s="43">
        <v>3</v>
      </c>
      <c r="Q17" s="43">
        <v>3</v>
      </c>
      <c r="R17" s="41">
        <f t="shared" si="1"/>
        <v>3</v>
      </c>
      <c r="S17" s="37">
        <f t="shared" si="2"/>
        <v>3</v>
      </c>
      <c r="T17" s="38">
        <f t="shared" si="3"/>
        <v>9</v>
      </c>
      <c r="U17" s="35"/>
      <c r="V17" s="35"/>
      <c r="W17" s="44"/>
      <c r="X17" s="43"/>
      <c r="Y17" s="37" t="str">
        <f t="shared" si="4"/>
        <v/>
      </c>
      <c r="Z17" s="38" t="str">
        <f t="shared" si="5"/>
        <v/>
      </c>
      <c r="AA17" s="40" t="str">
        <f t="shared" si="6"/>
        <v/>
      </c>
      <c r="AB17" s="38">
        <f t="shared" si="7"/>
        <v>9</v>
      </c>
      <c r="AC17" s="39" t="str">
        <f t="shared" si="8"/>
        <v>Não</v>
      </c>
      <c r="AD17" s="39" t="str">
        <f t="shared" si="9"/>
        <v>Não material</v>
      </c>
      <c r="AE17" s="37">
        <f t="shared" si="10"/>
        <v>36</v>
      </c>
      <c r="AF17" s="35" t="s">
        <v>535</v>
      </c>
      <c r="AG17" s="35" t="s">
        <v>211</v>
      </c>
      <c r="AH17" s="37">
        <f>IF(A17="","",COUNTIF(Evidencias!$B$5:$B$115,A17))</f>
        <v>1</v>
      </c>
      <c r="AI17" s="39" t="str">
        <f t="shared" si="11"/>
        <v>OK</v>
      </c>
      <c r="AJ17" s="35" t="s">
        <v>536</v>
      </c>
      <c r="AK17" s="35" t="s">
        <v>537</v>
      </c>
      <c r="AL17" s="35" t="s">
        <v>538</v>
      </c>
      <c r="AM17" s="35" t="s">
        <v>539</v>
      </c>
      <c r="AN17" s="35" t="s">
        <v>540</v>
      </c>
      <c r="AO17" s="35"/>
      <c r="AP17" s="35"/>
      <c r="AQ17" s="35" t="s">
        <v>541</v>
      </c>
      <c r="AR17" s="35" t="s">
        <v>542</v>
      </c>
      <c r="AS17" s="35" t="s">
        <v>196</v>
      </c>
      <c r="AT17" s="35" t="s">
        <v>427</v>
      </c>
      <c r="AU17" s="36">
        <v>46289</v>
      </c>
      <c r="AV17" s="45">
        <f t="shared" si="12"/>
        <v>46654</v>
      </c>
      <c r="AW17" s="35"/>
    </row>
    <row r="18" spans="1:49" ht="60" customHeight="1" x14ac:dyDescent="0.3">
      <c r="A18" s="35" t="s">
        <v>543</v>
      </c>
      <c r="B18" s="35" t="s">
        <v>221</v>
      </c>
      <c r="C18" s="39" t="str">
        <f>IF(B18="","",IFERROR(INDEX(Temas!$E$5:$E$40,MATCH(B18,Temas!$A$5:$A$40,0)),"ID_Tema não encontrado"))</f>
        <v>Derrames e descargas</v>
      </c>
      <c r="D18" s="39" t="str">
        <f>IF(B18="","",IFERROR(INDEX(Temas!$B$5:$B$40,MATCH(B18,Temas!$A$5:$A$40,0)),""))</f>
        <v>Ambiental</v>
      </c>
      <c r="E18" s="39" t="str">
        <f>IF(B18="","",IFERROR(INDEX(Temas!$C$5:$C$40,MATCH(B18,Temas!$A$5:$A$40,0)),""))</f>
        <v>E2 Poluição</v>
      </c>
      <c r="F18" s="35" t="s">
        <v>414</v>
      </c>
      <c r="G18" s="39" t="str">
        <f t="shared" si="0"/>
        <v>Impacto</v>
      </c>
      <c r="H18" s="35" t="s">
        <v>544</v>
      </c>
      <c r="I18" s="35" t="s">
        <v>416</v>
      </c>
      <c r="J18" s="35" t="s">
        <v>151</v>
      </c>
      <c r="K18" s="35" t="s">
        <v>146</v>
      </c>
      <c r="L18" s="35" t="s">
        <v>545</v>
      </c>
      <c r="M18" s="35" t="s">
        <v>418</v>
      </c>
      <c r="N18" s="43">
        <v>2</v>
      </c>
      <c r="O18" s="43">
        <v>2</v>
      </c>
      <c r="P18" s="43">
        <v>2</v>
      </c>
      <c r="Q18" s="43"/>
      <c r="R18" s="41">
        <f t="shared" si="1"/>
        <v>2</v>
      </c>
      <c r="S18" s="37">
        <f t="shared" si="2"/>
        <v>5</v>
      </c>
      <c r="T18" s="38">
        <f t="shared" si="3"/>
        <v>10</v>
      </c>
      <c r="U18" s="35"/>
      <c r="V18" s="35"/>
      <c r="W18" s="44"/>
      <c r="X18" s="43"/>
      <c r="Y18" s="37" t="str">
        <f t="shared" si="4"/>
        <v/>
      </c>
      <c r="Z18" s="38" t="str">
        <f t="shared" si="5"/>
        <v/>
      </c>
      <c r="AA18" s="40" t="str">
        <f t="shared" si="6"/>
        <v/>
      </c>
      <c r="AB18" s="38">
        <f t="shared" si="7"/>
        <v>10</v>
      </c>
      <c r="AC18" s="39" t="str">
        <f t="shared" si="8"/>
        <v>Não</v>
      </c>
      <c r="AD18" s="39" t="str">
        <f t="shared" si="9"/>
        <v>Não material</v>
      </c>
      <c r="AE18" s="37">
        <f t="shared" si="10"/>
        <v>31</v>
      </c>
      <c r="AF18" s="35" t="s">
        <v>546</v>
      </c>
      <c r="AG18" s="35" t="s">
        <v>211</v>
      </c>
      <c r="AH18" s="37">
        <f>IF(A18="","",COUNTIF(Evidencias!$B$5:$B$115,A18))</f>
        <v>1</v>
      </c>
      <c r="AI18" s="39" t="str">
        <f t="shared" si="11"/>
        <v>OK</v>
      </c>
      <c r="AJ18" s="35"/>
      <c r="AK18" s="35"/>
      <c r="AL18" s="35"/>
      <c r="AM18" s="35" t="s">
        <v>547</v>
      </c>
      <c r="AN18" s="35" t="s">
        <v>548</v>
      </c>
      <c r="AO18" s="35"/>
      <c r="AP18" s="35"/>
      <c r="AQ18" s="35"/>
      <c r="AR18" s="35" t="s">
        <v>549</v>
      </c>
      <c r="AS18" s="35" t="s">
        <v>249</v>
      </c>
      <c r="AT18" s="35" t="s">
        <v>427</v>
      </c>
      <c r="AU18" s="36">
        <v>46289</v>
      </c>
      <c r="AV18" s="45">
        <f t="shared" si="12"/>
        <v>46654</v>
      </c>
      <c r="AW18" s="35"/>
    </row>
    <row r="19" spans="1:49" ht="60" customHeight="1" x14ac:dyDescent="0.3">
      <c r="A19" s="35" t="s">
        <v>550</v>
      </c>
      <c r="B19" s="35" t="s">
        <v>221</v>
      </c>
      <c r="C19" s="39" t="str">
        <f>IF(B19="","",IFERROR(INDEX(Temas!$E$5:$E$40,MATCH(B19,Temas!$A$5:$A$40,0)),"ID_Tema não encontrado"))</f>
        <v>Derrames e descargas</v>
      </c>
      <c r="D19" s="39" t="str">
        <f>IF(B19="","",IFERROR(INDEX(Temas!$B$5:$B$40,MATCH(B19,Temas!$A$5:$A$40,0)),""))</f>
        <v>Ambiental</v>
      </c>
      <c r="E19" s="39" t="str">
        <f>IF(B19="","",IFERROR(INDEX(Temas!$C$5:$C$40,MATCH(B19,Temas!$A$5:$A$40,0)),""))</f>
        <v>E2 Poluição</v>
      </c>
      <c r="F19" s="35" t="s">
        <v>444</v>
      </c>
      <c r="G19" s="39" t="str">
        <f t="shared" si="0"/>
        <v>Financeira</v>
      </c>
      <c r="H19" s="35" t="s">
        <v>551</v>
      </c>
      <c r="I19" s="35"/>
      <c r="J19" s="35" t="s">
        <v>151</v>
      </c>
      <c r="K19" s="35" t="s">
        <v>147</v>
      </c>
      <c r="L19" s="35"/>
      <c r="M19" s="35"/>
      <c r="N19" s="43"/>
      <c r="O19" s="43"/>
      <c r="P19" s="43"/>
      <c r="Q19" s="43"/>
      <c r="R19" s="41" t="str">
        <f t="shared" si="1"/>
        <v/>
      </c>
      <c r="S19" s="37" t="str">
        <f t="shared" si="2"/>
        <v/>
      </c>
      <c r="T19" s="38" t="str">
        <f t="shared" si="3"/>
        <v/>
      </c>
      <c r="U19" s="35" t="s">
        <v>552</v>
      </c>
      <c r="V19" s="35" t="s">
        <v>528</v>
      </c>
      <c r="W19" s="44">
        <v>250000</v>
      </c>
      <c r="X19" s="43">
        <v>1</v>
      </c>
      <c r="Y19" s="37">
        <f t="shared" si="4"/>
        <v>4</v>
      </c>
      <c r="Z19" s="38">
        <f t="shared" si="5"/>
        <v>4</v>
      </c>
      <c r="AA19" s="40">
        <f t="shared" si="6"/>
        <v>-12500</v>
      </c>
      <c r="AB19" s="38">
        <f t="shared" si="7"/>
        <v>4</v>
      </c>
      <c r="AC19" s="39" t="str">
        <f t="shared" si="8"/>
        <v>Não</v>
      </c>
      <c r="AD19" s="39" t="str">
        <f t="shared" si="9"/>
        <v>Não material</v>
      </c>
      <c r="AE19" s="37">
        <f t="shared" si="10"/>
        <v>55</v>
      </c>
      <c r="AF19" s="35" t="s">
        <v>553</v>
      </c>
      <c r="AG19" s="35" t="s">
        <v>307</v>
      </c>
      <c r="AH19" s="37">
        <f>IF(A19="","",COUNTIF(Evidencias!$B$5:$B$115,A19))</f>
        <v>1</v>
      </c>
      <c r="AI19" s="39" t="str">
        <f t="shared" si="11"/>
        <v>OK</v>
      </c>
      <c r="AJ19" s="35"/>
      <c r="AK19" s="35"/>
      <c r="AL19" s="35"/>
      <c r="AM19" s="35"/>
      <c r="AN19" s="35" t="s">
        <v>553</v>
      </c>
      <c r="AO19" s="35"/>
      <c r="AP19" s="35"/>
      <c r="AQ19" s="35"/>
      <c r="AR19" s="35"/>
      <c r="AS19" s="35" t="s">
        <v>473</v>
      </c>
      <c r="AT19" s="35" t="s">
        <v>427</v>
      </c>
      <c r="AU19" s="36">
        <v>46289</v>
      </c>
      <c r="AV19" s="45">
        <f t="shared" si="12"/>
        <v>46654</v>
      </c>
      <c r="AW19" s="35"/>
    </row>
    <row r="20" spans="1:49" ht="60" customHeight="1" x14ac:dyDescent="0.3">
      <c r="A20" s="35" t="s">
        <v>554</v>
      </c>
      <c r="B20" s="35" t="s">
        <v>228</v>
      </c>
      <c r="C20" s="39" t="str">
        <f>IF(B20="","",IFERROR(INDEX(Temas!$E$5:$E$40,MATCH(B20,Temas!$A$5:$A$40,0)),"ID_Tema não encontrado"))</f>
        <v>Perdas de granulado de plástico</v>
      </c>
      <c r="D20" s="39" t="str">
        <f>IF(B20="","",IFERROR(INDEX(Temas!$B$5:$B$40,MATCH(B20,Temas!$A$5:$A$40,0)),""))</f>
        <v>Ambiental</v>
      </c>
      <c r="E20" s="39" t="str">
        <f>IF(B20="","",IFERROR(INDEX(Temas!$C$5:$C$40,MATCH(B20,Temas!$A$5:$A$40,0)),""))</f>
        <v>E2 Poluição</v>
      </c>
      <c r="F20" s="35" t="s">
        <v>414</v>
      </c>
      <c r="G20" s="39" t="str">
        <f t="shared" si="0"/>
        <v>Impacto</v>
      </c>
      <c r="H20" s="35" t="s">
        <v>555</v>
      </c>
      <c r="I20" s="35" t="s">
        <v>416</v>
      </c>
      <c r="J20" s="35" t="s">
        <v>151</v>
      </c>
      <c r="K20" s="35" t="s">
        <v>146</v>
      </c>
      <c r="L20" s="35" t="s">
        <v>556</v>
      </c>
      <c r="M20" s="35" t="s">
        <v>418</v>
      </c>
      <c r="N20" s="43">
        <v>3</v>
      </c>
      <c r="O20" s="43">
        <v>3</v>
      </c>
      <c r="P20" s="43">
        <v>5</v>
      </c>
      <c r="Q20" s="43"/>
      <c r="R20" s="41">
        <f t="shared" si="1"/>
        <v>3.67</v>
      </c>
      <c r="S20" s="37">
        <f t="shared" si="2"/>
        <v>5</v>
      </c>
      <c r="T20" s="38">
        <f t="shared" si="3"/>
        <v>18.399999999999999</v>
      </c>
      <c r="U20" s="35"/>
      <c r="V20" s="35"/>
      <c r="W20" s="44"/>
      <c r="X20" s="43"/>
      <c r="Y20" s="37" t="str">
        <f t="shared" si="4"/>
        <v/>
      </c>
      <c r="Z20" s="38" t="str">
        <f t="shared" si="5"/>
        <v/>
      </c>
      <c r="AA20" s="40" t="str">
        <f t="shared" si="6"/>
        <v/>
      </c>
      <c r="AB20" s="38">
        <f t="shared" si="7"/>
        <v>18.399999999999999</v>
      </c>
      <c r="AC20" s="39" t="str">
        <f t="shared" si="8"/>
        <v>Sim</v>
      </c>
      <c r="AD20" s="39" t="str">
        <f t="shared" si="9"/>
        <v>Material — impacto</v>
      </c>
      <c r="AE20" s="37">
        <f t="shared" si="10"/>
        <v>7</v>
      </c>
      <c r="AF20" s="35" t="s">
        <v>557</v>
      </c>
      <c r="AG20" s="35" t="s">
        <v>211</v>
      </c>
      <c r="AH20" s="37">
        <f>IF(A20="","",COUNTIF(Evidencias!$B$5:$B$115,A20))</f>
        <v>2</v>
      </c>
      <c r="AI20" s="39" t="str">
        <f t="shared" si="11"/>
        <v>OK</v>
      </c>
      <c r="AJ20" s="35" t="s">
        <v>558</v>
      </c>
      <c r="AK20" s="35" t="s">
        <v>559</v>
      </c>
      <c r="AL20" s="35" t="s">
        <v>560</v>
      </c>
      <c r="AM20" s="35" t="s">
        <v>561</v>
      </c>
      <c r="AN20" s="35" t="s">
        <v>562</v>
      </c>
      <c r="AO20" s="35" t="s">
        <v>563</v>
      </c>
      <c r="AP20" s="35" t="s">
        <v>564</v>
      </c>
      <c r="AQ20" s="35" t="s">
        <v>565</v>
      </c>
      <c r="AR20" s="35" t="s">
        <v>566</v>
      </c>
      <c r="AS20" s="35" t="s">
        <v>196</v>
      </c>
      <c r="AT20" s="35" t="s">
        <v>427</v>
      </c>
      <c r="AU20" s="36">
        <v>46289</v>
      </c>
      <c r="AV20" s="45">
        <f t="shared" si="12"/>
        <v>46470</v>
      </c>
      <c r="AW20" s="35"/>
    </row>
    <row r="21" spans="1:49" ht="60" customHeight="1" x14ac:dyDescent="0.3">
      <c r="A21" s="35" t="s">
        <v>567</v>
      </c>
      <c r="B21" s="35" t="s">
        <v>228</v>
      </c>
      <c r="C21" s="39" t="str">
        <f>IF(B21="","",IFERROR(INDEX(Temas!$E$5:$E$40,MATCH(B21,Temas!$A$5:$A$40,0)),"ID_Tema não encontrado"))</f>
        <v>Perdas de granulado de plástico</v>
      </c>
      <c r="D21" s="39" t="str">
        <f>IF(B21="","",IFERROR(INDEX(Temas!$B$5:$B$40,MATCH(B21,Temas!$A$5:$A$40,0)),""))</f>
        <v>Ambiental</v>
      </c>
      <c r="E21" s="39" t="str">
        <f>IF(B21="","",IFERROR(INDEX(Temas!$C$5:$C$40,MATCH(B21,Temas!$A$5:$A$40,0)),""))</f>
        <v>E2 Poluição</v>
      </c>
      <c r="F21" s="35" t="s">
        <v>444</v>
      </c>
      <c r="G21" s="39" t="str">
        <f t="shared" si="0"/>
        <v>Financeira</v>
      </c>
      <c r="H21" s="35" t="s">
        <v>568</v>
      </c>
      <c r="I21" s="35"/>
      <c r="J21" s="35" t="s">
        <v>151</v>
      </c>
      <c r="K21" s="35" t="s">
        <v>147</v>
      </c>
      <c r="L21" s="35"/>
      <c r="M21" s="35"/>
      <c r="N21" s="43"/>
      <c r="O21" s="43"/>
      <c r="P21" s="43"/>
      <c r="Q21" s="43"/>
      <c r="R21" s="41" t="str">
        <f t="shared" si="1"/>
        <v/>
      </c>
      <c r="S21" s="37" t="str">
        <f t="shared" si="2"/>
        <v/>
      </c>
      <c r="T21" s="38" t="str">
        <f t="shared" si="3"/>
        <v/>
      </c>
      <c r="U21" s="35" t="s">
        <v>569</v>
      </c>
      <c r="V21" s="35" t="s">
        <v>494</v>
      </c>
      <c r="W21" s="44">
        <v>30000</v>
      </c>
      <c r="X21" s="43">
        <v>4</v>
      </c>
      <c r="Y21" s="37">
        <f t="shared" si="4"/>
        <v>3</v>
      </c>
      <c r="Z21" s="38">
        <f t="shared" si="5"/>
        <v>12</v>
      </c>
      <c r="AA21" s="40">
        <f t="shared" si="6"/>
        <v>-19500</v>
      </c>
      <c r="AB21" s="38">
        <f t="shared" si="7"/>
        <v>12</v>
      </c>
      <c r="AC21" s="39" t="str">
        <f t="shared" si="8"/>
        <v>Sim</v>
      </c>
      <c r="AD21" s="39" t="str">
        <f t="shared" si="9"/>
        <v>Material — financeiro</v>
      </c>
      <c r="AE21" s="37">
        <f t="shared" si="10"/>
        <v>22</v>
      </c>
      <c r="AF21" s="35" t="s">
        <v>570</v>
      </c>
      <c r="AG21" s="35" t="s">
        <v>211</v>
      </c>
      <c r="AH21" s="37">
        <f>IF(A21="","",COUNTIF(Evidencias!$B$5:$B$115,A21))</f>
        <v>1</v>
      </c>
      <c r="AI21" s="39" t="str">
        <f t="shared" si="11"/>
        <v>OK</v>
      </c>
      <c r="AJ21" s="35" t="s">
        <v>571</v>
      </c>
      <c r="AK21" s="35"/>
      <c r="AL21" s="35"/>
      <c r="AM21" s="35"/>
      <c r="AN21" s="35" t="s">
        <v>562</v>
      </c>
      <c r="AO21" s="35" t="s">
        <v>563</v>
      </c>
      <c r="AP21" s="35"/>
      <c r="AQ21" s="35" t="s">
        <v>565</v>
      </c>
      <c r="AR21" s="35" t="s">
        <v>572</v>
      </c>
      <c r="AS21" s="35" t="s">
        <v>196</v>
      </c>
      <c r="AT21" s="35" t="s">
        <v>427</v>
      </c>
      <c r="AU21" s="36">
        <v>46289</v>
      </c>
      <c r="AV21" s="45">
        <f t="shared" si="12"/>
        <v>46470</v>
      </c>
      <c r="AW21" s="35"/>
    </row>
    <row r="22" spans="1:49" ht="60" customHeight="1" x14ac:dyDescent="0.3">
      <c r="A22" s="35" t="s">
        <v>573</v>
      </c>
      <c r="B22" s="35" t="s">
        <v>235</v>
      </c>
      <c r="C22" s="39" t="str">
        <f>IF(B22="","",IFERROR(INDEX(Temas!$E$5:$E$40,MATCH(B22,Temas!$A$5:$A$40,0)),"ID_Tema não encontrado"))</f>
        <v>Substâncias perigosas em tintas e aditivos</v>
      </c>
      <c r="D22" s="39" t="str">
        <f>IF(B22="","",IFERROR(INDEX(Temas!$B$5:$B$40,MATCH(B22,Temas!$A$5:$A$40,0)),""))</f>
        <v>Ambiental</v>
      </c>
      <c r="E22" s="39" t="str">
        <f>IF(B22="","",IFERROR(INDEX(Temas!$C$5:$C$40,MATCH(B22,Temas!$A$5:$A$40,0)),""))</f>
        <v>E2 Poluição</v>
      </c>
      <c r="F22" s="35" t="s">
        <v>414</v>
      </c>
      <c r="G22" s="39" t="str">
        <f t="shared" si="0"/>
        <v>Impacto</v>
      </c>
      <c r="H22" s="35" t="s">
        <v>574</v>
      </c>
      <c r="I22" s="35" t="s">
        <v>533</v>
      </c>
      <c r="J22" s="35" t="s">
        <v>151</v>
      </c>
      <c r="K22" s="35" t="s">
        <v>147</v>
      </c>
      <c r="L22" s="35" t="s">
        <v>575</v>
      </c>
      <c r="M22" s="35" t="s">
        <v>418</v>
      </c>
      <c r="N22" s="43">
        <v>3</v>
      </c>
      <c r="O22" s="43">
        <v>2</v>
      </c>
      <c r="P22" s="43">
        <v>3</v>
      </c>
      <c r="Q22" s="43">
        <v>3</v>
      </c>
      <c r="R22" s="41">
        <f t="shared" si="1"/>
        <v>2.67</v>
      </c>
      <c r="S22" s="37">
        <f t="shared" si="2"/>
        <v>3</v>
      </c>
      <c r="T22" s="38">
        <f t="shared" si="3"/>
        <v>8</v>
      </c>
      <c r="U22" s="35"/>
      <c r="V22" s="35"/>
      <c r="W22" s="44"/>
      <c r="X22" s="43"/>
      <c r="Y22" s="37" t="str">
        <f t="shared" si="4"/>
        <v/>
      </c>
      <c r="Z22" s="38" t="str">
        <f t="shared" si="5"/>
        <v/>
      </c>
      <c r="AA22" s="40" t="str">
        <f t="shared" si="6"/>
        <v/>
      </c>
      <c r="AB22" s="38">
        <f t="shared" si="7"/>
        <v>8</v>
      </c>
      <c r="AC22" s="39" t="str">
        <f t="shared" si="8"/>
        <v>Não</v>
      </c>
      <c r="AD22" s="39" t="str">
        <f t="shared" si="9"/>
        <v>Não material</v>
      </c>
      <c r="AE22" s="37">
        <f t="shared" si="10"/>
        <v>42</v>
      </c>
      <c r="AF22" s="35" t="s">
        <v>576</v>
      </c>
      <c r="AG22" s="35" t="s">
        <v>211</v>
      </c>
      <c r="AH22" s="37">
        <f>IF(A22="","",COUNTIF(Evidencias!$B$5:$B$115,A22))</f>
        <v>1</v>
      </c>
      <c r="AI22" s="39" t="str">
        <f t="shared" si="11"/>
        <v>OK</v>
      </c>
      <c r="AJ22" s="35"/>
      <c r="AK22" s="35"/>
      <c r="AL22" s="35"/>
      <c r="AM22" s="35" t="s">
        <v>577</v>
      </c>
      <c r="AN22" s="35" t="s">
        <v>540</v>
      </c>
      <c r="AO22" s="35"/>
      <c r="AP22" s="35"/>
      <c r="AQ22" s="35"/>
      <c r="AR22" s="35" t="s">
        <v>578</v>
      </c>
      <c r="AS22" s="35" t="s">
        <v>241</v>
      </c>
      <c r="AT22" s="35" t="s">
        <v>427</v>
      </c>
      <c r="AU22" s="36">
        <v>46289</v>
      </c>
      <c r="AV22" s="45">
        <f t="shared" si="12"/>
        <v>46654</v>
      </c>
      <c r="AW22" s="35"/>
    </row>
    <row r="23" spans="1:49" ht="60" customHeight="1" x14ac:dyDescent="0.3">
      <c r="A23" s="35" t="s">
        <v>579</v>
      </c>
      <c r="B23" s="35" t="s">
        <v>235</v>
      </c>
      <c r="C23" s="39" t="str">
        <f>IF(B23="","",IFERROR(INDEX(Temas!$E$5:$E$40,MATCH(B23,Temas!$A$5:$A$40,0)),"ID_Tema não encontrado"))</f>
        <v>Substâncias perigosas em tintas e aditivos</v>
      </c>
      <c r="D23" s="39" t="str">
        <f>IF(B23="","",IFERROR(INDEX(Temas!$B$5:$B$40,MATCH(B23,Temas!$A$5:$A$40,0)),""))</f>
        <v>Ambiental</v>
      </c>
      <c r="E23" s="39" t="str">
        <f>IF(B23="","",IFERROR(INDEX(Temas!$C$5:$C$40,MATCH(B23,Temas!$A$5:$A$40,0)),""))</f>
        <v>E2 Poluição</v>
      </c>
      <c r="F23" s="35" t="s">
        <v>444</v>
      </c>
      <c r="G23" s="39" t="str">
        <f t="shared" si="0"/>
        <v>Financeira</v>
      </c>
      <c r="H23" s="35" t="s">
        <v>580</v>
      </c>
      <c r="I23" s="35"/>
      <c r="J23" s="35" t="s">
        <v>153</v>
      </c>
      <c r="K23" s="35" t="s">
        <v>147</v>
      </c>
      <c r="L23" s="35"/>
      <c r="M23" s="35"/>
      <c r="N23" s="43"/>
      <c r="O23" s="43"/>
      <c r="P23" s="43"/>
      <c r="Q23" s="43"/>
      <c r="R23" s="41" t="str">
        <f t="shared" si="1"/>
        <v/>
      </c>
      <c r="S23" s="37" t="str">
        <f t="shared" si="2"/>
        <v/>
      </c>
      <c r="T23" s="38" t="str">
        <f t="shared" si="3"/>
        <v/>
      </c>
      <c r="U23" s="35" t="s">
        <v>581</v>
      </c>
      <c r="V23" s="35" t="s">
        <v>494</v>
      </c>
      <c r="W23" s="44">
        <v>40000</v>
      </c>
      <c r="X23" s="43">
        <v>3</v>
      </c>
      <c r="Y23" s="37">
        <f t="shared" si="4"/>
        <v>3</v>
      </c>
      <c r="Z23" s="38">
        <f t="shared" si="5"/>
        <v>9</v>
      </c>
      <c r="AA23" s="40">
        <f t="shared" si="6"/>
        <v>-16000</v>
      </c>
      <c r="AB23" s="38">
        <f t="shared" si="7"/>
        <v>9</v>
      </c>
      <c r="AC23" s="39" t="str">
        <f t="shared" si="8"/>
        <v>Não</v>
      </c>
      <c r="AD23" s="39" t="str">
        <f t="shared" si="9"/>
        <v>Não material</v>
      </c>
      <c r="AE23" s="37">
        <f t="shared" si="10"/>
        <v>37</v>
      </c>
      <c r="AF23" s="35" t="s">
        <v>582</v>
      </c>
      <c r="AG23" s="35" t="s">
        <v>211</v>
      </c>
      <c r="AH23" s="37">
        <f>IF(A23="","",COUNTIF(Evidencias!$B$5:$B$115,A23))</f>
        <v>1</v>
      </c>
      <c r="AI23" s="39" t="str">
        <f t="shared" si="11"/>
        <v>OK</v>
      </c>
      <c r="AJ23" s="35" t="s">
        <v>583</v>
      </c>
      <c r="AK23" s="35"/>
      <c r="AL23" s="35"/>
      <c r="AM23" s="35"/>
      <c r="AN23" s="35" t="s">
        <v>584</v>
      </c>
      <c r="AO23" s="35"/>
      <c r="AP23" s="35"/>
      <c r="AQ23" s="35"/>
      <c r="AR23" s="35"/>
      <c r="AS23" s="35" t="s">
        <v>241</v>
      </c>
      <c r="AT23" s="35" t="s">
        <v>427</v>
      </c>
      <c r="AU23" s="36">
        <v>46289</v>
      </c>
      <c r="AV23" s="45">
        <f t="shared" si="12"/>
        <v>46654</v>
      </c>
      <c r="AW23" s="35"/>
    </row>
    <row r="24" spans="1:49" ht="60" customHeight="1" x14ac:dyDescent="0.3">
      <c r="A24" s="35" t="s">
        <v>585</v>
      </c>
      <c r="B24" s="35" t="s">
        <v>243</v>
      </c>
      <c r="C24" s="39" t="str">
        <f>IF(B24="","",IFERROR(INDEX(Temas!$E$5:$E$40,MATCH(B24,Temas!$A$5:$A$40,0)),"ID_Tema não encontrado"))</f>
        <v>Consumo de água</v>
      </c>
      <c r="D24" s="39" t="str">
        <f>IF(B24="","",IFERROR(INDEX(Temas!$B$5:$B$40,MATCH(B24,Temas!$A$5:$A$40,0)),""))</f>
        <v>Ambiental</v>
      </c>
      <c r="E24" s="39" t="str">
        <f>IF(B24="","",IFERROR(INDEX(Temas!$C$5:$C$40,MATCH(B24,Temas!$A$5:$A$40,0)),""))</f>
        <v>E3 Água e recursos marinhos</v>
      </c>
      <c r="F24" s="35" t="s">
        <v>414</v>
      </c>
      <c r="G24" s="39" t="str">
        <f t="shared" si="0"/>
        <v>Impacto</v>
      </c>
      <c r="H24" s="35" t="s">
        <v>586</v>
      </c>
      <c r="I24" s="35" t="s">
        <v>416</v>
      </c>
      <c r="J24" s="35" t="s">
        <v>151</v>
      </c>
      <c r="K24" s="35" t="s">
        <v>146</v>
      </c>
      <c r="L24" s="35" t="s">
        <v>587</v>
      </c>
      <c r="M24" s="35" t="s">
        <v>418</v>
      </c>
      <c r="N24" s="43">
        <v>2</v>
      </c>
      <c r="O24" s="43">
        <v>3</v>
      </c>
      <c r="P24" s="43">
        <v>2</v>
      </c>
      <c r="Q24" s="43"/>
      <c r="R24" s="41">
        <f t="shared" si="1"/>
        <v>2.33</v>
      </c>
      <c r="S24" s="37">
        <f t="shared" si="2"/>
        <v>5</v>
      </c>
      <c r="T24" s="38">
        <f t="shared" si="3"/>
        <v>11.7</v>
      </c>
      <c r="U24" s="35"/>
      <c r="V24" s="35"/>
      <c r="W24" s="44"/>
      <c r="X24" s="43"/>
      <c r="Y24" s="37" t="str">
        <f t="shared" si="4"/>
        <v/>
      </c>
      <c r="Z24" s="38" t="str">
        <f t="shared" si="5"/>
        <v/>
      </c>
      <c r="AA24" s="40" t="str">
        <f t="shared" si="6"/>
        <v/>
      </c>
      <c r="AB24" s="38">
        <f t="shared" si="7"/>
        <v>11.7</v>
      </c>
      <c r="AC24" s="39" t="str">
        <f t="shared" si="8"/>
        <v>Não</v>
      </c>
      <c r="AD24" s="39" t="str">
        <f t="shared" si="9"/>
        <v>Não material</v>
      </c>
      <c r="AE24" s="37">
        <f t="shared" si="10"/>
        <v>29</v>
      </c>
      <c r="AF24" s="35" t="s">
        <v>588</v>
      </c>
      <c r="AG24" s="35" t="s">
        <v>194</v>
      </c>
      <c r="AH24" s="37">
        <f>IF(A24="","",COUNTIF(Evidencias!$B$5:$B$115,A24))</f>
        <v>2</v>
      </c>
      <c r="AI24" s="39" t="str">
        <f t="shared" si="11"/>
        <v>OK</v>
      </c>
      <c r="AJ24" s="35" t="s">
        <v>589</v>
      </c>
      <c r="AK24" s="35"/>
      <c r="AL24" s="35"/>
      <c r="AM24" s="35" t="s">
        <v>590</v>
      </c>
      <c r="AN24" s="35"/>
      <c r="AO24" s="35" t="s">
        <v>500</v>
      </c>
      <c r="AP24" s="35" t="s">
        <v>591</v>
      </c>
      <c r="AQ24" s="35" t="s">
        <v>592</v>
      </c>
      <c r="AR24" s="35" t="s">
        <v>593</v>
      </c>
      <c r="AS24" s="35" t="s">
        <v>249</v>
      </c>
      <c r="AT24" s="35" t="s">
        <v>427</v>
      </c>
      <c r="AU24" s="36">
        <v>46289</v>
      </c>
      <c r="AV24" s="45">
        <f t="shared" si="12"/>
        <v>46654</v>
      </c>
      <c r="AW24" s="35"/>
    </row>
    <row r="25" spans="1:49" ht="60" customHeight="1" x14ac:dyDescent="0.3">
      <c r="A25" s="35" t="s">
        <v>594</v>
      </c>
      <c r="B25" s="35" t="s">
        <v>243</v>
      </c>
      <c r="C25" s="39" t="str">
        <f>IF(B25="","",IFERROR(INDEX(Temas!$E$5:$E$40,MATCH(B25,Temas!$A$5:$A$40,0)),"ID_Tema não encontrado"))</f>
        <v>Consumo de água</v>
      </c>
      <c r="D25" s="39" t="str">
        <f>IF(B25="","",IFERROR(INDEX(Temas!$B$5:$B$40,MATCH(B25,Temas!$A$5:$A$40,0)),""))</f>
        <v>Ambiental</v>
      </c>
      <c r="E25" s="39" t="str">
        <f>IF(B25="","",IFERROR(INDEX(Temas!$C$5:$C$40,MATCH(B25,Temas!$A$5:$A$40,0)),""))</f>
        <v>E3 Água e recursos marinhos</v>
      </c>
      <c r="F25" s="35" t="s">
        <v>444</v>
      </c>
      <c r="G25" s="39" t="str">
        <f t="shared" si="0"/>
        <v>Financeira</v>
      </c>
      <c r="H25" s="35" t="s">
        <v>595</v>
      </c>
      <c r="I25" s="35"/>
      <c r="J25" s="35" t="s">
        <v>151</v>
      </c>
      <c r="K25" s="35" t="s">
        <v>147</v>
      </c>
      <c r="L25" s="35"/>
      <c r="M25" s="35"/>
      <c r="N25" s="43"/>
      <c r="O25" s="43"/>
      <c r="P25" s="43"/>
      <c r="Q25" s="43"/>
      <c r="R25" s="41" t="str">
        <f t="shared" si="1"/>
        <v/>
      </c>
      <c r="S25" s="37" t="str">
        <f t="shared" si="2"/>
        <v/>
      </c>
      <c r="T25" s="38" t="str">
        <f t="shared" si="3"/>
        <v/>
      </c>
      <c r="U25" s="35" t="s">
        <v>596</v>
      </c>
      <c r="V25" s="35" t="s">
        <v>494</v>
      </c>
      <c r="W25" s="44">
        <v>20000</v>
      </c>
      <c r="X25" s="43">
        <v>3</v>
      </c>
      <c r="Y25" s="37">
        <f t="shared" si="4"/>
        <v>2</v>
      </c>
      <c r="Z25" s="38">
        <f t="shared" si="5"/>
        <v>6</v>
      </c>
      <c r="AA25" s="40">
        <f t="shared" si="6"/>
        <v>-8000</v>
      </c>
      <c r="AB25" s="38">
        <f t="shared" si="7"/>
        <v>6</v>
      </c>
      <c r="AC25" s="39" t="str">
        <f t="shared" si="8"/>
        <v>Não</v>
      </c>
      <c r="AD25" s="39" t="str">
        <f t="shared" si="9"/>
        <v>Não material</v>
      </c>
      <c r="AE25" s="37">
        <f t="shared" si="10"/>
        <v>49</v>
      </c>
      <c r="AF25" s="35" t="s">
        <v>589</v>
      </c>
      <c r="AG25" s="35" t="s">
        <v>307</v>
      </c>
      <c r="AH25" s="37">
        <f>IF(A25="","",COUNTIF(Evidencias!$B$5:$B$115,A25))</f>
        <v>1</v>
      </c>
      <c r="AI25" s="39" t="str">
        <f t="shared" si="11"/>
        <v>OK</v>
      </c>
      <c r="AJ25" s="35" t="s">
        <v>589</v>
      </c>
      <c r="AK25" s="35"/>
      <c r="AL25" s="35"/>
      <c r="AM25" s="35"/>
      <c r="AN25" s="35"/>
      <c r="AO25" s="35" t="s">
        <v>500</v>
      </c>
      <c r="AP25" s="35"/>
      <c r="AQ25" s="35"/>
      <c r="AR25" s="35"/>
      <c r="AS25" s="35" t="s">
        <v>249</v>
      </c>
      <c r="AT25" s="35" t="s">
        <v>427</v>
      </c>
      <c r="AU25" s="36">
        <v>46289</v>
      </c>
      <c r="AV25" s="45">
        <f t="shared" si="12"/>
        <v>46654</v>
      </c>
      <c r="AW25" s="35"/>
    </row>
    <row r="26" spans="1:49" ht="60" customHeight="1" x14ac:dyDescent="0.3">
      <c r="A26" s="35" t="s">
        <v>597</v>
      </c>
      <c r="B26" s="35" t="s">
        <v>251</v>
      </c>
      <c r="C26" s="39" t="str">
        <f>IF(B26="","",IFERROR(INDEX(Temas!$E$5:$E$40,MATCH(B26,Temas!$A$5:$A$40,0)),"ID_Tema não encontrado"))</f>
        <v>Ocupação do solo e plástico no meio natural</v>
      </c>
      <c r="D26" s="39" t="str">
        <f>IF(B26="","",IFERROR(INDEX(Temas!$B$5:$B$40,MATCH(B26,Temas!$A$5:$A$40,0)),""))</f>
        <v>Ambiental</v>
      </c>
      <c r="E26" s="39" t="str">
        <f>IF(B26="","",IFERROR(INDEX(Temas!$C$5:$C$40,MATCH(B26,Temas!$A$5:$A$40,0)),""))</f>
        <v>E4 Biodiversidade e ecossistemas</v>
      </c>
      <c r="F26" s="35" t="s">
        <v>414</v>
      </c>
      <c r="G26" s="39" t="str">
        <f t="shared" si="0"/>
        <v>Impacto</v>
      </c>
      <c r="H26" s="35" t="s">
        <v>598</v>
      </c>
      <c r="I26" s="35" t="s">
        <v>416</v>
      </c>
      <c r="J26" s="35" t="s">
        <v>151</v>
      </c>
      <c r="K26" s="35" t="s">
        <v>148</v>
      </c>
      <c r="L26" s="35" t="s">
        <v>599</v>
      </c>
      <c r="M26" s="35" t="s">
        <v>418</v>
      </c>
      <c r="N26" s="43">
        <v>2</v>
      </c>
      <c r="O26" s="43">
        <v>1</v>
      </c>
      <c r="P26" s="43">
        <v>3</v>
      </c>
      <c r="Q26" s="43"/>
      <c r="R26" s="41">
        <f t="shared" si="1"/>
        <v>2</v>
      </c>
      <c r="S26" s="37">
        <f t="shared" si="2"/>
        <v>5</v>
      </c>
      <c r="T26" s="38">
        <f t="shared" si="3"/>
        <v>10</v>
      </c>
      <c r="U26" s="35"/>
      <c r="V26" s="35"/>
      <c r="W26" s="44"/>
      <c r="X26" s="43"/>
      <c r="Y26" s="37" t="str">
        <f t="shared" si="4"/>
        <v/>
      </c>
      <c r="Z26" s="38" t="str">
        <f t="shared" si="5"/>
        <v/>
      </c>
      <c r="AA26" s="40" t="str">
        <f t="shared" si="6"/>
        <v/>
      </c>
      <c r="AB26" s="38">
        <f t="shared" si="7"/>
        <v>10</v>
      </c>
      <c r="AC26" s="39" t="str">
        <f t="shared" si="8"/>
        <v>Não</v>
      </c>
      <c r="AD26" s="39" t="str">
        <f t="shared" si="9"/>
        <v>Não material</v>
      </c>
      <c r="AE26" s="37">
        <f t="shared" si="10"/>
        <v>32</v>
      </c>
      <c r="AF26" s="35" t="s">
        <v>600</v>
      </c>
      <c r="AG26" s="35" t="s">
        <v>194</v>
      </c>
      <c r="AH26" s="37">
        <f>IF(A26="","",COUNTIF(Evidencias!$B$5:$B$115,A26))</f>
        <v>2</v>
      </c>
      <c r="AI26" s="39" t="str">
        <f t="shared" si="11"/>
        <v>OK</v>
      </c>
      <c r="AJ26" s="35"/>
      <c r="AK26" s="35"/>
      <c r="AL26" s="35"/>
      <c r="AM26" s="35" t="s">
        <v>601</v>
      </c>
      <c r="AN26" s="35"/>
      <c r="AO26" s="35"/>
      <c r="AP26" s="35"/>
      <c r="AQ26" s="35"/>
      <c r="AR26" s="35" t="s">
        <v>602</v>
      </c>
      <c r="AS26" s="35" t="s">
        <v>196</v>
      </c>
      <c r="AT26" s="35" t="s">
        <v>427</v>
      </c>
      <c r="AU26" s="36">
        <v>46289</v>
      </c>
      <c r="AV26" s="45">
        <f t="shared" si="12"/>
        <v>46654</v>
      </c>
      <c r="AW26" s="35"/>
    </row>
    <row r="27" spans="1:49" ht="60" customHeight="1" x14ac:dyDescent="0.3">
      <c r="A27" s="35" t="s">
        <v>603</v>
      </c>
      <c r="B27" s="35" t="s">
        <v>251</v>
      </c>
      <c r="C27" s="39" t="str">
        <f>IF(B27="","",IFERROR(INDEX(Temas!$E$5:$E$40,MATCH(B27,Temas!$A$5:$A$40,0)),"ID_Tema não encontrado"))</f>
        <v>Ocupação do solo e plástico no meio natural</v>
      </c>
      <c r="D27" s="39" t="str">
        <f>IF(B27="","",IFERROR(INDEX(Temas!$B$5:$B$40,MATCH(B27,Temas!$A$5:$A$40,0)),""))</f>
        <v>Ambiental</v>
      </c>
      <c r="E27" s="39" t="str">
        <f>IF(B27="","",IFERROR(INDEX(Temas!$C$5:$C$40,MATCH(B27,Temas!$A$5:$A$40,0)),""))</f>
        <v>E4 Biodiversidade e ecossistemas</v>
      </c>
      <c r="F27" s="35" t="s">
        <v>414</v>
      </c>
      <c r="G27" s="39" t="str">
        <f t="shared" si="0"/>
        <v>Impacto</v>
      </c>
      <c r="H27" s="35" t="s">
        <v>604</v>
      </c>
      <c r="I27" s="35" t="s">
        <v>533</v>
      </c>
      <c r="J27" s="35" t="s">
        <v>154</v>
      </c>
      <c r="K27" s="35" t="s">
        <v>148</v>
      </c>
      <c r="L27" s="35" t="s">
        <v>605</v>
      </c>
      <c r="M27" s="35" t="s">
        <v>418</v>
      </c>
      <c r="N27" s="43">
        <v>4</v>
      </c>
      <c r="O27" s="43">
        <v>5</v>
      </c>
      <c r="P27" s="43">
        <v>5</v>
      </c>
      <c r="Q27" s="43">
        <v>3</v>
      </c>
      <c r="R27" s="41">
        <f t="shared" si="1"/>
        <v>4.67</v>
      </c>
      <c r="S27" s="37">
        <f t="shared" si="2"/>
        <v>3</v>
      </c>
      <c r="T27" s="38">
        <f t="shared" si="3"/>
        <v>14</v>
      </c>
      <c r="U27" s="35"/>
      <c r="V27" s="35"/>
      <c r="W27" s="44"/>
      <c r="X27" s="43"/>
      <c r="Y27" s="37" t="str">
        <f t="shared" si="4"/>
        <v/>
      </c>
      <c r="Z27" s="38" t="str">
        <f t="shared" si="5"/>
        <v/>
      </c>
      <c r="AA27" s="40" t="str">
        <f t="shared" si="6"/>
        <v/>
      </c>
      <c r="AB27" s="38">
        <f t="shared" si="7"/>
        <v>14</v>
      </c>
      <c r="AC27" s="39" t="str">
        <f t="shared" si="8"/>
        <v>Sim</v>
      </c>
      <c r="AD27" s="39" t="str">
        <f t="shared" si="9"/>
        <v>Material — impacto</v>
      </c>
      <c r="AE27" s="37">
        <f t="shared" si="10"/>
        <v>14</v>
      </c>
      <c r="AF27" s="35" t="s">
        <v>606</v>
      </c>
      <c r="AG27" s="35" t="s">
        <v>307</v>
      </c>
      <c r="AH27" s="37">
        <f>IF(A27="","",COUNTIF(Evidencias!$B$5:$B$115,A27))</f>
        <v>1</v>
      </c>
      <c r="AI27" s="39" t="str">
        <f t="shared" si="11"/>
        <v>OK</v>
      </c>
      <c r="AJ27" s="35"/>
      <c r="AK27" s="35"/>
      <c r="AL27" s="35"/>
      <c r="AM27" s="35" t="s">
        <v>607</v>
      </c>
      <c r="AN27" s="35" t="s">
        <v>608</v>
      </c>
      <c r="AO27" s="35"/>
      <c r="AP27" s="35"/>
      <c r="AQ27" s="35"/>
      <c r="AR27" s="35" t="s">
        <v>609</v>
      </c>
      <c r="AS27" s="35" t="s">
        <v>241</v>
      </c>
      <c r="AT27" s="35" t="s">
        <v>427</v>
      </c>
      <c r="AU27" s="36">
        <v>46289</v>
      </c>
      <c r="AV27" s="45">
        <f t="shared" si="12"/>
        <v>46470</v>
      </c>
      <c r="AW27" s="35"/>
    </row>
    <row r="28" spans="1:49" ht="60" customHeight="1" x14ac:dyDescent="0.3">
      <c r="A28" s="35" t="s">
        <v>610</v>
      </c>
      <c r="B28" s="35" t="s">
        <v>258</v>
      </c>
      <c r="C28" s="39" t="str">
        <f>IF(B28="","",IFERROR(INDEX(Temas!$E$5:$E$40,MATCH(B28,Temas!$A$5:$A$40,0)),"ID_Tema não encontrado"))</f>
        <v>Polímeros virgens e conteúdo reciclado</v>
      </c>
      <c r="D28" s="39" t="str">
        <f>IF(B28="","",IFERROR(INDEX(Temas!$B$5:$B$40,MATCH(B28,Temas!$A$5:$A$40,0)),""))</f>
        <v>Ambiental</v>
      </c>
      <c r="E28" s="39" t="str">
        <f>IF(B28="","",IFERROR(INDEX(Temas!$C$5:$C$40,MATCH(B28,Temas!$A$5:$A$40,0)),""))</f>
        <v>E5 Uso de recursos e economia circular</v>
      </c>
      <c r="F28" s="35" t="s">
        <v>414</v>
      </c>
      <c r="G28" s="39" t="str">
        <f t="shared" si="0"/>
        <v>Impacto</v>
      </c>
      <c r="H28" s="35" t="s">
        <v>611</v>
      </c>
      <c r="I28" s="35" t="s">
        <v>416</v>
      </c>
      <c r="J28" s="35" t="s">
        <v>150</v>
      </c>
      <c r="K28" s="35" t="s">
        <v>146</v>
      </c>
      <c r="L28" s="35" t="s">
        <v>612</v>
      </c>
      <c r="M28" s="35" t="s">
        <v>418</v>
      </c>
      <c r="N28" s="43">
        <v>3</v>
      </c>
      <c r="O28" s="43">
        <v>4</v>
      </c>
      <c r="P28" s="43">
        <v>4</v>
      </c>
      <c r="Q28" s="43"/>
      <c r="R28" s="41">
        <f t="shared" si="1"/>
        <v>3.67</v>
      </c>
      <c r="S28" s="37">
        <f t="shared" si="2"/>
        <v>5</v>
      </c>
      <c r="T28" s="38">
        <f t="shared" si="3"/>
        <v>18.399999999999999</v>
      </c>
      <c r="U28" s="35"/>
      <c r="V28" s="35"/>
      <c r="W28" s="44"/>
      <c r="X28" s="43"/>
      <c r="Y28" s="37" t="str">
        <f t="shared" si="4"/>
        <v/>
      </c>
      <c r="Z28" s="38" t="str">
        <f t="shared" si="5"/>
        <v/>
      </c>
      <c r="AA28" s="40" t="str">
        <f t="shared" si="6"/>
        <v/>
      </c>
      <c r="AB28" s="38">
        <f t="shared" si="7"/>
        <v>18.399999999999999</v>
      </c>
      <c r="AC28" s="39" t="str">
        <f t="shared" si="8"/>
        <v>Sim</v>
      </c>
      <c r="AD28" s="39" t="str">
        <f t="shared" si="9"/>
        <v>Material — impacto</v>
      </c>
      <c r="AE28" s="37">
        <f t="shared" si="10"/>
        <v>8</v>
      </c>
      <c r="AF28" s="35" t="s">
        <v>613</v>
      </c>
      <c r="AG28" s="35" t="s">
        <v>194</v>
      </c>
      <c r="AH28" s="37">
        <f>IF(A28="","",COUNTIF(Evidencias!$B$5:$B$115,A28))</f>
        <v>2</v>
      </c>
      <c r="AI28" s="39" t="str">
        <f t="shared" si="11"/>
        <v>OK</v>
      </c>
      <c r="AJ28" s="35" t="s">
        <v>614</v>
      </c>
      <c r="AK28" s="35"/>
      <c r="AL28" s="35"/>
      <c r="AM28" s="35" t="s">
        <v>433</v>
      </c>
      <c r="AN28" s="35"/>
      <c r="AO28" s="35"/>
      <c r="AP28" s="35"/>
      <c r="AQ28" s="35"/>
      <c r="AR28" s="35" t="s">
        <v>615</v>
      </c>
      <c r="AS28" s="35" t="s">
        <v>264</v>
      </c>
      <c r="AT28" s="35" t="s">
        <v>427</v>
      </c>
      <c r="AU28" s="36">
        <v>46289</v>
      </c>
      <c r="AV28" s="45">
        <f t="shared" si="12"/>
        <v>46470</v>
      </c>
      <c r="AW28" s="35"/>
    </row>
    <row r="29" spans="1:49" ht="60" customHeight="1" x14ac:dyDescent="0.3">
      <c r="A29" s="35" t="s">
        <v>616</v>
      </c>
      <c r="B29" s="35" t="s">
        <v>258</v>
      </c>
      <c r="C29" s="39" t="str">
        <f>IF(B29="","",IFERROR(INDEX(Temas!$E$5:$E$40,MATCH(B29,Temas!$A$5:$A$40,0)),"ID_Tema não encontrado"))</f>
        <v>Polímeros virgens e conteúdo reciclado</v>
      </c>
      <c r="D29" s="39" t="str">
        <f>IF(B29="","",IFERROR(INDEX(Temas!$B$5:$B$40,MATCH(B29,Temas!$A$5:$A$40,0)),""))</f>
        <v>Ambiental</v>
      </c>
      <c r="E29" s="39" t="str">
        <f>IF(B29="","",IFERROR(INDEX(Temas!$C$5:$C$40,MATCH(B29,Temas!$A$5:$A$40,0)),""))</f>
        <v>E5 Uso de recursos e economia circular</v>
      </c>
      <c r="F29" s="35" t="s">
        <v>444</v>
      </c>
      <c r="G29" s="39" t="str">
        <f t="shared" si="0"/>
        <v>Financeira</v>
      </c>
      <c r="H29" s="35" t="s">
        <v>617</v>
      </c>
      <c r="I29" s="35"/>
      <c r="J29" s="35" t="s">
        <v>150</v>
      </c>
      <c r="K29" s="35" t="s">
        <v>147</v>
      </c>
      <c r="L29" s="35"/>
      <c r="M29" s="35"/>
      <c r="N29" s="43"/>
      <c r="O29" s="43"/>
      <c r="P29" s="43"/>
      <c r="Q29" s="43"/>
      <c r="R29" s="41" t="str">
        <f t="shared" si="1"/>
        <v/>
      </c>
      <c r="S29" s="37" t="str">
        <f t="shared" si="2"/>
        <v/>
      </c>
      <c r="T29" s="38" t="str">
        <f t="shared" si="3"/>
        <v/>
      </c>
      <c r="U29" s="35" t="s">
        <v>618</v>
      </c>
      <c r="V29" s="35" t="s">
        <v>467</v>
      </c>
      <c r="W29" s="44">
        <v>90000</v>
      </c>
      <c r="X29" s="43">
        <v>4</v>
      </c>
      <c r="Y29" s="37">
        <f t="shared" si="4"/>
        <v>3</v>
      </c>
      <c r="Z29" s="38">
        <f t="shared" si="5"/>
        <v>12</v>
      </c>
      <c r="AA29" s="40">
        <f t="shared" si="6"/>
        <v>-58500</v>
      </c>
      <c r="AB29" s="38">
        <f t="shared" si="7"/>
        <v>12</v>
      </c>
      <c r="AC29" s="39" t="str">
        <f t="shared" si="8"/>
        <v>Sim</v>
      </c>
      <c r="AD29" s="39" t="str">
        <f t="shared" si="9"/>
        <v>Material — financeiro</v>
      </c>
      <c r="AE29" s="37">
        <f t="shared" si="10"/>
        <v>23</v>
      </c>
      <c r="AF29" s="35" t="s">
        <v>619</v>
      </c>
      <c r="AG29" s="35" t="s">
        <v>211</v>
      </c>
      <c r="AH29" s="37">
        <f>IF(A29="","",COUNTIF(Evidencias!$B$5:$B$115,A29))</f>
        <v>1</v>
      </c>
      <c r="AI29" s="39" t="str">
        <f t="shared" si="11"/>
        <v>OK</v>
      </c>
      <c r="AJ29" s="35" t="s">
        <v>620</v>
      </c>
      <c r="AK29" s="35" t="s">
        <v>621</v>
      </c>
      <c r="AL29" s="35" t="s">
        <v>622</v>
      </c>
      <c r="AM29" s="35"/>
      <c r="AN29" s="35"/>
      <c r="AO29" s="35"/>
      <c r="AP29" s="35"/>
      <c r="AQ29" s="35" t="s">
        <v>623</v>
      </c>
      <c r="AR29" s="35" t="s">
        <v>624</v>
      </c>
      <c r="AS29" s="35" t="s">
        <v>264</v>
      </c>
      <c r="AT29" s="35" t="s">
        <v>427</v>
      </c>
      <c r="AU29" s="36">
        <v>46289</v>
      </c>
      <c r="AV29" s="45">
        <f t="shared" si="12"/>
        <v>46470</v>
      </c>
      <c r="AW29" s="35"/>
    </row>
    <row r="30" spans="1:49" ht="60" customHeight="1" x14ac:dyDescent="0.3">
      <c r="A30" s="35" t="s">
        <v>625</v>
      </c>
      <c r="B30" s="35" t="s">
        <v>258</v>
      </c>
      <c r="C30" s="39" t="str">
        <f>IF(B30="","",IFERROR(INDEX(Temas!$E$5:$E$40,MATCH(B30,Temas!$A$5:$A$40,0)),"ID_Tema não encontrado"))</f>
        <v>Polímeros virgens e conteúdo reciclado</v>
      </c>
      <c r="D30" s="39" t="str">
        <f>IF(B30="","",IFERROR(INDEX(Temas!$B$5:$B$40,MATCH(B30,Temas!$A$5:$A$40,0)),""))</f>
        <v>Ambiental</v>
      </c>
      <c r="E30" s="39" t="str">
        <f>IF(B30="","",IFERROR(INDEX(Temas!$C$5:$C$40,MATCH(B30,Temas!$A$5:$A$40,0)),""))</f>
        <v>E5 Uso de recursos e economia circular</v>
      </c>
      <c r="F30" s="35" t="s">
        <v>475</v>
      </c>
      <c r="G30" s="39" t="str">
        <f t="shared" si="0"/>
        <v>Financeira</v>
      </c>
      <c r="H30" s="35" t="s">
        <v>626</v>
      </c>
      <c r="I30" s="35"/>
      <c r="J30" s="35" t="s">
        <v>151</v>
      </c>
      <c r="K30" s="35" t="s">
        <v>146</v>
      </c>
      <c r="L30" s="35"/>
      <c r="M30" s="35"/>
      <c r="N30" s="43"/>
      <c r="O30" s="43"/>
      <c r="P30" s="43"/>
      <c r="Q30" s="43"/>
      <c r="R30" s="41" t="str">
        <f t="shared" si="1"/>
        <v/>
      </c>
      <c r="S30" s="37" t="str">
        <f t="shared" si="2"/>
        <v/>
      </c>
      <c r="T30" s="38" t="str">
        <f t="shared" si="3"/>
        <v/>
      </c>
      <c r="U30" s="35" t="s">
        <v>627</v>
      </c>
      <c r="V30" s="35" t="s">
        <v>467</v>
      </c>
      <c r="W30" s="44">
        <v>12000</v>
      </c>
      <c r="X30" s="43">
        <v>4</v>
      </c>
      <c r="Y30" s="37">
        <f t="shared" si="4"/>
        <v>2</v>
      </c>
      <c r="Z30" s="38">
        <f t="shared" si="5"/>
        <v>8</v>
      </c>
      <c r="AA30" s="40">
        <f t="shared" si="6"/>
        <v>7800</v>
      </c>
      <c r="AB30" s="38">
        <f t="shared" si="7"/>
        <v>8</v>
      </c>
      <c r="AC30" s="39" t="str">
        <f t="shared" si="8"/>
        <v>Não</v>
      </c>
      <c r="AD30" s="39" t="str">
        <f t="shared" si="9"/>
        <v>Não material</v>
      </c>
      <c r="AE30" s="37">
        <f t="shared" si="10"/>
        <v>43</v>
      </c>
      <c r="AF30" s="35" t="s">
        <v>628</v>
      </c>
      <c r="AG30" s="35" t="s">
        <v>194</v>
      </c>
      <c r="AH30" s="37">
        <f>IF(A30="","",COUNTIF(Evidencias!$B$5:$B$115,A30))</f>
        <v>1</v>
      </c>
      <c r="AI30" s="39" t="str">
        <f t="shared" si="11"/>
        <v>OK</v>
      </c>
      <c r="AJ30" s="35" t="s">
        <v>629</v>
      </c>
      <c r="AK30" s="35" t="s">
        <v>630</v>
      </c>
      <c r="AL30" s="35" t="s">
        <v>631</v>
      </c>
      <c r="AM30" s="35" t="s">
        <v>632</v>
      </c>
      <c r="AN30" s="35"/>
      <c r="AO30" s="35" t="s">
        <v>633</v>
      </c>
      <c r="AP30" s="35" t="s">
        <v>634</v>
      </c>
      <c r="AQ30" s="35" t="s">
        <v>635</v>
      </c>
      <c r="AR30" s="35" t="s">
        <v>636</v>
      </c>
      <c r="AS30" s="35" t="s">
        <v>524</v>
      </c>
      <c r="AT30" s="35" t="s">
        <v>427</v>
      </c>
      <c r="AU30" s="36">
        <v>46289</v>
      </c>
      <c r="AV30" s="45">
        <f t="shared" si="12"/>
        <v>46654</v>
      </c>
      <c r="AW30" s="35"/>
    </row>
    <row r="31" spans="1:49" ht="60" customHeight="1" x14ac:dyDescent="0.3">
      <c r="A31" s="35" t="s">
        <v>637</v>
      </c>
      <c r="B31" s="35" t="s">
        <v>266</v>
      </c>
      <c r="C31" s="39" t="str">
        <f>IF(B31="","",IFERROR(INDEX(Temas!$E$5:$E$40,MATCH(B31,Temas!$A$5:$A$40,0)),"ID_Tema não encontrado"))</f>
        <v>Reciclabilidade e conformidade PPWR das embalagens</v>
      </c>
      <c r="D31" s="39" t="str">
        <f>IF(B31="","",IFERROR(INDEX(Temas!$B$5:$B$40,MATCH(B31,Temas!$A$5:$A$40,0)),""))</f>
        <v>Ambiental</v>
      </c>
      <c r="E31" s="39" t="str">
        <f>IF(B31="","",IFERROR(INDEX(Temas!$C$5:$C$40,MATCH(B31,Temas!$A$5:$A$40,0)),""))</f>
        <v>E5 Uso de recursos e economia circular</v>
      </c>
      <c r="F31" s="35" t="s">
        <v>414</v>
      </c>
      <c r="G31" s="39" t="str">
        <f t="shared" si="0"/>
        <v>Impacto</v>
      </c>
      <c r="H31" s="35" t="s">
        <v>638</v>
      </c>
      <c r="I31" s="35" t="s">
        <v>416</v>
      </c>
      <c r="J31" s="35" t="s">
        <v>154</v>
      </c>
      <c r="K31" s="35" t="s">
        <v>147</v>
      </c>
      <c r="L31" s="35" t="s">
        <v>639</v>
      </c>
      <c r="M31" s="35" t="s">
        <v>418</v>
      </c>
      <c r="N31" s="43">
        <v>3</v>
      </c>
      <c r="O31" s="43">
        <v>4</v>
      </c>
      <c r="P31" s="43">
        <v>3</v>
      </c>
      <c r="Q31" s="43"/>
      <c r="R31" s="41">
        <f t="shared" si="1"/>
        <v>3.33</v>
      </c>
      <c r="S31" s="37">
        <f t="shared" si="2"/>
        <v>5</v>
      </c>
      <c r="T31" s="38">
        <f t="shared" si="3"/>
        <v>16.7</v>
      </c>
      <c r="U31" s="35"/>
      <c r="V31" s="35"/>
      <c r="W31" s="44"/>
      <c r="X31" s="43"/>
      <c r="Y31" s="37" t="str">
        <f t="shared" si="4"/>
        <v/>
      </c>
      <c r="Z31" s="38" t="str">
        <f t="shared" si="5"/>
        <v/>
      </c>
      <c r="AA31" s="40" t="str">
        <f t="shared" si="6"/>
        <v/>
      </c>
      <c r="AB31" s="38">
        <f t="shared" si="7"/>
        <v>16.7</v>
      </c>
      <c r="AC31" s="39" t="str">
        <f t="shared" si="8"/>
        <v>Sim</v>
      </c>
      <c r="AD31" s="39" t="str">
        <f t="shared" si="9"/>
        <v>Material — impacto</v>
      </c>
      <c r="AE31" s="37">
        <f t="shared" si="10"/>
        <v>9</v>
      </c>
      <c r="AF31" s="35" t="s">
        <v>640</v>
      </c>
      <c r="AG31" s="35" t="s">
        <v>211</v>
      </c>
      <c r="AH31" s="37">
        <f>IF(A31="","",COUNTIF(Evidencias!$B$5:$B$115,A31))</f>
        <v>1</v>
      </c>
      <c r="AI31" s="39" t="str">
        <f t="shared" si="11"/>
        <v>OK</v>
      </c>
      <c r="AJ31" s="35" t="s">
        <v>641</v>
      </c>
      <c r="AK31" s="35" t="s">
        <v>642</v>
      </c>
      <c r="AL31" s="35" t="s">
        <v>643</v>
      </c>
      <c r="AM31" s="35" t="s">
        <v>644</v>
      </c>
      <c r="AN31" s="35" t="s">
        <v>608</v>
      </c>
      <c r="AO31" s="35"/>
      <c r="AP31" s="35"/>
      <c r="AQ31" s="35"/>
      <c r="AR31" s="35" t="s">
        <v>645</v>
      </c>
      <c r="AS31" s="35" t="s">
        <v>241</v>
      </c>
      <c r="AT31" s="35" t="s">
        <v>427</v>
      </c>
      <c r="AU31" s="36">
        <v>46289</v>
      </c>
      <c r="AV31" s="45">
        <f t="shared" si="12"/>
        <v>46470</v>
      </c>
      <c r="AW31" s="35"/>
    </row>
    <row r="32" spans="1:49" ht="60" customHeight="1" x14ac:dyDescent="0.3">
      <c r="A32" s="35" t="s">
        <v>646</v>
      </c>
      <c r="B32" s="35" t="s">
        <v>266</v>
      </c>
      <c r="C32" s="39" t="str">
        <f>IF(B32="","",IFERROR(INDEX(Temas!$E$5:$E$40,MATCH(B32,Temas!$A$5:$A$40,0)),"ID_Tema não encontrado"))</f>
        <v>Reciclabilidade e conformidade PPWR das embalagens</v>
      </c>
      <c r="D32" s="39" t="str">
        <f>IF(B32="","",IFERROR(INDEX(Temas!$B$5:$B$40,MATCH(B32,Temas!$A$5:$A$40,0)),""))</f>
        <v>Ambiental</v>
      </c>
      <c r="E32" s="39" t="str">
        <f>IF(B32="","",IFERROR(INDEX(Temas!$C$5:$C$40,MATCH(B32,Temas!$A$5:$A$40,0)),""))</f>
        <v>E5 Uso de recursos e economia circular</v>
      </c>
      <c r="F32" s="35" t="s">
        <v>647</v>
      </c>
      <c r="G32" s="39" t="str">
        <f t="shared" si="0"/>
        <v>Impacto</v>
      </c>
      <c r="H32" s="35" t="s">
        <v>648</v>
      </c>
      <c r="I32" s="35" t="s">
        <v>533</v>
      </c>
      <c r="J32" s="35" t="s">
        <v>154</v>
      </c>
      <c r="K32" s="35" t="s">
        <v>147</v>
      </c>
      <c r="L32" s="35" t="s">
        <v>649</v>
      </c>
      <c r="M32" s="35" t="s">
        <v>418</v>
      </c>
      <c r="N32" s="43">
        <v>3</v>
      </c>
      <c r="O32" s="43">
        <v>3</v>
      </c>
      <c r="P32" s="43"/>
      <c r="Q32" s="43">
        <v>3</v>
      </c>
      <c r="R32" s="41">
        <f t="shared" si="1"/>
        <v>3</v>
      </c>
      <c r="S32" s="37">
        <f t="shared" si="2"/>
        <v>3</v>
      </c>
      <c r="T32" s="38">
        <f t="shared" si="3"/>
        <v>9</v>
      </c>
      <c r="U32" s="35"/>
      <c r="V32" s="35"/>
      <c r="W32" s="44"/>
      <c r="X32" s="43"/>
      <c r="Y32" s="37" t="str">
        <f t="shared" si="4"/>
        <v/>
      </c>
      <c r="Z32" s="38" t="str">
        <f t="shared" si="5"/>
        <v/>
      </c>
      <c r="AA32" s="40" t="str">
        <f t="shared" si="6"/>
        <v/>
      </c>
      <c r="AB32" s="38">
        <f t="shared" si="7"/>
        <v>9</v>
      </c>
      <c r="AC32" s="39" t="str">
        <f t="shared" si="8"/>
        <v>Não</v>
      </c>
      <c r="AD32" s="39" t="str">
        <f t="shared" si="9"/>
        <v>Não material</v>
      </c>
      <c r="AE32" s="37">
        <f t="shared" si="10"/>
        <v>38</v>
      </c>
      <c r="AF32" s="35" t="s">
        <v>650</v>
      </c>
      <c r="AG32" s="35" t="s">
        <v>211</v>
      </c>
      <c r="AH32" s="37">
        <f>IF(A32="","",COUNTIF(Evidencias!$B$5:$B$115,A32))</f>
        <v>1</v>
      </c>
      <c r="AI32" s="39" t="str">
        <f t="shared" si="11"/>
        <v>OK</v>
      </c>
      <c r="AJ32" s="35" t="s">
        <v>641</v>
      </c>
      <c r="AK32" s="35"/>
      <c r="AL32" s="35"/>
      <c r="AM32" s="35" t="s">
        <v>651</v>
      </c>
      <c r="AN32" s="35"/>
      <c r="AO32" s="35"/>
      <c r="AP32" s="35"/>
      <c r="AQ32" s="35"/>
      <c r="AR32" s="35" t="s">
        <v>652</v>
      </c>
      <c r="AS32" s="35" t="s">
        <v>241</v>
      </c>
      <c r="AT32" s="35" t="s">
        <v>427</v>
      </c>
      <c r="AU32" s="36">
        <v>46289</v>
      </c>
      <c r="AV32" s="45">
        <f t="shared" si="12"/>
        <v>46654</v>
      </c>
      <c r="AW32" s="35"/>
    </row>
    <row r="33" spans="1:49" ht="60" customHeight="1" x14ac:dyDescent="0.3">
      <c r="A33" s="35" t="s">
        <v>653</v>
      </c>
      <c r="B33" s="35" t="s">
        <v>266</v>
      </c>
      <c r="C33" s="39" t="str">
        <f>IF(B33="","",IFERROR(INDEX(Temas!$E$5:$E$40,MATCH(B33,Temas!$A$5:$A$40,0)),"ID_Tema não encontrado"))</f>
        <v>Reciclabilidade e conformidade PPWR das embalagens</v>
      </c>
      <c r="D33" s="39" t="str">
        <f>IF(B33="","",IFERROR(INDEX(Temas!$B$5:$B$40,MATCH(B33,Temas!$A$5:$A$40,0)),""))</f>
        <v>Ambiental</v>
      </c>
      <c r="E33" s="39" t="str">
        <f>IF(B33="","",IFERROR(INDEX(Temas!$C$5:$C$40,MATCH(B33,Temas!$A$5:$A$40,0)),""))</f>
        <v>E5 Uso de recursos e economia circular</v>
      </c>
      <c r="F33" s="35" t="s">
        <v>444</v>
      </c>
      <c r="G33" s="39" t="str">
        <f t="shared" si="0"/>
        <v>Financeira</v>
      </c>
      <c r="H33" s="35" t="s">
        <v>654</v>
      </c>
      <c r="I33" s="35"/>
      <c r="J33" s="35" t="s">
        <v>153</v>
      </c>
      <c r="K33" s="35" t="s">
        <v>146</v>
      </c>
      <c r="L33" s="35"/>
      <c r="M33" s="35"/>
      <c r="N33" s="43"/>
      <c r="O33" s="43"/>
      <c r="P33" s="43"/>
      <c r="Q33" s="43"/>
      <c r="R33" s="41" t="str">
        <f t="shared" si="1"/>
        <v/>
      </c>
      <c r="S33" s="37" t="str">
        <f t="shared" si="2"/>
        <v/>
      </c>
      <c r="T33" s="38" t="str">
        <f t="shared" si="3"/>
        <v/>
      </c>
      <c r="U33" s="35" t="s">
        <v>655</v>
      </c>
      <c r="V33" s="35" t="s">
        <v>447</v>
      </c>
      <c r="W33" s="44">
        <v>350000</v>
      </c>
      <c r="X33" s="43">
        <v>4</v>
      </c>
      <c r="Y33" s="37">
        <f t="shared" si="4"/>
        <v>5</v>
      </c>
      <c r="Z33" s="38">
        <f t="shared" si="5"/>
        <v>20</v>
      </c>
      <c r="AA33" s="40">
        <f t="shared" si="6"/>
        <v>-227500</v>
      </c>
      <c r="AB33" s="38">
        <f t="shared" si="7"/>
        <v>20</v>
      </c>
      <c r="AC33" s="39" t="str">
        <f t="shared" si="8"/>
        <v>Sim</v>
      </c>
      <c r="AD33" s="39" t="str">
        <f t="shared" si="9"/>
        <v>Material — financeiro</v>
      </c>
      <c r="AE33" s="37">
        <f t="shared" si="10"/>
        <v>2</v>
      </c>
      <c r="AF33" s="35" t="s">
        <v>656</v>
      </c>
      <c r="AG33" s="35" t="s">
        <v>194</v>
      </c>
      <c r="AH33" s="37">
        <f>IF(A33="","",COUNTIF(Evidencias!$B$5:$B$115,A33))</f>
        <v>2</v>
      </c>
      <c r="AI33" s="39" t="str">
        <f t="shared" si="11"/>
        <v>OK</v>
      </c>
      <c r="AJ33" s="35" t="s">
        <v>657</v>
      </c>
      <c r="AK33" s="35" t="s">
        <v>658</v>
      </c>
      <c r="AL33" s="35" t="s">
        <v>659</v>
      </c>
      <c r="AM33" s="35" t="s">
        <v>660</v>
      </c>
      <c r="AN33" s="35" t="s">
        <v>608</v>
      </c>
      <c r="AO33" s="35" t="s">
        <v>661</v>
      </c>
      <c r="AP33" s="35" t="s">
        <v>662</v>
      </c>
      <c r="AQ33" s="35" t="s">
        <v>663</v>
      </c>
      <c r="AR33" s="35" t="s">
        <v>664</v>
      </c>
      <c r="AS33" s="35" t="s">
        <v>241</v>
      </c>
      <c r="AT33" s="35" t="s">
        <v>427</v>
      </c>
      <c r="AU33" s="36">
        <v>46289</v>
      </c>
      <c r="AV33" s="45">
        <f t="shared" si="12"/>
        <v>46470</v>
      </c>
      <c r="AW33" s="35"/>
    </row>
    <row r="34" spans="1:49" ht="60" customHeight="1" x14ac:dyDescent="0.3">
      <c r="A34" s="35" t="s">
        <v>665</v>
      </c>
      <c r="B34" s="35" t="s">
        <v>266</v>
      </c>
      <c r="C34" s="39" t="str">
        <f>IF(B34="","",IFERROR(INDEX(Temas!$E$5:$E$40,MATCH(B34,Temas!$A$5:$A$40,0)),"ID_Tema não encontrado"))</f>
        <v>Reciclabilidade e conformidade PPWR das embalagens</v>
      </c>
      <c r="D34" s="39" t="str">
        <f>IF(B34="","",IFERROR(INDEX(Temas!$B$5:$B$40,MATCH(B34,Temas!$A$5:$A$40,0)),""))</f>
        <v>Ambiental</v>
      </c>
      <c r="E34" s="39" t="str">
        <f>IF(B34="","",IFERROR(INDEX(Temas!$C$5:$C$40,MATCH(B34,Temas!$A$5:$A$40,0)),""))</f>
        <v>E5 Uso de recursos e economia circular</v>
      </c>
      <c r="F34" s="35" t="s">
        <v>475</v>
      </c>
      <c r="G34" s="39" t="str">
        <f t="shared" si="0"/>
        <v>Financeira</v>
      </c>
      <c r="H34" s="35" t="s">
        <v>666</v>
      </c>
      <c r="I34" s="35"/>
      <c r="J34" s="35" t="s">
        <v>153</v>
      </c>
      <c r="K34" s="35" t="s">
        <v>147</v>
      </c>
      <c r="L34" s="35"/>
      <c r="M34" s="35"/>
      <c r="N34" s="43"/>
      <c r="O34" s="43"/>
      <c r="P34" s="43"/>
      <c r="Q34" s="43"/>
      <c r="R34" s="41" t="str">
        <f t="shared" si="1"/>
        <v/>
      </c>
      <c r="S34" s="37" t="str">
        <f t="shared" si="2"/>
        <v/>
      </c>
      <c r="T34" s="38" t="str">
        <f t="shared" si="3"/>
        <v/>
      </c>
      <c r="U34" s="35" t="s">
        <v>667</v>
      </c>
      <c r="V34" s="35" t="s">
        <v>447</v>
      </c>
      <c r="W34" s="44">
        <v>200000</v>
      </c>
      <c r="X34" s="43">
        <v>3</v>
      </c>
      <c r="Y34" s="37">
        <f t="shared" si="4"/>
        <v>4</v>
      </c>
      <c r="Z34" s="38">
        <f t="shared" si="5"/>
        <v>12</v>
      </c>
      <c r="AA34" s="40">
        <f t="shared" si="6"/>
        <v>80000</v>
      </c>
      <c r="AB34" s="38">
        <f t="shared" si="7"/>
        <v>12</v>
      </c>
      <c r="AC34" s="39" t="str">
        <f t="shared" si="8"/>
        <v>Sim</v>
      </c>
      <c r="AD34" s="39" t="str">
        <f t="shared" si="9"/>
        <v>Material — financeiro</v>
      </c>
      <c r="AE34" s="37">
        <f t="shared" si="10"/>
        <v>24</v>
      </c>
      <c r="AF34" s="35" t="s">
        <v>668</v>
      </c>
      <c r="AG34" s="35" t="s">
        <v>211</v>
      </c>
      <c r="AH34" s="37">
        <f>IF(A34="","",COUNTIF(Evidencias!$B$5:$B$115,A34))</f>
        <v>1</v>
      </c>
      <c r="AI34" s="39" t="str">
        <f t="shared" si="11"/>
        <v>OK</v>
      </c>
      <c r="AJ34" s="35" t="s">
        <v>669</v>
      </c>
      <c r="AK34" s="35" t="s">
        <v>642</v>
      </c>
      <c r="AL34" s="35" t="s">
        <v>643</v>
      </c>
      <c r="AM34" s="35"/>
      <c r="AN34" s="35"/>
      <c r="AO34" s="35"/>
      <c r="AP34" s="35"/>
      <c r="AQ34" s="35"/>
      <c r="AR34" s="35" t="s">
        <v>670</v>
      </c>
      <c r="AS34" s="35" t="s">
        <v>345</v>
      </c>
      <c r="AT34" s="35" t="s">
        <v>427</v>
      </c>
      <c r="AU34" s="36">
        <v>46289</v>
      </c>
      <c r="AV34" s="45">
        <f t="shared" si="12"/>
        <v>46470</v>
      </c>
      <c r="AW34" s="35"/>
    </row>
    <row r="35" spans="1:49" ht="60" customHeight="1" x14ac:dyDescent="0.3">
      <c r="A35" s="35" t="s">
        <v>671</v>
      </c>
      <c r="B35" s="35" t="s">
        <v>273</v>
      </c>
      <c r="C35" s="39" t="str">
        <f>IF(B35="","",IFERROR(INDEX(Temas!$E$5:$E$40,MATCH(B35,Temas!$A$5:$A$40,0)),"ID_Tema não encontrado"))</f>
        <v>Resíduos da produção</v>
      </c>
      <c r="D35" s="39" t="str">
        <f>IF(B35="","",IFERROR(INDEX(Temas!$B$5:$B$40,MATCH(B35,Temas!$A$5:$A$40,0)),""))</f>
        <v>Ambiental</v>
      </c>
      <c r="E35" s="39" t="str">
        <f>IF(B35="","",IFERROR(INDEX(Temas!$C$5:$C$40,MATCH(B35,Temas!$A$5:$A$40,0)),""))</f>
        <v>E5 Uso de recursos e economia circular</v>
      </c>
      <c r="F35" s="35" t="s">
        <v>414</v>
      </c>
      <c r="G35" s="39" t="str">
        <f t="shared" si="0"/>
        <v>Impacto</v>
      </c>
      <c r="H35" s="35" t="s">
        <v>672</v>
      </c>
      <c r="I35" s="35" t="s">
        <v>416</v>
      </c>
      <c r="J35" s="35" t="s">
        <v>151</v>
      </c>
      <c r="K35" s="35" t="s">
        <v>146</v>
      </c>
      <c r="L35" s="35" t="s">
        <v>673</v>
      </c>
      <c r="M35" s="35" t="s">
        <v>418</v>
      </c>
      <c r="N35" s="43">
        <v>2</v>
      </c>
      <c r="O35" s="43">
        <v>2</v>
      </c>
      <c r="P35" s="43">
        <v>2</v>
      </c>
      <c r="Q35" s="43"/>
      <c r="R35" s="41">
        <f t="shared" si="1"/>
        <v>2</v>
      </c>
      <c r="S35" s="37">
        <f t="shared" si="2"/>
        <v>5</v>
      </c>
      <c r="T35" s="38">
        <f t="shared" si="3"/>
        <v>10</v>
      </c>
      <c r="U35" s="35"/>
      <c r="V35" s="35"/>
      <c r="W35" s="44"/>
      <c r="X35" s="43"/>
      <c r="Y35" s="37" t="str">
        <f t="shared" si="4"/>
        <v/>
      </c>
      <c r="Z35" s="38" t="str">
        <f t="shared" si="5"/>
        <v/>
      </c>
      <c r="AA35" s="40" t="str">
        <f t="shared" si="6"/>
        <v/>
      </c>
      <c r="AB35" s="38">
        <f t="shared" si="7"/>
        <v>10</v>
      </c>
      <c r="AC35" s="39" t="str">
        <f t="shared" si="8"/>
        <v>Não</v>
      </c>
      <c r="AD35" s="39" t="str">
        <f t="shared" si="9"/>
        <v>Não material</v>
      </c>
      <c r="AE35" s="37">
        <f t="shared" si="10"/>
        <v>33</v>
      </c>
      <c r="AF35" s="35" t="s">
        <v>674</v>
      </c>
      <c r="AG35" s="35" t="s">
        <v>194</v>
      </c>
      <c r="AH35" s="37">
        <f>IF(A35="","",COUNTIF(Evidencias!$B$5:$B$115,A35))</f>
        <v>2</v>
      </c>
      <c r="AI35" s="39" t="str">
        <f t="shared" si="11"/>
        <v>OK</v>
      </c>
      <c r="AJ35" s="35" t="s">
        <v>675</v>
      </c>
      <c r="AK35" s="35"/>
      <c r="AL35" s="35"/>
      <c r="AM35" s="35" t="s">
        <v>676</v>
      </c>
      <c r="AN35" s="35" t="s">
        <v>677</v>
      </c>
      <c r="AO35" s="35"/>
      <c r="AP35" s="35" t="s">
        <v>678</v>
      </c>
      <c r="AQ35" s="35"/>
      <c r="AR35" s="35" t="s">
        <v>679</v>
      </c>
      <c r="AS35" s="35" t="s">
        <v>196</v>
      </c>
      <c r="AT35" s="35" t="s">
        <v>427</v>
      </c>
      <c r="AU35" s="36">
        <v>46289</v>
      </c>
      <c r="AV35" s="45">
        <f t="shared" si="12"/>
        <v>46654</v>
      </c>
      <c r="AW35" s="35"/>
    </row>
    <row r="36" spans="1:49" ht="60" customHeight="1" x14ac:dyDescent="0.3">
      <c r="A36" s="35" t="s">
        <v>680</v>
      </c>
      <c r="B36" s="35" t="s">
        <v>273</v>
      </c>
      <c r="C36" s="39" t="str">
        <f>IF(B36="","",IFERROR(INDEX(Temas!$E$5:$E$40,MATCH(B36,Temas!$A$5:$A$40,0)),"ID_Tema não encontrado"))</f>
        <v>Resíduos da produção</v>
      </c>
      <c r="D36" s="39" t="str">
        <f>IF(B36="","",IFERROR(INDEX(Temas!$B$5:$B$40,MATCH(B36,Temas!$A$5:$A$40,0)),""))</f>
        <v>Ambiental</v>
      </c>
      <c r="E36" s="39" t="str">
        <f>IF(B36="","",IFERROR(INDEX(Temas!$C$5:$C$40,MATCH(B36,Temas!$A$5:$A$40,0)),""))</f>
        <v>E5 Uso de recursos e economia circular</v>
      </c>
      <c r="F36" s="35" t="s">
        <v>444</v>
      </c>
      <c r="G36" s="39" t="str">
        <f t="shared" si="0"/>
        <v>Financeira</v>
      </c>
      <c r="H36" s="35" t="s">
        <v>681</v>
      </c>
      <c r="I36" s="35"/>
      <c r="J36" s="35" t="s">
        <v>151</v>
      </c>
      <c r="K36" s="35" t="s">
        <v>146</v>
      </c>
      <c r="L36" s="35"/>
      <c r="M36" s="35"/>
      <c r="N36" s="43"/>
      <c r="O36" s="43"/>
      <c r="P36" s="43"/>
      <c r="Q36" s="43"/>
      <c r="R36" s="41" t="str">
        <f t="shared" si="1"/>
        <v/>
      </c>
      <c r="S36" s="37" t="str">
        <f t="shared" si="2"/>
        <v/>
      </c>
      <c r="T36" s="38" t="str">
        <f t="shared" si="3"/>
        <v/>
      </c>
      <c r="U36" s="35" t="s">
        <v>682</v>
      </c>
      <c r="V36" s="35" t="s">
        <v>528</v>
      </c>
      <c r="W36" s="44">
        <v>30000</v>
      </c>
      <c r="X36" s="43">
        <v>2</v>
      </c>
      <c r="Y36" s="37">
        <f t="shared" si="4"/>
        <v>3</v>
      </c>
      <c r="Z36" s="38">
        <f t="shared" si="5"/>
        <v>6</v>
      </c>
      <c r="AA36" s="40">
        <f t="shared" si="6"/>
        <v>-6000</v>
      </c>
      <c r="AB36" s="38">
        <f t="shared" si="7"/>
        <v>6</v>
      </c>
      <c r="AC36" s="39" t="str">
        <f t="shared" si="8"/>
        <v>Não</v>
      </c>
      <c r="AD36" s="39" t="str">
        <f t="shared" si="9"/>
        <v>Não material</v>
      </c>
      <c r="AE36" s="37">
        <f t="shared" si="10"/>
        <v>50</v>
      </c>
      <c r="AF36" s="35" t="s">
        <v>683</v>
      </c>
      <c r="AG36" s="35" t="s">
        <v>211</v>
      </c>
      <c r="AH36" s="37">
        <f>IF(A36="","",COUNTIF(Evidencias!$B$5:$B$115,A36))</f>
        <v>1</v>
      </c>
      <c r="AI36" s="39" t="str">
        <f t="shared" si="11"/>
        <v>OK</v>
      </c>
      <c r="AJ36" s="35" t="s">
        <v>675</v>
      </c>
      <c r="AK36" s="35"/>
      <c r="AL36" s="35" t="s">
        <v>684</v>
      </c>
      <c r="AM36" s="35"/>
      <c r="AN36" s="35" t="s">
        <v>677</v>
      </c>
      <c r="AO36" s="35"/>
      <c r="AP36" s="35"/>
      <c r="AQ36" s="35"/>
      <c r="AR36" s="35"/>
      <c r="AS36" s="35" t="s">
        <v>196</v>
      </c>
      <c r="AT36" s="35" t="s">
        <v>427</v>
      </c>
      <c r="AU36" s="36">
        <v>46289</v>
      </c>
      <c r="AV36" s="45">
        <f t="shared" si="12"/>
        <v>46654</v>
      </c>
      <c r="AW36" s="35"/>
    </row>
    <row r="37" spans="1:49" ht="60" customHeight="1" x14ac:dyDescent="0.3">
      <c r="A37" s="35" t="s">
        <v>685</v>
      </c>
      <c r="B37" s="35" t="s">
        <v>273</v>
      </c>
      <c r="C37" s="39" t="str">
        <f>IF(B37="","",IFERROR(INDEX(Temas!$E$5:$E$40,MATCH(B37,Temas!$A$5:$A$40,0)),"ID_Tema não encontrado"))</f>
        <v>Resíduos da produção</v>
      </c>
      <c r="D37" s="39" t="str">
        <f>IF(B37="","",IFERROR(INDEX(Temas!$B$5:$B$40,MATCH(B37,Temas!$A$5:$A$40,0)),""))</f>
        <v>Ambiental</v>
      </c>
      <c r="E37" s="39" t="str">
        <f>IF(B37="","",IFERROR(INDEX(Temas!$C$5:$C$40,MATCH(B37,Temas!$A$5:$A$40,0)),""))</f>
        <v>E5 Uso de recursos e economia circular</v>
      </c>
      <c r="F37" s="35" t="s">
        <v>475</v>
      </c>
      <c r="G37" s="39" t="str">
        <f t="shared" ref="G37:G68" si="13">IF(F37="","",IF(LEFT(F37,7)="Impacto","Impacto","Financeira"))</f>
        <v>Financeira</v>
      </c>
      <c r="H37" s="35" t="s">
        <v>686</v>
      </c>
      <c r="I37" s="35"/>
      <c r="J37" s="35" t="s">
        <v>154</v>
      </c>
      <c r="K37" s="35" t="s">
        <v>146</v>
      </c>
      <c r="L37" s="35"/>
      <c r="M37" s="35"/>
      <c r="N37" s="43"/>
      <c r="O37" s="43"/>
      <c r="P37" s="43"/>
      <c r="Q37" s="43"/>
      <c r="R37" s="41" t="str">
        <f t="shared" ref="R37:R68" si="14">IF(G37&lt;&gt;"Impacto","",IF(F37="Impacto negativo",IF(COUNT(N37,O37,P37)=3,ROUND(AVERAGE(N37,O37,P37),2),""),IF(COUNT(N37,O37)=2,ROUND(AVERAGE(N37,O37),2),"")))</f>
        <v/>
      </c>
      <c r="S37" s="37" t="str">
        <f t="shared" ref="S37:S68" si="15">IF(OR(G37&lt;&gt;"Impacto",R37=""),"",IF(I37="Real",5,IF(AND(M37="Sim",R37&gt;=prm_Grav_DH),5,IF(Q37="","",Q37))))</f>
        <v/>
      </c>
      <c r="T37" s="38" t="str">
        <f t="shared" ref="T37:T68" si="16">IF(OR(R37="",S37=""),"",ROUND(R37*S37,1))</f>
        <v/>
      </c>
      <c r="U37" s="35" t="s">
        <v>687</v>
      </c>
      <c r="V37" s="35" t="s">
        <v>447</v>
      </c>
      <c r="W37" s="44">
        <v>8000</v>
      </c>
      <c r="X37" s="43">
        <v>4</v>
      </c>
      <c r="Y37" s="37">
        <f t="shared" ref="Y37:Y68" si="17">IF(OR(G37&lt;&gt;"Financeira",W37=""),"",MATCH(W37,esc_Fin_Limite,1))</f>
        <v>2</v>
      </c>
      <c r="Z37" s="38">
        <f t="shared" ref="Z37:Z68" si="18">IF(OR(Y37="",X37=""),"",Y37*X37)</f>
        <v>8</v>
      </c>
      <c r="AA37" s="40">
        <f t="shared" ref="AA37:AA68" si="19">IF(Z37="","",ROUND(W37*INDEX(esc_Prob_Media,X37),0)*IF(F37="Risco",-1,1))</f>
        <v>5200</v>
      </c>
      <c r="AB37" s="38">
        <f t="shared" ref="AB37:AB68" si="20">IF(G37="","",IF(G37="Impacto",T37,Z37))</f>
        <v>8</v>
      </c>
      <c r="AC37" s="39" t="str">
        <f t="shared" ref="AC37:AC68" si="21">IF(OR(G37="",AB37=""),"",IF(AB37&gt;=IF(G37="Impacto",prm_Limiar_Impacto,prm_Limiar_Financeiro),"Sim","Não"))</f>
        <v>Não</v>
      </c>
      <c r="AD37" s="39" t="str">
        <f t="shared" ref="AD37:AD68" si="22">IF(AC37="","",IF(AC37="Sim",IF(G37="Impacto","Material — impacto","Material — financeiro"),"Não material"))</f>
        <v>Não material</v>
      </c>
      <c r="AE37" s="37">
        <f t="shared" ref="AE37:AE68" si="23">IF(AB37="","",RANK(AB37,$AB$5:$AB$91,0)+COUNTIFS($AB$5:$AB$91,AB37,$A$5:$A$91,"&lt;"&amp;A37))</f>
        <v>44</v>
      </c>
      <c r="AF37" s="35" t="s">
        <v>688</v>
      </c>
      <c r="AG37" s="35" t="s">
        <v>211</v>
      </c>
      <c r="AH37" s="37">
        <f>IF(A37="","",COUNTIF(Evidencias!$B$5:$B$115,A37))</f>
        <v>1</v>
      </c>
      <c r="AI37" s="39" t="str">
        <f t="shared" ref="AI37:AI68" si="24">IF(A37="","",IF(G37="","FALTA tipo de IRO",IF(AB37="",IF(G37="Impacto","FALTA pontuação de impacto","FALTA estimativa financeira"),IF(AH37=0,"Sem evidência registada","OK"))))</f>
        <v>OK</v>
      </c>
      <c r="AJ37" s="35"/>
      <c r="AK37" s="35"/>
      <c r="AL37" s="35"/>
      <c r="AM37" s="35" t="s">
        <v>689</v>
      </c>
      <c r="AN37" s="35"/>
      <c r="AO37" s="35"/>
      <c r="AP37" s="35"/>
      <c r="AQ37" s="35"/>
      <c r="AR37" s="35"/>
      <c r="AS37" s="35" t="s">
        <v>442</v>
      </c>
      <c r="AT37" s="35" t="s">
        <v>427</v>
      </c>
      <c r="AU37" s="36">
        <v>46289</v>
      </c>
      <c r="AV37" s="45">
        <f t="shared" ref="AV37:AV68" si="25">IF(AU37="","",EDATE(AU37,IF(AC37="Sim",prm_Meses_Rev_Material,prm_Meses_Rev_Outros)))</f>
        <v>46654</v>
      </c>
      <c r="AW37" s="35"/>
    </row>
    <row r="38" spans="1:49" ht="60" customHeight="1" x14ac:dyDescent="0.3">
      <c r="A38" s="35" t="s">
        <v>690</v>
      </c>
      <c r="B38" s="35" t="s">
        <v>279</v>
      </c>
      <c r="C38" s="39" t="str">
        <f>IF(B38="","",IFERROR(INDEX(Temas!$E$5:$E$40,MATCH(B38,Temas!$A$5:$A$40,0)),"ID_Tema não encontrado"))</f>
        <v>Saúde e segurança no trabalho</v>
      </c>
      <c r="D38" s="39" t="str">
        <f>IF(B38="","",IFERROR(INDEX(Temas!$B$5:$B$40,MATCH(B38,Temas!$A$5:$A$40,0)),""))</f>
        <v>Social</v>
      </c>
      <c r="E38" s="39" t="str">
        <f>IF(B38="","",IFERROR(INDEX(Temas!$C$5:$C$40,MATCH(B38,Temas!$A$5:$A$40,0)),""))</f>
        <v>S1 Trabalhadores próprios</v>
      </c>
      <c r="F38" s="35" t="s">
        <v>414</v>
      </c>
      <c r="G38" s="39" t="str">
        <f t="shared" si="13"/>
        <v>Impacto</v>
      </c>
      <c r="H38" s="35" t="s">
        <v>691</v>
      </c>
      <c r="I38" s="35" t="s">
        <v>533</v>
      </c>
      <c r="J38" s="35" t="s">
        <v>151</v>
      </c>
      <c r="K38" s="35" t="s">
        <v>146</v>
      </c>
      <c r="L38" s="35" t="s">
        <v>692</v>
      </c>
      <c r="M38" s="35" t="s">
        <v>693</v>
      </c>
      <c r="N38" s="43">
        <v>5</v>
      </c>
      <c r="O38" s="43">
        <v>2</v>
      </c>
      <c r="P38" s="43">
        <v>5</v>
      </c>
      <c r="Q38" s="43">
        <v>2</v>
      </c>
      <c r="R38" s="41">
        <f t="shared" si="14"/>
        <v>4</v>
      </c>
      <c r="S38" s="37">
        <f t="shared" si="15"/>
        <v>5</v>
      </c>
      <c r="T38" s="38">
        <f t="shared" si="16"/>
        <v>20</v>
      </c>
      <c r="U38" s="35"/>
      <c r="V38" s="35"/>
      <c r="W38" s="44"/>
      <c r="X38" s="43"/>
      <c r="Y38" s="37" t="str">
        <f t="shared" si="17"/>
        <v/>
      </c>
      <c r="Z38" s="38" t="str">
        <f t="shared" si="18"/>
        <v/>
      </c>
      <c r="AA38" s="40" t="str">
        <f t="shared" si="19"/>
        <v/>
      </c>
      <c r="AB38" s="38">
        <f t="shared" si="20"/>
        <v>20</v>
      </c>
      <c r="AC38" s="39" t="str">
        <f t="shared" si="21"/>
        <v>Sim</v>
      </c>
      <c r="AD38" s="39" t="str">
        <f t="shared" si="22"/>
        <v>Material — impacto</v>
      </c>
      <c r="AE38" s="37">
        <f t="shared" si="23"/>
        <v>3</v>
      </c>
      <c r="AF38" s="35" t="s">
        <v>694</v>
      </c>
      <c r="AG38" s="35" t="s">
        <v>211</v>
      </c>
      <c r="AH38" s="37">
        <f>IF(A38="","",COUNTIF(Evidencias!$B$5:$B$115,A38))</f>
        <v>1</v>
      </c>
      <c r="AI38" s="39" t="str">
        <f t="shared" si="24"/>
        <v>OK</v>
      </c>
      <c r="AJ38" s="35"/>
      <c r="AK38" s="35"/>
      <c r="AL38" s="35" t="s">
        <v>695</v>
      </c>
      <c r="AM38" s="35"/>
      <c r="AN38" s="35"/>
      <c r="AO38" s="35"/>
      <c r="AP38" s="35"/>
      <c r="AQ38" s="35"/>
      <c r="AR38" s="35" t="s">
        <v>696</v>
      </c>
      <c r="AS38" s="35" t="s">
        <v>286</v>
      </c>
      <c r="AT38" s="35" t="s">
        <v>427</v>
      </c>
      <c r="AU38" s="36">
        <v>46289</v>
      </c>
      <c r="AV38" s="45">
        <f t="shared" si="25"/>
        <v>46470</v>
      </c>
      <c r="AW38" s="35" t="s">
        <v>697</v>
      </c>
    </row>
    <row r="39" spans="1:49" ht="60" customHeight="1" x14ac:dyDescent="0.3">
      <c r="A39" s="35" t="s">
        <v>698</v>
      </c>
      <c r="B39" s="35" t="s">
        <v>279</v>
      </c>
      <c r="C39" s="39" t="str">
        <f>IF(B39="","",IFERROR(INDEX(Temas!$E$5:$E$40,MATCH(B39,Temas!$A$5:$A$40,0)),"ID_Tema não encontrado"))</f>
        <v>Saúde e segurança no trabalho</v>
      </c>
      <c r="D39" s="39" t="str">
        <f>IF(B39="","",IFERROR(INDEX(Temas!$B$5:$B$40,MATCH(B39,Temas!$A$5:$A$40,0)),""))</f>
        <v>Social</v>
      </c>
      <c r="E39" s="39" t="str">
        <f>IF(B39="","",IFERROR(INDEX(Temas!$C$5:$C$40,MATCH(B39,Temas!$A$5:$A$40,0)),""))</f>
        <v>S1 Trabalhadores próprios</v>
      </c>
      <c r="F39" s="35" t="s">
        <v>414</v>
      </c>
      <c r="G39" s="39" t="str">
        <f t="shared" si="13"/>
        <v>Impacto</v>
      </c>
      <c r="H39" s="35" t="s">
        <v>699</v>
      </c>
      <c r="I39" s="35" t="s">
        <v>416</v>
      </c>
      <c r="J39" s="35" t="s">
        <v>151</v>
      </c>
      <c r="K39" s="35" t="s">
        <v>146</v>
      </c>
      <c r="L39" s="35" t="s">
        <v>700</v>
      </c>
      <c r="M39" s="35" t="s">
        <v>693</v>
      </c>
      <c r="N39" s="43">
        <v>3</v>
      </c>
      <c r="O39" s="43">
        <v>2</v>
      </c>
      <c r="P39" s="43">
        <v>3</v>
      </c>
      <c r="Q39" s="43"/>
      <c r="R39" s="41">
        <f t="shared" si="14"/>
        <v>2.67</v>
      </c>
      <c r="S39" s="37">
        <f t="shared" si="15"/>
        <v>5</v>
      </c>
      <c r="T39" s="38">
        <f t="shared" si="16"/>
        <v>13.4</v>
      </c>
      <c r="U39" s="35"/>
      <c r="V39" s="35"/>
      <c r="W39" s="44"/>
      <c r="X39" s="43"/>
      <c r="Y39" s="37" t="str">
        <f t="shared" si="17"/>
        <v/>
      </c>
      <c r="Z39" s="38" t="str">
        <f t="shared" si="18"/>
        <v/>
      </c>
      <c r="AA39" s="40" t="str">
        <f t="shared" si="19"/>
        <v/>
      </c>
      <c r="AB39" s="38">
        <f t="shared" si="20"/>
        <v>13.4</v>
      </c>
      <c r="AC39" s="39" t="str">
        <f t="shared" si="21"/>
        <v>Sim</v>
      </c>
      <c r="AD39" s="39" t="str">
        <f t="shared" si="22"/>
        <v>Material — impacto</v>
      </c>
      <c r="AE39" s="37">
        <f t="shared" si="23"/>
        <v>16</v>
      </c>
      <c r="AF39" s="35" t="s">
        <v>701</v>
      </c>
      <c r="AG39" s="35" t="s">
        <v>211</v>
      </c>
      <c r="AH39" s="37">
        <f>IF(A39="","",COUNTIF(Evidencias!$B$5:$B$115,A39))</f>
        <v>1</v>
      </c>
      <c r="AI39" s="39" t="str">
        <f t="shared" si="24"/>
        <v>OK</v>
      </c>
      <c r="AJ39" s="35"/>
      <c r="AK39" s="35"/>
      <c r="AL39" s="35" t="s">
        <v>702</v>
      </c>
      <c r="AM39" s="35" t="s">
        <v>703</v>
      </c>
      <c r="AN39" s="35"/>
      <c r="AO39" s="35"/>
      <c r="AP39" s="35"/>
      <c r="AQ39" s="35"/>
      <c r="AR39" s="35" t="s">
        <v>704</v>
      </c>
      <c r="AS39" s="35" t="s">
        <v>286</v>
      </c>
      <c r="AT39" s="35" t="s">
        <v>427</v>
      </c>
      <c r="AU39" s="36">
        <v>46289</v>
      </c>
      <c r="AV39" s="45">
        <f t="shared" si="25"/>
        <v>46470</v>
      </c>
      <c r="AW39" s="35"/>
    </row>
    <row r="40" spans="1:49" ht="60" customHeight="1" x14ac:dyDescent="0.3">
      <c r="A40" s="35" t="s">
        <v>705</v>
      </c>
      <c r="B40" s="35" t="s">
        <v>279</v>
      </c>
      <c r="C40" s="39" t="str">
        <f>IF(B40="","",IFERROR(INDEX(Temas!$E$5:$E$40,MATCH(B40,Temas!$A$5:$A$40,0)),"ID_Tema não encontrado"))</f>
        <v>Saúde e segurança no trabalho</v>
      </c>
      <c r="D40" s="39" t="str">
        <f>IF(B40="","",IFERROR(INDEX(Temas!$B$5:$B$40,MATCH(B40,Temas!$A$5:$A$40,0)),""))</f>
        <v>Social</v>
      </c>
      <c r="E40" s="39" t="str">
        <f>IF(B40="","",IFERROR(INDEX(Temas!$C$5:$C$40,MATCH(B40,Temas!$A$5:$A$40,0)),""))</f>
        <v>S1 Trabalhadores próprios</v>
      </c>
      <c r="F40" s="35" t="s">
        <v>444</v>
      </c>
      <c r="G40" s="39" t="str">
        <f t="shared" si="13"/>
        <v>Financeira</v>
      </c>
      <c r="H40" s="35" t="s">
        <v>706</v>
      </c>
      <c r="I40" s="35"/>
      <c r="J40" s="35" t="s">
        <v>151</v>
      </c>
      <c r="K40" s="35" t="s">
        <v>146</v>
      </c>
      <c r="L40" s="35"/>
      <c r="M40" s="35"/>
      <c r="N40" s="43"/>
      <c r="O40" s="43"/>
      <c r="P40" s="43"/>
      <c r="Q40" s="43"/>
      <c r="R40" s="41" t="str">
        <f t="shared" si="14"/>
        <v/>
      </c>
      <c r="S40" s="37" t="str">
        <f t="shared" si="15"/>
        <v/>
      </c>
      <c r="T40" s="38" t="str">
        <f t="shared" si="16"/>
        <v/>
      </c>
      <c r="U40" s="35" t="s">
        <v>707</v>
      </c>
      <c r="V40" s="35" t="s">
        <v>528</v>
      </c>
      <c r="W40" s="44">
        <v>80000</v>
      </c>
      <c r="X40" s="43">
        <v>2</v>
      </c>
      <c r="Y40" s="37">
        <f t="shared" si="17"/>
        <v>3</v>
      </c>
      <c r="Z40" s="38">
        <f t="shared" si="18"/>
        <v>6</v>
      </c>
      <c r="AA40" s="40">
        <f t="shared" si="19"/>
        <v>-16000</v>
      </c>
      <c r="AB40" s="38">
        <f t="shared" si="20"/>
        <v>6</v>
      </c>
      <c r="AC40" s="39" t="str">
        <f t="shared" si="21"/>
        <v>Não</v>
      </c>
      <c r="AD40" s="39" t="str">
        <f t="shared" si="22"/>
        <v>Não material</v>
      </c>
      <c r="AE40" s="37">
        <f t="shared" si="23"/>
        <v>51</v>
      </c>
      <c r="AF40" s="35" t="s">
        <v>708</v>
      </c>
      <c r="AG40" s="35" t="s">
        <v>211</v>
      </c>
      <c r="AH40" s="37">
        <f>IF(A40="","",COUNTIF(Evidencias!$B$5:$B$115,A40))</f>
        <v>1</v>
      </c>
      <c r="AI40" s="39" t="str">
        <f t="shared" si="24"/>
        <v>OK</v>
      </c>
      <c r="AJ40" s="35"/>
      <c r="AK40" s="35"/>
      <c r="AL40" s="35" t="s">
        <v>695</v>
      </c>
      <c r="AM40" s="35"/>
      <c r="AN40" s="35"/>
      <c r="AO40" s="35"/>
      <c r="AP40" s="35"/>
      <c r="AQ40" s="35"/>
      <c r="AR40" s="35"/>
      <c r="AS40" s="35" t="s">
        <v>286</v>
      </c>
      <c r="AT40" s="35" t="s">
        <v>427</v>
      </c>
      <c r="AU40" s="36">
        <v>46289</v>
      </c>
      <c r="AV40" s="45">
        <f t="shared" si="25"/>
        <v>46654</v>
      </c>
      <c r="AW40" s="35"/>
    </row>
    <row r="41" spans="1:49" ht="60" customHeight="1" x14ac:dyDescent="0.3">
      <c r="A41" s="35" t="s">
        <v>709</v>
      </c>
      <c r="B41" s="35" t="s">
        <v>288</v>
      </c>
      <c r="C41" s="39" t="str">
        <f>IF(B41="","",IFERROR(INDEX(Temas!$E$5:$E$40,MATCH(B41,Temas!$A$5:$A$40,0)),"ID_Tema não encontrado"))</f>
        <v>Condições de trabalho e disponibilidade de pessoas</v>
      </c>
      <c r="D41" s="39" t="str">
        <f>IF(B41="","",IFERROR(INDEX(Temas!$B$5:$B$40,MATCH(B41,Temas!$A$5:$A$40,0)),""))</f>
        <v>Social</v>
      </c>
      <c r="E41" s="39" t="str">
        <f>IF(B41="","",IFERROR(INDEX(Temas!$C$5:$C$40,MATCH(B41,Temas!$A$5:$A$40,0)),""))</f>
        <v>S1 Trabalhadores próprios</v>
      </c>
      <c r="F41" s="35" t="s">
        <v>414</v>
      </c>
      <c r="G41" s="39" t="str">
        <f t="shared" si="13"/>
        <v>Impacto</v>
      </c>
      <c r="H41" s="35" t="s">
        <v>710</v>
      </c>
      <c r="I41" s="35" t="s">
        <v>416</v>
      </c>
      <c r="J41" s="35" t="s">
        <v>151</v>
      </c>
      <c r="K41" s="35" t="s">
        <v>146</v>
      </c>
      <c r="L41" s="35" t="s">
        <v>711</v>
      </c>
      <c r="M41" s="35" t="s">
        <v>693</v>
      </c>
      <c r="N41" s="43">
        <v>2</v>
      </c>
      <c r="O41" s="43">
        <v>3</v>
      </c>
      <c r="P41" s="43">
        <v>2</v>
      </c>
      <c r="Q41" s="43"/>
      <c r="R41" s="41">
        <f t="shared" si="14"/>
        <v>2.33</v>
      </c>
      <c r="S41" s="37">
        <f t="shared" si="15"/>
        <v>5</v>
      </c>
      <c r="T41" s="38">
        <f t="shared" si="16"/>
        <v>11.7</v>
      </c>
      <c r="U41" s="35"/>
      <c r="V41" s="35"/>
      <c r="W41" s="44"/>
      <c r="X41" s="43"/>
      <c r="Y41" s="37" t="str">
        <f t="shared" si="17"/>
        <v/>
      </c>
      <c r="Z41" s="38" t="str">
        <f t="shared" si="18"/>
        <v/>
      </c>
      <c r="AA41" s="40" t="str">
        <f t="shared" si="19"/>
        <v/>
      </c>
      <c r="AB41" s="38">
        <f t="shared" si="20"/>
        <v>11.7</v>
      </c>
      <c r="AC41" s="39" t="str">
        <f t="shared" si="21"/>
        <v>Não</v>
      </c>
      <c r="AD41" s="39" t="str">
        <f t="shared" si="22"/>
        <v>Não material</v>
      </c>
      <c r="AE41" s="37">
        <f t="shared" si="23"/>
        <v>30</v>
      </c>
      <c r="AF41" s="35" t="s">
        <v>712</v>
      </c>
      <c r="AG41" s="35" t="s">
        <v>211</v>
      </c>
      <c r="AH41" s="37">
        <f>IF(A41="","",COUNTIF(Evidencias!$B$5:$B$115,A41))</f>
        <v>1</v>
      </c>
      <c r="AI41" s="39" t="str">
        <f t="shared" si="24"/>
        <v>OK</v>
      </c>
      <c r="AJ41" s="35"/>
      <c r="AK41" s="35"/>
      <c r="AL41" s="35" t="s">
        <v>713</v>
      </c>
      <c r="AM41" s="35"/>
      <c r="AN41" s="35"/>
      <c r="AO41" s="35"/>
      <c r="AP41" s="35"/>
      <c r="AQ41" s="35"/>
      <c r="AR41" s="35" t="s">
        <v>714</v>
      </c>
      <c r="AS41" s="35" t="s">
        <v>286</v>
      </c>
      <c r="AT41" s="35" t="s">
        <v>427</v>
      </c>
      <c r="AU41" s="36">
        <v>46289</v>
      </c>
      <c r="AV41" s="45">
        <f t="shared" si="25"/>
        <v>46654</v>
      </c>
      <c r="AW41" s="35"/>
    </row>
    <row r="42" spans="1:49" ht="60" customHeight="1" x14ac:dyDescent="0.3">
      <c r="A42" s="35" t="s">
        <v>715</v>
      </c>
      <c r="B42" s="35" t="s">
        <v>288</v>
      </c>
      <c r="C42" s="39" t="str">
        <f>IF(B42="","",IFERROR(INDEX(Temas!$E$5:$E$40,MATCH(B42,Temas!$A$5:$A$40,0)),"ID_Tema não encontrado"))</f>
        <v>Condições de trabalho e disponibilidade de pessoas</v>
      </c>
      <c r="D42" s="39" t="str">
        <f>IF(B42="","",IFERROR(INDEX(Temas!$B$5:$B$40,MATCH(B42,Temas!$A$5:$A$40,0)),""))</f>
        <v>Social</v>
      </c>
      <c r="E42" s="39" t="str">
        <f>IF(B42="","",IFERROR(INDEX(Temas!$C$5:$C$40,MATCH(B42,Temas!$A$5:$A$40,0)),""))</f>
        <v>S1 Trabalhadores próprios</v>
      </c>
      <c r="F42" s="35" t="s">
        <v>444</v>
      </c>
      <c r="G42" s="39" t="str">
        <f t="shared" si="13"/>
        <v>Financeira</v>
      </c>
      <c r="H42" s="35" t="s">
        <v>716</v>
      </c>
      <c r="I42" s="35"/>
      <c r="J42" s="35" t="s">
        <v>151</v>
      </c>
      <c r="K42" s="35" t="s">
        <v>146</v>
      </c>
      <c r="L42" s="35"/>
      <c r="M42" s="35"/>
      <c r="N42" s="43"/>
      <c r="O42" s="43"/>
      <c r="P42" s="43"/>
      <c r="Q42" s="43"/>
      <c r="R42" s="41" t="str">
        <f t="shared" si="14"/>
        <v/>
      </c>
      <c r="S42" s="37" t="str">
        <f t="shared" si="15"/>
        <v/>
      </c>
      <c r="T42" s="38" t="str">
        <f t="shared" si="16"/>
        <v/>
      </c>
      <c r="U42" s="35" t="s">
        <v>717</v>
      </c>
      <c r="V42" s="35" t="s">
        <v>494</v>
      </c>
      <c r="W42" s="44">
        <v>150000</v>
      </c>
      <c r="X42" s="43">
        <v>4</v>
      </c>
      <c r="Y42" s="37">
        <f t="shared" si="17"/>
        <v>4</v>
      </c>
      <c r="Z42" s="38">
        <f t="shared" si="18"/>
        <v>16</v>
      </c>
      <c r="AA42" s="40">
        <f t="shared" si="19"/>
        <v>-97500</v>
      </c>
      <c r="AB42" s="38">
        <f t="shared" si="20"/>
        <v>16</v>
      </c>
      <c r="AC42" s="39" t="str">
        <f t="shared" si="21"/>
        <v>Sim</v>
      </c>
      <c r="AD42" s="39" t="str">
        <f t="shared" si="22"/>
        <v>Material — financeiro</v>
      </c>
      <c r="AE42" s="37">
        <f t="shared" si="23"/>
        <v>11</v>
      </c>
      <c r="AF42" s="35" t="s">
        <v>718</v>
      </c>
      <c r="AG42" s="35" t="s">
        <v>194</v>
      </c>
      <c r="AH42" s="37">
        <f>IF(A42="","",COUNTIF(Evidencias!$B$5:$B$115,A42))</f>
        <v>1</v>
      </c>
      <c r="AI42" s="39" t="str">
        <f t="shared" si="24"/>
        <v>OK</v>
      </c>
      <c r="AJ42" s="35"/>
      <c r="AK42" s="35"/>
      <c r="AL42" s="35" t="s">
        <v>719</v>
      </c>
      <c r="AM42" s="35"/>
      <c r="AN42" s="35"/>
      <c r="AO42" s="35"/>
      <c r="AP42" s="35"/>
      <c r="AQ42" s="35"/>
      <c r="AR42" s="35" t="s">
        <v>720</v>
      </c>
      <c r="AS42" s="35" t="s">
        <v>286</v>
      </c>
      <c r="AT42" s="35" t="s">
        <v>427</v>
      </c>
      <c r="AU42" s="36">
        <v>46289</v>
      </c>
      <c r="AV42" s="45">
        <f t="shared" si="25"/>
        <v>46470</v>
      </c>
      <c r="AW42" s="35"/>
    </row>
    <row r="43" spans="1:49" ht="60" customHeight="1" x14ac:dyDescent="0.3">
      <c r="A43" s="35" t="s">
        <v>721</v>
      </c>
      <c r="B43" s="35" t="s">
        <v>295</v>
      </c>
      <c r="C43" s="39" t="str">
        <f>IF(B43="","",IFERROR(INDEX(Temas!$E$5:$E$40,MATCH(B43,Temas!$A$5:$A$40,0)),"ID_Tema não encontrado"))</f>
        <v>Formação e competências</v>
      </c>
      <c r="D43" s="39" t="str">
        <f>IF(B43="","",IFERROR(INDEX(Temas!$B$5:$B$40,MATCH(B43,Temas!$A$5:$A$40,0)),""))</f>
        <v>Social</v>
      </c>
      <c r="E43" s="39" t="str">
        <f>IF(B43="","",IFERROR(INDEX(Temas!$C$5:$C$40,MATCH(B43,Temas!$A$5:$A$40,0)),""))</f>
        <v>S1 Trabalhadores próprios</v>
      </c>
      <c r="F43" s="35" t="s">
        <v>647</v>
      </c>
      <c r="G43" s="39" t="str">
        <f t="shared" si="13"/>
        <v>Impacto</v>
      </c>
      <c r="H43" s="35" t="s">
        <v>722</v>
      </c>
      <c r="I43" s="35" t="s">
        <v>416</v>
      </c>
      <c r="J43" s="35" t="s">
        <v>151</v>
      </c>
      <c r="K43" s="35" t="s">
        <v>146</v>
      </c>
      <c r="L43" s="35" t="s">
        <v>723</v>
      </c>
      <c r="M43" s="35" t="s">
        <v>418</v>
      </c>
      <c r="N43" s="43">
        <v>2</v>
      </c>
      <c r="O43" s="43">
        <v>2</v>
      </c>
      <c r="P43" s="43"/>
      <c r="Q43" s="43"/>
      <c r="R43" s="41">
        <f t="shared" si="14"/>
        <v>2</v>
      </c>
      <c r="S43" s="37">
        <f t="shared" si="15"/>
        <v>5</v>
      </c>
      <c r="T43" s="38">
        <f t="shared" si="16"/>
        <v>10</v>
      </c>
      <c r="U43" s="35"/>
      <c r="V43" s="35"/>
      <c r="W43" s="44"/>
      <c r="X43" s="43"/>
      <c r="Y43" s="37" t="str">
        <f t="shared" si="17"/>
        <v/>
      </c>
      <c r="Z43" s="38" t="str">
        <f t="shared" si="18"/>
        <v/>
      </c>
      <c r="AA43" s="40" t="str">
        <f t="shared" si="19"/>
        <v/>
      </c>
      <c r="AB43" s="38">
        <f t="shared" si="20"/>
        <v>10</v>
      </c>
      <c r="AC43" s="39" t="str">
        <f t="shared" si="21"/>
        <v>Não</v>
      </c>
      <c r="AD43" s="39" t="str">
        <f t="shared" si="22"/>
        <v>Não material</v>
      </c>
      <c r="AE43" s="37">
        <f t="shared" si="23"/>
        <v>34</v>
      </c>
      <c r="AF43" s="35" t="s">
        <v>724</v>
      </c>
      <c r="AG43" s="35" t="s">
        <v>194</v>
      </c>
      <c r="AH43" s="37">
        <f>IF(A43="","",COUNTIF(Evidencias!$B$5:$B$115,A43))</f>
        <v>1</v>
      </c>
      <c r="AI43" s="39" t="str">
        <f t="shared" si="24"/>
        <v>OK</v>
      </c>
      <c r="AJ43" s="35"/>
      <c r="AK43" s="35"/>
      <c r="AL43" s="35"/>
      <c r="AM43" s="35"/>
      <c r="AN43" s="35"/>
      <c r="AO43" s="35"/>
      <c r="AP43" s="35"/>
      <c r="AQ43" s="35"/>
      <c r="AR43" s="35" t="s">
        <v>725</v>
      </c>
      <c r="AS43" s="35" t="s">
        <v>286</v>
      </c>
      <c r="AT43" s="35" t="s">
        <v>427</v>
      </c>
      <c r="AU43" s="36">
        <v>46289</v>
      </c>
      <c r="AV43" s="45">
        <f t="shared" si="25"/>
        <v>46654</v>
      </c>
      <c r="AW43" s="35"/>
    </row>
    <row r="44" spans="1:49" ht="60" customHeight="1" x14ac:dyDescent="0.3">
      <c r="A44" s="35" t="s">
        <v>726</v>
      </c>
      <c r="B44" s="35" t="s">
        <v>295</v>
      </c>
      <c r="C44" s="39" t="str">
        <f>IF(B44="","",IFERROR(INDEX(Temas!$E$5:$E$40,MATCH(B44,Temas!$A$5:$A$40,0)),"ID_Tema não encontrado"))</f>
        <v>Formação e competências</v>
      </c>
      <c r="D44" s="39" t="str">
        <f>IF(B44="","",IFERROR(INDEX(Temas!$B$5:$B$40,MATCH(B44,Temas!$A$5:$A$40,0)),""))</f>
        <v>Social</v>
      </c>
      <c r="E44" s="39" t="str">
        <f>IF(B44="","",IFERROR(INDEX(Temas!$C$5:$C$40,MATCH(B44,Temas!$A$5:$A$40,0)),""))</f>
        <v>S1 Trabalhadores próprios</v>
      </c>
      <c r="F44" s="35" t="s">
        <v>475</v>
      </c>
      <c r="G44" s="39" t="str">
        <f t="shared" si="13"/>
        <v>Financeira</v>
      </c>
      <c r="H44" s="35" t="s">
        <v>727</v>
      </c>
      <c r="I44" s="35"/>
      <c r="J44" s="35" t="s">
        <v>151</v>
      </c>
      <c r="K44" s="35" t="s">
        <v>147</v>
      </c>
      <c r="L44" s="35"/>
      <c r="M44" s="35"/>
      <c r="N44" s="43"/>
      <c r="O44" s="43"/>
      <c r="P44" s="43"/>
      <c r="Q44" s="43"/>
      <c r="R44" s="41" t="str">
        <f t="shared" si="14"/>
        <v/>
      </c>
      <c r="S44" s="37" t="str">
        <f t="shared" si="15"/>
        <v/>
      </c>
      <c r="T44" s="38" t="str">
        <f t="shared" si="16"/>
        <v/>
      </c>
      <c r="U44" s="35" t="s">
        <v>728</v>
      </c>
      <c r="V44" s="35" t="s">
        <v>494</v>
      </c>
      <c r="W44" s="44">
        <v>40000</v>
      </c>
      <c r="X44" s="43">
        <v>3</v>
      </c>
      <c r="Y44" s="37">
        <f t="shared" si="17"/>
        <v>3</v>
      </c>
      <c r="Z44" s="38">
        <f t="shared" si="18"/>
        <v>9</v>
      </c>
      <c r="AA44" s="40">
        <f t="shared" si="19"/>
        <v>16000</v>
      </c>
      <c r="AB44" s="38">
        <f t="shared" si="20"/>
        <v>9</v>
      </c>
      <c r="AC44" s="39" t="str">
        <f t="shared" si="21"/>
        <v>Não</v>
      </c>
      <c r="AD44" s="39" t="str">
        <f t="shared" si="22"/>
        <v>Não material</v>
      </c>
      <c r="AE44" s="37">
        <f t="shared" si="23"/>
        <v>39</v>
      </c>
      <c r="AF44" s="35" t="s">
        <v>729</v>
      </c>
      <c r="AG44" s="35" t="s">
        <v>211</v>
      </c>
      <c r="AH44" s="37">
        <f>IF(A44="","",COUNTIF(Evidencias!$B$5:$B$115,A44))</f>
        <v>1</v>
      </c>
      <c r="AI44" s="39" t="str">
        <f t="shared" si="24"/>
        <v>OK</v>
      </c>
      <c r="AJ44" s="35"/>
      <c r="AK44" s="35"/>
      <c r="AL44" s="35" t="s">
        <v>730</v>
      </c>
      <c r="AM44" s="35"/>
      <c r="AN44" s="35"/>
      <c r="AO44" s="35"/>
      <c r="AP44" s="35"/>
      <c r="AQ44" s="35"/>
      <c r="AR44" s="35"/>
      <c r="AS44" s="35" t="s">
        <v>286</v>
      </c>
      <c r="AT44" s="35" t="s">
        <v>427</v>
      </c>
      <c r="AU44" s="36">
        <v>46289</v>
      </c>
      <c r="AV44" s="45">
        <f t="shared" si="25"/>
        <v>46654</v>
      </c>
      <c r="AW44" s="35"/>
    </row>
    <row r="45" spans="1:49" ht="60" customHeight="1" x14ac:dyDescent="0.3">
      <c r="A45" s="35" t="s">
        <v>731</v>
      </c>
      <c r="B45" s="35" t="s">
        <v>302</v>
      </c>
      <c r="C45" s="39" t="str">
        <f>IF(B45="","",IFERROR(INDEX(Temas!$E$5:$E$40,MATCH(B45,Temas!$A$5:$A$40,0)),"ID_Tema não encontrado"))</f>
        <v>Igualdade e não discriminação</v>
      </c>
      <c r="D45" s="39" t="str">
        <f>IF(B45="","",IFERROR(INDEX(Temas!$B$5:$B$40,MATCH(B45,Temas!$A$5:$A$40,0)),""))</f>
        <v>Social</v>
      </c>
      <c r="E45" s="39" t="str">
        <f>IF(B45="","",IFERROR(INDEX(Temas!$C$5:$C$40,MATCH(B45,Temas!$A$5:$A$40,0)),""))</f>
        <v>S1 Trabalhadores próprios</v>
      </c>
      <c r="F45" s="35" t="s">
        <v>414</v>
      </c>
      <c r="G45" s="39" t="str">
        <f t="shared" si="13"/>
        <v>Impacto</v>
      </c>
      <c r="H45" s="35" t="s">
        <v>732</v>
      </c>
      <c r="I45" s="35" t="s">
        <v>533</v>
      </c>
      <c r="J45" s="35" t="s">
        <v>151</v>
      </c>
      <c r="K45" s="35" t="s">
        <v>147</v>
      </c>
      <c r="L45" s="35" t="s">
        <v>733</v>
      </c>
      <c r="M45" s="35" t="s">
        <v>693</v>
      </c>
      <c r="N45" s="43">
        <v>2</v>
      </c>
      <c r="O45" s="43">
        <v>2</v>
      </c>
      <c r="P45" s="43">
        <v>2</v>
      </c>
      <c r="Q45" s="43">
        <v>2</v>
      </c>
      <c r="R45" s="41">
        <f t="shared" si="14"/>
        <v>2</v>
      </c>
      <c r="S45" s="37">
        <f t="shared" si="15"/>
        <v>2</v>
      </c>
      <c r="T45" s="38">
        <f t="shared" si="16"/>
        <v>4</v>
      </c>
      <c r="U45" s="35"/>
      <c r="V45" s="35"/>
      <c r="W45" s="44"/>
      <c r="X45" s="43"/>
      <c r="Y45" s="37" t="str">
        <f t="shared" si="17"/>
        <v/>
      </c>
      <c r="Z45" s="38" t="str">
        <f t="shared" si="18"/>
        <v/>
      </c>
      <c r="AA45" s="40" t="str">
        <f t="shared" si="19"/>
        <v/>
      </c>
      <c r="AB45" s="38">
        <f t="shared" si="20"/>
        <v>4</v>
      </c>
      <c r="AC45" s="39" t="str">
        <f t="shared" si="21"/>
        <v>Não</v>
      </c>
      <c r="AD45" s="39" t="str">
        <f t="shared" si="22"/>
        <v>Não material</v>
      </c>
      <c r="AE45" s="37">
        <f t="shared" si="23"/>
        <v>56</v>
      </c>
      <c r="AF45" s="35" t="s">
        <v>734</v>
      </c>
      <c r="AG45" s="35" t="s">
        <v>307</v>
      </c>
      <c r="AH45" s="37">
        <f>IF(A45="","",COUNTIF(Evidencias!$B$5:$B$115,A45))</f>
        <v>1</v>
      </c>
      <c r="AI45" s="39" t="str">
        <f t="shared" si="24"/>
        <v>OK</v>
      </c>
      <c r="AJ45" s="35"/>
      <c r="AK45" s="35"/>
      <c r="AL45" s="35"/>
      <c r="AM45" s="35"/>
      <c r="AN45" s="35"/>
      <c r="AO45" s="35"/>
      <c r="AP45" s="35"/>
      <c r="AQ45" s="35"/>
      <c r="AR45" s="35" t="s">
        <v>735</v>
      </c>
      <c r="AS45" s="35" t="s">
        <v>286</v>
      </c>
      <c r="AT45" s="35" t="s">
        <v>427</v>
      </c>
      <c r="AU45" s="36">
        <v>46289</v>
      </c>
      <c r="AV45" s="45">
        <f t="shared" si="25"/>
        <v>46654</v>
      </c>
      <c r="AW45" s="35" t="s">
        <v>736</v>
      </c>
    </row>
    <row r="46" spans="1:49" ht="60" customHeight="1" x14ac:dyDescent="0.3">
      <c r="A46" s="35" t="s">
        <v>737</v>
      </c>
      <c r="B46" s="35" t="s">
        <v>310</v>
      </c>
      <c r="C46" s="39" t="str">
        <f>IF(B46="","",IFERROR(INDEX(Temas!$E$5:$E$40,MATCH(B46,Temas!$A$5:$A$40,0)),"ID_Tema não encontrado"))</f>
        <v>Trabalhadores da cadeia de valor</v>
      </c>
      <c r="D46" s="39" t="str">
        <f>IF(B46="","",IFERROR(INDEX(Temas!$B$5:$B$40,MATCH(B46,Temas!$A$5:$A$40,0)),""))</f>
        <v>Social</v>
      </c>
      <c r="E46" s="39" t="str">
        <f>IF(B46="","",IFERROR(INDEX(Temas!$C$5:$C$40,MATCH(B46,Temas!$A$5:$A$40,0)),""))</f>
        <v>S2 Trabalhadores da cadeia de valor</v>
      </c>
      <c r="F46" s="35" t="s">
        <v>414</v>
      </c>
      <c r="G46" s="39" t="str">
        <f t="shared" si="13"/>
        <v>Impacto</v>
      </c>
      <c r="H46" s="35" t="s">
        <v>738</v>
      </c>
      <c r="I46" s="35" t="s">
        <v>533</v>
      </c>
      <c r="J46" s="35" t="s">
        <v>150</v>
      </c>
      <c r="K46" s="35" t="s">
        <v>147</v>
      </c>
      <c r="L46" s="35" t="s">
        <v>739</v>
      </c>
      <c r="M46" s="35" t="s">
        <v>693</v>
      </c>
      <c r="N46" s="43">
        <v>4</v>
      </c>
      <c r="O46" s="43">
        <v>3</v>
      </c>
      <c r="P46" s="43">
        <v>3</v>
      </c>
      <c r="Q46" s="43">
        <v>2</v>
      </c>
      <c r="R46" s="41">
        <f t="shared" si="14"/>
        <v>3.33</v>
      </c>
      <c r="S46" s="37">
        <f t="shared" si="15"/>
        <v>2</v>
      </c>
      <c r="T46" s="38">
        <f t="shared" si="16"/>
        <v>6.7</v>
      </c>
      <c r="U46" s="35"/>
      <c r="V46" s="35"/>
      <c r="W46" s="44"/>
      <c r="X46" s="43"/>
      <c r="Y46" s="37" t="str">
        <f t="shared" si="17"/>
        <v/>
      </c>
      <c r="Z46" s="38" t="str">
        <f t="shared" si="18"/>
        <v/>
      </c>
      <c r="AA46" s="40" t="str">
        <f t="shared" si="19"/>
        <v/>
      </c>
      <c r="AB46" s="38">
        <f t="shared" si="20"/>
        <v>6.7</v>
      </c>
      <c r="AC46" s="39" t="str">
        <f t="shared" si="21"/>
        <v>Não</v>
      </c>
      <c r="AD46" s="39" t="str">
        <f t="shared" si="22"/>
        <v>Não material</v>
      </c>
      <c r="AE46" s="37">
        <f t="shared" si="23"/>
        <v>48</v>
      </c>
      <c r="AF46" s="35" t="s">
        <v>740</v>
      </c>
      <c r="AG46" s="35" t="s">
        <v>307</v>
      </c>
      <c r="AH46" s="37">
        <f>IF(A46="","",COUNTIF(Evidencias!$B$5:$B$115,A46))</f>
        <v>1</v>
      </c>
      <c r="AI46" s="39" t="str">
        <f t="shared" si="24"/>
        <v>OK</v>
      </c>
      <c r="AJ46" s="35" t="s">
        <v>741</v>
      </c>
      <c r="AK46" s="35"/>
      <c r="AL46" s="35"/>
      <c r="AM46" s="35"/>
      <c r="AN46" s="35"/>
      <c r="AO46" s="35"/>
      <c r="AP46" s="35"/>
      <c r="AQ46" s="35"/>
      <c r="AR46" s="35" t="s">
        <v>742</v>
      </c>
      <c r="AS46" s="35" t="s">
        <v>264</v>
      </c>
      <c r="AT46" s="35" t="s">
        <v>427</v>
      </c>
      <c r="AU46" s="36">
        <v>46289</v>
      </c>
      <c r="AV46" s="45">
        <f t="shared" si="25"/>
        <v>46654</v>
      </c>
      <c r="AW46" s="35"/>
    </row>
    <row r="47" spans="1:49" ht="60" customHeight="1" x14ac:dyDescent="0.3">
      <c r="A47" s="35" t="s">
        <v>743</v>
      </c>
      <c r="B47" s="35" t="s">
        <v>317</v>
      </c>
      <c r="C47" s="39" t="str">
        <f>IF(B47="","",IFERROR(INDEX(Temas!$E$5:$E$40,MATCH(B47,Temas!$A$5:$A$40,0)),"ID_Tema não encontrado"))</f>
        <v>Relação com a comunidade local</v>
      </c>
      <c r="D47" s="39" t="str">
        <f>IF(B47="","",IFERROR(INDEX(Temas!$B$5:$B$40,MATCH(B47,Temas!$A$5:$A$40,0)),""))</f>
        <v>Social</v>
      </c>
      <c r="E47" s="39" t="str">
        <f>IF(B47="","",IFERROR(INDEX(Temas!$C$5:$C$40,MATCH(B47,Temas!$A$5:$A$40,0)),""))</f>
        <v>S3 Comunidades afetadas</v>
      </c>
      <c r="F47" s="35" t="s">
        <v>414</v>
      </c>
      <c r="G47" s="39" t="str">
        <f t="shared" si="13"/>
        <v>Impacto</v>
      </c>
      <c r="H47" s="35" t="s">
        <v>744</v>
      </c>
      <c r="I47" s="35" t="s">
        <v>416</v>
      </c>
      <c r="J47" s="35" t="s">
        <v>151</v>
      </c>
      <c r="K47" s="35" t="s">
        <v>146</v>
      </c>
      <c r="L47" s="35" t="s">
        <v>745</v>
      </c>
      <c r="M47" s="35" t="s">
        <v>418</v>
      </c>
      <c r="N47" s="43">
        <v>2</v>
      </c>
      <c r="O47" s="43">
        <v>2</v>
      </c>
      <c r="P47" s="43">
        <v>1</v>
      </c>
      <c r="Q47" s="43"/>
      <c r="R47" s="41">
        <f t="shared" si="14"/>
        <v>1.67</v>
      </c>
      <c r="S47" s="37">
        <f t="shared" si="15"/>
        <v>5</v>
      </c>
      <c r="T47" s="38">
        <f t="shared" si="16"/>
        <v>8.4</v>
      </c>
      <c r="U47" s="35"/>
      <c r="V47" s="35"/>
      <c r="W47" s="44"/>
      <c r="X47" s="43"/>
      <c r="Y47" s="37" t="str">
        <f t="shared" si="17"/>
        <v/>
      </c>
      <c r="Z47" s="38" t="str">
        <f t="shared" si="18"/>
        <v/>
      </c>
      <c r="AA47" s="40" t="str">
        <f t="shared" si="19"/>
        <v/>
      </c>
      <c r="AB47" s="38">
        <f t="shared" si="20"/>
        <v>8.4</v>
      </c>
      <c r="AC47" s="39" t="str">
        <f t="shared" si="21"/>
        <v>Não</v>
      </c>
      <c r="AD47" s="39" t="str">
        <f t="shared" si="22"/>
        <v>Não material</v>
      </c>
      <c r="AE47" s="37">
        <f t="shared" si="23"/>
        <v>41</v>
      </c>
      <c r="AF47" s="35" t="s">
        <v>746</v>
      </c>
      <c r="AG47" s="35" t="s">
        <v>211</v>
      </c>
      <c r="AH47" s="37">
        <f>IF(A47="","",COUNTIF(Evidencias!$B$5:$B$115,A47))</f>
        <v>1</v>
      </c>
      <c r="AI47" s="39" t="str">
        <f t="shared" si="24"/>
        <v>OK</v>
      </c>
      <c r="AJ47" s="35" t="s">
        <v>747</v>
      </c>
      <c r="AK47" s="35" t="s">
        <v>748</v>
      </c>
      <c r="AL47" s="35" t="s">
        <v>749</v>
      </c>
      <c r="AM47" s="35" t="s">
        <v>750</v>
      </c>
      <c r="AN47" s="35" t="s">
        <v>751</v>
      </c>
      <c r="AO47" s="35"/>
      <c r="AP47" s="35"/>
      <c r="AQ47" s="35" t="s">
        <v>752</v>
      </c>
      <c r="AR47" s="35" t="s">
        <v>753</v>
      </c>
      <c r="AS47" s="35" t="s">
        <v>196</v>
      </c>
      <c r="AT47" s="35" t="s">
        <v>427</v>
      </c>
      <c r="AU47" s="36">
        <v>46289</v>
      </c>
      <c r="AV47" s="45">
        <f t="shared" si="25"/>
        <v>46654</v>
      </c>
      <c r="AW47" s="35" t="s">
        <v>754</v>
      </c>
    </row>
    <row r="48" spans="1:49" ht="60" customHeight="1" x14ac:dyDescent="0.3">
      <c r="A48" s="35" t="s">
        <v>755</v>
      </c>
      <c r="B48" s="35" t="s">
        <v>317</v>
      </c>
      <c r="C48" s="39" t="str">
        <f>IF(B48="","",IFERROR(INDEX(Temas!$E$5:$E$40,MATCH(B48,Temas!$A$5:$A$40,0)),"ID_Tema não encontrado"))</f>
        <v>Relação com a comunidade local</v>
      </c>
      <c r="D48" s="39" t="str">
        <f>IF(B48="","",IFERROR(INDEX(Temas!$B$5:$B$40,MATCH(B48,Temas!$A$5:$A$40,0)),""))</f>
        <v>Social</v>
      </c>
      <c r="E48" s="39" t="str">
        <f>IF(B48="","",IFERROR(INDEX(Temas!$C$5:$C$40,MATCH(B48,Temas!$A$5:$A$40,0)),""))</f>
        <v>S3 Comunidades afetadas</v>
      </c>
      <c r="F48" s="35" t="s">
        <v>414</v>
      </c>
      <c r="G48" s="39" t="str">
        <f t="shared" si="13"/>
        <v>Impacto</v>
      </c>
      <c r="H48" s="35" t="s">
        <v>756</v>
      </c>
      <c r="I48" s="35" t="s">
        <v>533</v>
      </c>
      <c r="J48" s="35" t="s">
        <v>151</v>
      </c>
      <c r="K48" s="35" t="s">
        <v>147</v>
      </c>
      <c r="L48" s="35" t="s">
        <v>757</v>
      </c>
      <c r="M48" s="35" t="s">
        <v>693</v>
      </c>
      <c r="N48" s="43">
        <v>4</v>
      </c>
      <c r="O48" s="43">
        <v>3</v>
      </c>
      <c r="P48" s="43">
        <v>4</v>
      </c>
      <c r="Q48" s="43">
        <v>2</v>
      </c>
      <c r="R48" s="41">
        <f t="shared" si="14"/>
        <v>3.67</v>
      </c>
      <c r="S48" s="37">
        <f t="shared" si="15"/>
        <v>2</v>
      </c>
      <c r="T48" s="38">
        <f t="shared" si="16"/>
        <v>7.3</v>
      </c>
      <c r="U48" s="35"/>
      <c r="V48" s="35"/>
      <c r="W48" s="44"/>
      <c r="X48" s="43"/>
      <c r="Y48" s="37" t="str">
        <f t="shared" si="17"/>
        <v/>
      </c>
      <c r="Z48" s="38" t="str">
        <f t="shared" si="18"/>
        <v/>
      </c>
      <c r="AA48" s="40" t="str">
        <f t="shared" si="19"/>
        <v/>
      </c>
      <c r="AB48" s="38">
        <f t="shared" si="20"/>
        <v>7.3</v>
      </c>
      <c r="AC48" s="39" t="str">
        <f t="shared" si="21"/>
        <v>Não</v>
      </c>
      <c r="AD48" s="39" t="str">
        <f t="shared" si="22"/>
        <v>Não material</v>
      </c>
      <c r="AE48" s="37">
        <f t="shared" si="23"/>
        <v>46</v>
      </c>
      <c r="AF48" s="35" t="s">
        <v>758</v>
      </c>
      <c r="AG48" s="35" t="s">
        <v>211</v>
      </c>
      <c r="AH48" s="37">
        <f>IF(A48="","",COUNTIF(Evidencias!$B$5:$B$115,A48))</f>
        <v>1</v>
      </c>
      <c r="AI48" s="39" t="str">
        <f t="shared" si="24"/>
        <v>OK</v>
      </c>
      <c r="AJ48" s="35" t="s">
        <v>508</v>
      </c>
      <c r="AK48" s="35" t="s">
        <v>509</v>
      </c>
      <c r="AL48" s="35" t="s">
        <v>510</v>
      </c>
      <c r="AM48" s="35" t="s">
        <v>511</v>
      </c>
      <c r="AN48" s="35" t="s">
        <v>512</v>
      </c>
      <c r="AO48" s="35"/>
      <c r="AP48" s="35"/>
      <c r="AQ48" s="35"/>
      <c r="AR48" s="35"/>
      <c r="AS48" s="35" t="s">
        <v>204</v>
      </c>
      <c r="AT48" s="35" t="s">
        <v>427</v>
      </c>
      <c r="AU48" s="36">
        <v>46289</v>
      </c>
      <c r="AV48" s="45">
        <f t="shared" si="25"/>
        <v>46654</v>
      </c>
      <c r="AW48" s="35"/>
    </row>
    <row r="49" spans="1:49" ht="60" customHeight="1" x14ac:dyDescent="0.3">
      <c r="A49" s="35" t="s">
        <v>759</v>
      </c>
      <c r="B49" s="35" t="s">
        <v>317</v>
      </c>
      <c r="C49" s="39" t="str">
        <f>IF(B49="","",IFERROR(INDEX(Temas!$E$5:$E$40,MATCH(B49,Temas!$A$5:$A$40,0)),"ID_Tema não encontrado"))</f>
        <v>Relação com a comunidade local</v>
      </c>
      <c r="D49" s="39" t="str">
        <f>IF(B49="","",IFERROR(INDEX(Temas!$B$5:$B$40,MATCH(B49,Temas!$A$5:$A$40,0)),""))</f>
        <v>Social</v>
      </c>
      <c r="E49" s="39" t="str">
        <f>IF(B49="","",IFERROR(INDEX(Temas!$C$5:$C$40,MATCH(B49,Temas!$A$5:$A$40,0)),""))</f>
        <v>S3 Comunidades afetadas</v>
      </c>
      <c r="F49" s="35" t="s">
        <v>647</v>
      </c>
      <c r="G49" s="39" t="str">
        <f t="shared" si="13"/>
        <v>Impacto</v>
      </c>
      <c r="H49" s="35" t="s">
        <v>760</v>
      </c>
      <c r="I49" s="35" t="s">
        <v>416</v>
      </c>
      <c r="J49" s="35" t="s">
        <v>151</v>
      </c>
      <c r="K49" s="35" t="s">
        <v>146</v>
      </c>
      <c r="L49" s="35" t="s">
        <v>761</v>
      </c>
      <c r="M49" s="35" t="s">
        <v>418</v>
      </c>
      <c r="N49" s="43">
        <v>3</v>
      </c>
      <c r="O49" s="43">
        <v>2</v>
      </c>
      <c r="P49" s="43"/>
      <c r="Q49" s="43"/>
      <c r="R49" s="41">
        <f t="shared" si="14"/>
        <v>2.5</v>
      </c>
      <c r="S49" s="37">
        <f t="shared" si="15"/>
        <v>5</v>
      </c>
      <c r="T49" s="38">
        <f t="shared" si="16"/>
        <v>12.5</v>
      </c>
      <c r="U49" s="35"/>
      <c r="V49" s="35"/>
      <c r="W49" s="44"/>
      <c r="X49" s="43"/>
      <c r="Y49" s="37" t="str">
        <f t="shared" si="17"/>
        <v/>
      </c>
      <c r="Z49" s="38" t="str">
        <f t="shared" si="18"/>
        <v/>
      </c>
      <c r="AA49" s="40" t="str">
        <f t="shared" si="19"/>
        <v/>
      </c>
      <c r="AB49" s="38">
        <f t="shared" si="20"/>
        <v>12.5</v>
      </c>
      <c r="AC49" s="39" t="str">
        <f t="shared" si="21"/>
        <v>Sim</v>
      </c>
      <c r="AD49" s="39" t="str">
        <f t="shared" si="22"/>
        <v>Material — impacto</v>
      </c>
      <c r="AE49" s="37">
        <f t="shared" si="23"/>
        <v>17</v>
      </c>
      <c r="AF49" s="35" t="s">
        <v>762</v>
      </c>
      <c r="AG49" s="35" t="s">
        <v>194</v>
      </c>
      <c r="AH49" s="37">
        <f>IF(A49="","",COUNTIF(Evidencias!$B$5:$B$115,A49))</f>
        <v>1</v>
      </c>
      <c r="AI49" s="39" t="str">
        <f t="shared" si="24"/>
        <v>OK</v>
      </c>
      <c r="AJ49" s="35"/>
      <c r="AK49" s="35"/>
      <c r="AL49" s="35"/>
      <c r="AM49" s="35"/>
      <c r="AN49" s="35"/>
      <c r="AO49" s="35"/>
      <c r="AP49" s="35"/>
      <c r="AQ49" s="35"/>
      <c r="AR49" s="35"/>
      <c r="AS49" s="35" t="s">
        <v>345</v>
      </c>
      <c r="AT49" s="35" t="s">
        <v>427</v>
      </c>
      <c r="AU49" s="36">
        <v>46289</v>
      </c>
      <c r="AV49" s="45">
        <f t="shared" si="25"/>
        <v>46470</v>
      </c>
      <c r="AW49" s="35"/>
    </row>
    <row r="50" spans="1:49" ht="60" customHeight="1" x14ac:dyDescent="0.3">
      <c r="A50" s="35" t="s">
        <v>763</v>
      </c>
      <c r="B50" s="35" t="s">
        <v>324</v>
      </c>
      <c r="C50" s="39" t="str">
        <f>IF(B50="","",IFERROR(INDEX(Temas!$E$5:$E$40,MATCH(B50,Temas!$A$5:$A$40,0)),"ID_Tema não encontrado"))</f>
        <v>Segurança do produto (contacto alimentar, farmacêutico e cosmético)</v>
      </c>
      <c r="D50" s="39" t="str">
        <f>IF(B50="","",IFERROR(INDEX(Temas!$B$5:$B$40,MATCH(B50,Temas!$A$5:$A$40,0)),""))</f>
        <v>Social</v>
      </c>
      <c r="E50" s="39" t="str">
        <f>IF(B50="","",IFERROR(INDEX(Temas!$C$5:$C$40,MATCH(B50,Temas!$A$5:$A$40,0)),""))</f>
        <v>S4 Consumidores e utilizadores finais</v>
      </c>
      <c r="F50" s="35" t="s">
        <v>414</v>
      </c>
      <c r="G50" s="39" t="str">
        <f t="shared" si="13"/>
        <v>Impacto</v>
      </c>
      <c r="H50" s="35" t="s">
        <v>764</v>
      </c>
      <c r="I50" s="35" t="s">
        <v>533</v>
      </c>
      <c r="J50" s="35" t="s">
        <v>153</v>
      </c>
      <c r="K50" s="35" t="s">
        <v>146</v>
      </c>
      <c r="L50" s="35" t="s">
        <v>765</v>
      </c>
      <c r="M50" s="35" t="s">
        <v>693</v>
      </c>
      <c r="N50" s="43">
        <v>5</v>
      </c>
      <c r="O50" s="43">
        <v>4</v>
      </c>
      <c r="P50" s="43">
        <v>3</v>
      </c>
      <c r="Q50" s="43">
        <v>2</v>
      </c>
      <c r="R50" s="41">
        <f t="shared" si="14"/>
        <v>4</v>
      </c>
      <c r="S50" s="37">
        <f t="shared" si="15"/>
        <v>5</v>
      </c>
      <c r="T50" s="38">
        <f t="shared" si="16"/>
        <v>20</v>
      </c>
      <c r="U50" s="35"/>
      <c r="V50" s="35"/>
      <c r="W50" s="44"/>
      <c r="X50" s="43"/>
      <c r="Y50" s="37" t="str">
        <f t="shared" si="17"/>
        <v/>
      </c>
      <c r="Z50" s="38" t="str">
        <f t="shared" si="18"/>
        <v/>
      </c>
      <c r="AA50" s="40" t="str">
        <f t="shared" si="19"/>
        <v/>
      </c>
      <c r="AB50" s="38">
        <f t="shared" si="20"/>
        <v>20</v>
      </c>
      <c r="AC50" s="39" t="str">
        <f t="shared" si="21"/>
        <v>Sim</v>
      </c>
      <c r="AD50" s="39" t="str">
        <f t="shared" si="22"/>
        <v>Material — impacto</v>
      </c>
      <c r="AE50" s="37">
        <f t="shared" si="23"/>
        <v>4</v>
      </c>
      <c r="AF50" s="35" t="s">
        <v>766</v>
      </c>
      <c r="AG50" s="35" t="s">
        <v>211</v>
      </c>
      <c r="AH50" s="37">
        <f>IF(A50="","",COUNTIF(Evidencias!$B$5:$B$115,A50))</f>
        <v>1</v>
      </c>
      <c r="AI50" s="39" t="str">
        <f t="shared" si="24"/>
        <v>OK</v>
      </c>
      <c r="AJ50" s="35"/>
      <c r="AK50" s="35"/>
      <c r="AL50" s="35" t="s">
        <v>767</v>
      </c>
      <c r="AM50" s="35"/>
      <c r="AN50" s="35"/>
      <c r="AO50" s="35"/>
      <c r="AP50" s="35"/>
      <c r="AQ50" s="35"/>
      <c r="AR50" s="35" t="s">
        <v>768</v>
      </c>
      <c r="AS50" s="35" t="s">
        <v>329</v>
      </c>
      <c r="AT50" s="35" t="s">
        <v>427</v>
      </c>
      <c r="AU50" s="36">
        <v>46289</v>
      </c>
      <c r="AV50" s="45">
        <f t="shared" si="25"/>
        <v>46470</v>
      </c>
      <c r="AW50" s="35" t="s">
        <v>769</v>
      </c>
    </row>
    <row r="51" spans="1:49" ht="60" customHeight="1" x14ac:dyDescent="0.3">
      <c r="A51" s="35" t="s">
        <v>770</v>
      </c>
      <c r="B51" s="35" t="s">
        <v>324</v>
      </c>
      <c r="C51" s="39" t="str">
        <f>IF(B51="","",IFERROR(INDEX(Temas!$E$5:$E$40,MATCH(B51,Temas!$A$5:$A$40,0)),"ID_Tema não encontrado"))</f>
        <v>Segurança do produto (contacto alimentar, farmacêutico e cosmético)</v>
      </c>
      <c r="D51" s="39" t="str">
        <f>IF(B51="","",IFERROR(INDEX(Temas!$B$5:$B$40,MATCH(B51,Temas!$A$5:$A$40,0)),""))</f>
        <v>Social</v>
      </c>
      <c r="E51" s="39" t="str">
        <f>IF(B51="","",IFERROR(INDEX(Temas!$C$5:$C$40,MATCH(B51,Temas!$A$5:$A$40,0)),""))</f>
        <v>S4 Consumidores e utilizadores finais</v>
      </c>
      <c r="F51" s="35" t="s">
        <v>444</v>
      </c>
      <c r="G51" s="39" t="str">
        <f t="shared" si="13"/>
        <v>Financeira</v>
      </c>
      <c r="H51" s="35" t="s">
        <v>771</v>
      </c>
      <c r="I51" s="35"/>
      <c r="J51" s="35" t="s">
        <v>153</v>
      </c>
      <c r="K51" s="35" t="s">
        <v>146</v>
      </c>
      <c r="L51" s="35"/>
      <c r="M51" s="35"/>
      <c r="N51" s="43"/>
      <c r="O51" s="43"/>
      <c r="P51" s="43"/>
      <c r="Q51" s="43"/>
      <c r="R51" s="41" t="str">
        <f t="shared" si="14"/>
        <v/>
      </c>
      <c r="S51" s="37" t="str">
        <f t="shared" si="15"/>
        <v/>
      </c>
      <c r="T51" s="38" t="str">
        <f t="shared" si="16"/>
        <v/>
      </c>
      <c r="U51" s="35" t="s">
        <v>772</v>
      </c>
      <c r="V51" s="35" t="s">
        <v>447</v>
      </c>
      <c r="W51" s="44">
        <v>300000</v>
      </c>
      <c r="X51" s="43">
        <v>3</v>
      </c>
      <c r="Y51" s="37">
        <f t="shared" si="17"/>
        <v>5</v>
      </c>
      <c r="Z51" s="38">
        <f t="shared" si="18"/>
        <v>15</v>
      </c>
      <c r="AA51" s="40">
        <f t="shared" si="19"/>
        <v>-120000</v>
      </c>
      <c r="AB51" s="38">
        <f t="shared" si="20"/>
        <v>15</v>
      </c>
      <c r="AC51" s="39" t="str">
        <f t="shared" si="21"/>
        <v>Sim</v>
      </c>
      <c r="AD51" s="39" t="str">
        <f t="shared" si="22"/>
        <v>Material — financeiro</v>
      </c>
      <c r="AE51" s="37">
        <f t="shared" si="23"/>
        <v>13</v>
      </c>
      <c r="AF51" s="35" t="s">
        <v>773</v>
      </c>
      <c r="AG51" s="35" t="s">
        <v>211</v>
      </c>
      <c r="AH51" s="37">
        <f>IF(A51="","",COUNTIF(Evidencias!$B$5:$B$115,A51))</f>
        <v>1</v>
      </c>
      <c r="AI51" s="39" t="str">
        <f t="shared" si="24"/>
        <v>OK</v>
      </c>
      <c r="AJ51" s="35"/>
      <c r="AK51" s="35"/>
      <c r="AL51" s="35" t="s">
        <v>774</v>
      </c>
      <c r="AM51" s="35"/>
      <c r="AN51" s="35"/>
      <c r="AO51" s="35"/>
      <c r="AP51" s="35"/>
      <c r="AQ51" s="35"/>
      <c r="AR51" s="35"/>
      <c r="AS51" s="35" t="s">
        <v>329</v>
      </c>
      <c r="AT51" s="35" t="s">
        <v>427</v>
      </c>
      <c r="AU51" s="36">
        <v>46289</v>
      </c>
      <c r="AV51" s="45">
        <f t="shared" si="25"/>
        <v>46470</v>
      </c>
      <c r="AW51" s="35"/>
    </row>
    <row r="52" spans="1:49" ht="60" customHeight="1" x14ac:dyDescent="0.3">
      <c r="A52" s="35" t="s">
        <v>775</v>
      </c>
      <c r="B52" s="35" t="s">
        <v>331</v>
      </c>
      <c r="C52" s="39" t="str">
        <f>IF(B52="","",IFERROR(INDEX(Temas!$E$5:$E$40,MATCH(B52,Temas!$A$5:$A$40,0)),"ID_Tema não encontrado"))</f>
        <v>Alegações ambientais e informação ao cliente</v>
      </c>
      <c r="D52" s="39" t="str">
        <f>IF(B52="","",IFERROR(INDEX(Temas!$B$5:$B$40,MATCH(B52,Temas!$A$5:$A$40,0)),""))</f>
        <v>Social</v>
      </c>
      <c r="E52" s="39" t="str">
        <f>IF(B52="","",IFERROR(INDEX(Temas!$C$5:$C$40,MATCH(B52,Temas!$A$5:$A$40,0)),""))</f>
        <v>S4 Consumidores e utilizadores finais</v>
      </c>
      <c r="F52" s="35" t="s">
        <v>414</v>
      </c>
      <c r="G52" s="39" t="str">
        <f t="shared" si="13"/>
        <v>Impacto</v>
      </c>
      <c r="H52" s="35" t="s">
        <v>776</v>
      </c>
      <c r="I52" s="35" t="s">
        <v>533</v>
      </c>
      <c r="J52" s="35" t="s">
        <v>153</v>
      </c>
      <c r="K52" s="35" t="s">
        <v>146</v>
      </c>
      <c r="L52" s="35" t="s">
        <v>777</v>
      </c>
      <c r="M52" s="35" t="s">
        <v>418</v>
      </c>
      <c r="N52" s="43">
        <v>2</v>
      </c>
      <c r="O52" s="43">
        <v>4</v>
      </c>
      <c r="P52" s="43">
        <v>1</v>
      </c>
      <c r="Q52" s="43">
        <v>3</v>
      </c>
      <c r="R52" s="41">
        <f t="shared" si="14"/>
        <v>2.33</v>
      </c>
      <c r="S52" s="37">
        <f t="shared" si="15"/>
        <v>3</v>
      </c>
      <c r="T52" s="38">
        <f t="shared" si="16"/>
        <v>7</v>
      </c>
      <c r="U52" s="35"/>
      <c r="V52" s="35"/>
      <c r="W52" s="44"/>
      <c r="X52" s="43"/>
      <c r="Y52" s="37" t="str">
        <f t="shared" si="17"/>
        <v/>
      </c>
      <c r="Z52" s="38" t="str">
        <f t="shared" si="18"/>
        <v/>
      </c>
      <c r="AA52" s="40" t="str">
        <f t="shared" si="19"/>
        <v/>
      </c>
      <c r="AB52" s="38">
        <f t="shared" si="20"/>
        <v>7</v>
      </c>
      <c r="AC52" s="39" t="str">
        <f t="shared" si="21"/>
        <v>Não</v>
      </c>
      <c r="AD52" s="39" t="str">
        <f t="shared" si="22"/>
        <v>Não material</v>
      </c>
      <c r="AE52" s="37">
        <f t="shared" si="23"/>
        <v>47</v>
      </c>
      <c r="AF52" s="35" t="s">
        <v>778</v>
      </c>
      <c r="AG52" s="35" t="s">
        <v>211</v>
      </c>
      <c r="AH52" s="37">
        <f>IF(A52="","",COUNTIF(Evidencias!$B$5:$B$115,A52))</f>
        <v>1</v>
      </c>
      <c r="AI52" s="39" t="str">
        <f t="shared" si="24"/>
        <v>OK</v>
      </c>
      <c r="AJ52" s="35" t="s">
        <v>779</v>
      </c>
      <c r="AK52" s="35" t="s">
        <v>621</v>
      </c>
      <c r="AL52" s="35"/>
      <c r="AM52" s="35"/>
      <c r="AN52" s="35"/>
      <c r="AO52" s="35"/>
      <c r="AP52" s="35"/>
      <c r="AQ52" s="35"/>
      <c r="AR52" s="35"/>
      <c r="AS52" s="35" t="s">
        <v>241</v>
      </c>
      <c r="AT52" s="35" t="s">
        <v>427</v>
      </c>
      <c r="AU52" s="36">
        <v>46289</v>
      </c>
      <c r="AV52" s="45">
        <f t="shared" si="25"/>
        <v>46654</v>
      </c>
      <c r="AW52" s="35"/>
    </row>
    <row r="53" spans="1:49" ht="60" customHeight="1" x14ac:dyDescent="0.3">
      <c r="A53" s="35" t="s">
        <v>780</v>
      </c>
      <c r="B53" s="35" t="s">
        <v>331</v>
      </c>
      <c r="C53" s="39" t="str">
        <f>IF(B53="","",IFERROR(INDEX(Temas!$E$5:$E$40,MATCH(B53,Temas!$A$5:$A$40,0)),"ID_Tema não encontrado"))</f>
        <v>Alegações ambientais e informação ao cliente</v>
      </c>
      <c r="D53" s="39" t="str">
        <f>IF(B53="","",IFERROR(INDEX(Temas!$B$5:$B$40,MATCH(B53,Temas!$A$5:$A$40,0)),""))</f>
        <v>Social</v>
      </c>
      <c r="E53" s="39" t="str">
        <f>IF(B53="","",IFERROR(INDEX(Temas!$C$5:$C$40,MATCH(B53,Temas!$A$5:$A$40,0)),""))</f>
        <v>S4 Consumidores e utilizadores finais</v>
      </c>
      <c r="F53" s="35" t="s">
        <v>444</v>
      </c>
      <c r="G53" s="39" t="str">
        <f t="shared" si="13"/>
        <v>Financeira</v>
      </c>
      <c r="H53" s="35" t="s">
        <v>781</v>
      </c>
      <c r="I53" s="35"/>
      <c r="J53" s="35" t="s">
        <v>153</v>
      </c>
      <c r="K53" s="35" t="s">
        <v>146</v>
      </c>
      <c r="L53" s="35"/>
      <c r="M53" s="35"/>
      <c r="N53" s="43"/>
      <c r="O53" s="43"/>
      <c r="P53" s="43"/>
      <c r="Q53" s="43"/>
      <c r="R53" s="41" t="str">
        <f t="shared" si="14"/>
        <v/>
      </c>
      <c r="S53" s="37" t="str">
        <f t="shared" si="15"/>
        <v/>
      </c>
      <c r="T53" s="38" t="str">
        <f t="shared" si="16"/>
        <v/>
      </c>
      <c r="U53" s="35" t="s">
        <v>782</v>
      </c>
      <c r="V53" s="35" t="s">
        <v>528</v>
      </c>
      <c r="W53" s="44">
        <v>50000</v>
      </c>
      <c r="X53" s="43">
        <v>3</v>
      </c>
      <c r="Y53" s="37">
        <f t="shared" si="17"/>
        <v>3</v>
      </c>
      <c r="Z53" s="38">
        <f t="shared" si="18"/>
        <v>9</v>
      </c>
      <c r="AA53" s="40">
        <f t="shared" si="19"/>
        <v>-20000</v>
      </c>
      <c r="AB53" s="38">
        <f t="shared" si="20"/>
        <v>9</v>
      </c>
      <c r="AC53" s="39" t="str">
        <f t="shared" si="21"/>
        <v>Não</v>
      </c>
      <c r="AD53" s="39" t="str">
        <f t="shared" si="22"/>
        <v>Não material</v>
      </c>
      <c r="AE53" s="37">
        <f t="shared" si="23"/>
        <v>40</v>
      </c>
      <c r="AF53" s="35" t="s">
        <v>779</v>
      </c>
      <c r="AG53" s="35" t="s">
        <v>211</v>
      </c>
      <c r="AH53" s="37">
        <f>IF(A53="","",COUNTIF(Evidencias!$B$5:$B$115,A53))</f>
        <v>1</v>
      </c>
      <c r="AI53" s="39" t="str">
        <f t="shared" si="24"/>
        <v>OK</v>
      </c>
      <c r="AJ53" s="35" t="s">
        <v>779</v>
      </c>
      <c r="AK53" s="35" t="s">
        <v>621</v>
      </c>
      <c r="AL53" s="35" t="s">
        <v>622</v>
      </c>
      <c r="AM53" s="35"/>
      <c r="AN53" s="35"/>
      <c r="AO53" s="35"/>
      <c r="AP53" s="35"/>
      <c r="AQ53" s="35" t="s">
        <v>623</v>
      </c>
      <c r="AR53" s="35"/>
      <c r="AS53" s="35" t="s">
        <v>241</v>
      </c>
      <c r="AT53" s="35" t="s">
        <v>427</v>
      </c>
      <c r="AU53" s="36">
        <v>46289</v>
      </c>
      <c r="AV53" s="45">
        <f t="shared" si="25"/>
        <v>46654</v>
      </c>
      <c r="AW53" s="35"/>
    </row>
    <row r="54" spans="1:49" ht="60" customHeight="1" x14ac:dyDescent="0.3">
      <c r="A54" s="35" t="s">
        <v>783</v>
      </c>
      <c r="B54" s="35" t="s">
        <v>338</v>
      </c>
      <c r="C54" s="39" t="str">
        <f>IF(B54="","",IFERROR(INDEX(Temas!$E$5:$E$40,MATCH(B54,Temas!$A$5:$A$40,0)),"ID_Tema não encontrado"))</f>
        <v>Conformidade legal e conduta ética</v>
      </c>
      <c r="D54" s="39" t="str">
        <f>IF(B54="","",IFERROR(INDEX(Temas!$B$5:$B$40,MATCH(B54,Temas!$A$5:$A$40,0)),""))</f>
        <v>Governança</v>
      </c>
      <c r="E54" s="39" t="str">
        <f>IF(B54="","",IFERROR(INDEX(Temas!$C$5:$C$40,MATCH(B54,Temas!$A$5:$A$40,0)),""))</f>
        <v>G1 Conduta empresarial</v>
      </c>
      <c r="F54" s="35" t="s">
        <v>444</v>
      </c>
      <c r="G54" s="39" t="str">
        <f t="shared" si="13"/>
        <v>Financeira</v>
      </c>
      <c r="H54" s="35" t="s">
        <v>784</v>
      </c>
      <c r="I54" s="35"/>
      <c r="J54" s="35" t="s">
        <v>151</v>
      </c>
      <c r="K54" s="35" t="s">
        <v>146</v>
      </c>
      <c r="L54" s="35"/>
      <c r="M54" s="35"/>
      <c r="N54" s="43"/>
      <c r="O54" s="43"/>
      <c r="P54" s="43"/>
      <c r="Q54" s="43"/>
      <c r="R54" s="41" t="str">
        <f t="shared" si="14"/>
        <v/>
      </c>
      <c r="S54" s="37" t="str">
        <f t="shared" si="15"/>
        <v/>
      </c>
      <c r="T54" s="38" t="str">
        <f t="shared" si="16"/>
        <v/>
      </c>
      <c r="U54" s="35" t="s">
        <v>785</v>
      </c>
      <c r="V54" s="35" t="s">
        <v>528</v>
      </c>
      <c r="W54" s="44">
        <v>120000</v>
      </c>
      <c r="X54" s="43">
        <v>3</v>
      </c>
      <c r="Y54" s="37">
        <f t="shared" si="17"/>
        <v>4</v>
      </c>
      <c r="Z54" s="38">
        <f t="shared" si="18"/>
        <v>12</v>
      </c>
      <c r="AA54" s="40">
        <f t="shared" si="19"/>
        <v>-48000</v>
      </c>
      <c r="AB54" s="38">
        <f t="shared" si="20"/>
        <v>12</v>
      </c>
      <c r="AC54" s="39" t="str">
        <f t="shared" si="21"/>
        <v>Sim</v>
      </c>
      <c r="AD54" s="39" t="str">
        <f t="shared" si="22"/>
        <v>Material — financeiro</v>
      </c>
      <c r="AE54" s="37">
        <f t="shared" si="23"/>
        <v>25</v>
      </c>
      <c r="AF54" s="35" t="s">
        <v>786</v>
      </c>
      <c r="AG54" s="35" t="s">
        <v>194</v>
      </c>
      <c r="AH54" s="37">
        <f>IF(A54="","",COUNTIF(Evidencias!$B$5:$B$115,A54))</f>
        <v>1</v>
      </c>
      <c r="AI54" s="39" t="str">
        <f t="shared" si="24"/>
        <v>OK</v>
      </c>
      <c r="AJ54" s="35"/>
      <c r="AK54" s="35"/>
      <c r="AL54" s="35" t="s">
        <v>787</v>
      </c>
      <c r="AM54" s="35"/>
      <c r="AN54" s="35" t="s">
        <v>788</v>
      </c>
      <c r="AO54" s="35"/>
      <c r="AP54" s="35" t="s">
        <v>789</v>
      </c>
      <c r="AQ54" s="35"/>
      <c r="AR54" s="35" t="s">
        <v>790</v>
      </c>
      <c r="AS54" s="35" t="s">
        <v>196</v>
      </c>
      <c r="AT54" s="35" t="s">
        <v>427</v>
      </c>
      <c r="AU54" s="36">
        <v>46289</v>
      </c>
      <c r="AV54" s="45">
        <f t="shared" si="25"/>
        <v>46470</v>
      </c>
      <c r="AW54" s="35"/>
    </row>
    <row r="55" spans="1:49" ht="60" customHeight="1" x14ac:dyDescent="0.3">
      <c r="A55" s="35" t="s">
        <v>791</v>
      </c>
      <c r="B55" s="35" t="s">
        <v>338</v>
      </c>
      <c r="C55" s="39" t="str">
        <f>IF(B55="","",IFERROR(INDEX(Temas!$E$5:$E$40,MATCH(B55,Temas!$A$5:$A$40,0)),"ID_Tema não encontrado"))</f>
        <v>Conformidade legal e conduta ética</v>
      </c>
      <c r="D55" s="39" t="str">
        <f>IF(B55="","",IFERROR(INDEX(Temas!$B$5:$B$40,MATCH(B55,Temas!$A$5:$A$40,0)),""))</f>
        <v>Governança</v>
      </c>
      <c r="E55" s="39" t="str">
        <f>IF(B55="","",IFERROR(INDEX(Temas!$C$5:$C$40,MATCH(B55,Temas!$A$5:$A$40,0)),""))</f>
        <v>G1 Conduta empresarial</v>
      </c>
      <c r="F55" s="35" t="s">
        <v>414</v>
      </c>
      <c r="G55" s="39" t="str">
        <f t="shared" si="13"/>
        <v>Impacto</v>
      </c>
      <c r="H55" s="35" t="s">
        <v>792</v>
      </c>
      <c r="I55" s="35" t="s">
        <v>533</v>
      </c>
      <c r="J55" s="35" t="s">
        <v>150</v>
      </c>
      <c r="K55" s="35" t="s">
        <v>147</v>
      </c>
      <c r="L55" s="35" t="s">
        <v>793</v>
      </c>
      <c r="M55" s="35" t="s">
        <v>418</v>
      </c>
      <c r="N55" s="43">
        <v>2</v>
      </c>
      <c r="O55" s="43">
        <v>2</v>
      </c>
      <c r="P55" s="43">
        <v>2</v>
      </c>
      <c r="Q55" s="43">
        <v>1</v>
      </c>
      <c r="R55" s="41">
        <f t="shared" si="14"/>
        <v>2</v>
      </c>
      <c r="S55" s="37">
        <f t="shared" si="15"/>
        <v>1</v>
      </c>
      <c r="T55" s="38">
        <f t="shared" si="16"/>
        <v>2</v>
      </c>
      <c r="U55" s="35"/>
      <c r="V55" s="35"/>
      <c r="W55" s="44"/>
      <c r="X55" s="43"/>
      <c r="Y55" s="37" t="str">
        <f t="shared" si="17"/>
        <v/>
      </c>
      <c r="Z55" s="38" t="str">
        <f t="shared" si="18"/>
        <v/>
      </c>
      <c r="AA55" s="40" t="str">
        <f t="shared" si="19"/>
        <v/>
      </c>
      <c r="AB55" s="38">
        <f t="shared" si="20"/>
        <v>2</v>
      </c>
      <c r="AC55" s="39" t="str">
        <f t="shared" si="21"/>
        <v>Não</v>
      </c>
      <c r="AD55" s="39" t="str">
        <f t="shared" si="22"/>
        <v>Não material</v>
      </c>
      <c r="AE55" s="37">
        <f t="shared" si="23"/>
        <v>57</v>
      </c>
      <c r="AF55" s="35" t="s">
        <v>794</v>
      </c>
      <c r="AG55" s="35" t="s">
        <v>307</v>
      </c>
      <c r="AH55" s="37">
        <f>IF(A55="","",COUNTIF(Evidencias!$B$5:$B$115,A55))</f>
        <v>1</v>
      </c>
      <c r="AI55" s="39" t="str">
        <f t="shared" si="24"/>
        <v>OK</v>
      </c>
      <c r="AJ55" s="35"/>
      <c r="AK55" s="35"/>
      <c r="AL55" s="35"/>
      <c r="AM55" s="35"/>
      <c r="AN55" s="35"/>
      <c r="AO55" s="35"/>
      <c r="AP55" s="35"/>
      <c r="AQ55" s="35"/>
      <c r="AR55" s="35" t="s">
        <v>795</v>
      </c>
      <c r="AS55" s="35" t="s">
        <v>345</v>
      </c>
      <c r="AT55" s="35" t="s">
        <v>427</v>
      </c>
      <c r="AU55" s="36">
        <v>46289</v>
      </c>
      <c r="AV55" s="45">
        <f t="shared" si="25"/>
        <v>46654</v>
      </c>
      <c r="AW55" s="35"/>
    </row>
    <row r="56" spans="1:49" ht="60" customHeight="1" x14ac:dyDescent="0.3">
      <c r="A56" s="35" t="s">
        <v>796</v>
      </c>
      <c r="B56" s="35" t="s">
        <v>347</v>
      </c>
      <c r="C56" s="39" t="str">
        <f>IF(B56="","",IFERROR(INDEX(Temas!$E$5:$E$40,MATCH(B56,Temas!$A$5:$A$40,0)),"ID_Tema não encontrado"))</f>
        <v>Gestão e avaliação de fornecedores</v>
      </c>
      <c r="D56" s="39" t="str">
        <f>IF(B56="","",IFERROR(INDEX(Temas!$B$5:$B$40,MATCH(B56,Temas!$A$5:$A$40,0)),""))</f>
        <v>Governança</v>
      </c>
      <c r="E56" s="39" t="str">
        <f>IF(B56="","",IFERROR(INDEX(Temas!$C$5:$C$40,MATCH(B56,Temas!$A$5:$A$40,0)),""))</f>
        <v>G1 Conduta empresarial</v>
      </c>
      <c r="F56" s="35" t="s">
        <v>444</v>
      </c>
      <c r="G56" s="39" t="str">
        <f t="shared" si="13"/>
        <v>Financeira</v>
      </c>
      <c r="H56" s="35" t="s">
        <v>797</v>
      </c>
      <c r="I56" s="35"/>
      <c r="J56" s="35" t="s">
        <v>150</v>
      </c>
      <c r="K56" s="35" t="s">
        <v>146</v>
      </c>
      <c r="L56" s="35"/>
      <c r="M56" s="35"/>
      <c r="N56" s="43"/>
      <c r="O56" s="43"/>
      <c r="P56" s="43"/>
      <c r="Q56" s="43"/>
      <c r="R56" s="41" t="str">
        <f t="shared" si="14"/>
        <v/>
      </c>
      <c r="S56" s="37" t="str">
        <f t="shared" si="15"/>
        <v/>
      </c>
      <c r="T56" s="38" t="str">
        <f t="shared" si="16"/>
        <v/>
      </c>
      <c r="U56" s="35" t="s">
        <v>798</v>
      </c>
      <c r="V56" s="35" t="s">
        <v>467</v>
      </c>
      <c r="W56" s="44">
        <v>100000</v>
      </c>
      <c r="X56" s="43">
        <v>3</v>
      </c>
      <c r="Y56" s="37">
        <f t="shared" si="17"/>
        <v>4</v>
      </c>
      <c r="Z56" s="38">
        <f t="shared" si="18"/>
        <v>12</v>
      </c>
      <c r="AA56" s="40">
        <f t="shared" si="19"/>
        <v>-40000</v>
      </c>
      <c r="AB56" s="38">
        <f t="shared" si="20"/>
        <v>12</v>
      </c>
      <c r="AC56" s="39" t="str">
        <f t="shared" si="21"/>
        <v>Sim</v>
      </c>
      <c r="AD56" s="39" t="str">
        <f t="shared" si="22"/>
        <v>Material — financeiro</v>
      </c>
      <c r="AE56" s="37">
        <f t="shared" si="23"/>
        <v>26</v>
      </c>
      <c r="AF56" s="35" t="s">
        <v>799</v>
      </c>
      <c r="AG56" s="35" t="s">
        <v>194</v>
      </c>
      <c r="AH56" s="37">
        <f>IF(A56="","",COUNTIF(Evidencias!$B$5:$B$115,A56))</f>
        <v>1</v>
      </c>
      <c r="AI56" s="39" t="str">
        <f t="shared" si="24"/>
        <v>OK</v>
      </c>
      <c r="AJ56" s="35" t="s">
        <v>800</v>
      </c>
      <c r="AK56" s="35" t="s">
        <v>621</v>
      </c>
      <c r="AL56" s="35" t="s">
        <v>801</v>
      </c>
      <c r="AM56" s="35"/>
      <c r="AN56" s="35"/>
      <c r="AO56" s="35"/>
      <c r="AP56" s="35"/>
      <c r="AQ56" s="35" t="s">
        <v>623</v>
      </c>
      <c r="AR56" s="35" t="s">
        <v>802</v>
      </c>
      <c r="AS56" s="35" t="s">
        <v>264</v>
      </c>
      <c r="AT56" s="35" t="s">
        <v>427</v>
      </c>
      <c r="AU56" s="36">
        <v>46289</v>
      </c>
      <c r="AV56" s="45">
        <f t="shared" si="25"/>
        <v>46470</v>
      </c>
      <c r="AW56" s="35"/>
    </row>
    <row r="57" spans="1:49" ht="60" customHeight="1" x14ac:dyDescent="0.3">
      <c r="A57" s="35" t="s">
        <v>803</v>
      </c>
      <c r="B57" s="35" t="s">
        <v>347</v>
      </c>
      <c r="C57" s="39" t="str">
        <f>IF(B57="","",IFERROR(INDEX(Temas!$E$5:$E$40,MATCH(B57,Temas!$A$5:$A$40,0)),"ID_Tema não encontrado"))</f>
        <v>Gestão e avaliação de fornecedores</v>
      </c>
      <c r="D57" s="39" t="str">
        <f>IF(B57="","",IFERROR(INDEX(Temas!$B$5:$B$40,MATCH(B57,Temas!$A$5:$A$40,0)),""))</f>
        <v>Governança</v>
      </c>
      <c r="E57" s="39" t="str">
        <f>IF(B57="","",IFERROR(INDEX(Temas!$C$5:$C$40,MATCH(B57,Temas!$A$5:$A$40,0)),""))</f>
        <v>G1 Conduta empresarial</v>
      </c>
      <c r="F57" s="35" t="s">
        <v>647</v>
      </c>
      <c r="G57" s="39" t="str">
        <f t="shared" si="13"/>
        <v>Impacto</v>
      </c>
      <c r="H57" s="35" t="s">
        <v>804</v>
      </c>
      <c r="I57" s="35" t="s">
        <v>533</v>
      </c>
      <c r="J57" s="35" t="s">
        <v>150</v>
      </c>
      <c r="K57" s="35" t="s">
        <v>147</v>
      </c>
      <c r="L57" s="35" t="s">
        <v>805</v>
      </c>
      <c r="M57" s="35" t="s">
        <v>418</v>
      </c>
      <c r="N57" s="43">
        <v>2</v>
      </c>
      <c r="O57" s="43">
        <v>3</v>
      </c>
      <c r="P57" s="43"/>
      <c r="Q57" s="43">
        <v>3</v>
      </c>
      <c r="R57" s="41">
        <f t="shared" si="14"/>
        <v>2.5</v>
      </c>
      <c r="S57" s="37">
        <f t="shared" si="15"/>
        <v>3</v>
      </c>
      <c r="T57" s="38">
        <f t="shared" si="16"/>
        <v>7.5</v>
      </c>
      <c r="U57" s="35"/>
      <c r="V57" s="35"/>
      <c r="W57" s="44"/>
      <c r="X57" s="43"/>
      <c r="Y57" s="37" t="str">
        <f t="shared" si="17"/>
        <v/>
      </c>
      <c r="Z57" s="38" t="str">
        <f t="shared" si="18"/>
        <v/>
      </c>
      <c r="AA57" s="40" t="str">
        <f t="shared" si="19"/>
        <v/>
      </c>
      <c r="AB57" s="38">
        <f t="shared" si="20"/>
        <v>7.5</v>
      </c>
      <c r="AC57" s="39" t="str">
        <f t="shared" si="21"/>
        <v>Não</v>
      </c>
      <c r="AD57" s="39" t="str">
        <f t="shared" si="22"/>
        <v>Não material</v>
      </c>
      <c r="AE57" s="37">
        <f t="shared" si="23"/>
        <v>45</v>
      </c>
      <c r="AF57" s="35" t="s">
        <v>806</v>
      </c>
      <c r="AG57" s="35" t="s">
        <v>211</v>
      </c>
      <c r="AH57" s="37">
        <f>IF(A57="","",COUNTIF(Evidencias!$B$5:$B$115,A57))</f>
        <v>1</v>
      </c>
      <c r="AI57" s="39" t="str">
        <f t="shared" si="24"/>
        <v>OK</v>
      </c>
      <c r="AJ57" s="35"/>
      <c r="AK57" s="35"/>
      <c r="AL57" s="35"/>
      <c r="AM57" s="35"/>
      <c r="AN57" s="35"/>
      <c r="AO57" s="35"/>
      <c r="AP57" s="35"/>
      <c r="AQ57" s="35" t="s">
        <v>623</v>
      </c>
      <c r="AR57" s="35"/>
      <c r="AS57" s="35" t="s">
        <v>264</v>
      </c>
      <c r="AT57" s="35" t="s">
        <v>427</v>
      </c>
      <c r="AU57" s="36">
        <v>46289</v>
      </c>
      <c r="AV57" s="45">
        <f t="shared" si="25"/>
        <v>46654</v>
      </c>
      <c r="AW57" s="35"/>
    </row>
    <row r="58" spans="1:49" ht="60" customHeight="1" x14ac:dyDescent="0.3">
      <c r="A58" s="35" t="s">
        <v>807</v>
      </c>
      <c r="B58" s="35" t="s">
        <v>354</v>
      </c>
      <c r="C58" s="39" t="str">
        <f>IF(B58="","",IFERROR(INDEX(Temas!$E$5:$E$40,MATCH(B58,Temas!$A$5:$A$40,0)),"ID_Tema não encontrado"))</f>
        <v>Qualidade do produto e custo da não-qualidade</v>
      </c>
      <c r="D58" s="39" t="str">
        <f>IF(B58="","",IFERROR(INDEX(Temas!$B$5:$B$40,MATCH(B58,Temas!$A$5:$A$40,0)),""))</f>
        <v>Governança</v>
      </c>
      <c r="E58" s="39" t="str">
        <f>IF(B58="","",IFERROR(INDEX(Temas!$C$5:$C$40,MATCH(B58,Temas!$A$5:$A$40,0)),""))</f>
        <v>Específico da entidade</v>
      </c>
      <c r="F58" s="35" t="s">
        <v>444</v>
      </c>
      <c r="G58" s="39" t="str">
        <f t="shared" si="13"/>
        <v>Financeira</v>
      </c>
      <c r="H58" s="35" t="s">
        <v>808</v>
      </c>
      <c r="I58" s="35"/>
      <c r="J58" s="35" t="s">
        <v>151</v>
      </c>
      <c r="K58" s="35" t="s">
        <v>146</v>
      </c>
      <c r="L58" s="35"/>
      <c r="M58" s="35"/>
      <c r="N58" s="43"/>
      <c r="O58" s="43"/>
      <c r="P58" s="43"/>
      <c r="Q58" s="43"/>
      <c r="R58" s="41" t="str">
        <f t="shared" si="14"/>
        <v/>
      </c>
      <c r="S58" s="37" t="str">
        <f t="shared" si="15"/>
        <v/>
      </c>
      <c r="T58" s="38" t="str">
        <f t="shared" si="16"/>
        <v/>
      </c>
      <c r="U58" s="35" t="s">
        <v>809</v>
      </c>
      <c r="V58" s="35" t="s">
        <v>494</v>
      </c>
      <c r="W58" s="44">
        <v>180000</v>
      </c>
      <c r="X58" s="43">
        <v>5</v>
      </c>
      <c r="Y58" s="37">
        <f t="shared" si="17"/>
        <v>4</v>
      </c>
      <c r="Z58" s="38">
        <f t="shared" si="18"/>
        <v>20</v>
      </c>
      <c r="AA58" s="40">
        <f t="shared" si="19"/>
        <v>-162000</v>
      </c>
      <c r="AB58" s="38">
        <f t="shared" si="20"/>
        <v>20</v>
      </c>
      <c r="AC58" s="39" t="str">
        <f t="shared" si="21"/>
        <v>Sim</v>
      </c>
      <c r="AD58" s="39" t="str">
        <f t="shared" si="22"/>
        <v>Material — financeiro</v>
      </c>
      <c r="AE58" s="37">
        <f t="shared" si="23"/>
        <v>5</v>
      </c>
      <c r="AF58" s="35" t="s">
        <v>810</v>
      </c>
      <c r="AG58" s="35" t="s">
        <v>194</v>
      </c>
      <c r="AH58" s="37">
        <f>IF(A58="","",COUNTIF(Evidencias!$B$5:$B$115,A58))</f>
        <v>2</v>
      </c>
      <c r="AI58" s="39" t="str">
        <f t="shared" si="24"/>
        <v>OK</v>
      </c>
      <c r="AJ58" s="35" t="s">
        <v>811</v>
      </c>
      <c r="AK58" s="35"/>
      <c r="AL58" s="35" t="s">
        <v>812</v>
      </c>
      <c r="AM58" s="35"/>
      <c r="AN58" s="35"/>
      <c r="AO58" s="35"/>
      <c r="AP58" s="35"/>
      <c r="AQ58" s="35"/>
      <c r="AR58" s="35" t="s">
        <v>813</v>
      </c>
      <c r="AS58" s="35" t="s">
        <v>329</v>
      </c>
      <c r="AT58" s="35" t="s">
        <v>427</v>
      </c>
      <c r="AU58" s="36">
        <v>46289</v>
      </c>
      <c r="AV58" s="45">
        <f t="shared" si="25"/>
        <v>46470</v>
      </c>
      <c r="AW58" s="35"/>
    </row>
    <row r="59" spans="1:49" ht="60" customHeight="1" x14ac:dyDescent="0.3">
      <c r="A59" s="35" t="s">
        <v>814</v>
      </c>
      <c r="B59" s="35" t="s">
        <v>354</v>
      </c>
      <c r="C59" s="39" t="str">
        <f>IF(B59="","",IFERROR(INDEX(Temas!$E$5:$E$40,MATCH(B59,Temas!$A$5:$A$40,0)),"ID_Tema não encontrado"))</f>
        <v>Qualidade do produto e custo da não-qualidade</v>
      </c>
      <c r="D59" s="39" t="str">
        <f>IF(B59="","",IFERROR(INDEX(Temas!$B$5:$B$40,MATCH(B59,Temas!$A$5:$A$40,0)),""))</f>
        <v>Governança</v>
      </c>
      <c r="E59" s="39" t="str">
        <f>IF(B59="","",IFERROR(INDEX(Temas!$C$5:$C$40,MATCH(B59,Temas!$A$5:$A$40,0)),""))</f>
        <v>Específico da entidade</v>
      </c>
      <c r="F59" s="35" t="s">
        <v>414</v>
      </c>
      <c r="G59" s="39" t="str">
        <f t="shared" si="13"/>
        <v>Impacto</v>
      </c>
      <c r="H59" s="35" t="s">
        <v>815</v>
      </c>
      <c r="I59" s="35" t="s">
        <v>416</v>
      </c>
      <c r="J59" s="35" t="s">
        <v>151</v>
      </c>
      <c r="K59" s="35" t="s">
        <v>146</v>
      </c>
      <c r="L59" s="35" t="s">
        <v>816</v>
      </c>
      <c r="M59" s="35" t="s">
        <v>418</v>
      </c>
      <c r="N59" s="43">
        <v>2</v>
      </c>
      <c r="O59" s="43">
        <v>2</v>
      </c>
      <c r="P59" s="43">
        <v>2</v>
      </c>
      <c r="Q59" s="43"/>
      <c r="R59" s="41">
        <f t="shared" si="14"/>
        <v>2</v>
      </c>
      <c r="S59" s="37">
        <f t="shared" si="15"/>
        <v>5</v>
      </c>
      <c r="T59" s="38">
        <f t="shared" si="16"/>
        <v>10</v>
      </c>
      <c r="U59" s="35"/>
      <c r="V59" s="35"/>
      <c r="W59" s="44"/>
      <c r="X59" s="43"/>
      <c r="Y59" s="37" t="str">
        <f t="shared" si="17"/>
        <v/>
      </c>
      <c r="Z59" s="38" t="str">
        <f t="shared" si="18"/>
        <v/>
      </c>
      <c r="AA59" s="40" t="str">
        <f t="shared" si="19"/>
        <v/>
      </c>
      <c r="AB59" s="38">
        <f t="shared" si="20"/>
        <v>10</v>
      </c>
      <c r="AC59" s="39" t="str">
        <f t="shared" si="21"/>
        <v>Não</v>
      </c>
      <c r="AD59" s="39" t="str">
        <f t="shared" si="22"/>
        <v>Não material</v>
      </c>
      <c r="AE59" s="37">
        <f t="shared" si="23"/>
        <v>35</v>
      </c>
      <c r="AF59" s="35" t="s">
        <v>817</v>
      </c>
      <c r="AG59" s="35" t="s">
        <v>194</v>
      </c>
      <c r="AH59" s="37">
        <f>IF(A59="","",COUNTIF(Evidencias!$B$5:$B$115,A59))</f>
        <v>1</v>
      </c>
      <c r="AI59" s="39" t="str">
        <f t="shared" si="24"/>
        <v>OK</v>
      </c>
      <c r="AJ59" s="35"/>
      <c r="AK59" s="35"/>
      <c r="AL59" s="35"/>
      <c r="AM59" s="35" t="s">
        <v>818</v>
      </c>
      <c r="AN59" s="35"/>
      <c r="AO59" s="35" t="s">
        <v>633</v>
      </c>
      <c r="AP59" s="35" t="s">
        <v>819</v>
      </c>
      <c r="AQ59" s="35" t="s">
        <v>635</v>
      </c>
      <c r="AR59" s="35"/>
      <c r="AS59" s="35" t="s">
        <v>524</v>
      </c>
      <c r="AT59" s="35" t="s">
        <v>427</v>
      </c>
      <c r="AU59" s="36">
        <v>46289</v>
      </c>
      <c r="AV59" s="45">
        <f t="shared" si="25"/>
        <v>46654</v>
      </c>
      <c r="AW59" s="35"/>
    </row>
    <row r="60" spans="1:49" ht="60" customHeight="1" x14ac:dyDescent="0.3">
      <c r="A60" s="35" t="s">
        <v>820</v>
      </c>
      <c r="B60" s="35" t="s">
        <v>361</v>
      </c>
      <c r="C60" s="39" t="str">
        <f>IF(B60="","",IFERROR(INDEX(Temas!$E$5:$E$40,MATCH(B60,Temas!$A$5:$A$40,0)),"ID_Tema não encontrado"))</f>
        <v>Dados industriais e cibersegurança</v>
      </c>
      <c r="D60" s="39" t="str">
        <f>IF(B60="","",IFERROR(INDEX(Temas!$B$5:$B$40,MATCH(B60,Temas!$A$5:$A$40,0)),""))</f>
        <v>Governança</v>
      </c>
      <c r="E60" s="39" t="str">
        <f>IF(B60="","",IFERROR(INDEX(Temas!$C$5:$C$40,MATCH(B60,Temas!$A$5:$A$40,0)),""))</f>
        <v>Específico da entidade</v>
      </c>
      <c r="F60" s="35" t="s">
        <v>444</v>
      </c>
      <c r="G60" s="39" t="str">
        <f t="shared" si="13"/>
        <v>Financeira</v>
      </c>
      <c r="H60" s="35" t="s">
        <v>821</v>
      </c>
      <c r="I60" s="35"/>
      <c r="J60" s="35" t="s">
        <v>151</v>
      </c>
      <c r="K60" s="35" t="s">
        <v>146</v>
      </c>
      <c r="L60" s="35"/>
      <c r="M60" s="35"/>
      <c r="N60" s="43"/>
      <c r="O60" s="43"/>
      <c r="P60" s="43"/>
      <c r="Q60" s="43"/>
      <c r="R60" s="41" t="str">
        <f t="shared" si="14"/>
        <v/>
      </c>
      <c r="S60" s="37" t="str">
        <f t="shared" si="15"/>
        <v/>
      </c>
      <c r="T60" s="38" t="str">
        <f t="shared" si="16"/>
        <v/>
      </c>
      <c r="U60" s="35" t="s">
        <v>822</v>
      </c>
      <c r="V60" s="35" t="s">
        <v>494</v>
      </c>
      <c r="W60" s="44">
        <v>60000</v>
      </c>
      <c r="X60" s="43">
        <v>2</v>
      </c>
      <c r="Y60" s="37">
        <f t="shared" si="17"/>
        <v>3</v>
      </c>
      <c r="Z60" s="38">
        <f t="shared" si="18"/>
        <v>6</v>
      </c>
      <c r="AA60" s="40">
        <f t="shared" si="19"/>
        <v>-12000</v>
      </c>
      <c r="AB60" s="38">
        <f t="shared" si="20"/>
        <v>6</v>
      </c>
      <c r="AC60" s="39" t="str">
        <f t="shared" si="21"/>
        <v>Não</v>
      </c>
      <c r="AD60" s="39" t="str">
        <f t="shared" si="22"/>
        <v>Não material</v>
      </c>
      <c r="AE60" s="37">
        <f t="shared" si="23"/>
        <v>52</v>
      </c>
      <c r="AF60" s="35" t="s">
        <v>823</v>
      </c>
      <c r="AG60" s="35" t="s">
        <v>211</v>
      </c>
      <c r="AH60" s="37">
        <f>IF(A60="","",COUNTIF(Evidencias!$B$5:$B$115,A60))</f>
        <v>1</v>
      </c>
      <c r="AI60" s="39" t="str">
        <f t="shared" si="24"/>
        <v>OK</v>
      </c>
      <c r="AJ60" s="35"/>
      <c r="AK60" s="35"/>
      <c r="AL60" s="35" t="s">
        <v>824</v>
      </c>
      <c r="AM60" s="35"/>
      <c r="AN60" s="35"/>
      <c r="AO60" s="35"/>
      <c r="AP60" s="35"/>
      <c r="AQ60" s="35"/>
      <c r="AR60" s="35"/>
      <c r="AS60" s="35" t="s">
        <v>345</v>
      </c>
      <c r="AT60" s="35" t="s">
        <v>427</v>
      </c>
      <c r="AU60" s="36">
        <v>46289</v>
      </c>
      <c r="AV60" s="45">
        <f t="shared" si="25"/>
        <v>46654</v>
      </c>
      <c r="AW60" s="35"/>
    </row>
    <row r="61" spans="1:49" ht="60" customHeight="1" x14ac:dyDescent="0.3">
      <c r="A61" s="35" t="s">
        <v>825</v>
      </c>
      <c r="B61" s="35" t="s">
        <v>361</v>
      </c>
      <c r="C61" s="39" t="str">
        <f>IF(B61="","",IFERROR(INDEX(Temas!$E$5:$E$40,MATCH(B61,Temas!$A$5:$A$40,0)),"ID_Tema não encontrado"))</f>
        <v>Dados industriais e cibersegurança</v>
      </c>
      <c r="D61" s="39" t="str">
        <f>IF(B61="","",IFERROR(INDEX(Temas!$B$5:$B$40,MATCH(B61,Temas!$A$5:$A$40,0)),""))</f>
        <v>Governança</v>
      </c>
      <c r="E61" s="39" t="str">
        <f>IF(B61="","",IFERROR(INDEX(Temas!$C$5:$C$40,MATCH(B61,Temas!$A$5:$A$40,0)),""))</f>
        <v>Específico da entidade</v>
      </c>
      <c r="F61" s="35" t="s">
        <v>475</v>
      </c>
      <c r="G61" s="39" t="str">
        <f t="shared" si="13"/>
        <v>Financeira</v>
      </c>
      <c r="H61" s="35" t="s">
        <v>826</v>
      </c>
      <c r="I61" s="35"/>
      <c r="J61" s="35" t="s">
        <v>151</v>
      </c>
      <c r="K61" s="35" t="s">
        <v>146</v>
      </c>
      <c r="L61" s="35"/>
      <c r="M61" s="35"/>
      <c r="N61" s="43"/>
      <c r="O61" s="43"/>
      <c r="P61" s="43"/>
      <c r="Q61" s="43"/>
      <c r="R61" s="41" t="str">
        <f t="shared" si="14"/>
        <v/>
      </c>
      <c r="S61" s="37" t="str">
        <f t="shared" si="15"/>
        <v/>
      </c>
      <c r="T61" s="38" t="str">
        <f t="shared" si="16"/>
        <v/>
      </c>
      <c r="U61" s="35" t="s">
        <v>827</v>
      </c>
      <c r="V61" s="35" t="s">
        <v>447</v>
      </c>
      <c r="W61" s="44">
        <v>50000</v>
      </c>
      <c r="X61" s="43">
        <v>4</v>
      </c>
      <c r="Y61" s="37">
        <f t="shared" si="17"/>
        <v>3</v>
      </c>
      <c r="Z61" s="38">
        <f t="shared" si="18"/>
        <v>12</v>
      </c>
      <c r="AA61" s="40">
        <f t="shared" si="19"/>
        <v>32500</v>
      </c>
      <c r="AB61" s="38">
        <f t="shared" si="20"/>
        <v>12</v>
      </c>
      <c r="AC61" s="39" t="str">
        <f t="shared" si="21"/>
        <v>Sim</v>
      </c>
      <c r="AD61" s="39" t="str">
        <f t="shared" si="22"/>
        <v>Material — financeiro</v>
      </c>
      <c r="AE61" s="37">
        <f t="shared" si="23"/>
        <v>27</v>
      </c>
      <c r="AF61" s="35" t="s">
        <v>828</v>
      </c>
      <c r="AG61" s="35" t="s">
        <v>194</v>
      </c>
      <c r="AH61" s="37">
        <f>IF(A61="","",COUNTIF(Evidencias!$B$5:$B$115,A61))</f>
        <v>1</v>
      </c>
      <c r="AI61" s="39" t="str">
        <f t="shared" si="24"/>
        <v>OK</v>
      </c>
      <c r="AJ61" s="35" t="s">
        <v>829</v>
      </c>
      <c r="AK61" s="35" t="s">
        <v>830</v>
      </c>
      <c r="AL61" s="35" t="s">
        <v>450</v>
      </c>
      <c r="AM61" s="35"/>
      <c r="AN61" s="35"/>
      <c r="AO61" s="35"/>
      <c r="AP61" s="35"/>
      <c r="AQ61" s="35" t="s">
        <v>831</v>
      </c>
      <c r="AR61" s="35" t="s">
        <v>832</v>
      </c>
      <c r="AS61" s="35" t="s">
        <v>196</v>
      </c>
      <c r="AT61" s="35" t="s">
        <v>427</v>
      </c>
      <c r="AU61" s="36">
        <v>46289</v>
      </c>
      <c r="AV61" s="45">
        <f t="shared" si="25"/>
        <v>46470</v>
      </c>
      <c r="AW61" s="35"/>
    </row>
    <row r="62" spans="1:49" ht="60" customHeight="1" x14ac:dyDescent="0.3">
      <c r="A62" s="35"/>
      <c r="B62" s="35"/>
      <c r="C62" s="39" t="str">
        <f>IF(B62="","",IFERROR(INDEX(Temas!$E$5:$E$40,MATCH(B62,Temas!$A$5:$A$40,0)),"ID_Tema não encontrado"))</f>
        <v/>
      </c>
      <c r="D62" s="39" t="str">
        <f>IF(B62="","",IFERROR(INDEX(Temas!$B$5:$B$40,MATCH(B62,Temas!$A$5:$A$40,0)),""))</f>
        <v/>
      </c>
      <c r="E62" s="39" t="str">
        <f>IF(B62="","",IFERROR(INDEX(Temas!$C$5:$C$40,MATCH(B62,Temas!$A$5:$A$40,0)),""))</f>
        <v/>
      </c>
      <c r="F62" s="35"/>
      <c r="G62" s="39" t="str">
        <f t="shared" si="13"/>
        <v/>
      </c>
      <c r="H62" s="35"/>
      <c r="I62" s="35"/>
      <c r="J62" s="35"/>
      <c r="K62" s="35"/>
      <c r="L62" s="35"/>
      <c r="M62" s="35"/>
      <c r="N62" s="43"/>
      <c r="O62" s="43"/>
      <c r="P62" s="43"/>
      <c r="Q62" s="43"/>
      <c r="R62" s="41" t="str">
        <f t="shared" si="14"/>
        <v/>
      </c>
      <c r="S62" s="37" t="str">
        <f t="shared" si="15"/>
        <v/>
      </c>
      <c r="T62" s="38" t="str">
        <f t="shared" si="16"/>
        <v/>
      </c>
      <c r="U62" s="35"/>
      <c r="V62" s="35"/>
      <c r="W62" s="44"/>
      <c r="X62" s="43"/>
      <c r="Y62" s="37" t="str">
        <f t="shared" si="17"/>
        <v/>
      </c>
      <c r="Z62" s="38" t="str">
        <f t="shared" si="18"/>
        <v/>
      </c>
      <c r="AA62" s="40" t="str">
        <f t="shared" si="19"/>
        <v/>
      </c>
      <c r="AB62" s="38" t="str">
        <f t="shared" si="20"/>
        <v/>
      </c>
      <c r="AC62" s="39" t="str">
        <f t="shared" si="21"/>
        <v/>
      </c>
      <c r="AD62" s="39" t="str">
        <f t="shared" si="22"/>
        <v/>
      </c>
      <c r="AE62" s="37" t="str">
        <f t="shared" si="23"/>
        <v/>
      </c>
      <c r="AF62" s="35"/>
      <c r="AG62" s="35"/>
      <c r="AH62" s="37" t="str">
        <f>IF(A62="","",COUNTIF(Evidencias!$B$5:$B$115,A62))</f>
        <v/>
      </c>
      <c r="AI62" s="39" t="str">
        <f t="shared" si="24"/>
        <v/>
      </c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6"/>
      <c r="AV62" s="45" t="str">
        <f t="shared" si="25"/>
        <v/>
      </c>
      <c r="AW62" s="35"/>
    </row>
    <row r="63" spans="1:49" ht="60" customHeight="1" x14ac:dyDescent="0.3">
      <c r="A63" s="35"/>
      <c r="B63" s="35"/>
      <c r="C63" s="39" t="str">
        <f>IF(B63="","",IFERROR(INDEX(Temas!$E$5:$E$40,MATCH(B63,Temas!$A$5:$A$40,0)),"ID_Tema não encontrado"))</f>
        <v/>
      </c>
      <c r="D63" s="39" t="str">
        <f>IF(B63="","",IFERROR(INDEX(Temas!$B$5:$B$40,MATCH(B63,Temas!$A$5:$A$40,0)),""))</f>
        <v/>
      </c>
      <c r="E63" s="39" t="str">
        <f>IF(B63="","",IFERROR(INDEX(Temas!$C$5:$C$40,MATCH(B63,Temas!$A$5:$A$40,0)),""))</f>
        <v/>
      </c>
      <c r="F63" s="35"/>
      <c r="G63" s="39" t="str">
        <f t="shared" si="13"/>
        <v/>
      </c>
      <c r="H63" s="35"/>
      <c r="I63" s="35"/>
      <c r="J63" s="35"/>
      <c r="K63" s="35"/>
      <c r="L63" s="35"/>
      <c r="M63" s="35"/>
      <c r="N63" s="43"/>
      <c r="O63" s="43"/>
      <c r="P63" s="43"/>
      <c r="Q63" s="43"/>
      <c r="R63" s="41" t="str">
        <f t="shared" si="14"/>
        <v/>
      </c>
      <c r="S63" s="37" t="str">
        <f t="shared" si="15"/>
        <v/>
      </c>
      <c r="T63" s="38" t="str">
        <f t="shared" si="16"/>
        <v/>
      </c>
      <c r="U63" s="35"/>
      <c r="V63" s="35"/>
      <c r="W63" s="44"/>
      <c r="X63" s="43"/>
      <c r="Y63" s="37" t="str">
        <f t="shared" si="17"/>
        <v/>
      </c>
      <c r="Z63" s="38" t="str">
        <f t="shared" si="18"/>
        <v/>
      </c>
      <c r="AA63" s="40" t="str">
        <f t="shared" si="19"/>
        <v/>
      </c>
      <c r="AB63" s="38" t="str">
        <f t="shared" si="20"/>
        <v/>
      </c>
      <c r="AC63" s="39" t="str">
        <f t="shared" si="21"/>
        <v/>
      </c>
      <c r="AD63" s="39" t="str">
        <f t="shared" si="22"/>
        <v/>
      </c>
      <c r="AE63" s="37" t="str">
        <f t="shared" si="23"/>
        <v/>
      </c>
      <c r="AF63" s="35"/>
      <c r="AG63" s="35"/>
      <c r="AH63" s="37" t="str">
        <f>IF(A63="","",COUNTIF(Evidencias!$B$5:$B$115,A63))</f>
        <v/>
      </c>
      <c r="AI63" s="39" t="str">
        <f t="shared" si="24"/>
        <v/>
      </c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6"/>
      <c r="AV63" s="45" t="str">
        <f t="shared" si="25"/>
        <v/>
      </c>
      <c r="AW63" s="35"/>
    </row>
    <row r="64" spans="1:49" ht="60" customHeight="1" x14ac:dyDescent="0.3">
      <c r="A64" s="35"/>
      <c r="B64" s="35"/>
      <c r="C64" s="39" t="str">
        <f>IF(B64="","",IFERROR(INDEX(Temas!$E$5:$E$40,MATCH(B64,Temas!$A$5:$A$40,0)),"ID_Tema não encontrado"))</f>
        <v/>
      </c>
      <c r="D64" s="39" t="str">
        <f>IF(B64="","",IFERROR(INDEX(Temas!$B$5:$B$40,MATCH(B64,Temas!$A$5:$A$40,0)),""))</f>
        <v/>
      </c>
      <c r="E64" s="39" t="str">
        <f>IF(B64="","",IFERROR(INDEX(Temas!$C$5:$C$40,MATCH(B64,Temas!$A$5:$A$40,0)),""))</f>
        <v/>
      </c>
      <c r="F64" s="35"/>
      <c r="G64" s="39" t="str">
        <f t="shared" si="13"/>
        <v/>
      </c>
      <c r="H64" s="35"/>
      <c r="I64" s="35"/>
      <c r="J64" s="35"/>
      <c r="K64" s="35"/>
      <c r="L64" s="35"/>
      <c r="M64" s="35"/>
      <c r="N64" s="43"/>
      <c r="O64" s="43"/>
      <c r="P64" s="43"/>
      <c r="Q64" s="43"/>
      <c r="R64" s="41" t="str">
        <f t="shared" si="14"/>
        <v/>
      </c>
      <c r="S64" s="37" t="str">
        <f t="shared" si="15"/>
        <v/>
      </c>
      <c r="T64" s="38" t="str">
        <f t="shared" si="16"/>
        <v/>
      </c>
      <c r="U64" s="35"/>
      <c r="V64" s="35"/>
      <c r="W64" s="44"/>
      <c r="X64" s="43"/>
      <c r="Y64" s="37" t="str">
        <f t="shared" si="17"/>
        <v/>
      </c>
      <c r="Z64" s="38" t="str">
        <f t="shared" si="18"/>
        <v/>
      </c>
      <c r="AA64" s="40" t="str">
        <f t="shared" si="19"/>
        <v/>
      </c>
      <c r="AB64" s="38" t="str">
        <f t="shared" si="20"/>
        <v/>
      </c>
      <c r="AC64" s="39" t="str">
        <f t="shared" si="21"/>
        <v/>
      </c>
      <c r="AD64" s="39" t="str">
        <f t="shared" si="22"/>
        <v/>
      </c>
      <c r="AE64" s="37" t="str">
        <f t="shared" si="23"/>
        <v/>
      </c>
      <c r="AF64" s="35"/>
      <c r="AG64" s="35"/>
      <c r="AH64" s="37" t="str">
        <f>IF(A64="","",COUNTIF(Evidencias!$B$5:$B$115,A64))</f>
        <v/>
      </c>
      <c r="AI64" s="39" t="str">
        <f t="shared" si="24"/>
        <v/>
      </c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6"/>
      <c r="AV64" s="45" t="str">
        <f t="shared" si="25"/>
        <v/>
      </c>
      <c r="AW64" s="35"/>
    </row>
    <row r="65" spans="1:49" ht="60" customHeight="1" x14ac:dyDescent="0.3">
      <c r="A65" s="35"/>
      <c r="B65" s="35"/>
      <c r="C65" s="39" t="str">
        <f>IF(B65="","",IFERROR(INDEX(Temas!$E$5:$E$40,MATCH(B65,Temas!$A$5:$A$40,0)),"ID_Tema não encontrado"))</f>
        <v/>
      </c>
      <c r="D65" s="39" t="str">
        <f>IF(B65="","",IFERROR(INDEX(Temas!$B$5:$B$40,MATCH(B65,Temas!$A$5:$A$40,0)),""))</f>
        <v/>
      </c>
      <c r="E65" s="39" t="str">
        <f>IF(B65="","",IFERROR(INDEX(Temas!$C$5:$C$40,MATCH(B65,Temas!$A$5:$A$40,0)),""))</f>
        <v/>
      </c>
      <c r="F65" s="35"/>
      <c r="G65" s="39" t="str">
        <f t="shared" si="13"/>
        <v/>
      </c>
      <c r="H65" s="35"/>
      <c r="I65" s="35"/>
      <c r="J65" s="35"/>
      <c r="K65" s="35"/>
      <c r="L65" s="35"/>
      <c r="M65" s="35"/>
      <c r="N65" s="43"/>
      <c r="O65" s="43"/>
      <c r="P65" s="43"/>
      <c r="Q65" s="43"/>
      <c r="R65" s="41" t="str">
        <f t="shared" si="14"/>
        <v/>
      </c>
      <c r="S65" s="37" t="str">
        <f t="shared" si="15"/>
        <v/>
      </c>
      <c r="T65" s="38" t="str">
        <f t="shared" si="16"/>
        <v/>
      </c>
      <c r="U65" s="35"/>
      <c r="V65" s="35"/>
      <c r="W65" s="44"/>
      <c r="X65" s="43"/>
      <c r="Y65" s="37" t="str">
        <f t="shared" si="17"/>
        <v/>
      </c>
      <c r="Z65" s="38" t="str">
        <f t="shared" si="18"/>
        <v/>
      </c>
      <c r="AA65" s="40" t="str">
        <f t="shared" si="19"/>
        <v/>
      </c>
      <c r="AB65" s="38" t="str">
        <f t="shared" si="20"/>
        <v/>
      </c>
      <c r="AC65" s="39" t="str">
        <f t="shared" si="21"/>
        <v/>
      </c>
      <c r="AD65" s="39" t="str">
        <f t="shared" si="22"/>
        <v/>
      </c>
      <c r="AE65" s="37" t="str">
        <f t="shared" si="23"/>
        <v/>
      </c>
      <c r="AF65" s="35"/>
      <c r="AG65" s="35"/>
      <c r="AH65" s="37" t="str">
        <f>IF(A65="","",COUNTIF(Evidencias!$B$5:$B$115,A65))</f>
        <v/>
      </c>
      <c r="AI65" s="39" t="str">
        <f t="shared" si="24"/>
        <v/>
      </c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6"/>
      <c r="AV65" s="45" t="str">
        <f t="shared" si="25"/>
        <v/>
      </c>
      <c r="AW65" s="35"/>
    </row>
    <row r="66" spans="1:49" ht="60" customHeight="1" x14ac:dyDescent="0.3">
      <c r="A66" s="35"/>
      <c r="B66" s="35"/>
      <c r="C66" s="39" t="str">
        <f>IF(B66="","",IFERROR(INDEX(Temas!$E$5:$E$40,MATCH(B66,Temas!$A$5:$A$40,0)),"ID_Tema não encontrado"))</f>
        <v/>
      </c>
      <c r="D66" s="39" t="str">
        <f>IF(B66="","",IFERROR(INDEX(Temas!$B$5:$B$40,MATCH(B66,Temas!$A$5:$A$40,0)),""))</f>
        <v/>
      </c>
      <c r="E66" s="39" t="str">
        <f>IF(B66="","",IFERROR(INDEX(Temas!$C$5:$C$40,MATCH(B66,Temas!$A$5:$A$40,0)),""))</f>
        <v/>
      </c>
      <c r="F66" s="35"/>
      <c r="G66" s="39" t="str">
        <f t="shared" si="13"/>
        <v/>
      </c>
      <c r="H66" s="35"/>
      <c r="I66" s="35"/>
      <c r="J66" s="35"/>
      <c r="K66" s="35"/>
      <c r="L66" s="35"/>
      <c r="M66" s="35"/>
      <c r="N66" s="43"/>
      <c r="O66" s="43"/>
      <c r="P66" s="43"/>
      <c r="Q66" s="43"/>
      <c r="R66" s="41" t="str">
        <f t="shared" si="14"/>
        <v/>
      </c>
      <c r="S66" s="37" t="str">
        <f t="shared" si="15"/>
        <v/>
      </c>
      <c r="T66" s="38" t="str">
        <f t="shared" si="16"/>
        <v/>
      </c>
      <c r="U66" s="35"/>
      <c r="V66" s="35"/>
      <c r="W66" s="44"/>
      <c r="X66" s="43"/>
      <c r="Y66" s="37" t="str">
        <f t="shared" si="17"/>
        <v/>
      </c>
      <c r="Z66" s="38" t="str">
        <f t="shared" si="18"/>
        <v/>
      </c>
      <c r="AA66" s="40" t="str">
        <f t="shared" si="19"/>
        <v/>
      </c>
      <c r="AB66" s="38" t="str">
        <f t="shared" si="20"/>
        <v/>
      </c>
      <c r="AC66" s="39" t="str">
        <f t="shared" si="21"/>
        <v/>
      </c>
      <c r="AD66" s="39" t="str">
        <f t="shared" si="22"/>
        <v/>
      </c>
      <c r="AE66" s="37" t="str">
        <f t="shared" si="23"/>
        <v/>
      </c>
      <c r="AF66" s="35"/>
      <c r="AG66" s="35"/>
      <c r="AH66" s="37" t="str">
        <f>IF(A66="","",COUNTIF(Evidencias!$B$5:$B$115,A66))</f>
        <v/>
      </c>
      <c r="AI66" s="39" t="str">
        <f t="shared" si="24"/>
        <v/>
      </c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6"/>
      <c r="AV66" s="45" t="str">
        <f t="shared" si="25"/>
        <v/>
      </c>
      <c r="AW66" s="35"/>
    </row>
    <row r="67" spans="1:49" ht="60" customHeight="1" x14ac:dyDescent="0.3">
      <c r="A67" s="35"/>
      <c r="B67" s="35"/>
      <c r="C67" s="39" t="str">
        <f>IF(B67="","",IFERROR(INDEX(Temas!$E$5:$E$40,MATCH(B67,Temas!$A$5:$A$40,0)),"ID_Tema não encontrado"))</f>
        <v/>
      </c>
      <c r="D67" s="39" t="str">
        <f>IF(B67="","",IFERROR(INDEX(Temas!$B$5:$B$40,MATCH(B67,Temas!$A$5:$A$40,0)),""))</f>
        <v/>
      </c>
      <c r="E67" s="39" t="str">
        <f>IF(B67="","",IFERROR(INDEX(Temas!$C$5:$C$40,MATCH(B67,Temas!$A$5:$A$40,0)),""))</f>
        <v/>
      </c>
      <c r="F67" s="35"/>
      <c r="G67" s="39" t="str">
        <f t="shared" si="13"/>
        <v/>
      </c>
      <c r="H67" s="35"/>
      <c r="I67" s="35"/>
      <c r="J67" s="35"/>
      <c r="K67" s="35"/>
      <c r="L67" s="35"/>
      <c r="M67" s="35"/>
      <c r="N67" s="43"/>
      <c r="O67" s="43"/>
      <c r="P67" s="43"/>
      <c r="Q67" s="43"/>
      <c r="R67" s="41" t="str">
        <f t="shared" si="14"/>
        <v/>
      </c>
      <c r="S67" s="37" t="str">
        <f t="shared" si="15"/>
        <v/>
      </c>
      <c r="T67" s="38" t="str">
        <f t="shared" si="16"/>
        <v/>
      </c>
      <c r="U67" s="35"/>
      <c r="V67" s="35"/>
      <c r="W67" s="44"/>
      <c r="X67" s="43"/>
      <c r="Y67" s="37" t="str">
        <f t="shared" si="17"/>
        <v/>
      </c>
      <c r="Z67" s="38" t="str">
        <f t="shared" si="18"/>
        <v/>
      </c>
      <c r="AA67" s="40" t="str">
        <f t="shared" si="19"/>
        <v/>
      </c>
      <c r="AB67" s="38" t="str">
        <f t="shared" si="20"/>
        <v/>
      </c>
      <c r="AC67" s="39" t="str">
        <f t="shared" si="21"/>
        <v/>
      </c>
      <c r="AD67" s="39" t="str">
        <f t="shared" si="22"/>
        <v/>
      </c>
      <c r="AE67" s="37" t="str">
        <f t="shared" si="23"/>
        <v/>
      </c>
      <c r="AF67" s="35"/>
      <c r="AG67" s="35"/>
      <c r="AH67" s="37" t="str">
        <f>IF(A67="","",COUNTIF(Evidencias!$B$5:$B$115,A67))</f>
        <v/>
      </c>
      <c r="AI67" s="39" t="str">
        <f t="shared" si="24"/>
        <v/>
      </c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6"/>
      <c r="AV67" s="45" t="str">
        <f t="shared" si="25"/>
        <v/>
      </c>
      <c r="AW67" s="35"/>
    </row>
    <row r="68" spans="1:49" ht="60" customHeight="1" x14ac:dyDescent="0.3">
      <c r="A68" s="35"/>
      <c r="B68" s="35"/>
      <c r="C68" s="39" t="str">
        <f>IF(B68="","",IFERROR(INDEX(Temas!$E$5:$E$40,MATCH(B68,Temas!$A$5:$A$40,0)),"ID_Tema não encontrado"))</f>
        <v/>
      </c>
      <c r="D68" s="39" t="str">
        <f>IF(B68="","",IFERROR(INDEX(Temas!$B$5:$B$40,MATCH(B68,Temas!$A$5:$A$40,0)),""))</f>
        <v/>
      </c>
      <c r="E68" s="39" t="str">
        <f>IF(B68="","",IFERROR(INDEX(Temas!$C$5:$C$40,MATCH(B68,Temas!$A$5:$A$40,0)),""))</f>
        <v/>
      </c>
      <c r="F68" s="35"/>
      <c r="G68" s="39" t="str">
        <f t="shared" si="13"/>
        <v/>
      </c>
      <c r="H68" s="35"/>
      <c r="I68" s="35"/>
      <c r="J68" s="35"/>
      <c r="K68" s="35"/>
      <c r="L68" s="35"/>
      <c r="M68" s="35"/>
      <c r="N68" s="43"/>
      <c r="O68" s="43"/>
      <c r="P68" s="43"/>
      <c r="Q68" s="43"/>
      <c r="R68" s="41" t="str">
        <f t="shared" si="14"/>
        <v/>
      </c>
      <c r="S68" s="37" t="str">
        <f t="shared" si="15"/>
        <v/>
      </c>
      <c r="T68" s="38" t="str">
        <f t="shared" si="16"/>
        <v/>
      </c>
      <c r="U68" s="35"/>
      <c r="V68" s="35"/>
      <c r="W68" s="44"/>
      <c r="X68" s="43"/>
      <c r="Y68" s="37" t="str">
        <f t="shared" si="17"/>
        <v/>
      </c>
      <c r="Z68" s="38" t="str">
        <f t="shared" si="18"/>
        <v/>
      </c>
      <c r="AA68" s="40" t="str">
        <f t="shared" si="19"/>
        <v/>
      </c>
      <c r="AB68" s="38" t="str">
        <f t="shared" si="20"/>
        <v/>
      </c>
      <c r="AC68" s="39" t="str">
        <f t="shared" si="21"/>
        <v/>
      </c>
      <c r="AD68" s="39" t="str">
        <f t="shared" si="22"/>
        <v/>
      </c>
      <c r="AE68" s="37" t="str">
        <f t="shared" si="23"/>
        <v/>
      </c>
      <c r="AF68" s="35"/>
      <c r="AG68" s="35"/>
      <c r="AH68" s="37" t="str">
        <f>IF(A68="","",COUNTIF(Evidencias!$B$5:$B$115,A68))</f>
        <v/>
      </c>
      <c r="AI68" s="39" t="str">
        <f t="shared" si="24"/>
        <v/>
      </c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6"/>
      <c r="AV68" s="45" t="str">
        <f t="shared" si="25"/>
        <v/>
      </c>
      <c r="AW68" s="35"/>
    </row>
    <row r="69" spans="1:49" ht="60" customHeight="1" x14ac:dyDescent="0.3">
      <c r="A69" s="35"/>
      <c r="B69" s="35"/>
      <c r="C69" s="39" t="str">
        <f>IF(B69="","",IFERROR(INDEX(Temas!$E$5:$E$40,MATCH(B69,Temas!$A$5:$A$40,0)),"ID_Tema não encontrado"))</f>
        <v/>
      </c>
      <c r="D69" s="39" t="str">
        <f>IF(B69="","",IFERROR(INDEX(Temas!$B$5:$B$40,MATCH(B69,Temas!$A$5:$A$40,0)),""))</f>
        <v/>
      </c>
      <c r="E69" s="39" t="str">
        <f>IF(B69="","",IFERROR(INDEX(Temas!$C$5:$C$40,MATCH(B69,Temas!$A$5:$A$40,0)),""))</f>
        <v/>
      </c>
      <c r="F69" s="35"/>
      <c r="G69" s="39" t="str">
        <f t="shared" ref="G69:G91" si="26">IF(F69="","",IF(LEFT(F69,7)="Impacto","Impacto","Financeira"))</f>
        <v/>
      </c>
      <c r="H69" s="35"/>
      <c r="I69" s="35"/>
      <c r="J69" s="35"/>
      <c r="K69" s="35"/>
      <c r="L69" s="35"/>
      <c r="M69" s="35"/>
      <c r="N69" s="43"/>
      <c r="O69" s="43"/>
      <c r="P69" s="43"/>
      <c r="Q69" s="43"/>
      <c r="R69" s="41" t="str">
        <f t="shared" ref="R69:R91" si="27">IF(G69&lt;&gt;"Impacto","",IF(F69="Impacto negativo",IF(COUNT(N69,O69,P69)=3,ROUND(AVERAGE(N69,O69,P69),2),""),IF(COUNT(N69,O69)=2,ROUND(AVERAGE(N69,O69),2),"")))</f>
        <v/>
      </c>
      <c r="S69" s="37" t="str">
        <f t="shared" ref="S69:S91" si="28">IF(OR(G69&lt;&gt;"Impacto",R69=""),"",IF(I69="Real",5,IF(AND(M69="Sim",R69&gt;=prm_Grav_DH),5,IF(Q69="","",Q69))))</f>
        <v/>
      </c>
      <c r="T69" s="38" t="str">
        <f t="shared" ref="T69:T91" si="29">IF(OR(R69="",S69=""),"",ROUND(R69*S69,1))</f>
        <v/>
      </c>
      <c r="U69" s="35"/>
      <c r="V69" s="35"/>
      <c r="W69" s="44"/>
      <c r="X69" s="43"/>
      <c r="Y69" s="37" t="str">
        <f t="shared" ref="Y69:Y91" si="30">IF(OR(G69&lt;&gt;"Financeira",W69=""),"",MATCH(W69,esc_Fin_Limite,1))</f>
        <v/>
      </c>
      <c r="Z69" s="38" t="str">
        <f t="shared" ref="Z69:Z91" si="31">IF(OR(Y69="",X69=""),"",Y69*X69)</f>
        <v/>
      </c>
      <c r="AA69" s="40" t="str">
        <f t="shared" ref="AA69:AA91" si="32">IF(Z69="","",ROUND(W69*INDEX(esc_Prob_Media,X69),0)*IF(F69="Risco",-1,1))</f>
        <v/>
      </c>
      <c r="AB69" s="38" t="str">
        <f t="shared" ref="AB69:AB91" si="33">IF(G69="","",IF(G69="Impacto",T69,Z69))</f>
        <v/>
      </c>
      <c r="AC69" s="39" t="str">
        <f t="shared" ref="AC69:AC91" si="34">IF(OR(G69="",AB69=""),"",IF(AB69&gt;=IF(G69="Impacto",prm_Limiar_Impacto,prm_Limiar_Financeiro),"Sim","Não"))</f>
        <v/>
      </c>
      <c r="AD69" s="39" t="str">
        <f t="shared" ref="AD69:AD91" si="35">IF(AC69="","",IF(AC69="Sim",IF(G69="Impacto","Material — impacto","Material — financeiro"),"Não material"))</f>
        <v/>
      </c>
      <c r="AE69" s="37" t="str">
        <f t="shared" ref="AE69:AE91" si="36">IF(AB69="","",RANK(AB69,$AB$5:$AB$91,0)+COUNTIFS($AB$5:$AB$91,AB69,$A$5:$A$91,"&lt;"&amp;A69))</f>
        <v/>
      </c>
      <c r="AF69" s="35"/>
      <c r="AG69" s="35"/>
      <c r="AH69" s="37" t="str">
        <f>IF(A69="","",COUNTIF(Evidencias!$B$5:$B$115,A69))</f>
        <v/>
      </c>
      <c r="AI69" s="39" t="str">
        <f t="shared" ref="AI69:AI91" si="37">IF(A69="","",IF(G69="","FALTA tipo de IRO",IF(AB69="",IF(G69="Impacto","FALTA pontuação de impacto","FALTA estimativa financeira"),IF(AH69=0,"Sem evidência registada","OK"))))</f>
        <v/>
      </c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6"/>
      <c r="AV69" s="45" t="str">
        <f t="shared" ref="AV69:AV91" si="38">IF(AU69="","",EDATE(AU69,IF(AC69="Sim",prm_Meses_Rev_Material,prm_Meses_Rev_Outros)))</f>
        <v/>
      </c>
      <c r="AW69" s="35"/>
    </row>
    <row r="70" spans="1:49" ht="60" customHeight="1" x14ac:dyDescent="0.3">
      <c r="A70" s="35"/>
      <c r="B70" s="35"/>
      <c r="C70" s="39" t="str">
        <f>IF(B70="","",IFERROR(INDEX(Temas!$E$5:$E$40,MATCH(B70,Temas!$A$5:$A$40,0)),"ID_Tema não encontrado"))</f>
        <v/>
      </c>
      <c r="D70" s="39" t="str">
        <f>IF(B70="","",IFERROR(INDEX(Temas!$B$5:$B$40,MATCH(B70,Temas!$A$5:$A$40,0)),""))</f>
        <v/>
      </c>
      <c r="E70" s="39" t="str">
        <f>IF(B70="","",IFERROR(INDEX(Temas!$C$5:$C$40,MATCH(B70,Temas!$A$5:$A$40,0)),""))</f>
        <v/>
      </c>
      <c r="F70" s="35"/>
      <c r="G70" s="39" t="str">
        <f t="shared" si="26"/>
        <v/>
      </c>
      <c r="H70" s="35"/>
      <c r="I70" s="35"/>
      <c r="J70" s="35"/>
      <c r="K70" s="35"/>
      <c r="L70" s="35"/>
      <c r="M70" s="35"/>
      <c r="N70" s="43"/>
      <c r="O70" s="43"/>
      <c r="P70" s="43"/>
      <c r="Q70" s="43"/>
      <c r="R70" s="41" t="str">
        <f t="shared" si="27"/>
        <v/>
      </c>
      <c r="S70" s="37" t="str">
        <f t="shared" si="28"/>
        <v/>
      </c>
      <c r="T70" s="38" t="str">
        <f t="shared" si="29"/>
        <v/>
      </c>
      <c r="U70" s="35"/>
      <c r="V70" s="35"/>
      <c r="W70" s="44"/>
      <c r="X70" s="43"/>
      <c r="Y70" s="37" t="str">
        <f t="shared" si="30"/>
        <v/>
      </c>
      <c r="Z70" s="38" t="str">
        <f t="shared" si="31"/>
        <v/>
      </c>
      <c r="AA70" s="40" t="str">
        <f t="shared" si="32"/>
        <v/>
      </c>
      <c r="AB70" s="38" t="str">
        <f t="shared" si="33"/>
        <v/>
      </c>
      <c r="AC70" s="39" t="str">
        <f t="shared" si="34"/>
        <v/>
      </c>
      <c r="AD70" s="39" t="str">
        <f t="shared" si="35"/>
        <v/>
      </c>
      <c r="AE70" s="37" t="str">
        <f t="shared" si="36"/>
        <v/>
      </c>
      <c r="AF70" s="35"/>
      <c r="AG70" s="35"/>
      <c r="AH70" s="37" t="str">
        <f>IF(A70="","",COUNTIF(Evidencias!$B$5:$B$115,A70))</f>
        <v/>
      </c>
      <c r="AI70" s="39" t="str">
        <f t="shared" si="37"/>
        <v/>
      </c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6"/>
      <c r="AV70" s="45" t="str">
        <f t="shared" si="38"/>
        <v/>
      </c>
      <c r="AW70" s="35"/>
    </row>
    <row r="71" spans="1:49" ht="60" customHeight="1" x14ac:dyDescent="0.3">
      <c r="A71" s="35"/>
      <c r="B71" s="35"/>
      <c r="C71" s="39" t="str">
        <f>IF(B71="","",IFERROR(INDEX(Temas!$E$5:$E$40,MATCH(B71,Temas!$A$5:$A$40,0)),"ID_Tema não encontrado"))</f>
        <v/>
      </c>
      <c r="D71" s="39" t="str">
        <f>IF(B71="","",IFERROR(INDEX(Temas!$B$5:$B$40,MATCH(B71,Temas!$A$5:$A$40,0)),""))</f>
        <v/>
      </c>
      <c r="E71" s="39" t="str">
        <f>IF(B71="","",IFERROR(INDEX(Temas!$C$5:$C$40,MATCH(B71,Temas!$A$5:$A$40,0)),""))</f>
        <v/>
      </c>
      <c r="F71" s="35"/>
      <c r="G71" s="39" t="str">
        <f t="shared" si="26"/>
        <v/>
      </c>
      <c r="H71" s="35"/>
      <c r="I71" s="35"/>
      <c r="J71" s="35"/>
      <c r="K71" s="35"/>
      <c r="L71" s="35"/>
      <c r="M71" s="35"/>
      <c r="N71" s="43"/>
      <c r="O71" s="43"/>
      <c r="P71" s="43"/>
      <c r="Q71" s="43"/>
      <c r="R71" s="41" t="str">
        <f t="shared" si="27"/>
        <v/>
      </c>
      <c r="S71" s="37" t="str">
        <f t="shared" si="28"/>
        <v/>
      </c>
      <c r="T71" s="38" t="str">
        <f t="shared" si="29"/>
        <v/>
      </c>
      <c r="U71" s="35"/>
      <c r="V71" s="35"/>
      <c r="W71" s="44"/>
      <c r="X71" s="43"/>
      <c r="Y71" s="37" t="str">
        <f t="shared" si="30"/>
        <v/>
      </c>
      <c r="Z71" s="38" t="str">
        <f t="shared" si="31"/>
        <v/>
      </c>
      <c r="AA71" s="40" t="str">
        <f t="shared" si="32"/>
        <v/>
      </c>
      <c r="AB71" s="38" t="str">
        <f t="shared" si="33"/>
        <v/>
      </c>
      <c r="AC71" s="39" t="str">
        <f t="shared" si="34"/>
        <v/>
      </c>
      <c r="AD71" s="39" t="str">
        <f t="shared" si="35"/>
        <v/>
      </c>
      <c r="AE71" s="37" t="str">
        <f t="shared" si="36"/>
        <v/>
      </c>
      <c r="AF71" s="35"/>
      <c r="AG71" s="35"/>
      <c r="AH71" s="37" t="str">
        <f>IF(A71="","",COUNTIF(Evidencias!$B$5:$B$115,A71))</f>
        <v/>
      </c>
      <c r="AI71" s="39" t="str">
        <f t="shared" si="37"/>
        <v/>
      </c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6"/>
      <c r="AV71" s="45" t="str">
        <f t="shared" si="38"/>
        <v/>
      </c>
      <c r="AW71" s="35"/>
    </row>
    <row r="72" spans="1:49" ht="60" customHeight="1" x14ac:dyDescent="0.3">
      <c r="A72" s="35"/>
      <c r="B72" s="35"/>
      <c r="C72" s="39" t="str">
        <f>IF(B72="","",IFERROR(INDEX(Temas!$E$5:$E$40,MATCH(B72,Temas!$A$5:$A$40,0)),"ID_Tema não encontrado"))</f>
        <v/>
      </c>
      <c r="D72" s="39" t="str">
        <f>IF(B72="","",IFERROR(INDEX(Temas!$B$5:$B$40,MATCH(B72,Temas!$A$5:$A$40,0)),""))</f>
        <v/>
      </c>
      <c r="E72" s="39" t="str">
        <f>IF(B72="","",IFERROR(INDEX(Temas!$C$5:$C$40,MATCH(B72,Temas!$A$5:$A$40,0)),""))</f>
        <v/>
      </c>
      <c r="F72" s="35"/>
      <c r="G72" s="39" t="str">
        <f t="shared" si="26"/>
        <v/>
      </c>
      <c r="H72" s="35"/>
      <c r="I72" s="35"/>
      <c r="J72" s="35"/>
      <c r="K72" s="35"/>
      <c r="L72" s="35"/>
      <c r="M72" s="35"/>
      <c r="N72" s="43"/>
      <c r="O72" s="43"/>
      <c r="P72" s="43"/>
      <c r="Q72" s="43"/>
      <c r="R72" s="41" t="str">
        <f t="shared" si="27"/>
        <v/>
      </c>
      <c r="S72" s="37" t="str">
        <f t="shared" si="28"/>
        <v/>
      </c>
      <c r="T72" s="38" t="str">
        <f t="shared" si="29"/>
        <v/>
      </c>
      <c r="U72" s="35"/>
      <c r="V72" s="35"/>
      <c r="W72" s="44"/>
      <c r="X72" s="43"/>
      <c r="Y72" s="37" t="str">
        <f t="shared" si="30"/>
        <v/>
      </c>
      <c r="Z72" s="38" t="str">
        <f t="shared" si="31"/>
        <v/>
      </c>
      <c r="AA72" s="40" t="str">
        <f t="shared" si="32"/>
        <v/>
      </c>
      <c r="AB72" s="38" t="str">
        <f t="shared" si="33"/>
        <v/>
      </c>
      <c r="AC72" s="39" t="str">
        <f t="shared" si="34"/>
        <v/>
      </c>
      <c r="AD72" s="39" t="str">
        <f t="shared" si="35"/>
        <v/>
      </c>
      <c r="AE72" s="37" t="str">
        <f t="shared" si="36"/>
        <v/>
      </c>
      <c r="AF72" s="35"/>
      <c r="AG72" s="35"/>
      <c r="AH72" s="37" t="str">
        <f>IF(A72="","",COUNTIF(Evidencias!$B$5:$B$115,A72))</f>
        <v/>
      </c>
      <c r="AI72" s="39" t="str">
        <f t="shared" si="37"/>
        <v/>
      </c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6"/>
      <c r="AV72" s="45" t="str">
        <f t="shared" si="38"/>
        <v/>
      </c>
      <c r="AW72" s="35"/>
    </row>
    <row r="73" spans="1:49" ht="60" customHeight="1" x14ac:dyDescent="0.3">
      <c r="A73" s="35"/>
      <c r="B73" s="35"/>
      <c r="C73" s="39" t="str">
        <f>IF(B73="","",IFERROR(INDEX(Temas!$E$5:$E$40,MATCH(B73,Temas!$A$5:$A$40,0)),"ID_Tema não encontrado"))</f>
        <v/>
      </c>
      <c r="D73" s="39" t="str">
        <f>IF(B73="","",IFERROR(INDEX(Temas!$B$5:$B$40,MATCH(B73,Temas!$A$5:$A$40,0)),""))</f>
        <v/>
      </c>
      <c r="E73" s="39" t="str">
        <f>IF(B73="","",IFERROR(INDEX(Temas!$C$5:$C$40,MATCH(B73,Temas!$A$5:$A$40,0)),""))</f>
        <v/>
      </c>
      <c r="F73" s="35"/>
      <c r="G73" s="39" t="str">
        <f t="shared" si="26"/>
        <v/>
      </c>
      <c r="H73" s="35"/>
      <c r="I73" s="35"/>
      <c r="J73" s="35"/>
      <c r="K73" s="35"/>
      <c r="L73" s="35"/>
      <c r="M73" s="35"/>
      <c r="N73" s="43"/>
      <c r="O73" s="43"/>
      <c r="P73" s="43"/>
      <c r="Q73" s="43"/>
      <c r="R73" s="41" t="str">
        <f t="shared" si="27"/>
        <v/>
      </c>
      <c r="S73" s="37" t="str">
        <f t="shared" si="28"/>
        <v/>
      </c>
      <c r="T73" s="38" t="str">
        <f t="shared" si="29"/>
        <v/>
      </c>
      <c r="U73" s="35"/>
      <c r="V73" s="35"/>
      <c r="W73" s="44"/>
      <c r="X73" s="43"/>
      <c r="Y73" s="37" t="str">
        <f t="shared" si="30"/>
        <v/>
      </c>
      <c r="Z73" s="38" t="str">
        <f t="shared" si="31"/>
        <v/>
      </c>
      <c r="AA73" s="40" t="str">
        <f t="shared" si="32"/>
        <v/>
      </c>
      <c r="AB73" s="38" t="str">
        <f t="shared" si="33"/>
        <v/>
      </c>
      <c r="AC73" s="39" t="str">
        <f t="shared" si="34"/>
        <v/>
      </c>
      <c r="AD73" s="39" t="str">
        <f t="shared" si="35"/>
        <v/>
      </c>
      <c r="AE73" s="37" t="str">
        <f t="shared" si="36"/>
        <v/>
      </c>
      <c r="AF73" s="35"/>
      <c r="AG73" s="35"/>
      <c r="AH73" s="37" t="str">
        <f>IF(A73="","",COUNTIF(Evidencias!$B$5:$B$115,A73))</f>
        <v/>
      </c>
      <c r="AI73" s="39" t="str">
        <f t="shared" si="37"/>
        <v/>
      </c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6"/>
      <c r="AV73" s="45" t="str">
        <f t="shared" si="38"/>
        <v/>
      </c>
      <c r="AW73" s="35"/>
    </row>
    <row r="74" spans="1:49" ht="60" customHeight="1" x14ac:dyDescent="0.3">
      <c r="A74" s="35"/>
      <c r="B74" s="35"/>
      <c r="C74" s="39" t="str">
        <f>IF(B74="","",IFERROR(INDEX(Temas!$E$5:$E$40,MATCH(B74,Temas!$A$5:$A$40,0)),"ID_Tema não encontrado"))</f>
        <v/>
      </c>
      <c r="D74" s="39" t="str">
        <f>IF(B74="","",IFERROR(INDEX(Temas!$B$5:$B$40,MATCH(B74,Temas!$A$5:$A$40,0)),""))</f>
        <v/>
      </c>
      <c r="E74" s="39" t="str">
        <f>IF(B74="","",IFERROR(INDEX(Temas!$C$5:$C$40,MATCH(B74,Temas!$A$5:$A$40,0)),""))</f>
        <v/>
      </c>
      <c r="F74" s="35"/>
      <c r="G74" s="39" t="str">
        <f t="shared" si="26"/>
        <v/>
      </c>
      <c r="H74" s="35"/>
      <c r="I74" s="35"/>
      <c r="J74" s="35"/>
      <c r="K74" s="35"/>
      <c r="L74" s="35"/>
      <c r="M74" s="35"/>
      <c r="N74" s="43"/>
      <c r="O74" s="43"/>
      <c r="P74" s="43"/>
      <c r="Q74" s="43"/>
      <c r="R74" s="41" t="str">
        <f t="shared" si="27"/>
        <v/>
      </c>
      <c r="S74" s="37" t="str">
        <f t="shared" si="28"/>
        <v/>
      </c>
      <c r="T74" s="38" t="str">
        <f t="shared" si="29"/>
        <v/>
      </c>
      <c r="U74" s="35"/>
      <c r="V74" s="35"/>
      <c r="W74" s="44"/>
      <c r="X74" s="43"/>
      <c r="Y74" s="37" t="str">
        <f t="shared" si="30"/>
        <v/>
      </c>
      <c r="Z74" s="38" t="str">
        <f t="shared" si="31"/>
        <v/>
      </c>
      <c r="AA74" s="40" t="str">
        <f t="shared" si="32"/>
        <v/>
      </c>
      <c r="AB74" s="38" t="str">
        <f t="shared" si="33"/>
        <v/>
      </c>
      <c r="AC74" s="39" t="str">
        <f t="shared" si="34"/>
        <v/>
      </c>
      <c r="AD74" s="39" t="str">
        <f t="shared" si="35"/>
        <v/>
      </c>
      <c r="AE74" s="37" t="str">
        <f t="shared" si="36"/>
        <v/>
      </c>
      <c r="AF74" s="35"/>
      <c r="AG74" s="35"/>
      <c r="AH74" s="37" t="str">
        <f>IF(A74="","",COUNTIF(Evidencias!$B$5:$B$115,A74))</f>
        <v/>
      </c>
      <c r="AI74" s="39" t="str">
        <f t="shared" si="37"/>
        <v/>
      </c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6"/>
      <c r="AV74" s="45" t="str">
        <f t="shared" si="38"/>
        <v/>
      </c>
      <c r="AW74" s="35"/>
    </row>
    <row r="75" spans="1:49" ht="60" customHeight="1" x14ac:dyDescent="0.3">
      <c r="A75" s="35"/>
      <c r="B75" s="35"/>
      <c r="C75" s="39" t="str">
        <f>IF(B75="","",IFERROR(INDEX(Temas!$E$5:$E$40,MATCH(B75,Temas!$A$5:$A$40,0)),"ID_Tema não encontrado"))</f>
        <v/>
      </c>
      <c r="D75" s="39" t="str">
        <f>IF(B75="","",IFERROR(INDEX(Temas!$B$5:$B$40,MATCH(B75,Temas!$A$5:$A$40,0)),""))</f>
        <v/>
      </c>
      <c r="E75" s="39" t="str">
        <f>IF(B75="","",IFERROR(INDEX(Temas!$C$5:$C$40,MATCH(B75,Temas!$A$5:$A$40,0)),""))</f>
        <v/>
      </c>
      <c r="F75" s="35"/>
      <c r="G75" s="39" t="str">
        <f t="shared" si="26"/>
        <v/>
      </c>
      <c r="H75" s="35"/>
      <c r="I75" s="35"/>
      <c r="J75" s="35"/>
      <c r="K75" s="35"/>
      <c r="L75" s="35"/>
      <c r="M75" s="35"/>
      <c r="N75" s="43"/>
      <c r="O75" s="43"/>
      <c r="P75" s="43"/>
      <c r="Q75" s="43"/>
      <c r="R75" s="41" t="str">
        <f t="shared" si="27"/>
        <v/>
      </c>
      <c r="S75" s="37" t="str">
        <f t="shared" si="28"/>
        <v/>
      </c>
      <c r="T75" s="38" t="str">
        <f t="shared" si="29"/>
        <v/>
      </c>
      <c r="U75" s="35"/>
      <c r="V75" s="35"/>
      <c r="W75" s="44"/>
      <c r="X75" s="43"/>
      <c r="Y75" s="37" t="str">
        <f t="shared" si="30"/>
        <v/>
      </c>
      <c r="Z75" s="38" t="str">
        <f t="shared" si="31"/>
        <v/>
      </c>
      <c r="AA75" s="40" t="str">
        <f t="shared" si="32"/>
        <v/>
      </c>
      <c r="AB75" s="38" t="str">
        <f t="shared" si="33"/>
        <v/>
      </c>
      <c r="AC75" s="39" t="str">
        <f t="shared" si="34"/>
        <v/>
      </c>
      <c r="AD75" s="39" t="str">
        <f t="shared" si="35"/>
        <v/>
      </c>
      <c r="AE75" s="37" t="str">
        <f t="shared" si="36"/>
        <v/>
      </c>
      <c r="AF75" s="35"/>
      <c r="AG75" s="35"/>
      <c r="AH75" s="37" t="str">
        <f>IF(A75="","",COUNTIF(Evidencias!$B$5:$B$115,A75))</f>
        <v/>
      </c>
      <c r="AI75" s="39" t="str">
        <f t="shared" si="37"/>
        <v/>
      </c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6"/>
      <c r="AV75" s="45" t="str">
        <f t="shared" si="38"/>
        <v/>
      </c>
      <c r="AW75" s="35"/>
    </row>
    <row r="76" spans="1:49" ht="60" customHeight="1" x14ac:dyDescent="0.3">
      <c r="A76" s="35"/>
      <c r="B76" s="35"/>
      <c r="C76" s="39" t="str">
        <f>IF(B76="","",IFERROR(INDEX(Temas!$E$5:$E$40,MATCH(B76,Temas!$A$5:$A$40,0)),"ID_Tema não encontrado"))</f>
        <v/>
      </c>
      <c r="D76" s="39" t="str">
        <f>IF(B76="","",IFERROR(INDEX(Temas!$B$5:$B$40,MATCH(B76,Temas!$A$5:$A$40,0)),""))</f>
        <v/>
      </c>
      <c r="E76" s="39" t="str">
        <f>IF(B76="","",IFERROR(INDEX(Temas!$C$5:$C$40,MATCH(B76,Temas!$A$5:$A$40,0)),""))</f>
        <v/>
      </c>
      <c r="F76" s="35"/>
      <c r="G76" s="39" t="str">
        <f t="shared" si="26"/>
        <v/>
      </c>
      <c r="H76" s="35"/>
      <c r="I76" s="35"/>
      <c r="J76" s="35"/>
      <c r="K76" s="35"/>
      <c r="L76" s="35"/>
      <c r="M76" s="35"/>
      <c r="N76" s="43"/>
      <c r="O76" s="43"/>
      <c r="P76" s="43"/>
      <c r="Q76" s="43"/>
      <c r="R76" s="41" t="str">
        <f t="shared" si="27"/>
        <v/>
      </c>
      <c r="S76" s="37" t="str">
        <f t="shared" si="28"/>
        <v/>
      </c>
      <c r="T76" s="38" t="str">
        <f t="shared" si="29"/>
        <v/>
      </c>
      <c r="U76" s="35"/>
      <c r="V76" s="35"/>
      <c r="W76" s="44"/>
      <c r="X76" s="43"/>
      <c r="Y76" s="37" t="str">
        <f t="shared" si="30"/>
        <v/>
      </c>
      <c r="Z76" s="38" t="str">
        <f t="shared" si="31"/>
        <v/>
      </c>
      <c r="AA76" s="40" t="str">
        <f t="shared" si="32"/>
        <v/>
      </c>
      <c r="AB76" s="38" t="str">
        <f t="shared" si="33"/>
        <v/>
      </c>
      <c r="AC76" s="39" t="str">
        <f t="shared" si="34"/>
        <v/>
      </c>
      <c r="AD76" s="39" t="str">
        <f t="shared" si="35"/>
        <v/>
      </c>
      <c r="AE76" s="37" t="str">
        <f t="shared" si="36"/>
        <v/>
      </c>
      <c r="AF76" s="35"/>
      <c r="AG76" s="35"/>
      <c r="AH76" s="37" t="str">
        <f>IF(A76="","",COUNTIF(Evidencias!$B$5:$B$115,A76))</f>
        <v/>
      </c>
      <c r="AI76" s="39" t="str">
        <f t="shared" si="37"/>
        <v/>
      </c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6"/>
      <c r="AV76" s="45" t="str">
        <f t="shared" si="38"/>
        <v/>
      </c>
      <c r="AW76" s="35"/>
    </row>
    <row r="77" spans="1:49" ht="60" customHeight="1" x14ac:dyDescent="0.3">
      <c r="A77" s="35"/>
      <c r="B77" s="35"/>
      <c r="C77" s="39" t="str">
        <f>IF(B77="","",IFERROR(INDEX(Temas!$E$5:$E$40,MATCH(B77,Temas!$A$5:$A$40,0)),"ID_Tema não encontrado"))</f>
        <v/>
      </c>
      <c r="D77" s="39" t="str">
        <f>IF(B77="","",IFERROR(INDEX(Temas!$B$5:$B$40,MATCH(B77,Temas!$A$5:$A$40,0)),""))</f>
        <v/>
      </c>
      <c r="E77" s="39" t="str">
        <f>IF(B77="","",IFERROR(INDEX(Temas!$C$5:$C$40,MATCH(B77,Temas!$A$5:$A$40,0)),""))</f>
        <v/>
      </c>
      <c r="F77" s="35"/>
      <c r="G77" s="39" t="str">
        <f t="shared" si="26"/>
        <v/>
      </c>
      <c r="H77" s="35"/>
      <c r="I77" s="35"/>
      <c r="J77" s="35"/>
      <c r="K77" s="35"/>
      <c r="L77" s="35"/>
      <c r="M77" s="35"/>
      <c r="N77" s="43"/>
      <c r="O77" s="43"/>
      <c r="P77" s="43"/>
      <c r="Q77" s="43"/>
      <c r="R77" s="41" t="str">
        <f t="shared" si="27"/>
        <v/>
      </c>
      <c r="S77" s="37" t="str">
        <f t="shared" si="28"/>
        <v/>
      </c>
      <c r="T77" s="38" t="str">
        <f t="shared" si="29"/>
        <v/>
      </c>
      <c r="U77" s="35"/>
      <c r="V77" s="35"/>
      <c r="W77" s="44"/>
      <c r="X77" s="43"/>
      <c r="Y77" s="37" t="str">
        <f t="shared" si="30"/>
        <v/>
      </c>
      <c r="Z77" s="38" t="str">
        <f t="shared" si="31"/>
        <v/>
      </c>
      <c r="AA77" s="40" t="str">
        <f t="shared" si="32"/>
        <v/>
      </c>
      <c r="AB77" s="38" t="str">
        <f t="shared" si="33"/>
        <v/>
      </c>
      <c r="AC77" s="39" t="str">
        <f t="shared" si="34"/>
        <v/>
      </c>
      <c r="AD77" s="39" t="str">
        <f t="shared" si="35"/>
        <v/>
      </c>
      <c r="AE77" s="37" t="str">
        <f t="shared" si="36"/>
        <v/>
      </c>
      <c r="AF77" s="35"/>
      <c r="AG77" s="35"/>
      <c r="AH77" s="37" t="str">
        <f>IF(A77="","",COUNTIF(Evidencias!$B$5:$B$115,A77))</f>
        <v/>
      </c>
      <c r="AI77" s="39" t="str">
        <f t="shared" si="37"/>
        <v/>
      </c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6"/>
      <c r="AV77" s="45" t="str">
        <f t="shared" si="38"/>
        <v/>
      </c>
      <c r="AW77" s="35"/>
    </row>
    <row r="78" spans="1:49" ht="60" customHeight="1" x14ac:dyDescent="0.3">
      <c r="A78" s="35"/>
      <c r="B78" s="35"/>
      <c r="C78" s="39" t="str">
        <f>IF(B78="","",IFERROR(INDEX(Temas!$E$5:$E$40,MATCH(B78,Temas!$A$5:$A$40,0)),"ID_Tema não encontrado"))</f>
        <v/>
      </c>
      <c r="D78" s="39" t="str">
        <f>IF(B78="","",IFERROR(INDEX(Temas!$B$5:$B$40,MATCH(B78,Temas!$A$5:$A$40,0)),""))</f>
        <v/>
      </c>
      <c r="E78" s="39" t="str">
        <f>IF(B78="","",IFERROR(INDEX(Temas!$C$5:$C$40,MATCH(B78,Temas!$A$5:$A$40,0)),""))</f>
        <v/>
      </c>
      <c r="F78" s="35"/>
      <c r="G78" s="39" t="str">
        <f t="shared" si="26"/>
        <v/>
      </c>
      <c r="H78" s="35"/>
      <c r="I78" s="35"/>
      <c r="J78" s="35"/>
      <c r="K78" s="35"/>
      <c r="L78" s="35"/>
      <c r="M78" s="35"/>
      <c r="N78" s="43"/>
      <c r="O78" s="43"/>
      <c r="P78" s="43"/>
      <c r="Q78" s="43"/>
      <c r="R78" s="41" t="str">
        <f t="shared" si="27"/>
        <v/>
      </c>
      <c r="S78" s="37" t="str">
        <f t="shared" si="28"/>
        <v/>
      </c>
      <c r="T78" s="38" t="str">
        <f t="shared" si="29"/>
        <v/>
      </c>
      <c r="U78" s="35"/>
      <c r="V78" s="35"/>
      <c r="W78" s="44"/>
      <c r="X78" s="43"/>
      <c r="Y78" s="37" t="str">
        <f t="shared" si="30"/>
        <v/>
      </c>
      <c r="Z78" s="38" t="str">
        <f t="shared" si="31"/>
        <v/>
      </c>
      <c r="AA78" s="40" t="str">
        <f t="shared" si="32"/>
        <v/>
      </c>
      <c r="AB78" s="38" t="str">
        <f t="shared" si="33"/>
        <v/>
      </c>
      <c r="AC78" s="39" t="str">
        <f t="shared" si="34"/>
        <v/>
      </c>
      <c r="AD78" s="39" t="str">
        <f t="shared" si="35"/>
        <v/>
      </c>
      <c r="AE78" s="37" t="str">
        <f t="shared" si="36"/>
        <v/>
      </c>
      <c r="AF78" s="35"/>
      <c r="AG78" s="35"/>
      <c r="AH78" s="37" t="str">
        <f>IF(A78="","",COUNTIF(Evidencias!$B$5:$B$115,A78))</f>
        <v/>
      </c>
      <c r="AI78" s="39" t="str">
        <f t="shared" si="37"/>
        <v/>
      </c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6"/>
      <c r="AV78" s="45" t="str">
        <f t="shared" si="38"/>
        <v/>
      </c>
      <c r="AW78" s="35"/>
    </row>
    <row r="79" spans="1:49" ht="60" customHeight="1" x14ac:dyDescent="0.3">
      <c r="A79" s="35"/>
      <c r="B79" s="35"/>
      <c r="C79" s="39" t="str">
        <f>IF(B79="","",IFERROR(INDEX(Temas!$E$5:$E$40,MATCH(B79,Temas!$A$5:$A$40,0)),"ID_Tema não encontrado"))</f>
        <v/>
      </c>
      <c r="D79" s="39" t="str">
        <f>IF(B79="","",IFERROR(INDEX(Temas!$B$5:$B$40,MATCH(B79,Temas!$A$5:$A$40,0)),""))</f>
        <v/>
      </c>
      <c r="E79" s="39" t="str">
        <f>IF(B79="","",IFERROR(INDEX(Temas!$C$5:$C$40,MATCH(B79,Temas!$A$5:$A$40,0)),""))</f>
        <v/>
      </c>
      <c r="F79" s="35"/>
      <c r="G79" s="39" t="str">
        <f t="shared" si="26"/>
        <v/>
      </c>
      <c r="H79" s="35"/>
      <c r="I79" s="35"/>
      <c r="J79" s="35"/>
      <c r="K79" s="35"/>
      <c r="L79" s="35"/>
      <c r="M79" s="35"/>
      <c r="N79" s="43"/>
      <c r="O79" s="43"/>
      <c r="P79" s="43"/>
      <c r="Q79" s="43"/>
      <c r="R79" s="41" t="str">
        <f t="shared" si="27"/>
        <v/>
      </c>
      <c r="S79" s="37" t="str">
        <f t="shared" si="28"/>
        <v/>
      </c>
      <c r="T79" s="38" t="str">
        <f t="shared" si="29"/>
        <v/>
      </c>
      <c r="U79" s="35"/>
      <c r="V79" s="35"/>
      <c r="W79" s="44"/>
      <c r="X79" s="43"/>
      <c r="Y79" s="37" t="str">
        <f t="shared" si="30"/>
        <v/>
      </c>
      <c r="Z79" s="38" t="str">
        <f t="shared" si="31"/>
        <v/>
      </c>
      <c r="AA79" s="40" t="str">
        <f t="shared" si="32"/>
        <v/>
      </c>
      <c r="AB79" s="38" t="str">
        <f t="shared" si="33"/>
        <v/>
      </c>
      <c r="AC79" s="39" t="str">
        <f t="shared" si="34"/>
        <v/>
      </c>
      <c r="AD79" s="39" t="str">
        <f t="shared" si="35"/>
        <v/>
      </c>
      <c r="AE79" s="37" t="str">
        <f t="shared" si="36"/>
        <v/>
      </c>
      <c r="AF79" s="35"/>
      <c r="AG79" s="35"/>
      <c r="AH79" s="37" t="str">
        <f>IF(A79="","",COUNTIF(Evidencias!$B$5:$B$115,A79))</f>
        <v/>
      </c>
      <c r="AI79" s="39" t="str">
        <f t="shared" si="37"/>
        <v/>
      </c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6"/>
      <c r="AV79" s="45" t="str">
        <f t="shared" si="38"/>
        <v/>
      </c>
      <c r="AW79" s="35"/>
    </row>
    <row r="80" spans="1:49" ht="60" customHeight="1" x14ac:dyDescent="0.3">
      <c r="A80" s="35"/>
      <c r="B80" s="35"/>
      <c r="C80" s="39" t="str">
        <f>IF(B80="","",IFERROR(INDEX(Temas!$E$5:$E$40,MATCH(B80,Temas!$A$5:$A$40,0)),"ID_Tema não encontrado"))</f>
        <v/>
      </c>
      <c r="D80" s="39" t="str">
        <f>IF(B80="","",IFERROR(INDEX(Temas!$B$5:$B$40,MATCH(B80,Temas!$A$5:$A$40,0)),""))</f>
        <v/>
      </c>
      <c r="E80" s="39" t="str">
        <f>IF(B80="","",IFERROR(INDEX(Temas!$C$5:$C$40,MATCH(B80,Temas!$A$5:$A$40,0)),""))</f>
        <v/>
      </c>
      <c r="F80" s="35"/>
      <c r="G80" s="39" t="str">
        <f t="shared" si="26"/>
        <v/>
      </c>
      <c r="H80" s="35"/>
      <c r="I80" s="35"/>
      <c r="J80" s="35"/>
      <c r="K80" s="35"/>
      <c r="L80" s="35"/>
      <c r="M80" s="35"/>
      <c r="N80" s="43"/>
      <c r="O80" s="43"/>
      <c r="P80" s="43"/>
      <c r="Q80" s="43"/>
      <c r="R80" s="41" t="str">
        <f t="shared" si="27"/>
        <v/>
      </c>
      <c r="S80" s="37" t="str">
        <f t="shared" si="28"/>
        <v/>
      </c>
      <c r="T80" s="38" t="str">
        <f t="shared" si="29"/>
        <v/>
      </c>
      <c r="U80" s="35"/>
      <c r="V80" s="35"/>
      <c r="W80" s="44"/>
      <c r="X80" s="43"/>
      <c r="Y80" s="37" t="str">
        <f t="shared" si="30"/>
        <v/>
      </c>
      <c r="Z80" s="38" t="str">
        <f t="shared" si="31"/>
        <v/>
      </c>
      <c r="AA80" s="40" t="str">
        <f t="shared" si="32"/>
        <v/>
      </c>
      <c r="AB80" s="38" t="str">
        <f t="shared" si="33"/>
        <v/>
      </c>
      <c r="AC80" s="39" t="str">
        <f t="shared" si="34"/>
        <v/>
      </c>
      <c r="AD80" s="39" t="str">
        <f t="shared" si="35"/>
        <v/>
      </c>
      <c r="AE80" s="37" t="str">
        <f t="shared" si="36"/>
        <v/>
      </c>
      <c r="AF80" s="35"/>
      <c r="AG80" s="35"/>
      <c r="AH80" s="37" t="str">
        <f>IF(A80="","",COUNTIF(Evidencias!$B$5:$B$115,A80))</f>
        <v/>
      </c>
      <c r="AI80" s="39" t="str">
        <f t="shared" si="37"/>
        <v/>
      </c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6"/>
      <c r="AV80" s="45" t="str">
        <f t="shared" si="38"/>
        <v/>
      </c>
      <c r="AW80" s="35"/>
    </row>
    <row r="81" spans="1:49" ht="60" customHeight="1" x14ac:dyDescent="0.3">
      <c r="A81" s="35"/>
      <c r="B81" s="35"/>
      <c r="C81" s="39" t="str">
        <f>IF(B81="","",IFERROR(INDEX(Temas!$E$5:$E$40,MATCH(B81,Temas!$A$5:$A$40,0)),"ID_Tema não encontrado"))</f>
        <v/>
      </c>
      <c r="D81" s="39" t="str">
        <f>IF(B81="","",IFERROR(INDEX(Temas!$B$5:$B$40,MATCH(B81,Temas!$A$5:$A$40,0)),""))</f>
        <v/>
      </c>
      <c r="E81" s="39" t="str">
        <f>IF(B81="","",IFERROR(INDEX(Temas!$C$5:$C$40,MATCH(B81,Temas!$A$5:$A$40,0)),""))</f>
        <v/>
      </c>
      <c r="F81" s="35"/>
      <c r="G81" s="39" t="str">
        <f t="shared" si="26"/>
        <v/>
      </c>
      <c r="H81" s="35"/>
      <c r="I81" s="35"/>
      <c r="J81" s="35"/>
      <c r="K81" s="35"/>
      <c r="L81" s="35"/>
      <c r="M81" s="35"/>
      <c r="N81" s="43"/>
      <c r="O81" s="43"/>
      <c r="P81" s="43"/>
      <c r="Q81" s="43"/>
      <c r="R81" s="41" t="str">
        <f t="shared" si="27"/>
        <v/>
      </c>
      <c r="S81" s="37" t="str">
        <f t="shared" si="28"/>
        <v/>
      </c>
      <c r="T81" s="38" t="str">
        <f t="shared" si="29"/>
        <v/>
      </c>
      <c r="U81" s="35"/>
      <c r="V81" s="35"/>
      <c r="W81" s="44"/>
      <c r="X81" s="43"/>
      <c r="Y81" s="37" t="str">
        <f t="shared" si="30"/>
        <v/>
      </c>
      <c r="Z81" s="38" t="str">
        <f t="shared" si="31"/>
        <v/>
      </c>
      <c r="AA81" s="40" t="str">
        <f t="shared" si="32"/>
        <v/>
      </c>
      <c r="AB81" s="38" t="str">
        <f t="shared" si="33"/>
        <v/>
      </c>
      <c r="AC81" s="39" t="str">
        <f t="shared" si="34"/>
        <v/>
      </c>
      <c r="AD81" s="39" t="str">
        <f t="shared" si="35"/>
        <v/>
      </c>
      <c r="AE81" s="37" t="str">
        <f t="shared" si="36"/>
        <v/>
      </c>
      <c r="AF81" s="35"/>
      <c r="AG81" s="35"/>
      <c r="AH81" s="37" t="str">
        <f>IF(A81="","",COUNTIF(Evidencias!$B$5:$B$115,A81))</f>
        <v/>
      </c>
      <c r="AI81" s="39" t="str">
        <f t="shared" si="37"/>
        <v/>
      </c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6"/>
      <c r="AV81" s="45" t="str">
        <f t="shared" si="38"/>
        <v/>
      </c>
      <c r="AW81" s="35"/>
    </row>
    <row r="82" spans="1:49" ht="60" customHeight="1" x14ac:dyDescent="0.3">
      <c r="A82" s="35"/>
      <c r="B82" s="35"/>
      <c r="C82" s="39" t="str">
        <f>IF(B82="","",IFERROR(INDEX(Temas!$E$5:$E$40,MATCH(B82,Temas!$A$5:$A$40,0)),"ID_Tema não encontrado"))</f>
        <v/>
      </c>
      <c r="D82" s="39" t="str">
        <f>IF(B82="","",IFERROR(INDEX(Temas!$B$5:$B$40,MATCH(B82,Temas!$A$5:$A$40,0)),""))</f>
        <v/>
      </c>
      <c r="E82" s="39" t="str">
        <f>IF(B82="","",IFERROR(INDEX(Temas!$C$5:$C$40,MATCH(B82,Temas!$A$5:$A$40,0)),""))</f>
        <v/>
      </c>
      <c r="F82" s="35"/>
      <c r="G82" s="39" t="str">
        <f t="shared" si="26"/>
        <v/>
      </c>
      <c r="H82" s="35"/>
      <c r="I82" s="35"/>
      <c r="J82" s="35"/>
      <c r="K82" s="35"/>
      <c r="L82" s="35"/>
      <c r="M82" s="35"/>
      <c r="N82" s="43"/>
      <c r="O82" s="43"/>
      <c r="P82" s="43"/>
      <c r="Q82" s="43"/>
      <c r="R82" s="41" t="str">
        <f t="shared" si="27"/>
        <v/>
      </c>
      <c r="S82" s="37" t="str">
        <f t="shared" si="28"/>
        <v/>
      </c>
      <c r="T82" s="38" t="str">
        <f t="shared" si="29"/>
        <v/>
      </c>
      <c r="U82" s="35"/>
      <c r="V82" s="35"/>
      <c r="W82" s="44"/>
      <c r="X82" s="43"/>
      <c r="Y82" s="37" t="str">
        <f t="shared" si="30"/>
        <v/>
      </c>
      <c r="Z82" s="38" t="str">
        <f t="shared" si="31"/>
        <v/>
      </c>
      <c r="AA82" s="40" t="str">
        <f t="shared" si="32"/>
        <v/>
      </c>
      <c r="AB82" s="38" t="str">
        <f t="shared" si="33"/>
        <v/>
      </c>
      <c r="AC82" s="39" t="str">
        <f t="shared" si="34"/>
        <v/>
      </c>
      <c r="AD82" s="39" t="str">
        <f t="shared" si="35"/>
        <v/>
      </c>
      <c r="AE82" s="37" t="str">
        <f t="shared" si="36"/>
        <v/>
      </c>
      <c r="AF82" s="35"/>
      <c r="AG82" s="35"/>
      <c r="AH82" s="37" t="str">
        <f>IF(A82="","",COUNTIF(Evidencias!$B$5:$B$115,A82))</f>
        <v/>
      </c>
      <c r="AI82" s="39" t="str">
        <f t="shared" si="37"/>
        <v/>
      </c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6"/>
      <c r="AV82" s="45" t="str">
        <f t="shared" si="38"/>
        <v/>
      </c>
      <c r="AW82" s="35"/>
    </row>
    <row r="83" spans="1:49" ht="60" customHeight="1" x14ac:dyDescent="0.3">
      <c r="A83" s="35"/>
      <c r="B83" s="35"/>
      <c r="C83" s="39" t="str">
        <f>IF(B83="","",IFERROR(INDEX(Temas!$E$5:$E$40,MATCH(B83,Temas!$A$5:$A$40,0)),"ID_Tema não encontrado"))</f>
        <v/>
      </c>
      <c r="D83" s="39" t="str">
        <f>IF(B83="","",IFERROR(INDEX(Temas!$B$5:$B$40,MATCH(B83,Temas!$A$5:$A$40,0)),""))</f>
        <v/>
      </c>
      <c r="E83" s="39" t="str">
        <f>IF(B83="","",IFERROR(INDEX(Temas!$C$5:$C$40,MATCH(B83,Temas!$A$5:$A$40,0)),""))</f>
        <v/>
      </c>
      <c r="F83" s="35"/>
      <c r="G83" s="39" t="str">
        <f t="shared" si="26"/>
        <v/>
      </c>
      <c r="H83" s="35"/>
      <c r="I83" s="35"/>
      <c r="J83" s="35"/>
      <c r="K83" s="35"/>
      <c r="L83" s="35"/>
      <c r="M83" s="35"/>
      <c r="N83" s="43"/>
      <c r="O83" s="43"/>
      <c r="P83" s="43"/>
      <c r="Q83" s="43"/>
      <c r="R83" s="41" t="str">
        <f t="shared" si="27"/>
        <v/>
      </c>
      <c r="S83" s="37" t="str">
        <f t="shared" si="28"/>
        <v/>
      </c>
      <c r="T83" s="38" t="str">
        <f t="shared" si="29"/>
        <v/>
      </c>
      <c r="U83" s="35"/>
      <c r="V83" s="35"/>
      <c r="W83" s="44"/>
      <c r="X83" s="43"/>
      <c r="Y83" s="37" t="str">
        <f t="shared" si="30"/>
        <v/>
      </c>
      <c r="Z83" s="38" t="str">
        <f t="shared" si="31"/>
        <v/>
      </c>
      <c r="AA83" s="40" t="str">
        <f t="shared" si="32"/>
        <v/>
      </c>
      <c r="AB83" s="38" t="str">
        <f t="shared" si="33"/>
        <v/>
      </c>
      <c r="AC83" s="39" t="str">
        <f t="shared" si="34"/>
        <v/>
      </c>
      <c r="AD83" s="39" t="str">
        <f t="shared" si="35"/>
        <v/>
      </c>
      <c r="AE83" s="37" t="str">
        <f t="shared" si="36"/>
        <v/>
      </c>
      <c r="AF83" s="35"/>
      <c r="AG83" s="35"/>
      <c r="AH83" s="37" t="str">
        <f>IF(A83="","",COUNTIF(Evidencias!$B$5:$B$115,A83))</f>
        <v/>
      </c>
      <c r="AI83" s="39" t="str">
        <f t="shared" si="37"/>
        <v/>
      </c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6"/>
      <c r="AV83" s="45" t="str">
        <f t="shared" si="38"/>
        <v/>
      </c>
      <c r="AW83" s="35"/>
    </row>
    <row r="84" spans="1:49" ht="60" customHeight="1" x14ac:dyDescent="0.3">
      <c r="A84" s="35"/>
      <c r="B84" s="35"/>
      <c r="C84" s="39" t="str">
        <f>IF(B84="","",IFERROR(INDEX(Temas!$E$5:$E$40,MATCH(B84,Temas!$A$5:$A$40,0)),"ID_Tema não encontrado"))</f>
        <v/>
      </c>
      <c r="D84" s="39" t="str">
        <f>IF(B84="","",IFERROR(INDEX(Temas!$B$5:$B$40,MATCH(B84,Temas!$A$5:$A$40,0)),""))</f>
        <v/>
      </c>
      <c r="E84" s="39" t="str">
        <f>IF(B84="","",IFERROR(INDEX(Temas!$C$5:$C$40,MATCH(B84,Temas!$A$5:$A$40,0)),""))</f>
        <v/>
      </c>
      <c r="F84" s="35"/>
      <c r="G84" s="39" t="str">
        <f t="shared" si="26"/>
        <v/>
      </c>
      <c r="H84" s="35"/>
      <c r="I84" s="35"/>
      <c r="J84" s="35"/>
      <c r="K84" s="35"/>
      <c r="L84" s="35"/>
      <c r="M84" s="35"/>
      <c r="N84" s="43"/>
      <c r="O84" s="43"/>
      <c r="P84" s="43"/>
      <c r="Q84" s="43"/>
      <c r="R84" s="41" t="str">
        <f t="shared" si="27"/>
        <v/>
      </c>
      <c r="S84" s="37" t="str">
        <f t="shared" si="28"/>
        <v/>
      </c>
      <c r="T84" s="38" t="str">
        <f t="shared" si="29"/>
        <v/>
      </c>
      <c r="U84" s="35"/>
      <c r="V84" s="35"/>
      <c r="W84" s="44"/>
      <c r="X84" s="43"/>
      <c r="Y84" s="37" t="str">
        <f t="shared" si="30"/>
        <v/>
      </c>
      <c r="Z84" s="38" t="str">
        <f t="shared" si="31"/>
        <v/>
      </c>
      <c r="AA84" s="40" t="str">
        <f t="shared" si="32"/>
        <v/>
      </c>
      <c r="AB84" s="38" t="str">
        <f t="shared" si="33"/>
        <v/>
      </c>
      <c r="AC84" s="39" t="str">
        <f t="shared" si="34"/>
        <v/>
      </c>
      <c r="AD84" s="39" t="str">
        <f t="shared" si="35"/>
        <v/>
      </c>
      <c r="AE84" s="37" t="str">
        <f t="shared" si="36"/>
        <v/>
      </c>
      <c r="AF84" s="35"/>
      <c r="AG84" s="35"/>
      <c r="AH84" s="37" t="str">
        <f>IF(A84="","",COUNTIF(Evidencias!$B$5:$B$115,A84))</f>
        <v/>
      </c>
      <c r="AI84" s="39" t="str">
        <f t="shared" si="37"/>
        <v/>
      </c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6"/>
      <c r="AV84" s="45" t="str">
        <f t="shared" si="38"/>
        <v/>
      </c>
      <c r="AW84" s="35"/>
    </row>
    <row r="85" spans="1:49" ht="60" customHeight="1" x14ac:dyDescent="0.3">
      <c r="A85" s="35"/>
      <c r="B85" s="35"/>
      <c r="C85" s="39" t="str">
        <f>IF(B85="","",IFERROR(INDEX(Temas!$E$5:$E$40,MATCH(B85,Temas!$A$5:$A$40,0)),"ID_Tema não encontrado"))</f>
        <v/>
      </c>
      <c r="D85" s="39" t="str">
        <f>IF(B85="","",IFERROR(INDEX(Temas!$B$5:$B$40,MATCH(B85,Temas!$A$5:$A$40,0)),""))</f>
        <v/>
      </c>
      <c r="E85" s="39" t="str">
        <f>IF(B85="","",IFERROR(INDEX(Temas!$C$5:$C$40,MATCH(B85,Temas!$A$5:$A$40,0)),""))</f>
        <v/>
      </c>
      <c r="F85" s="35"/>
      <c r="G85" s="39" t="str">
        <f t="shared" si="26"/>
        <v/>
      </c>
      <c r="H85" s="35"/>
      <c r="I85" s="35"/>
      <c r="J85" s="35"/>
      <c r="K85" s="35"/>
      <c r="L85" s="35"/>
      <c r="M85" s="35"/>
      <c r="N85" s="43"/>
      <c r="O85" s="43"/>
      <c r="P85" s="43"/>
      <c r="Q85" s="43"/>
      <c r="R85" s="41" t="str">
        <f t="shared" si="27"/>
        <v/>
      </c>
      <c r="S85" s="37" t="str">
        <f t="shared" si="28"/>
        <v/>
      </c>
      <c r="T85" s="38" t="str">
        <f t="shared" si="29"/>
        <v/>
      </c>
      <c r="U85" s="35"/>
      <c r="V85" s="35"/>
      <c r="W85" s="44"/>
      <c r="X85" s="43"/>
      <c r="Y85" s="37" t="str">
        <f t="shared" si="30"/>
        <v/>
      </c>
      <c r="Z85" s="38" t="str">
        <f t="shared" si="31"/>
        <v/>
      </c>
      <c r="AA85" s="40" t="str">
        <f t="shared" si="32"/>
        <v/>
      </c>
      <c r="AB85" s="38" t="str">
        <f t="shared" si="33"/>
        <v/>
      </c>
      <c r="AC85" s="39" t="str">
        <f t="shared" si="34"/>
        <v/>
      </c>
      <c r="AD85" s="39" t="str">
        <f t="shared" si="35"/>
        <v/>
      </c>
      <c r="AE85" s="37" t="str">
        <f t="shared" si="36"/>
        <v/>
      </c>
      <c r="AF85" s="35"/>
      <c r="AG85" s="35"/>
      <c r="AH85" s="37" t="str">
        <f>IF(A85="","",COUNTIF(Evidencias!$B$5:$B$115,A85))</f>
        <v/>
      </c>
      <c r="AI85" s="39" t="str">
        <f t="shared" si="37"/>
        <v/>
      </c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6"/>
      <c r="AV85" s="45" t="str">
        <f t="shared" si="38"/>
        <v/>
      </c>
      <c r="AW85" s="35"/>
    </row>
    <row r="86" spans="1:49" ht="60" customHeight="1" x14ac:dyDescent="0.3">
      <c r="A86" s="35"/>
      <c r="B86" s="35"/>
      <c r="C86" s="39" t="str">
        <f>IF(B86="","",IFERROR(INDEX(Temas!$E$5:$E$40,MATCH(B86,Temas!$A$5:$A$40,0)),"ID_Tema não encontrado"))</f>
        <v/>
      </c>
      <c r="D86" s="39" t="str">
        <f>IF(B86="","",IFERROR(INDEX(Temas!$B$5:$B$40,MATCH(B86,Temas!$A$5:$A$40,0)),""))</f>
        <v/>
      </c>
      <c r="E86" s="39" t="str">
        <f>IF(B86="","",IFERROR(INDEX(Temas!$C$5:$C$40,MATCH(B86,Temas!$A$5:$A$40,0)),""))</f>
        <v/>
      </c>
      <c r="F86" s="35"/>
      <c r="G86" s="39" t="str">
        <f t="shared" si="26"/>
        <v/>
      </c>
      <c r="H86" s="35"/>
      <c r="I86" s="35"/>
      <c r="J86" s="35"/>
      <c r="K86" s="35"/>
      <c r="L86" s="35"/>
      <c r="M86" s="35"/>
      <c r="N86" s="43"/>
      <c r="O86" s="43"/>
      <c r="P86" s="43"/>
      <c r="Q86" s="43"/>
      <c r="R86" s="41" t="str">
        <f t="shared" si="27"/>
        <v/>
      </c>
      <c r="S86" s="37" t="str">
        <f t="shared" si="28"/>
        <v/>
      </c>
      <c r="T86" s="38" t="str">
        <f t="shared" si="29"/>
        <v/>
      </c>
      <c r="U86" s="35"/>
      <c r="V86" s="35"/>
      <c r="W86" s="44"/>
      <c r="X86" s="43"/>
      <c r="Y86" s="37" t="str">
        <f t="shared" si="30"/>
        <v/>
      </c>
      <c r="Z86" s="38" t="str">
        <f t="shared" si="31"/>
        <v/>
      </c>
      <c r="AA86" s="40" t="str">
        <f t="shared" si="32"/>
        <v/>
      </c>
      <c r="AB86" s="38" t="str">
        <f t="shared" si="33"/>
        <v/>
      </c>
      <c r="AC86" s="39" t="str">
        <f t="shared" si="34"/>
        <v/>
      </c>
      <c r="AD86" s="39" t="str">
        <f t="shared" si="35"/>
        <v/>
      </c>
      <c r="AE86" s="37" t="str">
        <f t="shared" si="36"/>
        <v/>
      </c>
      <c r="AF86" s="35"/>
      <c r="AG86" s="35"/>
      <c r="AH86" s="37" t="str">
        <f>IF(A86="","",COUNTIF(Evidencias!$B$5:$B$115,A86))</f>
        <v/>
      </c>
      <c r="AI86" s="39" t="str">
        <f t="shared" si="37"/>
        <v/>
      </c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6"/>
      <c r="AV86" s="45" t="str">
        <f t="shared" si="38"/>
        <v/>
      </c>
      <c r="AW86" s="35"/>
    </row>
    <row r="87" spans="1:49" ht="60" customHeight="1" x14ac:dyDescent="0.3">
      <c r="A87" s="35"/>
      <c r="B87" s="35"/>
      <c r="C87" s="39" t="str">
        <f>IF(B87="","",IFERROR(INDEX(Temas!$E$5:$E$40,MATCH(B87,Temas!$A$5:$A$40,0)),"ID_Tema não encontrado"))</f>
        <v/>
      </c>
      <c r="D87" s="39" t="str">
        <f>IF(B87="","",IFERROR(INDEX(Temas!$B$5:$B$40,MATCH(B87,Temas!$A$5:$A$40,0)),""))</f>
        <v/>
      </c>
      <c r="E87" s="39" t="str">
        <f>IF(B87="","",IFERROR(INDEX(Temas!$C$5:$C$40,MATCH(B87,Temas!$A$5:$A$40,0)),""))</f>
        <v/>
      </c>
      <c r="F87" s="35"/>
      <c r="G87" s="39" t="str">
        <f t="shared" si="26"/>
        <v/>
      </c>
      <c r="H87" s="35"/>
      <c r="I87" s="35"/>
      <c r="J87" s="35"/>
      <c r="K87" s="35"/>
      <c r="L87" s="35"/>
      <c r="M87" s="35"/>
      <c r="N87" s="43"/>
      <c r="O87" s="43"/>
      <c r="P87" s="43"/>
      <c r="Q87" s="43"/>
      <c r="R87" s="41" t="str">
        <f t="shared" si="27"/>
        <v/>
      </c>
      <c r="S87" s="37" t="str">
        <f t="shared" si="28"/>
        <v/>
      </c>
      <c r="T87" s="38" t="str">
        <f t="shared" si="29"/>
        <v/>
      </c>
      <c r="U87" s="35"/>
      <c r="V87" s="35"/>
      <c r="W87" s="44"/>
      <c r="X87" s="43"/>
      <c r="Y87" s="37" t="str">
        <f t="shared" si="30"/>
        <v/>
      </c>
      <c r="Z87" s="38" t="str">
        <f t="shared" si="31"/>
        <v/>
      </c>
      <c r="AA87" s="40" t="str">
        <f t="shared" si="32"/>
        <v/>
      </c>
      <c r="AB87" s="38" t="str">
        <f t="shared" si="33"/>
        <v/>
      </c>
      <c r="AC87" s="39" t="str">
        <f t="shared" si="34"/>
        <v/>
      </c>
      <c r="AD87" s="39" t="str">
        <f t="shared" si="35"/>
        <v/>
      </c>
      <c r="AE87" s="37" t="str">
        <f t="shared" si="36"/>
        <v/>
      </c>
      <c r="AF87" s="35"/>
      <c r="AG87" s="35"/>
      <c r="AH87" s="37" t="str">
        <f>IF(A87="","",COUNTIF(Evidencias!$B$5:$B$115,A87))</f>
        <v/>
      </c>
      <c r="AI87" s="39" t="str">
        <f t="shared" si="37"/>
        <v/>
      </c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6"/>
      <c r="AV87" s="45" t="str">
        <f t="shared" si="38"/>
        <v/>
      </c>
      <c r="AW87" s="35"/>
    </row>
    <row r="88" spans="1:49" ht="60" customHeight="1" x14ac:dyDescent="0.3">
      <c r="A88" s="35"/>
      <c r="B88" s="35"/>
      <c r="C88" s="39" t="str">
        <f>IF(B88="","",IFERROR(INDEX(Temas!$E$5:$E$40,MATCH(B88,Temas!$A$5:$A$40,0)),"ID_Tema não encontrado"))</f>
        <v/>
      </c>
      <c r="D88" s="39" t="str">
        <f>IF(B88="","",IFERROR(INDEX(Temas!$B$5:$B$40,MATCH(B88,Temas!$A$5:$A$40,0)),""))</f>
        <v/>
      </c>
      <c r="E88" s="39" t="str">
        <f>IF(B88="","",IFERROR(INDEX(Temas!$C$5:$C$40,MATCH(B88,Temas!$A$5:$A$40,0)),""))</f>
        <v/>
      </c>
      <c r="F88" s="35"/>
      <c r="G88" s="39" t="str">
        <f t="shared" si="26"/>
        <v/>
      </c>
      <c r="H88" s="35"/>
      <c r="I88" s="35"/>
      <c r="J88" s="35"/>
      <c r="K88" s="35"/>
      <c r="L88" s="35"/>
      <c r="M88" s="35"/>
      <c r="N88" s="43"/>
      <c r="O88" s="43"/>
      <c r="P88" s="43"/>
      <c r="Q88" s="43"/>
      <c r="R88" s="41" t="str">
        <f t="shared" si="27"/>
        <v/>
      </c>
      <c r="S88" s="37" t="str">
        <f t="shared" si="28"/>
        <v/>
      </c>
      <c r="T88" s="38" t="str">
        <f t="shared" si="29"/>
        <v/>
      </c>
      <c r="U88" s="35"/>
      <c r="V88" s="35"/>
      <c r="W88" s="44"/>
      <c r="X88" s="43"/>
      <c r="Y88" s="37" t="str">
        <f t="shared" si="30"/>
        <v/>
      </c>
      <c r="Z88" s="38" t="str">
        <f t="shared" si="31"/>
        <v/>
      </c>
      <c r="AA88" s="40" t="str">
        <f t="shared" si="32"/>
        <v/>
      </c>
      <c r="AB88" s="38" t="str">
        <f t="shared" si="33"/>
        <v/>
      </c>
      <c r="AC88" s="39" t="str">
        <f t="shared" si="34"/>
        <v/>
      </c>
      <c r="AD88" s="39" t="str">
        <f t="shared" si="35"/>
        <v/>
      </c>
      <c r="AE88" s="37" t="str">
        <f t="shared" si="36"/>
        <v/>
      </c>
      <c r="AF88" s="35"/>
      <c r="AG88" s="35"/>
      <c r="AH88" s="37" t="str">
        <f>IF(A88="","",COUNTIF(Evidencias!$B$5:$B$115,A88))</f>
        <v/>
      </c>
      <c r="AI88" s="39" t="str">
        <f t="shared" si="37"/>
        <v/>
      </c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6"/>
      <c r="AV88" s="45" t="str">
        <f t="shared" si="38"/>
        <v/>
      </c>
      <c r="AW88" s="35"/>
    </row>
    <row r="89" spans="1:49" ht="60" customHeight="1" x14ac:dyDescent="0.3">
      <c r="A89" s="35"/>
      <c r="B89" s="35"/>
      <c r="C89" s="39" t="str">
        <f>IF(B89="","",IFERROR(INDEX(Temas!$E$5:$E$40,MATCH(B89,Temas!$A$5:$A$40,0)),"ID_Tema não encontrado"))</f>
        <v/>
      </c>
      <c r="D89" s="39" t="str">
        <f>IF(B89="","",IFERROR(INDEX(Temas!$B$5:$B$40,MATCH(B89,Temas!$A$5:$A$40,0)),""))</f>
        <v/>
      </c>
      <c r="E89" s="39" t="str">
        <f>IF(B89="","",IFERROR(INDEX(Temas!$C$5:$C$40,MATCH(B89,Temas!$A$5:$A$40,0)),""))</f>
        <v/>
      </c>
      <c r="F89" s="35"/>
      <c r="G89" s="39" t="str">
        <f t="shared" si="26"/>
        <v/>
      </c>
      <c r="H89" s="35"/>
      <c r="I89" s="35"/>
      <c r="J89" s="35"/>
      <c r="K89" s="35"/>
      <c r="L89" s="35"/>
      <c r="M89" s="35"/>
      <c r="N89" s="43"/>
      <c r="O89" s="43"/>
      <c r="P89" s="43"/>
      <c r="Q89" s="43"/>
      <c r="R89" s="41" t="str">
        <f t="shared" si="27"/>
        <v/>
      </c>
      <c r="S89" s="37" t="str">
        <f t="shared" si="28"/>
        <v/>
      </c>
      <c r="T89" s="38" t="str">
        <f t="shared" si="29"/>
        <v/>
      </c>
      <c r="U89" s="35"/>
      <c r="V89" s="35"/>
      <c r="W89" s="44"/>
      <c r="X89" s="43"/>
      <c r="Y89" s="37" t="str">
        <f t="shared" si="30"/>
        <v/>
      </c>
      <c r="Z89" s="38" t="str">
        <f t="shared" si="31"/>
        <v/>
      </c>
      <c r="AA89" s="40" t="str">
        <f t="shared" si="32"/>
        <v/>
      </c>
      <c r="AB89" s="38" t="str">
        <f t="shared" si="33"/>
        <v/>
      </c>
      <c r="AC89" s="39" t="str">
        <f t="shared" si="34"/>
        <v/>
      </c>
      <c r="AD89" s="39" t="str">
        <f t="shared" si="35"/>
        <v/>
      </c>
      <c r="AE89" s="37" t="str">
        <f t="shared" si="36"/>
        <v/>
      </c>
      <c r="AF89" s="35"/>
      <c r="AG89" s="35"/>
      <c r="AH89" s="37" t="str">
        <f>IF(A89="","",COUNTIF(Evidencias!$B$5:$B$115,A89))</f>
        <v/>
      </c>
      <c r="AI89" s="39" t="str">
        <f t="shared" si="37"/>
        <v/>
      </c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6"/>
      <c r="AV89" s="45" t="str">
        <f t="shared" si="38"/>
        <v/>
      </c>
      <c r="AW89" s="35"/>
    </row>
    <row r="90" spans="1:49" ht="60" customHeight="1" x14ac:dyDescent="0.3">
      <c r="A90" s="35"/>
      <c r="B90" s="35"/>
      <c r="C90" s="39" t="str">
        <f>IF(B90="","",IFERROR(INDEX(Temas!$E$5:$E$40,MATCH(B90,Temas!$A$5:$A$40,0)),"ID_Tema não encontrado"))</f>
        <v/>
      </c>
      <c r="D90" s="39" t="str">
        <f>IF(B90="","",IFERROR(INDEX(Temas!$B$5:$B$40,MATCH(B90,Temas!$A$5:$A$40,0)),""))</f>
        <v/>
      </c>
      <c r="E90" s="39" t="str">
        <f>IF(B90="","",IFERROR(INDEX(Temas!$C$5:$C$40,MATCH(B90,Temas!$A$5:$A$40,0)),""))</f>
        <v/>
      </c>
      <c r="F90" s="35"/>
      <c r="G90" s="39" t="str">
        <f t="shared" si="26"/>
        <v/>
      </c>
      <c r="H90" s="35"/>
      <c r="I90" s="35"/>
      <c r="J90" s="35"/>
      <c r="K90" s="35"/>
      <c r="L90" s="35"/>
      <c r="M90" s="35"/>
      <c r="N90" s="43"/>
      <c r="O90" s="43"/>
      <c r="P90" s="43"/>
      <c r="Q90" s="43"/>
      <c r="R90" s="41" t="str">
        <f t="shared" si="27"/>
        <v/>
      </c>
      <c r="S90" s="37" t="str">
        <f t="shared" si="28"/>
        <v/>
      </c>
      <c r="T90" s="38" t="str">
        <f t="shared" si="29"/>
        <v/>
      </c>
      <c r="U90" s="35"/>
      <c r="V90" s="35"/>
      <c r="W90" s="44"/>
      <c r="X90" s="43"/>
      <c r="Y90" s="37" t="str">
        <f t="shared" si="30"/>
        <v/>
      </c>
      <c r="Z90" s="38" t="str">
        <f t="shared" si="31"/>
        <v/>
      </c>
      <c r="AA90" s="40" t="str">
        <f t="shared" si="32"/>
        <v/>
      </c>
      <c r="AB90" s="38" t="str">
        <f t="shared" si="33"/>
        <v/>
      </c>
      <c r="AC90" s="39" t="str">
        <f t="shared" si="34"/>
        <v/>
      </c>
      <c r="AD90" s="39" t="str">
        <f t="shared" si="35"/>
        <v/>
      </c>
      <c r="AE90" s="37" t="str">
        <f t="shared" si="36"/>
        <v/>
      </c>
      <c r="AF90" s="35"/>
      <c r="AG90" s="35"/>
      <c r="AH90" s="37" t="str">
        <f>IF(A90="","",COUNTIF(Evidencias!$B$5:$B$115,A90))</f>
        <v/>
      </c>
      <c r="AI90" s="39" t="str">
        <f t="shared" si="37"/>
        <v/>
      </c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6"/>
      <c r="AV90" s="45" t="str">
        <f t="shared" si="38"/>
        <v/>
      </c>
      <c r="AW90" s="35"/>
    </row>
    <row r="91" spans="1:49" ht="60" customHeight="1" x14ac:dyDescent="0.3">
      <c r="A91" s="35"/>
      <c r="B91" s="35"/>
      <c r="C91" s="39" t="str">
        <f>IF(B91="","",IFERROR(INDEX(Temas!$E$5:$E$40,MATCH(B91,Temas!$A$5:$A$40,0)),"ID_Tema não encontrado"))</f>
        <v/>
      </c>
      <c r="D91" s="39" t="str">
        <f>IF(B91="","",IFERROR(INDEX(Temas!$B$5:$B$40,MATCH(B91,Temas!$A$5:$A$40,0)),""))</f>
        <v/>
      </c>
      <c r="E91" s="39" t="str">
        <f>IF(B91="","",IFERROR(INDEX(Temas!$C$5:$C$40,MATCH(B91,Temas!$A$5:$A$40,0)),""))</f>
        <v/>
      </c>
      <c r="F91" s="35"/>
      <c r="G91" s="39" t="str">
        <f t="shared" si="26"/>
        <v/>
      </c>
      <c r="H91" s="35"/>
      <c r="I91" s="35"/>
      <c r="J91" s="35"/>
      <c r="K91" s="35"/>
      <c r="L91" s="35"/>
      <c r="M91" s="35"/>
      <c r="N91" s="43"/>
      <c r="O91" s="43"/>
      <c r="P91" s="43"/>
      <c r="Q91" s="43"/>
      <c r="R91" s="41" t="str">
        <f t="shared" si="27"/>
        <v/>
      </c>
      <c r="S91" s="37" t="str">
        <f t="shared" si="28"/>
        <v/>
      </c>
      <c r="T91" s="38" t="str">
        <f t="shared" si="29"/>
        <v/>
      </c>
      <c r="U91" s="35"/>
      <c r="V91" s="35"/>
      <c r="W91" s="44"/>
      <c r="X91" s="43"/>
      <c r="Y91" s="37" t="str">
        <f t="shared" si="30"/>
        <v/>
      </c>
      <c r="Z91" s="38" t="str">
        <f t="shared" si="31"/>
        <v/>
      </c>
      <c r="AA91" s="40" t="str">
        <f t="shared" si="32"/>
        <v/>
      </c>
      <c r="AB91" s="38" t="str">
        <f t="shared" si="33"/>
        <v/>
      </c>
      <c r="AC91" s="39" t="str">
        <f t="shared" si="34"/>
        <v/>
      </c>
      <c r="AD91" s="39" t="str">
        <f t="shared" si="35"/>
        <v/>
      </c>
      <c r="AE91" s="37" t="str">
        <f t="shared" si="36"/>
        <v/>
      </c>
      <c r="AF91" s="35"/>
      <c r="AG91" s="35"/>
      <c r="AH91" s="37" t="str">
        <f>IF(A91="","",COUNTIF(Evidencias!$B$5:$B$115,A91))</f>
        <v/>
      </c>
      <c r="AI91" s="39" t="str">
        <f t="shared" si="37"/>
        <v/>
      </c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6"/>
      <c r="AV91" s="45" t="str">
        <f t="shared" si="38"/>
        <v/>
      </c>
      <c r="AW91" s="35"/>
    </row>
  </sheetData>
  <conditionalFormatting sqref="F5:F291">
    <cfRule type="expression" dxfId="16" priority="1">
      <formula>ISNUMBER(SEARCH("negativo",F5))</formula>
    </cfRule>
    <cfRule type="expression" dxfId="15" priority="2">
      <formula>ISNUMBER(SEARCH("positivo",F5))</formula>
    </cfRule>
    <cfRule type="expression" dxfId="14" priority="3">
      <formula>ISNUMBER(SEARCH("Risco",F5))</formula>
    </cfRule>
    <cfRule type="expression" dxfId="13" priority="4">
      <formula>ISNUMBER(SEARCH("Oportunidade",F5))</formula>
    </cfRule>
  </conditionalFormatting>
  <conditionalFormatting sqref="AC5:AC291">
    <cfRule type="expression" dxfId="12" priority="5">
      <formula>ISNUMBER(SEARCH("Sim",AC5))</formula>
    </cfRule>
    <cfRule type="expression" dxfId="11" priority="6">
      <formula>ISNUMBER(SEARCH("Não",AC5))</formula>
    </cfRule>
  </conditionalFormatting>
  <conditionalFormatting sqref="AD5:AD291">
    <cfRule type="expression" dxfId="10" priority="7">
      <formula>ISNUMBER(SEARCH("Material",AD5))</formula>
    </cfRule>
    <cfRule type="expression" dxfId="9" priority="8">
      <formula>ISNUMBER(SEARCH("Não material",AD5))</formula>
    </cfRule>
  </conditionalFormatting>
  <conditionalFormatting sqref="AG5:AG291">
    <cfRule type="expression" dxfId="8" priority="12">
      <formula>ISNUMBER(SEARCH("Baixa",AG5))</formula>
    </cfRule>
    <cfRule type="expression" dxfId="7" priority="13">
      <formula>ISNUMBER(SEARCH("Alta",AG5))</formula>
    </cfRule>
  </conditionalFormatting>
  <conditionalFormatting sqref="AI5:AI291">
    <cfRule type="expression" dxfId="6" priority="9">
      <formula>ISNUMBER(SEARCH("FALTA",AI5))</formula>
    </cfRule>
    <cfRule type="expression" dxfId="5" priority="10">
      <formula>ISNUMBER(SEARCH("Sem evidência",AI5))</formula>
    </cfRule>
    <cfRule type="expression" dxfId="4" priority="11">
      <formula>ISNUMBER(SEARCH("OK",AI5))</formula>
    </cfRule>
  </conditionalFormatting>
  <dataValidations count="10">
    <dataValidation type="list" allowBlank="1" showErrorMessage="1" errorTitle="Valor inválido" error="Valor fora da lista controlada (ver folha Listas)." sqref="F5:F291" xr:uid="{00000000-0002-0000-0300-000000000000}">
      <formula1>lst_TipoIRO</formula1>
    </dataValidation>
    <dataValidation type="list" allowBlank="1" showErrorMessage="1" errorTitle="Valor inválido" error="Valor fora da lista controlada (ver folha Listas)." sqref="I5:I291" xr:uid="{00000000-0002-0000-0300-000001000000}">
      <formula1>lst_Natureza</formula1>
    </dataValidation>
    <dataValidation type="list" allowBlank="1" showErrorMessage="1" errorTitle="Valor inválido" error="Valor fora da lista controlada (ver folha Listas)." sqref="J5:J291" xr:uid="{00000000-0002-0000-0300-000002000000}">
      <formula1>lst_Etapa</formula1>
    </dataValidation>
    <dataValidation type="list" allowBlank="1" showErrorMessage="1" errorTitle="Valor inválido" error="Valor fora da lista controlada (ver folha Listas)." sqref="K5:K291" xr:uid="{00000000-0002-0000-0300-000003000000}">
      <formula1>lst_Horizonte</formula1>
    </dataValidation>
    <dataValidation type="list" allowBlank="1" showErrorMessage="1" errorTitle="Valor inválido" error="Valor fora da lista controlada (ver folha Listas)." sqref="M5:M291" xr:uid="{00000000-0002-0000-0300-000004000000}">
      <formula1>lst_SimNao</formula1>
    </dataValidation>
    <dataValidation type="list" allowBlank="1" showErrorMessage="1" errorTitle="Valor inválido" error="Valor fora da lista controlada (ver folha Listas)." sqref="X5:X291 N5:Q291" xr:uid="{00000000-0002-0000-0300-000005000000}">
      <formula1>lst_Escala</formula1>
    </dataValidation>
    <dataValidation type="list" allowBlank="1" showErrorMessage="1" errorTitle="Valor inválido" error="Valor fora da lista controlada (ver folha Listas)." sqref="V5:V291" xr:uid="{00000000-0002-0000-0300-000009000000}">
      <formula1>lst_Rubrica</formula1>
    </dataValidation>
    <dataValidation type="list" allowBlank="1" showErrorMessage="1" errorTitle="Valor inválido" error="Valor fora da lista controlada (ver folha Listas)." sqref="AG5:AG291" xr:uid="{00000000-0002-0000-0300-00000B000000}">
      <formula1>lst_Qualidade</formula1>
    </dataValidation>
    <dataValidation type="list" allowBlank="1" showErrorMessage="1" errorTitle="Valor inválido" error="Valor fora da lista controlada (ver folha Listas)." sqref="AS5:AS291" xr:uid="{00000000-0002-0000-0300-00000C000000}">
      <formula1>lst_Funcao</formula1>
    </dataValidation>
    <dataValidation type="list" allowBlank="1" showErrorMessage="1" errorTitle="Valor inválido" error="Valor fora da lista controlada (ver folha Listas)." sqref="AT5:AT291" xr:uid="{00000000-0002-0000-0300-00000D000000}">
      <formula1>lst_EstadoValidacao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15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8" customWidth="1"/>
    <col min="4" max="4" width="40" customWidth="1"/>
    <col min="5" max="5" width="12" customWidth="1"/>
    <col min="6" max="7" width="14" customWidth="1"/>
    <col min="8" max="8" width="16" customWidth="1"/>
    <col min="9" max="9" width="14" customWidth="1"/>
    <col min="10" max="10" width="11" customWidth="1"/>
    <col min="11" max="11" width="9" customWidth="1"/>
    <col min="12" max="12" width="40" customWidth="1"/>
  </cols>
  <sheetData>
    <row r="1" spans="1:12" ht="17.399999999999999" x14ac:dyDescent="0.3">
      <c r="A1" s="1" t="s">
        <v>833</v>
      </c>
    </row>
    <row r="2" spans="1:12" x14ac:dyDescent="0.3">
      <c r="A2" s="2" t="s">
        <v>834</v>
      </c>
    </row>
    <row r="4" spans="1:12" ht="26.4" x14ac:dyDescent="0.3">
      <c r="A4" s="10" t="s">
        <v>835</v>
      </c>
      <c r="B4" s="10" t="s">
        <v>370</v>
      </c>
      <c r="C4" s="34" t="s">
        <v>159</v>
      </c>
      <c r="D4" s="10" t="s">
        <v>836</v>
      </c>
      <c r="E4" s="10" t="s">
        <v>837</v>
      </c>
      <c r="F4" s="10" t="s">
        <v>838</v>
      </c>
      <c r="G4" s="10" t="s">
        <v>839</v>
      </c>
      <c r="H4" s="10" t="s">
        <v>840</v>
      </c>
      <c r="I4" s="10" t="s">
        <v>841</v>
      </c>
      <c r="J4" s="10" t="s">
        <v>842</v>
      </c>
      <c r="K4" s="10" t="s">
        <v>843</v>
      </c>
      <c r="L4" s="10" t="s">
        <v>844</v>
      </c>
    </row>
    <row r="5" spans="1:12" ht="30" customHeight="1" x14ac:dyDescent="0.3">
      <c r="A5" s="35" t="s">
        <v>845</v>
      </c>
      <c r="B5" s="35" t="s">
        <v>413</v>
      </c>
      <c r="C5" s="39" t="str">
        <f>IF(B5="","",IFERROR(INDEX(IRO!$B$5:$B$91,MATCH(B5,IRO!$A$5:$A$91,0)),"ID_IRO não encontrado"))</f>
        <v>DM-01</v>
      </c>
      <c r="D5" s="35" t="s">
        <v>846</v>
      </c>
      <c r="E5" s="46">
        <v>865.1</v>
      </c>
      <c r="F5" s="35" t="s">
        <v>847</v>
      </c>
      <c r="G5" s="35" t="s">
        <v>848</v>
      </c>
      <c r="H5" s="35" t="s">
        <v>849</v>
      </c>
      <c r="I5" s="35" t="s">
        <v>850</v>
      </c>
      <c r="J5" s="35" t="s">
        <v>851</v>
      </c>
      <c r="K5" s="35" t="s">
        <v>194</v>
      </c>
      <c r="L5" s="35" t="s">
        <v>852</v>
      </c>
    </row>
    <row r="6" spans="1:12" ht="30" customHeight="1" x14ac:dyDescent="0.3">
      <c r="A6" s="35" t="s">
        <v>853</v>
      </c>
      <c r="B6" s="35" t="s">
        <v>413</v>
      </c>
      <c r="C6" s="39" t="str">
        <f>IF(B6="","",IFERROR(INDEX(IRO!$B$5:$B$91,MATCH(B6,IRO!$A$5:$A$91,0)),"ID_IRO não encontrado"))</f>
        <v>DM-01</v>
      </c>
      <c r="D6" s="35" t="s">
        <v>854</v>
      </c>
      <c r="E6" s="46">
        <v>3.2</v>
      </c>
      <c r="F6" s="35" t="s">
        <v>855</v>
      </c>
      <c r="G6" s="35" t="s">
        <v>856</v>
      </c>
      <c r="H6" s="35" t="s">
        <v>857</v>
      </c>
      <c r="I6" s="35" t="s">
        <v>858</v>
      </c>
      <c r="J6" s="35" t="s">
        <v>859</v>
      </c>
      <c r="K6" s="35" t="s">
        <v>194</v>
      </c>
      <c r="L6" s="35" t="s">
        <v>860</v>
      </c>
    </row>
    <row r="7" spans="1:12" ht="30" customHeight="1" x14ac:dyDescent="0.3">
      <c r="A7" s="35" t="s">
        <v>861</v>
      </c>
      <c r="B7" s="35" t="s">
        <v>428</v>
      </c>
      <c r="C7" s="39" t="str">
        <f>IF(B7="","",IFERROR(INDEX(IRO!$B$5:$B$91,MATCH(B7,IRO!$A$5:$A$91,0)),"ID_IRO não encontrado"))</f>
        <v>DM-01</v>
      </c>
      <c r="D7" s="35" t="s">
        <v>862</v>
      </c>
      <c r="E7" s="46">
        <v>782.9</v>
      </c>
      <c r="F7" s="35" t="s">
        <v>863</v>
      </c>
      <c r="G7" s="35" t="s">
        <v>848</v>
      </c>
      <c r="H7" s="35" t="s">
        <v>857</v>
      </c>
      <c r="I7" s="35" t="s">
        <v>433</v>
      </c>
      <c r="J7" s="35" t="s">
        <v>851</v>
      </c>
      <c r="K7" s="35" t="s">
        <v>194</v>
      </c>
      <c r="L7" s="35"/>
    </row>
    <row r="8" spans="1:12" ht="30" customHeight="1" x14ac:dyDescent="0.3">
      <c r="A8" s="35" t="s">
        <v>864</v>
      </c>
      <c r="B8" s="35" t="s">
        <v>428</v>
      </c>
      <c r="C8" s="39" t="str">
        <f>IF(B8="","",IFERROR(INDEX(IRO!$B$5:$B$91,MATCH(B8,IRO!$A$5:$A$91,0)),"ID_IRO não encontrado"))</f>
        <v>DM-01</v>
      </c>
      <c r="D8" s="35" t="s">
        <v>865</v>
      </c>
      <c r="E8" s="46">
        <v>1487.4</v>
      </c>
      <c r="F8" s="35" t="s">
        <v>847</v>
      </c>
      <c r="G8" s="35" t="s">
        <v>848</v>
      </c>
      <c r="H8" s="35" t="s">
        <v>4</v>
      </c>
      <c r="I8" s="35" t="s">
        <v>358</v>
      </c>
      <c r="J8" s="35" t="s">
        <v>866</v>
      </c>
      <c r="K8" s="35" t="s">
        <v>307</v>
      </c>
      <c r="L8" s="35" t="s">
        <v>867</v>
      </c>
    </row>
    <row r="9" spans="1:12" ht="30" customHeight="1" x14ac:dyDescent="0.3">
      <c r="A9" s="35" t="s">
        <v>868</v>
      </c>
      <c r="B9" s="35" t="s">
        <v>443</v>
      </c>
      <c r="C9" s="39" t="str">
        <f>IF(B9="","",IFERROR(INDEX(IRO!$B$5:$B$91,MATCH(B9,IRO!$A$5:$A$91,0)),"ID_IRO não encontrado"))</f>
        <v>DM-01</v>
      </c>
      <c r="D9" s="35" t="s">
        <v>869</v>
      </c>
      <c r="E9" s="46">
        <v>3680000</v>
      </c>
      <c r="F9" s="35" t="s">
        <v>870</v>
      </c>
      <c r="G9" s="35" t="s">
        <v>871</v>
      </c>
      <c r="H9" s="35" t="s">
        <v>872</v>
      </c>
      <c r="I9" s="35" t="s">
        <v>873</v>
      </c>
      <c r="J9" s="35" t="s">
        <v>859</v>
      </c>
      <c r="K9" s="35" t="s">
        <v>194</v>
      </c>
      <c r="L9" s="35" t="s">
        <v>874</v>
      </c>
    </row>
    <row r="10" spans="1:12" ht="30" customHeight="1" x14ac:dyDescent="0.3">
      <c r="A10" s="35" t="s">
        <v>875</v>
      </c>
      <c r="B10" s="35" t="s">
        <v>452</v>
      </c>
      <c r="C10" s="39" t="str">
        <f>IF(B10="","",IFERROR(INDEX(IRO!$B$5:$B$91,MATCH(B10,IRO!$A$5:$A$91,0)),"ID_IRO não encontrado"))</f>
        <v>DM-02</v>
      </c>
      <c r="D10" s="35" t="s">
        <v>876</v>
      </c>
      <c r="E10" s="46">
        <v>7781.4</v>
      </c>
      <c r="F10" s="35" t="s">
        <v>877</v>
      </c>
      <c r="G10" s="35" t="s">
        <v>848</v>
      </c>
      <c r="H10" s="35" t="s">
        <v>878</v>
      </c>
      <c r="I10" s="35" t="s">
        <v>879</v>
      </c>
      <c r="J10" s="35" t="s">
        <v>851</v>
      </c>
      <c r="K10" s="35" t="s">
        <v>194</v>
      </c>
      <c r="L10" s="35"/>
    </row>
    <row r="11" spans="1:12" ht="30" customHeight="1" x14ac:dyDescent="0.3">
      <c r="A11" s="35" t="s">
        <v>880</v>
      </c>
      <c r="B11" s="35" t="s">
        <v>452</v>
      </c>
      <c r="C11" s="39" t="str">
        <f>IF(B11="","",IFERROR(INDEX(IRO!$B$5:$B$91,MATCH(B11,IRO!$A$5:$A$91,0)),"ID_IRO não encontrado"))</f>
        <v>DM-02</v>
      </c>
      <c r="D11" s="35" t="s">
        <v>881</v>
      </c>
      <c r="E11" s="46">
        <v>4279.8</v>
      </c>
      <c r="F11" s="35" t="s">
        <v>877</v>
      </c>
      <c r="G11" s="35" t="s">
        <v>848</v>
      </c>
      <c r="H11" s="35" t="s">
        <v>878</v>
      </c>
      <c r="I11" s="35" t="s">
        <v>882</v>
      </c>
      <c r="J11" s="35" t="s">
        <v>851</v>
      </c>
      <c r="K11" s="35" t="s">
        <v>194</v>
      </c>
      <c r="L11" s="35" t="s">
        <v>883</v>
      </c>
    </row>
    <row r="12" spans="1:12" ht="30" customHeight="1" x14ac:dyDescent="0.3">
      <c r="A12" s="35" t="s">
        <v>884</v>
      </c>
      <c r="B12" s="35" t="s">
        <v>452</v>
      </c>
      <c r="C12" s="39" t="str">
        <f>IF(B12="","",IFERROR(INDEX(IRO!$B$5:$B$91,MATCH(B12,IRO!$A$5:$A$91,0)),"ID_IRO não encontrado"))</f>
        <v>DM-02</v>
      </c>
      <c r="D12" s="35" t="s">
        <v>885</v>
      </c>
      <c r="E12" s="46">
        <v>109.9</v>
      </c>
      <c r="F12" s="35" t="s">
        <v>886</v>
      </c>
      <c r="G12" s="35" t="s">
        <v>887</v>
      </c>
      <c r="H12" s="35" t="s">
        <v>888</v>
      </c>
      <c r="I12" s="35" t="s">
        <v>471</v>
      </c>
      <c r="J12" s="35" t="s">
        <v>851</v>
      </c>
      <c r="K12" s="35" t="s">
        <v>194</v>
      </c>
      <c r="L12" s="35"/>
    </row>
    <row r="13" spans="1:12" ht="30" customHeight="1" x14ac:dyDescent="0.3">
      <c r="A13" s="35" t="s">
        <v>889</v>
      </c>
      <c r="B13" s="35" t="s">
        <v>464</v>
      </c>
      <c r="C13" s="39" t="str">
        <f>IF(B13="","",IFERROR(INDEX(IRO!$B$5:$B$91,MATCH(B13,IRO!$A$5:$A$91,0)),"ID_IRO não encontrado"))</f>
        <v>DM-02</v>
      </c>
      <c r="D13" s="35" t="s">
        <v>890</v>
      </c>
      <c r="E13" s="46">
        <v>233441</v>
      </c>
      <c r="F13" s="35" t="s">
        <v>891</v>
      </c>
      <c r="G13" s="35" t="s">
        <v>892</v>
      </c>
      <c r="H13" s="35" t="s">
        <v>4</v>
      </c>
      <c r="I13" s="35" t="s">
        <v>358</v>
      </c>
      <c r="J13" s="35" t="s">
        <v>866</v>
      </c>
      <c r="K13" s="35" t="s">
        <v>211</v>
      </c>
      <c r="L13" s="35" t="s">
        <v>893</v>
      </c>
    </row>
    <row r="14" spans="1:12" ht="30" customHeight="1" x14ac:dyDescent="0.3">
      <c r="A14" s="35" t="s">
        <v>894</v>
      </c>
      <c r="B14" s="35" t="s">
        <v>474</v>
      </c>
      <c r="C14" s="39" t="str">
        <f>IF(B14="","",IFERROR(INDEX(IRO!$B$5:$B$91,MATCH(B14,IRO!$A$5:$A$91,0)),"ID_IRO não encontrado"))</f>
        <v>DM-02</v>
      </c>
      <c r="D14" s="35" t="s">
        <v>895</v>
      </c>
      <c r="E14" s="46">
        <v>1400</v>
      </c>
      <c r="F14" s="35" t="s">
        <v>896</v>
      </c>
      <c r="G14" s="35" t="s">
        <v>897</v>
      </c>
      <c r="H14" s="35" t="s">
        <v>857</v>
      </c>
      <c r="I14" s="35" t="s">
        <v>898</v>
      </c>
      <c r="J14" s="35" t="s">
        <v>866</v>
      </c>
      <c r="K14" s="35" t="s">
        <v>211</v>
      </c>
      <c r="L14" s="35"/>
    </row>
    <row r="15" spans="1:12" ht="30" customHeight="1" x14ac:dyDescent="0.3">
      <c r="A15" s="35" t="s">
        <v>899</v>
      </c>
      <c r="B15" s="35" t="s">
        <v>484</v>
      </c>
      <c r="C15" s="39" t="str">
        <f>IF(B15="","",IFERROR(INDEX(IRO!$B$5:$B$91,MATCH(B15,IRO!$A$5:$A$91,0)),"ID_IRO não encontrado"))</f>
        <v>DM-02</v>
      </c>
      <c r="D15" s="35" t="s">
        <v>900</v>
      </c>
      <c r="E15" s="46">
        <v>1035.2</v>
      </c>
      <c r="F15" s="35" t="s">
        <v>877</v>
      </c>
      <c r="G15" s="35" t="s">
        <v>848</v>
      </c>
      <c r="H15" s="35" t="s">
        <v>857</v>
      </c>
      <c r="I15" s="35" t="s">
        <v>489</v>
      </c>
      <c r="J15" s="35" t="s">
        <v>851</v>
      </c>
      <c r="K15" s="35" t="s">
        <v>194</v>
      </c>
      <c r="L15" s="35"/>
    </row>
    <row r="16" spans="1:12" ht="30" customHeight="1" x14ac:dyDescent="0.3">
      <c r="A16" s="35" t="s">
        <v>901</v>
      </c>
      <c r="B16" s="35" t="s">
        <v>491</v>
      </c>
      <c r="C16" s="39" t="str">
        <f>IF(B16="","",IFERROR(INDEX(IRO!$B$5:$B$91,MATCH(B16,IRO!$A$5:$A$91,0)),"ID_IRO não encontrado"))</f>
        <v>DM-03</v>
      </c>
      <c r="D16" s="35" t="s">
        <v>902</v>
      </c>
      <c r="E16" s="46">
        <v>2.2000000000000002</v>
      </c>
      <c r="F16" s="35" t="s">
        <v>903</v>
      </c>
      <c r="G16" s="35" t="s">
        <v>904</v>
      </c>
      <c r="H16" s="35" t="s">
        <v>905</v>
      </c>
      <c r="I16" s="35" t="s">
        <v>906</v>
      </c>
      <c r="J16" s="35" t="s">
        <v>859</v>
      </c>
      <c r="K16" s="35" t="s">
        <v>194</v>
      </c>
      <c r="L16" s="35" t="s">
        <v>907</v>
      </c>
    </row>
    <row r="17" spans="1:12" ht="30" customHeight="1" x14ac:dyDescent="0.3">
      <c r="A17" s="35" t="s">
        <v>908</v>
      </c>
      <c r="B17" s="35" t="s">
        <v>491</v>
      </c>
      <c r="C17" s="39" t="str">
        <f>IF(B17="","",IFERROR(INDEX(IRO!$B$5:$B$91,MATCH(B17,IRO!$A$5:$A$91,0)),"ID_IRO não encontrado"))</f>
        <v>DM-03</v>
      </c>
      <c r="D17" s="35" t="s">
        <v>909</v>
      </c>
      <c r="E17" s="46">
        <v>8330</v>
      </c>
      <c r="F17" s="35" t="s">
        <v>910</v>
      </c>
      <c r="G17" s="35" t="s">
        <v>848</v>
      </c>
      <c r="H17" s="35" t="s">
        <v>857</v>
      </c>
      <c r="I17" s="35" t="s">
        <v>499</v>
      </c>
      <c r="J17" s="35" t="s">
        <v>851</v>
      </c>
      <c r="K17" s="35" t="s">
        <v>194</v>
      </c>
      <c r="L17" s="35"/>
    </row>
    <row r="18" spans="1:12" ht="30" customHeight="1" x14ac:dyDescent="0.3">
      <c r="A18" s="35" t="s">
        <v>911</v>
      </c>
      <c r="B18" s="35" t="s">
        <v>514</v>
      </c>
      <c r="C18" s="39" t="str">
        <f>IF(B18="","",IFERROR(INDEX(IRO!$B$5:$B$91,MATCH(B18,IRO!$A$5:$A$91,0)),"ID_IRO não encontrado"))</f>
        <v>DM-04</v>
      </c>
      <c r="D18" s="35" t="s">
        <v>912</v>
      </c>
      <c r="E18" s="46">
        <v>1.95</v>
      </c>
      <c r="F18" s="35" t="s">
        <v>863</v>
      </c>
      <c r="G18" s="35" t="s">
        <v>848</v>
      </c>
      <c r="H18" s="35" t="s">
        <v>913</v>
      </c>
      <c r="I18" s="35" t="s">
        <v>914</v>
      </c>
      <c r="J18" s="35" t="s">
        <v>851</v>
      </c>
      <c r="K18" s="35" t="s">
        <v>194</v>
      </c>
      <c r="L18" s="35" t="s">
        <v>915</v>
      </c>
    </row>
    <row r="19" spans="1:12" ht="30" customHeight="1" x14ac:dyDescent="0.3">
      <c r="A19" s="35" t="s">
        <v>916</v>
      </c>
      <c r="B19" s="35" t="s">
        <v>514</v>
      </c>
      <c r="C19" s="39" t="str">
        <f>IF(B19="","",IFERROR(INDEX(IRO!$B$5:$B$91,MATCH(B19,IRO!$A$5:$A$91,0)),"ID_IRO não encontrado"))</f>
        <v>DM-04</v>
      </c>
      <c r="D19" s="35" t="s">
        <v>917</v>
      </c>
      <c r="E19" s="46">
        <v>759</v>
      </c>
      <c r="F19" s="35" t="s">
        <v>855</v>
      </c>
      <c r="G19" s="35" t="s">
        <v>848</v>
      </c>
      <c r="H19" s="35" t="s">
        <v>857</v>
      </c>
      <c r="I19" s="35" t="s">
        <v>703</v>
      </c>
      <c r="J19" s="35" t="s">
        <v>859</v>
      </c>
      <c r="K19" s="35" t="s">
        <v>194</v>
      </c>
      <c r="L19" s="35" t="s">
        <v>918</v>
      </c>
    </row>
    <row r="20" spans="1:12" ht="30" customHeight="1" x14ac:dyDescent="0.3">
      <c r="A20" s="35" t="s">
        <v>919</v>
      </c>
      <c r="B20" s="35" t="s">
        <v>514</v>
      </c>
      <c r="C20" s="39" t="str">
        <f>IF(B20="","",IFERROR(INDEX(IRO!$B$5:$B$91,MATCH(B20,IRO!$A$5:$A$91,0)),"ID_IRO não encontrado"))</f>
        <v>DM-04</v>
      </c>
      <c r="D20" s="35" t="s">
        <v>920</v>
      </c>
      <c r="E20" s="46">
        <v>0.1605</v>
      </c>
      <c r="F20" s="35" t="s">
        <v>921</v>
      </c>
      <c r="G20" s="35" t="s">
        <v>887</v>
      </c>
      <c r="H20" s="35" t="s">
        <v>888</v>
      </c>
      <c r="I20" s="35" t="s">
        <v>521</v>
      </c>
      <c r="J20" s="35" t="s">
        <v>851</v>
      </c>
      <c r="K20" s="35" t="s">
        <v>194</v>
      </c>
      <c r="L20" s="35"/>
    </row>
    <row r="21" spans="1:12" ht="30" customHeight="1" x14ac:dyDescent="0.3">
      <c r="A21" s="35" t="s">
        <v>922</v>
      </c>
      <c r="B21" s="35" t="s">
        <v>531</v>
      </c>
      <c r="C21" s="39" t="str">
        <f>IF(B21="","",IFERROR(INDEX(IRO!$B$5:$B$91,MATCH(B21,IRO!$A$5:$A$91,0)),"ID_IRO não encontrado"))</f>
        <v>DM-05</v>
      </c>
      <c r="D21" s="35" t="s">
        <v>923</v>
      </c>
      <c r="E21" s="46">
        <v>1</v>
      </c>
      <c r="F21" s="35" t="s">
        <v>924</v>
      </c>
      <c r="G21" s="35" t="s">
        <v>871</v>
      </c>
      <c r="H21" s="35" t="s">
        <v>925</v>
      </c>
      <c r="I21" s="35" t="s">
        <v>926</v>
      </c>
      <c r="J21" s="35" t="s">
        <v>859</v>
      </c>
      <c r="K21" s="35" t="s">
        <v>194</v>
      </c>
      <c r="L21" s="35"/>
    </row>
    <row r="22" spans="1:12" ht="30" customHeight="1" x14ac:dyDescent="0.3">
      <c r="A22" s="35" t="s">
        <v>927</v>
      </c>
      <c r="B22" s="35" t="s">
        <v>554</v>
      </c>
      <c r="C22" s="39" t="str">
        <f>IF(B22="","",IFERROR(INDEX(IRO!$B$5:$B$91,MATCH(B22,IRO!$A$5:$A$91,0)),"ID_IRO não encontrado"))</f>
        <v>DM-06</v>
      </c>
      <c r="D22" s="35" t="s">
        <v>928</v>
      </c>
      <c r="E22" s="46">
        <v>148</v>
      </c>
      <c r="F22" s="35" t="s">
        <v>929</v>
      </c>
      <c r="G22" s="35" t="s">
        <v>848</v>
      </c>
      <c r="H22" s="35" t="s">
        <v>857</v>
      </c>
      <c r="I22" s="35" t="s">
        <v>561</v>
      </c>
      <c r="J22" s="35" t="s">
        <v>866</v>
      </c>
      <c r="K22" s="35" t="s">
        <v>211</v>
      </c>
      <c r="L22" s="35" t="s">
        <v>930</v>
      </c>
    </row>
    <row r="23" spans="1:12" ht="30" customHeight="1" x14ac:dyDescent="0.3">
      <c r="A23" s="35" t="s">
        <v>931</v>
      </c>
      <c r="B23" s="35" t="s">
        <v>554</v>
      </c>
      <c r="C23" s="39" t="str">
        <f>IF(B23="","",IFERROR(INDEX(IRO!$B$5:$B$91,MATCH(B23,IRO!$A$5:$A$91,0)),"ID_IRO não encontrado"))</f>
        <v>DM-06</v>
      </c>
      <c r="D23" s="35" t="s">
        <v>932</v>
      </c>
      <c r="E23" s="46">
        <v>0.42859999999999998</v>
      </c>
      <c r="F23" s="35" t="s">
        <v>933</v>
      </c>
      <c r="G23" s="35" t="s">
        <v>887</v>
      </c>
      <c r="H23" s="35" t="s">
        <v>888</v>
      </c>
      <c r="I23" s="35" t="s">
        <v>564</v>
      </c>
      <c r="J23" s="35" t="s">
        <v>859</v>
      </c>
      <c r="K23" s="35" t="s">
        <v>194</v>
      </c>
      <c r="L23" s="35" t="s">
        <v>934</v>
      </c>
    </row>
    <row r="24" spans="1:12" ht="30" customHeight="1" x14ac:dyDescent="0.3">
      <c r="A24" s="35" t="s">
        <v>935</v>
      </c>
      <c r="B24" s="35" t="s">
        <v>573</v>
      </c>
      <c r="C24" s="39" t="str">
        <f>IF(B24="","",IFERROR(INDEX(IRO!$B$5:$B$91,MATCH(B24,IRO!$A$5:$A$91,0)),"ID_IRO não encontrado"))</f>
        <v>DM-07</v>
      </c>
      <c r="D24" s="35" t="s">
        <v>936</v>
      </c>
      <c r="E24" s="46">
        <v>1099</v>
      </c>
      <c r="F24" s="35" t="s">
        <v>855</v>
      </c>
      <c r="G24" s="35" t="s">
        <v>848</v>
      </c>
      <c r="H24" s="35" t="s">
        <v>857</v>
      </c>
      <c r="I24" s="35" t="s">
        <v>577</v>
      </c>
      <c r="J24" s="35" t="s">
        <v>851</v>
      </c>
      <c r="K24" s="35" t="s">
        <v>194</v>
      </c>
      <c r="L24" s="35"/>
    </row>
    <row r="25" spans="1:12" ht="30" customHeight="1" x14ac:dyDescent="0.3">
      <c r="A25" s="35" t="s">
        <v>937</v>
      </c>
      <c r="B25" s="35" t="s">
        <v>585</v>
      </c>
      <c r="C25" s="39" t="str">
        <f>IF(B25="","",IFERROR(INDEX(IRO!$B$5:$B$91,MATCH(B25,IRO!$A$5:$A$91,0)),"ID_IRO não encontrado"))</f>
        <v>DM-08</v>
      </c>
      <c r="D25" s="35" t="s">
        <v>938</v>
      </c>
      <c r="E25" s="46">
        <v>10179</v>
      </c>
      <c r="F25" s="35" t="s">
        <v>910</v>
      </c>
      <c r="G25" s="35" t="s">
        <v>848</v>
      </c>
      <c r="H25" s="35" t="s">
        <v>878</v>
      </c>
      <c r="I25" s="35" t="s">
        <v>939</v>
      </c>
      <c r="J25" s="35" t="s">
        <v>859</v>
      </c>
      <c r="K25" s="35" t="s">
        <v>194</v>
      </c>
      <c r="L25" s="35"/>
    </row>
    <row r="26" spans="1:12" ht="30" customHeight="1" x14ac:dyDescent="0.3">
      <c r="A26" s="35" t="s">
        <v>940</v>
      </c>
      <c r="B26" s="35" t="s">
        <v>585</v>
      </c>
      <c r="C26" s="39" t="str">
        <f>IF(B26="","",IFERROR(INDEX(IRO!$B$5:$B$91,MATCH(B26,IRO!$A$5:$A$91,0)),"ID_IRO não encontrado"))</f>
        <v>DM-08</v>
      </c>
      <c r="D26" s="35" t="s">
        <v>941</v>
      </c>
      <c r="E26" s="46">
        <v>0.14230000000000001</v>
      </c>
      <c r="F26" s="35" t="s">
        <v>942</v>
      </c>
      <c r="G26" s="35" t="s">
        <v>887</v>
      </c>
      <c r="H26" s="35" t="s">
        <v>888</v>
      </c>
      <c r="I26" s="35" t="s">
        <v>591</v>
      </c>
      <c r="J26" s="35" t="s">
        <v>851</v>
      </c>
      <c r="K26" s="35" t="s">
        <v>194</v>
      </c>
      <c r="L26" s="35"/>
    </row>
    <row r="27" spans="1:12" ht="30" customHeight="1" x14ac:dyDescent="0.3">
      <c r="A27" s="35" t="s">
        <v>943</v>
      </c>
      <c r="B27" s="35" t="s">
        <v>597</v>
      </c>
      <c r="C27" s="39" t="str">
        <f>IF(B27="","",IFERROR(INDEX(IRO!$B$5:$B$91,MATCH(B27,IRO!$A$5:$A$91,0)),"ID_IRO não encontrado"))</f>
        <v>DM-09</v>
      </c>
      <c r="D27" s="35" t="s">
        <v>944</v>
      </c>
      <c r="E27" s="46">
        <v>32000</v>
      </c>
      <c r="F27" s="35" t="s">
        <v>945</v>
      </c>
      <c r="G27" s="35" t="s">
        <v>871</v>
      </c>
      <c r="H27" s="35" t="s">
        <v>878</v>
      </c>
      <c r="I27" s="35" t="s">
        <v>946</v>
      </c>
      <c r="J27" s="35" t="s">
        <v>859</v>
      </c>
      <c r="K27" s="35" t="s">
        <v>194</v>
      </c>
      <c r="L27" s="35"/>
    </row>
    <row r="28" spans="1:12" ht="30" customHeight="1" x14ac:dyDescent="0.3">
      <c r="A28" s="35" t="s">
        <v>947</v>
      </c>
      <c r="B28" s="35" t="s">
        <v>597</v>
      </c>
      <c r="C28" s="39" t="str">
        <f>IF(B28="","",IFERROR(INDEX(IRO!$B$5:$B$91,MATCH(B28,IRO!$A$5:$A$91,0)),"ID_IRO não encontrado"))</f>
        <v>DM-09</v>
      </c>
      <c r="D28" s="35" t="s">
        <v>948</v>
      </c>
      <c r="E28" s="46">
        <v>3500</v>
      </c>
      <c r="F28" s="35" t="s">
        <v>945</v>
      </c>
      <c r="G28" s="35" t="s">
        <v>871</v>
      </c>
      <c r="H28" s="35" t="s">
        <v>878</v>
      </c>
      <c r="I28" s="35" t="s">
        <v>949</v>
      </c>
      <c r="J28" s="35" t="s">
        <v>859</v>
      </c>
      <c r="K28" s="35" t="s">
        <v>194</v>
      </c>
      <c r="L28" s="35"/>
    </row>
    <row r="29" spans="1:12" ht="30" customHeight="1" x14ac:dyDescent="0.3">
      <c r="A29" s="35" t="s">
        <v>950</v>
      </c>
      <c r="B29" s="35" t="s">
        <v>610</v>
      </c>
      <c r="C29" s="39" t="str">
        <f>IF(B29="","",IFERROR(INDEX(IRO!$B$5:$B$91,MATCH(B29,IRO!$A$5:$A$91,0)),"ID_IRO não encontrado"))</f>
        <v>DM-10</v>
      </c>
      <c r="D29" s="35" t="s">
        <v>951</v>
      </c>
      <c r="E29" s="46">
        <v>902</v>
      </c>
      <c r="F29" s="35" t="s">
        <v>863</v>
      </c>
      <c r="G29" s="35" t="s">
        <v>848</v>
      </c>
      <c r="H29" s="35" t="s">
        <v>878</v>
      </c>
      <c r="I29" s="35" t="s">
        <v>952</v>
      </c>
      <c r="J29" s="35" t="s">
        <v>851</v>
      </c>
      <c r="K29" s="35" t="s">
        <v>194</v>
      </c>
      <c r="L29" s="35"/>
    </row>
    <row r="30" spans="1:12" ht="30" customHeight="1" x14ac:dyDescent="0.3">
      <c r="A30" s="35" t="s">
        <v>953</v>
      </c>
      <c r="B30" s="35" t="s">
        <v>610</v>
      </c>
      <c r="C30" s="39" t="str">
        <f>IF(B30="","",IFERROR(INDEX(IRO!$B$5:$B$91,MATCH(B30,IRO!$A$5:$A$91,0)),"ID_IRO não encontrado"))</f>
        <v>DM-10</v>
      </c>
      <c r="D30" s="35" t="s">
        <v>954</v>
      </c>
      <c r="E30" s="46">
        <v>0.12</v>
      </c>
      <c r="F30" s="35" t="s">
        <v>933</v>
      </c>
      <c r="G30" s="35" t="s">
        <v>848</v>
      </c>
      <c r="H30" s="35" t="s">
        <v>905</v>
      </c>
      <c r="I30" s="35" t="s">
        <v>955</v>
      </c>
      <c r="J30" s="35" t="s">
        <v>866</v>
      </c>
      <c r="K30" s="35" t="s">
        <v>211</v>
      </c>
      <c r="L30" s="35" t="s">
        <v>956</v>
      </c>
    </row>
    <row r="31" spans="1:12" ht="30" customHeight="1" x14ac:dyDescent="0.3">
      <c r="A31" s="35" t="s">
        <v>957</v>
      </c>
      <c r="B31" s="35" t="s">
        <v>625</v>
      </c>
      <c r="C31" s="39" t="str">
        <f>IF(B31="","",IFERROR(INDEX(IRO!$B$5:$B$91,MATCH(B31,IRO!$A$5:$A$91,0)),"ID_IRO não encontrado"))</f>
        <v>DM-10</v>
      </c>
      <c r="D31" s="35" t="s">
        <v>958</v>
      </c>
      <c r="E31" s="46">
        <v>12.8</v>
      </c>
      <c r="F31" s="35" t="s">
        <v>863</v>
      </c>
      <c r="G31" s="35" t="s">
        <v>848</v>
      </c>
      <c r="H31" s="35" t="s">
        <v>857</v>
      </c>
      <c r="I31" s="35" t="s">
        <v>632</v>
      </c>
      <c r="J31" s="35" t="s">
        <v>851</v>
      </c>
      <c r="K31" s="35" t="s">
        <v>194</v>
      </c>
      <c r="L31" s="35"/>
    </row>
    <row r="32" spans="1:12" ht="30" customHeight="1" x14ac:dyDescent="0.3">
      <c r="A32" s="35" t="s">
        <v>959</v>
      </c>
      <c r="B32" s="35" t="s">
        <v>814</v>
      </c>
      <c r="C32" s="39" t="str">
        <f>IF(B32="","",IFERROR(INDEX(IRO!$B$5:$B$91,MATCH(B32,IRO!$A$5:$A$91,0)),"ID_IRO não encontrado"))</f>
        <v>DM-23</v>
      </c>
      <c r="D32" s="35" t="s">
        <v>960</v>
      </c>
      <c r="E32" s="46">
        <v>33.6</v>
      </c>
      <c r="F32" s="35" t="s">
        <v>863</v>
      </c>
      <c r="G32" s="35" t="s">
        <v>848</v>
      </c>
      <c r="H32" s="35" t="s">
        <v>857</v>
      </c>
      <c r="I32" s="35" t="s">
        <v>818</v>
      </c>
      <c r="J32" s="35" t="s">
        <v>851</v>
      </c>
      <c r="K32" s="35" t="s">
        <v>194</v>
      </c>
      <c r="L32" s="35"/>
    </row>
    <row r="33" spans="1:12" ht="30" customHeight="1" x14ac:dyDescent="0.3">
      <c r="A33" s="35" t="s">
        <v>961</v>
      </c>
      <c r="B33" s="35" t="s">
        <v>637</v>
      </c>
      <c r="C33" s="39" t="str">
        <f>IF(B33="","",IFERROR(INDEX(IRO!$B$5:$B$91,MATCH(B33,IRO!$A$5:$A$91,0)),"ID_IRO não encontrado"))</f>
        <v>DM-11</v>
      </c>
      <c r="D33" s="35" t="s">
        <v>962</v>
      </c>
      <c r="E33" s="46">
        <v>19</v>
      </c>
      <c r="F33" s="35" t="s">
        <v>963</v>
      </c>
      <c r="G33" s="35" t="s">
        <v>964</v>
      </c>
      <c r="H33" s="35" t="s">
        <v>965</v>
      </c>
      <c r="I33" s="35" t="s">
        <v>966</v>
      </c>
      <c r="J33" s="35" t="s">
        <v>851</v>
      </c>
      <c r="K33" s="35" t="s">
        <v>211</v>
      </c>
      <c r="L33" s="35" t="s">
        <v>967</v>
      </c>
    </row>
    <row r="34" spans="1:12" ht="30" customHeight="1" x14ac:dyDescent="0.3">
      <c r="A34" s="35" t="s">
        <v>968</v>
      </c>
      <c r="B34" s="35" t="s">
        <v>646</v>
      </c>
      <c r="C34" s="39" t="str">
        <f>IF(B34="","",IFERROR(INDEX(IRO!$B$5:$B$91,MATCH(B34,IRO!$A$5:$A$91,0)),"ID_IRO não encontrado"))</f>
        <v>DM-11</v>
      </c>
      <c r="D34" s="35" t="s">
        <v>969</v>
      </c>
      <c r="E34" s="46">
        <v>0.66359999999999997</v>
      </c>
      <c r="F34" s="35" t="s">
        <v>933</v>
      </c>
      <c r="G34" s="35" t="s">
        <v>964</v>
      </c>
      <c r="H34" s="35" t="s">
        <v>888</v>
      </c>
      <c r="I34" s="35" t="s">
        <v>970</v>
      </c>
      <c r="J34" s="35" t="s">
        <v>851</v>
      </c>
      <c r="K34" s="35" t="s">
        <v>211</v>
      </c>
      <c r="L34" s="35" t="s">
        <v>971</v>
      </c>
    </row>
    <row r="35" spans="1:12" ht="30" customHeight="1" x14ac:dyDescent="0.3">
      <c r="A35" s="35" t="s">
        <v>972</v>
      </c>
      <c r="B35" s="35" t="s">
        <v>653</v>
      </c>
      <c r="C35" s="39" t="str">
        <f>IF(B35="","",IFERROR(INDEX(IRO!$B$5:$B$91,MATCH(B35,IRO!$A$5:$A$91,0)),"ID_IRO não encontrado"))</f>
        <v>DM-11</v>
      </c>
      <c r="D35" s="35" t="s">
        <v>973</v>
      </c>
      <c r="E35" s="46">
        <v>0.59750000000000003</v>
      </c>
      <c r="F35" s="35" t="s">
        <v>933</v>
      </c>
      <c r="G35" s="35" t="s">
        <v>848</v>
      </c>
      <c r="H35" s="35" t="s">
        <v>888</v>
      </c>
      <c r="I35" s="35" t="s">
        <v>974</v>
      </c>
      <c r="J35" s="35" t="s">
        <v>851</v>
      </c>
      <c r="K35" s="35" t="s">
        <v>211</v>
      </c>
      <c r="L35" s="35" t="s">
        <v>975</v>
      </c>
    </row>
    <row r="36" spans="1:12" ht="30" customHeight="1" x14ac:dyDescent="0.3">
      <c r="A36" s="35" t="s">
        <v>976</v>
      </c>
      <c r="B36" s="35" t="s">
        <v>653</v>
      </c>
      <c r="C36" s="39" t="str">
        <f>IF(B36="","",IFERROR(INDEX(IRO!$B$5:$B$91,MATCH(B36,IRO!$A$5:$A$91,0)),"ID_IRO não encontrado"))</f>
        <v>DM-11</v>
      </c>
      <c r="D36" s="35" t="s">
        <v>977</v>
      </c>
      <c r="E36" s="46">
        <v>0.40910000000000002</v>
      </c>
      <c r="F36" s="35" t="s">
        <v>933</v>
      </c>
      <c r="G36" s="35" t="s">
        <v>887</v>
      </c>
      <c r="H36" s="35" t="s">
        <v>888</v>
      </c>
      <c r="I36" s="35" t="s">
        <v>662</v>
      </c>
      <c r="J36" s="35" t="s">
        <v>859</v>
      </c>
      <c r="K36" s="35" t="s">
        <v>194</v>
      </c>
      <c r="L36" s="35" t="s">
        <v>978</v>
      </c>
    </row>
    <row r="37" spans="1:12" ht="30" customHeight="1" x14ac:dyDescent="0.3">
      <c r="A37" s="35" t="s">
        <v>979</v>
      </c>
      <c r="B37" s="35" t="s">
        <v>671</v>
      </c>
      <c r="C37" s="39" t="str">
        <f>IF(B37="","",IFERROR(INDEX(IRO!$B$5:$B$91,MATCH(B37,IRO!$A$5:$A$91,0)),"ID_IRO não encontrado"))</f>
        <v>DM-12</v>
      </c>
      <c r="D37" s="35" t="s">
        <v>980</v>
      </c>
      <c r="E37" s="46">
        <v>129.5</v>
      </c>
      <c r="F37" s="35" t="s">
        <v>863</v>
      </c>
      <c r="G37" s="35" t="s">
        <v>848</v>
      </c>
      <c r="H37" s="35" t="s">
        <v>878</v>
      </c>
      <c r="I37" s="35" t="s">
        <v>981</v>
      </c>
      <c r="J37" s="35" t="s">
        <v>859</v>
      </c>
      <c r="K37" s="35" t="s">
        <v>194</v>
      </c>
      <c r="L37" s="35"/>
    </row>
    <row r="38" spans="1:12" ht="30" customHeight="1" x14ac:dyDescent="0.3">
      <c r="A38" s="35" t="s">
        <v>982</v>
      </c>
      <c r="B38" s="35" t="s">
        <v>671</v>
      </c>
      <c r="C38" s="39" t="str">
        <f>IF(B38="","",IFERROR(INDEX(IRO!$B$5:$B$91,MATCH(B38,IRO!$A$5:$A$91,0)),"ID_IRO não encontrado"))</f>
        <v>DM-12</v>
      </c>
      <c r="D38" s="35" t="s">
        <v>983</v>
      </c>
      <c r="E38" s="46">
        <v>2.15</v>
      </c>
      <c r="F38" s="35" t="s">
        <v>863</v>
      </c>
      <c r="G38" s="35" t="s">
        <v>848</v>
      </c>
      <c r="H38" s="35" t="s">
        <v>878</v>
      </c>
      <c r="I38" s="35" t="s">
        <v>984</v>
      </c>
      <c r="J38" s="35" t="s">
        <v>859</v>
      </c>
      <c r="K38" s="35" t="s">
        <v>194</v>
      </c>
      <c r="L38" s="35"/>
    </row>
    <row r="39" spans="1:12" ht="30" customHeight="1" x14ac:dyDescent="0.3">
      <c r="A39" s="35" t="s">
        <v>985</v>
      </c>
      <c r="B39" s="35" t="s">
        <v>807</v>
      </c>
      <c r="C39" s="39" t="str">
        <f>IF(B39="","",IFERROR(INDEX(IRO!$B$5:$B$91,MATCH(B39,IRO!$A$5:$A$91,0)),"ID_IRO não encontrado"))</f>
        <v>DM-23</v>
      </c>
      <c r="D39" s="35" t="s">
        <v>986</v>
      </c>
      <c r="E39" s="46">
        <v>2.3900000000000001E-2</v>
      </c>
      <c r="F39" s="35" t="s">
        <v>933</v>
      </c>
      <c r="G39" s="35" t="s">
        <v>987</v>
      </c>
      <c r="H39" s="35" t="s">
        <v>988</v>
      </c>
      <c r="I39" s="35" t="s">
        <v>989</v>
      </c>
      <c r="J39" s="35" t="s">
        <v>859</v>
      </c>
      <c r="K39" s="35" t="s">
        <v>194</v>
      </c>
      <c r="L39" s="35" t="s">
        <v>990</v>
      </c>
    </row>
    <row r="40" spans="1:12" ht="30" customHeight="1" x14ac:dyDescent="0.3">
      <c r="A40" s="35" t="s">
        <v>991</v>
      </c>
      <c r="B40" s="35" t="s">
        <v>807</v>
      </c>
      <c r="C40" s="39" t="str">
        <f>IF(B40="","",IFERROR(INDEX(IRO!$B$5:$B$91,MATCH(B40,IRO!$A$5:$A$91,0)),"ID_IRO não encontrado"))</f>
        <v>DM-23</v>
      </c>
      <c r="D40" s="35" t="s">
        <v>992</v>
      </c>
      <c r="E40" s="46">
        <v>0</v>
      </c>
      <c r="F40" s="35" t="s">
        <v>933</v>
      </c>
      <c r="G40" s="35" t="s">
        <v>987</v>
      </c>
      <c r="H40" s="35" t="s">
        <v>872</v>
      </c>
      <c r="I40" s="35" t="s">
        <v>993</v>
      </c>
      <c r="J40" s="35" t="s">
        <v>851</v>
      </c>
      <c r="K40" s="35" t="s">
        <v>194</v>
      </c>
      <c r="L40" s="35" t="s">
        <v>994</v>
      </c>
    </row>
    <row r="41" spans="1:12" ht="30" customHeight="1" x14ac:dyDescent="0.3">
      <c r="A41" s="35" t="s">
        <v>995</v>
      </c>
      <c r="B41" s="35" t="s">
        <v>715</v>
      </c>
      <c r="C41" s="39" t="str">
        <f>IF(B41="","",IFERROR(INDEX(IRO!$B$5:$B$91,MATCH(B41,IRO!$A$5:$A$91,0)),"ID_IRO não encontrado"))</f>
        <v>DM-14</v>
      </c>
      <c r="D41" s="35" t="s">
        <v>996</v>
      </c>
      <c r="E41" s="46">
        <v>1</v>
      </c>
      <c r="F41" s="35" t="s">
        <v>997</v>
      </c>
      <c r="G41" s="35" t="s">
        <v>987</v>
      </c>
      <c r="H41" s="35" t="s">
        <v>872</v>
      </c>
      <c r="I41" s="35" t="s">
        <v>719</v>
      </c>
      <c r="J41" s="35" t="s">
        <v>851</v>
      </c>
      <c r="K41" s="35" t="s">
        <v>194</v>
      </c>
      <c r="L41" s="35" t="s">
        <v>998</v>
      </c>
    </row>
    <row r="42" spans="1:12" ht="30" customHeight="1" x14ac:dyDescent="0.3">
      <c r="A42" s="35" t="s">
        <v>999</v>
      </c>
      <c r="B42" s="35" t="s">
        <v>759</v>
      </c>
      <c r="C42" s="39" t="str">
        <f>IF(B42="","",IFERROR(INDEX(IRO!$B$5:$B$91,MATCH(B42,IRO!$A$5:$A$91,0)),"ID_IRO não encontrado"))</f>
        <v>DM-18</v>
      </c>
      <c r="D42" s="35" t="s">
        <v>1000</v>
      </c>
      <c r="E42" s="46">
        <v>150</v>
      </c>
      <c r="F42" s="35" t="s">
        <v>924</v>
      </c>
      <c r="G42" s="35" t="s">
        <v>871</v>
      </c>
      <c r="H42" s="35" t="s">
        <v>905</v>
      </c>
      <c r="I42" s="35" t="s">
        <v>1001</v>
      </c>
      <c r="J42" s="35" t="s">
        <v>866</v>
      </c>
      <c r="K42" s="35" t="s">
        <v>211</v>
      </c>
      <c r="L42" s="35" t="s">
        <v>956</v>
      </c>
    </row>
    <row r="43" spans="1:12" ht="30" customHeight="1" x14ac:dyDescent="0.3">
      <c r="A43" s="35" t="s">
        <v>1002</v>
      </c>
      <c r="B43" s="35" t="s">
        <v>743</v>
      </c>
      <c r="C43" s="39" t="str">
        <f>IF(B43="","",IFERROR(INDEX(IRO!$B$5:$B$91,MATCH(B43,IRO!$A$5:$A$91,0)),"ID_IRO não encontrado"))</f>
        <v>DM-18</v>
      </c>
      <c r="D43" s="35" t="s">
        <v>1003</v>
      </c>
      <c r="E43" s="46">
        <v>250</v>
      </c>
      <c r="F43" s="35" t="s">
        <v>1004</v>
      </c>
      <c r="G43" s="35" t="s">
        <v>871</v>
      </c>
      <c r="H43" s="35" t="s">
        <v>1005</v>
      </c>
      <c r="I43" s="35" t="s">
        <v>747</v>
      </c>
      <c r="J43" s="35" t="s">
        <v>866</v>
      </c>
      <c r="K43" s="35" t="s">
        <v>211</v>
      </c>
      <c r="L43" s="35"/>
    </row>
    <row r="44" spans="1:12" ht="30" customHeight="1" x14ac:dyDescent="0.3">
      <c r="A44" s="35" t="s">
        <v>1006</v>
      </c>
      <c r="B44" s="35" t="s">
        <v>731</v>
      </c>
      <c r="C44" s="39" t="str">
        <f>IF(B44="","",IFERROR(INDEX(IRO!$B$5:$B$91,MATCH(B44,IRO!$A$5:$A$91,0)),"ID_IRO não encontrado"))</f>
        <v>DM-16</v>
      </c>
      <c r="D44" s="35" t="s">
        <v>1007</v>
      </c>
      <c r="E44" s="46">
        <v>0</v>
      </c>
      <c r="F44" s="35" t="s">
        <v>924</v>
      </c>
      <c r="G44" s="35" t="s">
        <v>871</v>
      </c>
      <c r="H44" s="35" t="s">
        <v>4</v>
      </c>
      <c r="I44" s="35" t="s">
        <v>358</v>
      </c>
      <c r="J44" s="35" t="s">
        <v>1008</v>
      </c>
      <c r="K44" s="35" t="s">
        <v>307</v>
      </c>
      <c r="L44" s="35" t="s">
        <v>1009</v>
      </c>
    </row>
    <row r="45" spans="1:12" ht="30" customHeight="1" x14ac:dyDescent="0.3">
      <c r="A45" s="35" t="s">
        <v>1010</v>
      </c>
      <c r="B45" s="35" t="s">
        <v>436</v>
      </c>
      <c r="C45" s="39" t="str">
        <f>IF(B45="","",IFERROR(INDEX(IRO!$B$5:$B$91,MATCH(B45,IRO!$A$5:$A$91,0)),"ID_IRO não encontrado"))</f>
        <v>DM-01</v>
      </c>
      <c r="D45" s="35" t="s">
        <v>1011</v>
      </c>
      <c r="E45" s="46"/>
      <c r="F45" s="35"/>
      <c r="G45" s="35" t="s">
        <v>871</v>
      </c>
      <c r="H45" s="35" t="s">
        <v>1012</v>
      </c>
      <c r="I45" s="35"/>
      <c r="J45" s="35" t="s">
        <v>1008</v>
      </c>
      <c r="K45" s="35" t="s">
        <v>307</v>
      </c>
      <c r="L45" s="35" t="s">
        <v>439</v>
      </c>
    </row>
    <row r="46" spans="1:12" ht="30" customHeight="1" x14ac:dyDescent="0.3">
      <c r="A46" s="35" t="s">
        <v>1013</v>
      </c>
      <c r="B46" s="35" t="s">
        <v>503</v>
      </c>
      <c r="C46" s="39" t="str">
        <f>IF(B46="","",IFERROR(INDEX(IRO!$B$5:$B$91,MATCH(B46,IRO!$A$5:$A$91,0)),"ID_IRO não encontrado"))</f>
        <v>DM-03</v>
      </c>
      <c r="D46" s="35" t="s">
        <v>1011</v>
      </c>
      <c r="E46" s="46"/>
      <c r="F46" s="35"/>
      <c r="G46" s="35" t="s">
        <v>871</v>
      </c>
      <c r="H46" s="35" t="s">
        <v>1012</v>
      </c>
      <c r="I46" s="35"/>
      <c r="J46" s="35" t="s">
        <v>1008</v>
      </c>
      <c r="K46" s="35" t="s">
        <v>211</v>
      </c>
      <c r="L46" s="35" t="s">
        <v>507</v>
      </c>
    </row>
    <row r="47" spans="1:12" ht="30" customHeight="1" x14ac:dyDescent="0.3">
      <c r="A47" s="35" t="s">
        <v>1014</v>
      </c>
      <c r="B47" s="35" t="s">
        <v>525</v>
      </c>
      <c r="C47" s="39" t="str">
        <f>IF(B47="","",IFERROR(INDEX(IRO!$B$5:$B$91,MATCH(B47,IRO!$A$5:$A$91,0)),"ID_IRO não encontrado"))</f>
        <v>DM-04</v>
      </c>
      <c r="D47" s="35" t="s">
        <v>1011</v>
      </c>
      <c r="E47" s="46"/>
      <c r="F47" s="35"/>
      <c r="G47" s="35" t="s">
        <v>871</v>
      </c>
      <c r="H47" s="35" t="s">
        <v>1012</v>
      </c>
      <c r="I47" s="35"/>
      <c r="J47" s="35" t="s">
        <v>1008</v>
      </c>
      <c r="K47" s="35" t="s">
        <v>211</v>
      </c>
      <c r="L47" s="35" t="s">
        <v>529</v>
      </c>
    </row>
    <row r="48" spans="1:12" ht="30" customHeight="1" x14ac:dyDescent="0.3">
      <c r="A48" s="35" t="s">
        <v>1015</v>
      </c>
      <c r="B48" s="35" t="s">
        <v>543</v>
      </c>
      <c r="C48" s="39" t="str">
        <f>IF(B48="","",IFERROR(INDEX(IRO!$B$5:$B$91,MATCH(B48,IRO!$A$5:$A$91,0)),"ID_IRO não encontrado"))</f>
        <v>DM-05</v>
      </c>
      <c r="D48" s="35" t="s">
        <v>1011</v>
      </c>
      <c r="E48" s="46"/>
      <c r="F48" s="35"/>
      <c r="G48" s="35" t="s">
        <v>871</v>
      </c>
      <c r="H48" s="35" t="s">
        <v>1012</v>
      </c>
      <c r="I48" s="35"/>
      <c r="J48" s="35" t="s">
        <v>1008</v>
      </c>
      <c r="K48" s="35" t="s">
        <v>211</v>
      </c>
      <c r="L48" s="35" t="s">
        <v>546</v>
      </c>
    </row>
    <row r="49" spans="1:12" ht="30" customHeight="1" x14ac:dyDescent="0.3">
      <c r="A49" s="35" t="s">
        <v>1016</v>
      </c>
      <c r="B49" s="35" t="s">
        <v>550</v>
      </c>
      <c r="C49" s="39" t="str">
        <f>IF(B49="","",IFERROR(INDEX(IRO!$B$5:$B$91,MATCH(B49,IRO!$A$5:$A$91,0)),"ID_IRO não encontrado"))</f>
        <v>DM-05</v>
      </c>
      <c r="D49" s="35" t="s">
        <v>1011</v>
      </c>
      <c r="E49" s="46"/>
      <c r="F49" s="35"/>
      <c r="G49" s="35" t="s">
        <v>871</v>
      </c>
      <c r="H49" s="35" t="s">
        <v>1012</v>
      </c>
      <c r="I49" s="35"/>
      <c r="J49" s="35" t="s">
        <v>1008</v>
      </c>
      <c r="K49" s="35" t="s">
        <v>307</v>
      </c>
      <c r="L49" s="35" t="s">
        <v>553</v>
      </c>
    </row>
    <row r="50" spans="1:12" ht="30" customHeight="1" x14ac:dyDescent="0.3">
      <c r="A50" s="35" t="s">
        <v>1017</v>
      </c>
      <c r="B50" s="35" t="s">
        <v>567</v>
      </c>
      <c r="C50" s="39" t="str">
        <f>IF(B50="","",IFERROR(INDEX(IRO!$B$5:$B$91,MATCH(B50,IRO!$A$5:$A$91,0)),"ID_IRO não encontrado"))</f>
        <v>DM-06</v>
      </c>
      <c r="D50" s="35" t="s">
        <v>1011</v>
      </c>
      <c r="E50" s="46"/>
      <c r="F50" s="35"/>
      <c r="G50" s="35" t="s">
        <v>871</v>
      </c>
      <c r="H50" s="35" t="s">
        <v>1012</v>
      </c>
      <c r="I50" s="35"/>
      <c r="J50" s="35" t="s">
        <v>1008</v>
      </c>
      <c r="K50" s="35" t="s">
        <v>211</v>
      </c>
      <c r="L50" s="35" t="s">
        <v>570</v>
      </c>
    </row>
    <row r="51" spans="1:12" ht="30" customHeight="1" x14ac:dyDescent="0.3">
      <c r="A51" s="35" t="s">
        <v>1018</v>
      </c>
      <c r="B51" s="35" t="s">
        <v>579</v>
      </c>
      <c r="C51" s="39" t="str">
        <f>IF(B51="","",IFERROR(INDEX(IRO!$B$5:$B$91,MATCH(B51,IRO!$A$5:$A$91,0)),"ID_IRO não encontrado"))</f>
        <v>DM-07</v>
      </c>
      <c r="D51" s="35" t="s">
        <v>1011</v>
      </c>
      <c r="E51" s="46"/>
      <c r="F51" s="35"/>
      <c r="G51" s="35" t="s">
        <v>871</v>
      </c>
      <c r="H51" s="35" t="s">
        <v>1012</v>
      </c>
      <c r="I51" s="35"/>
      <c r="J51" s="35" t="s">
        <v>1008</v>
      </c>
      <c r="K51" s="35" t="s">
        <v>211</v>
      </c>
      <c r="L51" s="35" t="s">
        <v>582</v>
      </c>
    </row>
    <row r="52" spans="1:12" ht="30" customHeight="1" x14ac:dyDescent="0.3">
      <c r="A52" s="35" t="s">
        <v>1019</v>
      </c>
      <c r="B52" s="35" t="s">
        <v>594</v>
      </c>
      <c r="C52" s="39" t="str">
        <f>IF(B52="","",IFERROR(INDEX(IRO!$B$5:$B$91,MATCH(B52,IRO!$A$5:$A$91,0)),"ID_IRO não encontrado"))</f>
        <v>DM-08</v>
      </c>
      <c r="D52" s="35" t="s">
        <v>1011</v>
      </c>
      <c r="E52" s="46"/>
      <c r="F52" s="35"/>
      <c r="G52" s="35" t="s">
        <v>871</v>
      </c>
      <c r="H52" s="35" t="s">
        <v>1012</v>
      </c>
      <c r="I52" s="35"/>
      <c r="J52" s="35" t="s">
        <v>1008</v>
      </c>
      <c r="K52" s="35" t="s">
        <v>307</v>
      </c>
      <c r="L52" s="35" t="s">
        <v>589</v>
      </c>
    </row>
    <row r="53" spans="1:12" ht="30" customHeight="1" x14ac:dyDescent="0.3">
      <c r="A53" s="35" t="s">
        <v>1020</v>
      </c>
      <c r="B53" s="35" t="s">
        <v>603</v>
      </c>
      <c r="C53" s="39" t="str">
        <f>IF(B53="","",IFERROR(INDEX(IRO!$B$5:$B$91,MATCH(B53,IRO!$A$5:$A$91,0)),"ID_IRO não encontrado"))</f>
        <v>DM-09</v>
      </c>
      <c r="D53" s="35" t="s">
        <v>1011</v>
      </c>
      <c r="E53" s="46"/>
      <c r="F53" s="35"/>
      <c r="G53" s="35" t="s">
        <v>871</v>
      </c>
      <c r="H53" s="35" t="s">
        <v>1012</v>
      </c>
      <c r="I53" s="35"/>
      <c r="J53" s="35" t="s">
        <v>1008</v>
      </c>
      <c r="K53" s="35" t="s">
        <v>307</v>
      </c>
      <c r="L53" s="35" t="s">
        <v>606</v>
      </c>
    </row>
    <row r="54" spans="1:12" ht="30" customHeight="1" x14ac:dyDescent="0.3">
      <c r="A54" s="35" t="s">
        <v>1021</v>
      </c>
      <c r="B54" s="35" t="s">
        <v>616</v>
      </c>
      <c r="C54" s="39" t="str">
        <f>IF(B54="","",IFERROR(INDEX(IRO!$B$5:$B$91,MATCH(B54,IRO!$A$5:$A$91,0)),"ID_IRO não encontrado"))</f>
        <v>DM-10</v>
      </c>
      <c r="D54" s="35" t="s">
        <v>1011</v>
      </c>
      <c r="E54" s="46"/>
      <c r="F54" s="35"/>
      <c r="G54" s="35" t="s">
        <v>871</v>
      </c>
      <c r="H54" s="35" t="s">
        <v>1012</v>
      </c>
      <c r="I54" s="35"/>
      <c r="J54" s="35" t="s">
        <v>1008</v>
      </c>
      <c r="K54" s="35" t="s">
        <v>211</v>
      </c>
      <c r="L54" s="35" t="s">
        <v>619</v>
      </c>
    </row>
    <row r="55" spans="1:12" ht="30" customHeight="1" x14ac:dyDescent="0.3">
      <c r="A55" s="35" t="s">
        <v>1022</v>
      </c>
      <c r="B55" s="35" t="s">
        <v>665</v>
      </c>
      <c r="C55" s="39" t="str">
        <f>IF(B55="","",IFERROR(INDEX(IRO!$B$5:$B$91,MATCH(B55,IRO!$A$5:$A$91,0)),"ID_IRO não encontrado"))</f>
        <v>DM-11</v>
      </c>
      <c r="D55" s="35" t="s">
        <v>1011</v>
      </c>
      <c r="E55" s="46"/>
      <c r="F55" s="35"/>
      <c r="G55" s="35" t="s">
        <v>871</v>
      </c>
      <c r="H55" s="35" t="s">
        <v>1012</v>
      </c>
      <c r="I55" s="35"/>
      <c r="J55" s="35" t="s">
        <v>1008</v>
      </c>
      <c r="K55" s="35" t="s">
        <v>211</v>
      </c>
      <c r="L55" s="35" t="s">
        <v>668</v>
      </c>
    </row>
    <row r="56" spans="1:12" ht="30" customHeight="1" x14ac:dyDescent="0.3">
      <c r="A56" s="35" t="s">
        <v>1023</v>
      </c>
      <c r="B56" s="35" t="s">
        <v>680</v>
      </c>
      <c r="C56" s="39" t="str">
        <f>IF(B56="","",IFERROR(INDEX(IRO!$B$5:$B$91,MATCH(B56,IRO!$A$5:$A$91,0)),"ID_IRO não encontrado"))</f>
        <v>DM-12</v>
      </c>
      <c r="D56" s="35" t="s">
        <v>1011</v>
      </c>
      <c r="E56" s="46"/>
      <c r="F56" s="35"/>
      <c r="G56" s="35" t="s">
        <v>871</v>
      </c>
      <c r="H56" s="35" t="s">
        <v>1012</v>
      </c>
      <c r="I56" s="35"/>
      <c r="J56" s="35" t="s">
        <v>1008</v>
      </c>
      <c r="K56" s="35" t="s">
        <v>211</v>
      </c>
      <c r="L56" s="35" t="s">
        <v>683</v>
      </c>
    </row>
    <row r="57" spans="1:12" ht="30" customHeight="1" x14ac:dyDescent="0.3">
      <c r="A57" s="35" t="s">
        <v>1024</v>
      </c>
      <c r="B57" s="35" t="s">
        <v>685</v>
      </c>
      <c r="C57" s="39" t="str">
        <f>IF(B57="","",IFERROR(INDEX(IRO!$B$5:$B$91,MATCH(B57,IRO!$A$5:$A$91,0)),"ID_IRO não encontrado"))</f>
        <v>DM-12</v>
      </c>
      <c r="D57" s="35" t="s">
        <v>1011</v>
      </c>
      <c r="E57" s="46"/>
      <c r="F57" s="35"/>
      <c r="G57" s="35" t="s">
        <v>871</v>
      </c>
      <c r="H57" s="35" t="s">
        <v>1012</v>
      </c>
      <c r="I57" s="35"/>
      <c r="J57" s="35" t="s">
        <v>1008</v>
      </c>
      <c r="K57" s="35" t="s">
        <v>211</v>
      </c>
      <c r="L57" s="35" t="s">
        <v>688</v>
      </c>
    </row>
    <row r="58" spans="1:12" ht="30" customHeight="1" x14ac:dyDescent="0.3">
      <c r="A58" s="35" t="s">
        <v>1025</v>
      </c>
      <c r="B58" s="35" t="s">
        <v>690</v>
      </c>
      <c r="C58" s="39" t="str">
        <f>IF(B58="","",IFERROR(INDEX(IRO!$B$5:$B$91,MATCH(B58,IRO!$A$5:$A$91,0)),"ID_IRO não encontrado"))</f>
        <v>DM-13</v>
      </c>
      <c r="D58" s="35" t="s">
        <v>1011</v>
      </c>
      <c r="E58" s="46"/>
      <c r="F58" s="35"/>
      <c r="G58" s="35" t="s">
        <v>871</v>
      </c>
      <c r="H58" s="35" t="s">
        <v>1012</v>
      </c>
      <c r="I58" s="35"/>
      <c r="J58" s="35" t="s">
        <v>1008</v>
      </c>
      <c r="K58" s="35" t="s">
        <v>211</v>
      </c>
      <c r="L58" s="35" t="s">
        <v>694</v>
      </c>
    </row>
    <row r="59" spans="1:12" ht="30" customHeight="1" x14ac:dyDescent="0.3">
      <c r="A59" s="35" t="s">
        <v>1026</v>
      </c>
      <c r="B59" s="35" t="s">
        <v>698</v>
      </c>
      <c r="C59" s="39" t="str">
        <f>IF(B59="","",IFERROR(INDEX(IRO!$B$5:$B$91,MATCH(B59,IRO!$A$5:$A$91,0)),"ID_IRO não encontrado"))</f>
        <v>DM-13</v>
      </c>
      <c r="D59" s="35" t="s">
        <v>1011</v>
      </c>
      <c r="E59" s="46"/>
      <c r="F59" s="35"/>
      <c r="G59" s="35" t="s">
        <v>871</v>
      </c>
      <c r="H59" s="35" t="s">
        <v>1012</v>
      </c>
      <c r="I59" s="35"/>
      <c r="J59" s="35" t="s">
        <v>1008</v>
      </c>
      <c r="K59" s="35" t="s">
        <v>211</v>
      </c>
      <c r="L59" s="35" t="s">
        <v>701</v>
      </c>
    </row>
    <row r="60" spans="1:12" ht="30" customHeight="1" x14ac:dyDescent="0.3">
      <c r="A60" s="35" t="s">
        <v>1027</v>
      </c>
      <c r="B60" s="35" t="s">
        <v>705</v>
      </c>
      <c r="C60" s="39" t="str">
        <f>IF(B60="","",IFERROR(INDEX(IRO!$B$5:$B$91,MATCH(B60,IRO!$A$5:$A$91,0)),"ID_IRO não encontrado"))</f>
        <v>DM-13</v>
      </c>
      <c r="D60" s="35" t="s">
        <v>1011</v>
      </c>
      <c r="E60" s="46"/>
      <c r="F60" s="35"/>
      <c r="G60" s="35" t="s">
        <v>871</v>
      </c>
      <c r="H60" s="35" t="s">
        <v>1012</v>
      </c>
      <c r="I60" s="35"/>
      <c r="J60" s="35" t="s">
        <v>1008</v>
      </c>
      <c r="K60" s="35" t="s">
        <v>211</v>
      </c>
      <c r="L60" s="35" t="s">
        <v>708</v>
      </c>
    </row>
    <row r="61" spans="1:12" ht="30" customHeight="1" x14ac:dyDescent="0.3">
      <c r="A61" s="35" t="s">
        <v>1028</v>
      </c>
      <c r="B61" s="35" t="s">
        <v>709</v>
      </c>
      <c r="C61" s="39" t="str">
        <f>IF(B61="","",IFERROR(INDEX(IRO!$B$5:$B$91,MATCH(B61,IRO!$A$5:$A$91,0)),"ID_IRO não encontrado"))</f>
        <v>DM-14</v>
      </c>
      <c r="D61" s="35" t="s">
        <v>1011</v>
      </c>
      <c r="E61" s="46"/>
      <c r="F61" s="35"/>
      <c r="G61" s="35" t="s">
        <v>871</v>
      </c>
      <c r="H61" s="35" t="s">
        <v>1012</v>
      </c>
      <c r="I61" s="35"/>
      <c r="J61" s="35" t="s">
        <v>1008</v>
      </c>
      <c r="K61" s="35" t="s">
        <v>211</v>
      </c>
      <c r="L61" s="35" t="s">
        <v>712</v>
      </c>
    </row>
    <row r="62" spans="1:12" ht="30" customHeight="1" x14ac:dyDescent="0.3">
      <c r="A62" s="35" t="s">
        <v>1029</v>
      </c>
      <c r="B62" s="35" t="s">
        <v>721</v>
      </c>
      <c r="C62" s="39" t="str">
        <f>IF(B62="","",IFERROR(INDEX(IRO!$B$5:$B$91,MATCH(B62,IRO!$A$5:$A$91,0)),"ID_IRO não encontrado"))</f>
        <v>DM-15</v>
      </c>
      <c r="D62" s="35" t="s">
        <v>1011</v>
      </c>
      <c r="E62" s="46"/>
      <c r="F62" s="35"/>
      <c r="G62" s="35" t="s">
        <v>871</v>
      </c>
      <c r="H62" s="35" t="s">
        <v>1012</v>
      </c>
      <c r="I62" s="35"/>
      <c r="J62" s="35" t="s">
        <v>1008</v>
      </c>
      <c r="K62" s="35" t="s">
        <v>194</v>
      </c>
      <c r="L62" s="35" t="s">
        <v>724</v>
      </c>
    </row>
    <row r="63" spans="1:12" ht="30" customHeight="1" x14ac:dyDescent="0.3">
      <c r="A63" s="35" t="s">
        <v>1030</v>
      </c>
      <c r="B63" s="35" t="s">
        <v>726</v>
      </c>
      <c r="C63" s="39" t="str">
        <f>IF(B63="","",IFERROR(INDEX(IRO!$B$5:$B$91,MATCH(B63,IRO!$A$5:$A$91,0)),"ID_IRO não encontrado"))</f>
        <v>DM-15</v>
      </c>
      <c r="D63" s="35" t="s">
        <v>1011</v>
      </c>
      <c r="E63" s="46"/>
      <c r="F63" s="35"/>
      <c r="G63" s="35" t="s">
        <v>871</v>
      </c>
      <c r="H63" s="35" t="s">
        <v>1012</v>
      </c>
      <c r="I63" s="35"/>
      <c r="J63" s="35" t="s">
        <v>1008</v>
      </c>
      <c r="K63" s="35" t="s">
        <v>211</v>
      </c>
      <c r="L63" s="35" t="s">
        <v>729</v>
      </c>
    </row>
    <row r="64" spans="1:12" ht="30" customHeight="1" x14ac:dyDescent="0.3">
      <c r="A64" s="35" t="s">
        <v>1031</v>
      </c>
      <c r="B64" s="35" t="s">
        <v>737</v>
      </c>
      <c r="C64" s="39" t="str">
        <f>IF(B64="","",IFERROR(INDEX(IRO!$B$5:$B$91,MATCH(B64,IRO!$A$5:$A$91,0)),"ID_IRO não encontrado"))</f>
        <v>DM-17</v>
      </c>
      <c r="D64" s="35" t="s">
        <v>1011</v>
      </c>
      <c r="E64" s="46"/>
      <c r="F64" s="35"/>
      <c r="G64" s="35" t="s">
        <v>871</v>
      </c>
      <c r="H64" s="35" t="s">
        <v>1012</v>
      </c>
      <c r="I64" s="35"/>
      <c r="J64" s="35" t="s">
        <v>1008</v>
      </c>
      <c r="K64" s="35" t="s">
        <v>307</v>
      </c>
      <c r="L64" s="35" t="s">
        <v>740</v>
      </c>
    </row>
    <row r="65" spans="1:12" ht="30" customHeight="1" x14ac:dyDescent="0.3">
      <c r="A65" s="35" t="s">
        <v>1032</v>
      </c>
      <c r="B65" s="35" t="s">
        <v>755</v>
      </c>
      <c r="C65" s="39" t="str">
        <f>IF(B65="","",IFERROR(INDEX(IRO!$B$5:$B$91,MATCH(B65,IRO!$A$5:$A$91,0)),"ID_IRO não encontrado"))</f>
        <v>DM-18</v>
      </c>
      <c r="D65" s="35" t="s">
        <v>1011</v>
      </c>
      <c r="E65" s="46"/>
      <c r="F65" s="35"/>
      <c r="G65" s="35" t="s">
        <v>871</v>
      </c>
      <c r="H65" s="35" t="s">
        <v>1012</v>
      </c>
      <c r="I65" s="35"/>
      <c r="J65" s="35" t="s">
        <v>1008</v>
      </c>
      <c r="K65" s="35" t="s">
        <v>211</v>
      </c>
      <c r="L65" s="35" t="s">
        <v>758</v>
      </c>
    </row>
    <row r="66" spans="1:12" ht="30" customHeight="1" x14ac:dyDescent="0.3">
      <c r="A66" s="35" t="s">
        <v>1033</v>
      </c>
      <c r="B66" s="35" t="s">
        <v>763</v>
      </c>
      <c r="C66" s="39" t="str">
        <f>IF(B66="","",IFERROR(INDEX(IRO!$B$5:$B$91,MATCH(B66,IRO!$A$5:$A$91,0)),"ID_IRO não encontrado"))</f>
        <v>DM-19</v>
      </c>
      <c r="D66" s="35" t="s">
        <v>1011</v>
      </c>
      <c r="E66" s="46"/>
      <c r="F66" s="35"/>
      <c r="G66" s="35" t="s">
        <v>871</v>
      </c>
      <c r="H66" s="35" t="s">
        <v>1012</v>
      </c>
      <c r="I66" s="35"/>
      <c r="J66" s="35" t="s">
        <v>1008</v>
      </c>
      <c r="K66" s="35" t="s">
        <v>211</v>
      </c>
      <c r="L66" s="35" t="s">
        <v>766</v>
      </c>
    </row>
    <row r="67" spans="1:12" ht="30" customHeight="1" x14ac:dyDescent="0.3">
      <c r="A67" s="35" t="s">
        <v>1034</v>
      </c>
      <c r="B67" s="35" t="s">
        <v>770</v>
      </c>
      <c r="C67" s="39" t="str">
        <f>IF(B67="","",IFERROR(INDEX(IRO!$B$5:$B$91,MATCH(B67,IRO!$A$5:$A$91,0)),"ID_IRO não encontrado"))</f>
        <v>DM-19</v>
      </c>
      <c r="D67" s="35" t="s">
        <v>1011</v>
      </c>
      <c r="E67" s="46"/>
      <c r="F67" s="35"/>
      <c r="G67" s="35" t="s">
        <v>871</v>
      </c>
      <c r="H67" s="35" t="s">
        <v>1012</v>
      </c>
      <c r="I67" s="35"/>
      <c r="J67" s="35" t="s">
        <v>1008</v>
      </c>
      <c r="K67" s="35" t="s">
        <v>211</v>
      </c>
      <c r="L67" s="35" t="s">
        <v>773</v>
      </c>
    </row>
    <row r="68" spans="1:12" ht="30" customHeight="1" x14ac:dyDescent="0.3">
      <c r="A68" s="35" t="s">
        <v>1035</v>
      </c>
      <c r="B68" s="35" t="s">
        <v>775</v>
      </c>
      <c r="C68" s="39" t="str">
        <f>IF(B68="","",IFERROR(INDEX(IRO!$B$5:$B$91,MATCH(B68,IRO!$A$5:$A$91,0)),"ID_IRO não encontrado"))</f>
        <v>DM-20</v>
      </c>
      <c r="D68" s="35" t="s">
        <v>1011</v>
      </c>
      <c r="E68" s="46"/>
      <c r="F68" s="35"/>
      <c r="G68" s="35" t="s">
        <v>871</v>
      </c>
      <c r="H68" s="35" t="s">
        <v>1012</v>
      </c>
      <c r="I68" s="35"/>
      <c r="J68" s="35" t="s">
        <v>1008</v>
      </c>
      <c r="K68" s="35" t="s">
        <v>211</v>
      </c>
      <c r="L68" s="35" t="s">
        <v>778</v>
      </c>
    </row>
    <row r="69" spans="1:12" ht="30" customHeight="1" x14ac:dyDescent="0.3">
      <c r="A69" s="35" t="s">
        <v>1036</v>
      </c>
      <c r="B69" s="35" t="s">
        <v>780</v>
      </c>
      <c r="C69" s="39" t="str">
        <f>IF(B69="","",IFERROR(INDEX(IRO!$B$5:$B$91,MATCH(B69,IRO!$A$5:$A$91,0)),"ID_IRO não encontrado"))</f>
        <v>DM-20</v>
      </c>
      <c r="D69" s="35" t="s">
        <v>1011</v>
      </c>
      <c r="E69" s="46"/>
      <c r="F69" s="35"/>
      <c r="G69" s="35" t="s">
        <v>871</v>
      </c>
      <c r="H69" s="35" t="s">
        <v>1012</v>
      </c>
      <c r="I69" s="35"/>
      <c r="J69" s="35" t="s">
        <v>1008</v>
      </c>
      <c r="K69" s="35" t="s">
        <v>211</v>
      </c>
      <c r="L69" s="35" t="s">
        <v>779</v>
      </c>
    </row>
    <row r="70" spans="1:12" ht="30" customHeight="1" x14ac:dyDescent="0.3">
      <c r="A70" s="35" t="s">
        <v>1037</v>
      </c>
      <c r="B70" s="35" t="s">
        <v>783</v>
      </c>
      <c r="C70" s="39" t="str">
        <f>IF(B70="","",IFERROR(INDEX(IRO!$B$5:$B$91,MATCH(B70,IRO!$A$5:$A$91,0)),"ID_IRO não encontrado"))</f>
        <v>DM-21</v>
      </c>
      <c r="D70" s="35" t="s">
        <v>1011</v>
      </c>
      <c r="E70" s="46"/>
      <c r="F70" s="35"/>
      <c r="G70" s="35" t="s">
        <v>871</v>
      </c>
      <c r="H70" s="35" t="s">
        <v>1012</v>
      </c>
      <c r="I70" s="35"/>
      <c r="J70" s="35" t="s">
        <v>1008</v>
      </c>
      <c r="K70" s="35" t="s">
        <v>194</v>
      </c>
      <c r="L70" s="35" t="s">
        <v>786</v>
      </c>
    </row>
    <row r="71" spans="1:12" ht="30" customHeight="1" x14ac:dyDescent="0.3">
      <c r="A71" s="35" t="s">
        <v>1038</v>
      </c>
      <c r="B71" s="35" t="s">
        <v>791</v>
      </c>
      <c r="C71" s="39" t="str">
        <f>IF(B71="","",IFERROR(INDEX(IRO!$B$5:$B$91,MATCH(B71,IRO!$A$5:$A$91,0)),"ID_IRO não encontrado"))</f>
        <v>DM-21</v>
      </c>
      <c r="D71" s="35" t="s">
        <v>1011</v>
      </c>
      <c r="E71" s="46"/>
      <c r="F71" s="35"/>
      <c r="G71" s="35" t="s">
        <v>871</v>
      </c>
      <c r="H71" s="35" t="s">
        <v>1012</v>
      </c>
      <c r="I71" s="35"/>
      <c r="J71" s="35" t="s">
        <v>1008</v>
      </c>
      <c r="K71" s="35" t="s">
        <v>307</v>
      </c>
      <c r="L71" s="35" t="s">
        <v>794</v>
      </c>
    </row>
    <row r="72" spans="1:12" ht="30" customHeight="1" x14ac:dyDescent="0.3">
      <c r="A72" s="35" t="s">
        <v>1039</v>
      </c>
      <c r="B72" s="35" t="s">
        <v>796</v>
      </c>
      <c r="C72" s="39" t="str">
        <f>IF(B72="","",IFERROR(INDEX(IRO!$B$5:$B$91,MATCH(B72,IRO!$A$5:$A$91,0)),"ID_IRO não encontrado"))</f>
        <v>DM-22</v>
      </c>
      <c r="D72" s="35" t="s">
        <v>1011</v>
      </c>
      <c r="E72" s="46"/>
      <c r="F72" s="35"/>
      <c r="G72" s="35" t="s">
        <v>871</v>
      </c>
      <c r="H72" s="35" t="s">
        <v>1012</v>
      </c>
      <c r="I72" s="35"/>
      <c r="J72" s="35" t="s">
        <v>1008</v>
      </c>
      <c r="K72" s="35" t="s">
        <v>194</v>
      </c>
      <c r="L72" s="35" t="s">
        <v>799</v>
      </c>
    </row>
    <row r="73" spans="1:12" ht="30" customHeight="1" x14ac:dyDescent="0.3">
      <c r="A73" s="35" t="s">
        <v>1040</v>
      </c>
      <c r="B73" s="35" t="s">
        <v>803</v>
      </c>
      <c r="C73" s="39" t="str">
        <f>IF(B73="","",IFERROR(INDEX(IRO!$B$5:$B$91,MATCH(B73,IRO!$A$5:$A$91,0)),"ID_IRO não encontrado"))</f>
        <v>DM-22</v>
      </c>
      <c r="D73" s="35" t="s">
        <v>1011</v>
      </c>
      <c r="E73" s="46"/>
      <c r="F73" s="35"/>
      <c r="G73" s="35" t="s">
        <v>871</v>
      </c>
      <c r="H73" s="35" t="s">
        <v>1012</v>
      </c>
      <c r="I73" s="35"/>
      <c r="J73" s="35" t="s">
        <v>1008</v>
      </c>
      <c r="K73" s="35" t="s">
        <v>211</v>
      </c>
      <c r="L73" s="35" t="s">
        <v>806</v>
      </c>
    </row>
    <row r="74" spans="1:12" ht="30" customHeight="1" x14ac:dyDescent="0.3">
      <c r="A74" s="35" t="s">
        <v>1041</v>
      </c>
      <c r="B74" s="35" t="s">
        <v>820</v>
      </c>
      <c r="C74" s="39" t="str">
        <f>IF(B74="","",IFERROR(INDEX(IRO!$B$5:$B$91,MATCH(B74,IRO!$A$5:$A$91,0)),"ID_IRO não encontrado"))</f>
        <v>DM-24</v>
      </c>
      <c r="D74" s="35" t="s">
        <v>1011</v>
      </c>
      <c r="E74" s="46"/>
      <c r="F74" s="35"/>
      <c r="G74" s="35" t="s">
        <v>871</v>
      </c>
      <c r="H74" s="35" t="s">
        <v>1012</v>
      </c>
      <c r="I74" s="35"/>
      <c r="J74" s="35" t="s">
        <v>1008</v>
      </c>
      <c r="K74" s="35" t="s">
        <v>211</v>
      </c>
      <c r="L74" s="35" t="s">
        <v>823</v>
      </c>
    </row>
    <row r="75" spans="1:12" ht="30" customHeight="1" x14ac:dyDescent="0.3">
      <c r="A75" s="35" t="s">
        <v>1042</v>
      </c>
      <c r="B75" s="35" t="s">
        <v>825</v>
      </c>
      <c r="C75" s="39" t="str">
        <f>IF(B75="","",IFERROR(INDEX(IRO!$B$5:$B$91,MATCH(B75,IRO!$A$5:$A$91,0)),"ID_IRO não encontrado"))</f>
        <v>DM-24</v>
      </c>
      <c r="D75" s="35" t="s">
        <v>1011</v>
      </c>
      <c r="E75" s="46"/>
      <c r="F75" s="35"/>
      <c r="G75" s="35" t="s">
        <v>871</v>
      </c>
      <c r="H75" s="35" t="s">
        <v>1012</v>
      </c>
      <c r="I75" s="35"/>
      <c r="J75" s="35" t="s">
        <v>1008</v>
      </c>
      <c r="K75" s="35" t="s">
        <v>194</v>
      </c>
      <c r="L75" s="35" t="s">
        <v>828</v>
      </c>
    </row>
    <row r="76" spans="1:12" ht="30" customHeight="1" x14ac:dyDescent="0.3">
      <c r="A76" s="35"/>
      <c r="B76" s="35"/>
      <c r="C76" s="39" t="str">
        <f>IF(B76="","",IFERROR(INDEX(IRO!$B$5:$B$91,MATCH(B76,IRO!$A$5:$A$91,0)),"ID_IRO não encontrado"))</f>
        <v/>
      </c>
      <c r="D76" s="35"/>
      <c r="E76" s="46"/>
      <c r="F76" s="35"/>
      <c r="G76" s="35"/>
      <c r="H76" s="35"/>
      <c r="I76" s="35"/>
      <c r="J76" s="35"/>
      <c r="K76" s="35"/>
      <c r="L76" s="35"/>
    </row>
    <row r="77" spans="1:12" ht="30" customHeight="1" x14ac:dyDescent="0.3">
      <c r="A77" s="35"/>
      <c r="B77" s="35"/>
      <c r="C77" s="39" t="str">
        <f>IF(B77="","",IFERROR(INDEX(IRO!$B$5:$B$91,MATCH(B77,IRO!$A$5:$A$91,0)),"ID_IRO não encontrado"))</f>
        <v/>
      </c>
      <c r="D77" s="35"/>
      <c r="E77" s="46"/>
      <c r="F77" s="35"/>
      <c r="G77" s="35"/>
      <c r="H77" s="35"/>
      <c r="I77" s="35"/>
      <c r="J77" s="35"/>
      <c r="K77" s="35"/>
      <c r="L77" s="35"/>
    </row>
    <row r="78" spans="1:12" ht="30" customHeight="1" x14ac:dyDescent="0.3">
      <c r="A78" s="35"/>
      <c r="B78" s="35"/>
      <c r="C78" s="39" t="str">
        <f>IF(B78="","",IFERROR(INDEX(IRO!$B$5:$B$91,MATCH(B78,IRO!$A$5:$A$91,0)),"ID_IRO não encontrado"))</f>
        <v/>
      </c>
      <c r="D78" s="35"/>
      <c r="E78" s="46"/>
      <c r="F78" s="35"/>
      <c r="G78" s="35"/>
      <c r="H78" s="35"/>
      <c r="I78" s="35"/>
      <c r="J78" s="35"/>
      <c r="K78" s="35"/>
      <c r="L78" s="35"/>
    </row>
    <row r="79" spans="1:12" ht="30" customHeight="1" x14ac:dyDescent="0.3">
      <c r="A79" s="35"/>
      <c r="B79" s="35"/>
      <c r="C79" s="39" t="str">
        <f>IF(B79="","",IFERROR(INDEX(IRO!$B$5:$B$91,MATCH(B79,IRO!$A$5:$A$91,0)),"ID_IRO não encontrado"))</f>
        <v/>
      </c>
      <c r="D79" s="35"/>
      <c r="E79" s="46"/>
      <c r="F79" s="35"/>
      <c r="G79" s="35"/>
      <c r="H79" s="35"/>
      <c r="I79" s="35"/>
      <c r="J79" s="35"/>
      <c r="K79" s="35"/>
      <c r="L79" s="35"/>
    </row>
    <row r="80" spans="1:12" ht="30" customHeight="1" x14ac:dyDescent="0.3">
      <c r="A80" s="35"/>
      <c r="B80" s="35"/>
      <c r="C80" s="39" t="str">
        <f>IF(B80="","",IFERROR(INDEX(IRO!$B$5:$B$91,MATCH(B80,IRO!$A$5:$A$91,0)),"ID_IRO não encontrado"))</f>
        <v/>
      </c>
      <c r="D80" s="35"/>
      <c r="E80" s="46"/>
      <c r="F80" s="35"/>
      <c r="G80" s="35"/>
      <c r="H80" s="35"/>
      <c r="I80" s="35"/>
      <c r="J80" s="35"/>
      <c r="K80" s="35"/>
      <c r="L80" s="35"/>
    </row>
    <row r="81" spans="1:12" ht="30" customHeight="1" x14ac:dyDescent="0.3">
      <c r="A81" s="35"/>
      <c r="B81" s="35"/>
      <c r="C81" s="39" t="str">
        <f>IF(B81="","",IFERROR(INDEX(IRO!$B$5:$B$91,MATCH(B81,IRO!$A$5:$A$91,0)),"ID_IRO não encontrado"))</f>
        <v/>
      </c>
      <c r="D81" s="35"/>
      <c r="E81" s="46"/>
      <c r="F81" s="35"/>
      <c r="G81" s="35"/>
      <c r="H81" s="35"/>
      <c r="I81" s="35"/>
      <c r="J81" s="35"/>
      <c r="K81" s="35"/>
      <c r="L81" s="35"/>
    </row>
    <row r="82" spans="1:12" ht="30" customHeight="1" x14ac:dyDescent="0.3">
      <c r="A82" s="35"/>
      <c r="B82" s="35"/>
      <c r="C82" s="39" t="str">
        <f>IF(B82="","",IFERROR(INDEX(IRO!$B$5:$B$91,MATCH(B82,IRO!$A$5:$A$91,0)),"ID_IRO não encontrado"))</f>
        <v/>
      </c>
      <c r="D82" s="35"/>
      <c r="E82" s="46"/>
      <c r="F82" s="35"/>
      <c r="G82" s="35"/>
      <c r="H82" s="35"/>
      <c r="I82" s="35"/>
      <c r="J82" s="35"/>
      <c r="K82" s="35"/>
      <c r="L82" s="35"/>
    </row>
    <row r="83" spans="1:12" ht="30" customHeight="1" x14ac:dyDescent="0.3">
      <c r="A83" s="35"/>
      <c r="B83" s="35"/>
      <c r="C83" s="39" t="str">
        <f>IF(B83="","",IFERROR(INDEX(IRO!$B$5:$B$91,MATCH(B83,IRO!$A$5:$A$91,0)),"ID_IRO não encontrado"))</f>
        <v/>
      </c>
      <c r="D83" s="35"/>
      <c r="E83" s="46"/>
      <c r="F83" s="35"/>
      <c r="G83" s="35"/>
      <c r="H83" s="35"/>
      <c r="I83" s="35"/>
      <c r="J83" s="35"/>
      <c r="K83" s="35"/>
      <c r="L83" s="35"/>
    </row>
    <row r="84" spans="1:12" ht="30" customHeight="1" x14ac:dyDescent="0.3">
      <c r="A84" s="35"/>
      <c r="B84" s="35"/>
      <c r="C84" s="39" t="str">
        <f>IF(B84="","",IFERROR(INDEX(IRO!$B$5:$B$91,MATCH(B84,IRO!$A$5:$A$91,0)),"ID_IRO não encontrado"))</f>
        <v/>
      </c>
      <c r="D84" s="35"/>
      <c r="E84" s="46"/>
      <c r="F84" s="35"/>
      <c r="G84" s="35"/>
      <c r="H84" s="35"/>
      <c r="I84" s="35"/>
      <c r="J84" s="35"/>
      <c r="K84" s="35"/>
      <c r="L84" s="35"/>
    </row>
    <row r="85" spans="1:12" ht="30" customHeight="1" x14ac:dyDescent="0.3">
      <c r="A85" s="35"/>
      <c r="B85" s="35"/>
      <c r="C85" s="39" t="str">
        <f>IF(B85="","",IFERROR(INDEX(IRO!$B$5:$B$91,MATCH(B85,IRO!$A$5:$A$91,0)),"ID_IRO não encontrado"))</f>
        <v/>
      </c>
      <c r="D85" s="35"/>
      <c r="E85" s="46"/>
      <c r="F85" s="35"/>
      <c r="G85" s="35"/>
      <c r="H85" s="35"/>
      <c r="I85" s="35"/>
      <c r="J85" s="35"/>
      <c r="K85" s="35"/>
      <c r="L85" s="35"/>
    </row>
    <row r="86" spans="1:12" ht="30" customHeight="1" x14ac:dyDescent="0.3">
      <c r="A86" s="35"/>
      <c r="B86" s="35"/>
      <c r="C86" s="39" t="str">
        <f>IF(B86="","",IFERROR(INDEX(IRO!$B$5:$B$91,MATCH(B86,IRO!$A$5:$A$91,0)),"ID_IRO não encontrado"))</f>
        <v/>
      </c>
      <c r="D86" s="35"/>
      <c r="E86" s="46"/>
      <c r="F86" s="35"/>
      <c r="G86" s="35"/>
      <c r="H86" s="35"/>
      <c r="I86" s="35"/>
      <c r="J86" s="35"/>
      <c r="K86" s="35"/>
      <c r="L86" s="35"/>
    </row>
    <row r="87" spans="1:12" ht="30" customHeight="1" x14ac:dyDescent="0.3">
      <c r="A87" s="35"/>
      <c r="B87" s="35"/>
      <c r="C87" s="39" t="str">
        <f>IF(B87="","",IFERROR(INDEX(IRO!$B$5:$B$91,MATCH(B87,IRO!$A$5:$A$91,0)),"ID_IRO não encontrado"))</f>
        <v/>
      </c>
      <c r="D87" s="35"/>
      <c r="E87" s="46"/>
      <c r="F87" s="35"/>
      <c r="G87" s="35"/>
      <c r="H87" s="35"/>
      <c r="I87" s="35"/>
      <c r="J87" s="35"/>
      <c r="K87" s="35"/>
      <c r="L87" s="35"/>
    </row>
    <row r="88" spans="1:12" ht="30" customHeight="1" x14ac:dyDescent="0.3">
      <c r="A88" s="35"/>
      <c r="B88" s="35"/>
      <c r="C88" s="39" t="str">
        <f>IF(B88="","",IFERROR(INDEX(IRO!$B$5:$B$91,MATCH(B88,IRO!$A$5:$A$91,0)),"ID_IRO não encontrado"))</f>
        <v/>
      </c>
      <c r="D88" s="35"/>
      <c r="E88" s="46"/>
      <c r="F88" s="35"/>
      <c r="G88" s="35"/>
      <c r="H88" s="35"/>
      <c r="I88" s="35"/>
      <c r="J88" s="35"/>
      <c r="K88" s="35"/>
      <c r="L88" s="35"/>
    </row>
    <row r="89" spans="1:12" ht="30" customHeight="1" x14ac:dyDescent="0.3">
      <c r="A89" s="35"/>
      <c r="B89" s="35"/>
      <c r="C89" s="39" t="str">
        <f>IF(B89="","",IFERROR(INDEX(IRO!$B$5:$B$91,MATCH(B89,IRO!$A$5:$A$91,0)),"ID_IRO não encontrado"))</f>
        <v/>
      </c>
      <c r="D89" s="35"/>
      <c r="E89" s="46"/>
      <c r="F89" s="35"/>
      <c r="G89" s="35"/>
      <c r="H89" s="35"/>
      <c r="I89" s="35"/>
      <c r="J89" s="35"/>
      <c r="K89" s="35"/>
      <c r="L89" s="35"/>
    </row>
    <row r="90" spans="1:12" ht="30" customHeight="1" x14ac:dyDescent="0.3">
      <c r="A90" s="35"/>
      <c r="B90" s="35"/>
      <c r="C90" s="39" t="str">
        <f>IF(B90="","",IFERROR(INDEX(IRO!$B$5:$B$91,MATCH(B90,IRO!$A$5:$A$91,0)),"ID_IRO não encontrado"))</f>
        <v/>
      </c>
      <c r="D90" s="35"/>
      <c r="E90" s="46"/>
      <c r="F90" s="35"/>
      <c r="G90" s="35"/>
      <c r="H90" s="35"/>
      <c r="I90" s="35"/>
      <c r="J90" s="35"/>
      <c r="K90" s="35"/>
      <c r="L90" s="35"/>
    </row>
    <row r="91" spans="1:12" ht="30" customHeight="1" x14ac:dyDescent="0.3">
      <c r="A91" s="35"/>
      <c r="B91" s="35"/>
      <c r="C91" s="39" t="str">
        <f>IF(B91="","",IFERROR(INDEX(IRO!$B$5:$B$91,MATCH(B91,IRO!$A$5:$A$91,0)),"ID_IRO não encontrado"))</f>
        <v/>
      </c>
      <c r="D91" s="35"/>
      <c r="E91" s="46"/>
      <c r="F91" s="35"/>
      <c r="G91" s="35"/>
      <c r="H91" s="35"/>
      <c r="I91" s="35"/>
      <c r="J91" s="35"/>
      <c r="K91" s="35"/>
      <c r="L91" s="35"/>
    </row>
    <row r="92" spans="1:12" ht="30" customHeight="1" x14ac:dyDescent="0.3">
      <c r="A92" s="35"/>
      <c r="B92" s="35"/>
      <c r="C92" s="39" t="str">
        <f>IF(B92="","",IFERROR(INDEX(IRO!$B$5:$B$91,MATCH(B92,IRO!$A$5:$A$91,0)),"ID_IRO não encontrado"))</f>
        <v/>
      </c>
      <c r="D92" s="35"/>
      <c r="E92" s="46"/>
      <c r="F92" s="35"/>
      <c r="G92" s="35"/>
      <c r="H92" s="35"/>
      <c r="I92" s="35"/>
      <c r="J92" s="35"/>
      <c r="K92" s="35"/>
      <c r="L92" s="35"/>
    </row>
    <row r="93" spans="1:12" ht="30" customHeight="1" x14ac:dyDescent="0.3">
      <c r="A93" s="35"/>
      <c r="B93" s="35"/>
      <c r="C93" s="39" t="str">
        <f>IF(B93="","",IFERROR(INDEX(IRO!$B$5:$B$91,MATCH(B93,IRO!$A$5:$A$91,0)),"ID_IRO não encontrado"))</f>
        <v/>
      </c>
      <c r="D93" s="35"/>
      <c r="E93" s="46"/>
      <c r="F93" s="35"/>
      <c r="G93" s="35"/>
      <c r="H93" s="35"/>
      <c r="I93" s="35"/>
      <c r="J93" s="35"/>
      <c r="K93" s="35"/>
      <c r="L93" s="35"/>
    </row>
    <row r="94" spans="1:12" ht="30" customHeight="1" x14ac:dyDescent="0.3">
      <c r="A94" s="35"/>
      <c r="B94" s="35"/>
      <c r="C94" s="39" t="str">
        <f>IF(B94="","",IFERROR(INDEX(IRO!$B$5:$B$91,MATCH(B94,IRO!$A$5:$A$91,0)),"ID_IRO não encontrado"))</f>
        <v/>
      </c>
      <c r="D94" s="35"/>
      <c r="E94" s="46"/>
      <c r="F94" s="35"/>
      <c r="G94" s="35"/>
      <c r="H94" s="35"/>
      <c r="I94" s="35"/>
      <c r="J94" s="35"/>
      <c r="K94" s="35"/>
      <c r="L94" s="35"/>
    </row>
    <row r="95" spans="1:12" ht="30" customHeight="1" x14ac:dyDescent="0.3">
      <c r="A95" s="35"/>
      <c r="B95" s="35"/>
      <c r="C95" s="39" t="str">
        <f>IF(B95="","",IFERROR(INDEX(IRO!$B$5:$B$91,MATCH(B95,IRO!$A$5:$A$91,0)),"ID_IRO não encontrado"))</f>
        <v/>
      </c>
      <c r="D95" s="35"/>
      <c r="E95" s="46"/>
      <c r="F95" s="35"/>
      <c r="G95" s="35"/>
      <c r="H95" s="35"/>
      <c r="I95" s="35"/>
      <c r="J95" s="35"/>
      <c r="K95" s="35"/>
      <c r="L95" s="35"/>
    </row>
    <row r="96" spans="1:12" ht="30" customHeight="1" x14ac:dyDescent="0.3">
      <c r="A96" s="35"/>
      <c r="B96" s="35"/>
      <c r="C96" s="39" t="str">
        <f>IF(B96="","",IFERROR(INDEX(IRO!$B$5:$B$91,MATCH(B96,IRO!$A$5:$A$91,0)),"ID_IRO não encontrado"))</f>
        <v/>
      </c>
      <c r="D96" s="35"/>
      <c r="E96" s="46"/>
      <c r="F96" s="35"/>
      <c r="G96" s="35"/>
      <c r="H96" s="35"/>
      <c r="I96" s="35"/>
      <c r="J96" s="35"/>
      <c r="K96" s="35"/>
      <c r="L96" s="35"/>
    </row>
    <row r="97" spans="1:12" ht="30" customHeight="1" x14ac:dyDescent="0.3">
      <c r="A97" s="35"/>
      <c r="B97" s="35"/>
      <c r="C97" s="39" t="str">
        <f>IF(B97="","",IFERROR(INDEX(IRO!$B$5:$B$91,MATCH(B97,IRO!$A$5:$A$91,0)),"ID_IRO não encontrado"))</f>
        <v/>
      </c>
      <c r="D97" s="35"/>
      <c r="E97" s="46"/>
      <c r="F97" s="35"/>
      <c r="G97" s="35"/>
      <c r="H97" s="35"/>
      <c r="I97" s="35"/>
      <c r="J97" s="35"/>
      <c r="K97" s="35"/>
      <c r="L97" s="35"/>
    </row>
    <row r="98" spans="1:12" ht="30" customHeight="1" x14ac:dyDescent="0.3">
      <c r="A98" s="35"/>
      <c r="B98" s="35"/>
      <c r="C98" s="39" t="str">
        <f>IF(B98="","",IFERROR(INDEX(IRO!$B$5:$B$91,MATCH(B98,IRO!$A$5:$A$91,0)),"ID_IRO não encontrado"))</f>
        <v/>
      </c>
      <c r="D98" s="35"/>
      <c r="E98" s="46"/>
      <c r="F98" s="35"/>
      <c r="G98" s="35"/>
      <c r="H98" s="35"/>
      <c r="I98" s="35"/>
      <c r="J98" s="35"/>
      <c r="K98" s="35"/>
      <c r="L98" s="35"/>
    </row>
    <row r="99" spans="1:12" ht="30" customHeight="1" x14ac:dyDescent="0.3">
      <c r="A99" s="35"/>
      <c r="B99" s="35"/>
      <c r="C99" s="39" t="str">
        <f>IF(B99="","",IFERROR(INDEX(IRO!$B$5:$B$91,MATCH(B99,IRO!$A$5:$A$91,0)),"ID_IRO não encontrado"))</f>
        <v/>
      </c>
      <c r="D99" s="35"/>
      <c r="E99" s="46"/>
      <c r="F99" s="35"/>
      <c r="G99" s="35"/>
      <c r="H99" s="35"/>
      <c r="I99" s="35"/>
      <c r="J99" s="35"/>
      <c r="K99" s="35"/>
      <c r="L99" s="35"/>
    </row>
    <row r="100" spans="1:12" ht="30" customHeight="1" x14ac:dyDescent="0.3">
      <c r="A100" s="35"/>
      <c r="B100" s="35"/>
      <c r="C100" s="39" t="str">
        <f>IF(B100="","",IFERROR(INDEX(IRO!$B$5:$B$91,MATCH(B100,IRO!$A$5:$A$91,0)),"ID_IRO não encontrado"))</f>
        <v/>
      </c>
      <c r="D100" s="35"/>
      <c r="E100" s="46"/>
      <c r="F100" s="35"/>
      <c r="G100" s="35"/>
      <c r="H100" s="35"/>
      <c r="I100" s="35"/>
      <c r="J100" s="35"/>
      <c r="K100" s="35"/>
      <c r="L100" s="35"/>
    </row>
    <row r="101" spans="1:12" ht="30" customHeight="1" x14ac:dyDescent="0.3">
      <c r="A101" s="35"/>
      <c r="B101" s="35"/>
      <c r="C101" s="39" t="str">
        <f>IF(B101="","",IFERROR(INDEX(IRO!$B$5:$B$91,MATCH(B101,IRO!$A$5:$A$91,0)),"ID_IRO não encontrado"))</f>
        <v/>
      </c>
      <c r="D101" s="35"/>
      <c r="E101" s="46"/>
      <c r="F101" s="35"/>
      <c r="G101" s="35"/>
      <c r="H101" s="35"/>
      <c r="I101" s="35"/>
      <c r="J101" s="35"/>
      <c r="K101" s="35"/>
      <c r="L101" s="35"/>
    </row>
    <row r="102" spans="1:12" ht="30" customHeight="1" x14ac:dyDescent="0.3">
      <c r="A102" s="35"/>
      <c r="B102" s="35"/>
      <c r="C102" s="39" t="str">
        <f>IF(B102="","",IFERROR(INDEX(IRO!$B$5:$B$91,MATCH(B102,IRO!$A$5:$A$91,0)),"ID_IRO não encontrado"))</f>
        <v/>
      </c>
      <c r="D102" s="35"/>
      <c r="E102" s="46"/>
      <c r="F102" s="35"/>
      <c r="G102" s="35"/>
      <c r="H102" s="35"/>
      <c r="I102" s="35"/>
      <c r="J102" s="35"/>
      <c r="K102" s="35"/>
      <c r="L102" s="35"/>
    </row>
    <row r="103" spans="1:12" ht="30" customHeight="1" x14ac:dyDescent="0.3">
      <c r="A103" s="35"/>
      <c r="B103" s="35"/>
      <c r="C103" s="39" t="str">
        <f>IF(B103="","",IFERROR(INDEX(IRO!$B$5:$B$91,MATCH(B103,IRO!$A$5:$A$91,0)),"ID_IRO não encontrado"))</f>
        <v/>
      </c>
      <c r="D103" s="35"/>
      <c r="E103" s="46"/>
      <c r="F103" s="35"/>
      <c r="G103" s="35"/>
      <c r="H103" s="35"/>
      <c r="I103" s="35"/>
      <c r="J103" s="35"/>
      <c r="K103" s="35"/>
      <c r="L103" s="35"/>
    </row>
    <row r="104" spans="1:12" ht="30" customHeight="1" x14ac:dyDescent="0.3">
      <c r="A104" s="35"/>
      <c r="B104" s="35"/>
      <c r="C104" s="39" t="str">
        <f>IF(B104="","",IFERROR(INDEX(IRO!$B$5:$B$91,MATCH(B104,IRO!$A$5:$A$91,0)),"ID_IRO não encontrado"))</f>
        <v/>
      </c>
      <c r="D104" s="35"/>
      <c r="E104" s="46"/>
      <c r="F104" s="35"/>
      <c r="G104" s="35"/>
      <c r="H104" s="35"/>
      <c r="I104" s="35"/>
      <c r="J104" s="35"/>
      <c r="K104" s="35"/>
      <c r="L104" s="35"/>
    </row>
    <row r="105" spans="1:12" ht="30" customHeight="1" x14ac:dyDescent="0.3">
      <c r="A105" s="35"/>
      <c r="B105" s="35"/>
      <c r="C105" s="39" t="str">
        <f>IF(B105="","",IFERROR(INDEX(IRO!$B$5:$B$91,MATCH(B105,IRO!$A$5:$A$91,0)),"ID_IRO não encontrado"))</f>
        <v/>
      </c>
      <c r="D105" s="35"/>
      <c r="E105" s="46"/>
      <c r="F105" s="35"/>
      <c r="G105" s="35"/>
      <c r="H105" s="35"/>
      <c r="I105" s="35"/>
      <c r="J105" s="35"/>
      <c r="K105" s="35"/>
      <c r="L105" s="35"/>
    </row>
    <row r="106" spans="1:12" ht="30" customHeight="1" x14ac:dyDescent="0.3">
      <c r="A106" s="35"/>
      <c r="B106" s="35"/>
      <c r="C106" s="39" t="str">
        <f>IF(B106="","",IFERROR(INDEX(IRO!$B$5:$B$91,MATCH(B106,IRO!$A$5:$A$91,0)),"ID_IRO não encontrado"))</f>
        <v/>
      </c>
      <c r="D106" s="35"/>
      <c r="E106" s="46"/>
      <c r="F106" s="35"/>
      <c r="G106" s="35"/>
      <c r="H106" s="35"/>
      <c r="I106" s="35"/>
      <c r="J106" s="35"/>
      <c r="K106" s="35"/>
      <c r="L106" s="35"/>
    </row>
    <row r="107" spans="1:12" ht="30" customHeight="1" x14ac:dyDescent="0.3">
      <c r="A107" s="35"/>
      <c r="B107" s="35"/>
      <c r="C107" s="39" t="str">
        <f>IF(B107="","",IFERROR(INDEX(IRO!$B$5:$B$91,MATCH(B107,IRO!$A$5:$A$91,0)),"ID_IRO não encontrado"))</f>
        <v/>
      </c>
      <c r="D107" s="35"/>
      <c r="E107" s="46"/>
      <c r="F107" s="35"/>
      <c r="G107" s="35"/>
      <c r="H107" s="35"/>
      <c r="I107" s="35"/>
      <c r="J107" s="35"/>
      <c r="K107" s="35"/>
      <c r="L107" s="35"/>
    </row>
    <row r="108" spans="1:12" ht="30" customHeight="1" x14ac:dyDescent="0.3">
      <c r="A108" s="35"/>
      <c r="B108" s="35"/>
      <c r="C108" s="39" t="str">
        <f>IF(B108="","",IFERROR(INDEX(IRO!$B$5:$B$91,MATCH(B108,IRO!$A$5:$A$91,0)),"ID_IRO não encontrado"))</f>
        <v/>
      </c>
      <c r="D108" s="35"/>
      <c r="E108" s="46"/>
      <c r="F108" s="35"/>
      <c r="G108" s="35"/>
      <c r="H108" s="35"/>
      <c r="I108" s="35"/>
      <c r="J108" s="35"/>
      <c r="K108" s="35"/>
      <c r="L108" s="35"/>
    </row>
    <row r="109" spans="1:12" ht="30" customHeight="1" x14ac:dyDescent="0.3">
      <c r="A109" s="35"/>
      <c r="B109" s="35"/>
      <c r="C109" s="39" t="str">
        <f>IF(B109="","",IFERROR(INDEX(IRO!$B$5:$B$91,MATCH(B109,IRO!$A$5:$A$91,0)),"ID_IRO não encontrado"))</f>
        <v/>
      </c>
      <c r="D109" s="35"/>
      <c r="E109" s="46"/>
      <c r="F109" s="35"/>
      <c r="G109" s="35"/>
      <c r="H109" s="35"/>
      <c r="I109" s="35"/>
      <c r="J109" s="35"/>
      <c r="K109" s="35"/>
      <c r="L109" s="35"/>
    </row>
    <row r="110" spans="1:12" ht="30" customHeight="1" x14ac:dyDescent="0.3">
      <c r="A110" s="35"/>
      <c r="B110" s="35"/>
      <c r="C110" s="39" t="str">
        <f>IF(B110="","",IFERROR(INDEX(IRO!$B$5:$B$91,MATCH(B110,IRO!$A$5:$A$91,0)),"ID_IRO não encontrado"))</f>
        <v/>
      </c>
      <c r="D110" s="35"/>
      <c r="E110" s="46"/>
      <c r="F110" s="35"/>
      <c r="G110" s="35"/>
      <c r="H110" s="35"/>
      <c r="I110" s="35"/>
      <c r="J110" s="35"/>
      <c r="K110" s="35"/>
      <c r="L110" s="35"/>
    </row>
    <row r="111" spans="1:12" ht="30" customHeight="1" x14ac:dyDescent="0.3">
      <c r="A111" s="35"/>
      <c r="B111" s="35"/>
      <c r="C111" s="39" t="str">
        <f>IF(B111="","",IFERROR(INDEX(IRO!$B$5:$B$91,MATCH(B111,IRO!$A$5:$A$91,0)),"ID_IRO não encontrado"))</f>
        <v/>
      </c>
      <c r="D111" s="35"/>
      <c r="E111" s="46"/>
      <c r="F111" s="35"/>
      <c r="G111" s="35"/>
      <c r="H111" s="35"/>
      <c r="I111" s="35"/>
      <c r="J111" s="35"/>
      <c r="K111" s="35"/>
      <c r="L111" s="35"/>
    </row>
    <row r="112" spans="1:12" ht="30" customHeight="1" x14ac:dyDescent="0.3">
      <c r="A112" s="35"/>
      <c r="B112" s="35"/>
      <c r="C112" s="39" t="str">
        <f>IF(B112="","",IFERROR(INDEX(IRO!$B$5:$B$91,MATCH(B112,IRO!$A$5:$A$91,0)),"ID_IRO não encontrado"))</f>
        <v/>
      </c>
      <c r="D112" s="35"/>
      <c r="E112" s="46"/>
      <c r="F112" s="35"/>
      <c r="G112" s="35"/>
      <c r="H112" s="35"/>
      <c r="I112" s="35"/>
      <c r="J112" s="35"/>
      <c r="K112" s="35"/>
      <c r="L112" s="35"/>
    </row>
    <row r="113" spans="1:12" ht="30" customHeight="1" x14ac:dyDescent="0.3">
      <c r="A113" s="35"/>
      <c r="B113" s="35"/>
      <c r="C113" s="39" t="str">
        <f>IF(B113="","",IFERROR(INDEX(IRO!$B$5:$B$91,MATCH(B113,IRO!$A$5:$A$91,0)),"ID_IRO não encontrado"))</f>
        <v/>
      </c>
      <c r="D113" s="35"/>
      <c r="E113" s="46"/>
      <c r="F113" s="35"/>
      <c r="G113" s="35"/>
      <c r="H113" s="35"/>
      <c r="I113" s="35"/>
      <c r="J113" s="35"/>
      <c r="K113" s="35"/>
      <c r="L113" s="35"/>
    </row>
    <row r="114" spans="1:12" ht="30" customHeight="1" x14ac:dyDescent="0.3">
      <c r="A114" s="35"/>
      <c r="B114" s="35"/>
      <c r="C114" s="39" t="str">
        <f>IF(B114="","",IFERROR(INDEX(IRO!$B$5:$B$91,MATCH(B114,IRO!$A$5:$A$91,0)),"ID_IRO não encontrado"))</f>
        <v/>
      </c>
      <c r="D114" s="35"/>
      <c r="E114" s="46"/>
      <c r="F114" s="35"/>
      <c r="G114" s="35"/>
      <c r="H114" s="35"/>
      <c r="I114" s="35"/>
      <c r="J114" s="35"/>
      <c r="K114" s="35"/>
      <c r="L114" s="35"/>
    </row>
    <row r="115" spans="1:12" ht="30" customHeight="1" x14ac:dyDescent="0.3">
      <c r="A115" s="35"/>
      <c r="B115" s="35"/>
      <c r="C115" s="39" t="str">
        <f>IF(B115="","",IFERROR(INDEX(IRO!$B$5:$B$91,MATCH(B115,IRO!$A$5:$A$91,0)),"ID_IRO não encontrado"))</f>
        <v/>
      </c>
      <c r="D115" s="35"/>
      <c r="E115" s="46"/>
      <c r="F115" s="35"/>
      <c r="G115" s="35"/>
      <c r="H115" s="35"/>
      <c r="I115" s="35"/>
      <c r="J115" s="35"/>
      <c r="K115" s="35"/>
      <c r="L115" s="35"/>
    </row>
  </sheetData>
  <conditionalFormatting sqref="J5:J315">
    <cfRule type="expression" dxfId="3" priority="3">
      <formula>ISNUMBER(SEARCH("Estimado",J5))</formula>
    </cfRule>
  </conditionalFormatting>
  <conditionalFormatting sqref="K5:K315">
    <cfRule type="expression" dxfId="2" priority="1">
      <formula>ISNUMBER(SEARCH("Baixa",K5))</formula>
    </cfRule>
    <cfRule type="expression" dxfId="1" priority="2">
      <formula>ISNUMBER(SEARCH("Alta",K5))</formula>
    </cfRule>
  </conditionalFormatting>
  <dataValidations count="2">
    <dataValidation type="list" allowBlank="1" showErrorMessage="1" errorTitle="Valor inválido" error="Valor fora da lista controlada (ver folha Listas)." sqref="J5:J315" xr:uid="{00000000-0002-0000-0400-000000000000}">
      <formula1>lst_TipoDado</formula1>
    </dataValidation>
    <dataValidation type="list" allowBlank="1" showErrorMessage="1" errorTitle="Valor inválido" error="Valor fora da lista controlada (ver folha Listas)." sqref="K5:K315" xr:uid="{00000000-0002-0000-0400-000001000000}">
      <formula1>lst_Qualidade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7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24" customWidth="1"/>
    <col min="4" max="4" width="14" customWidth="1"/>
    <col min="5" max="5" width="9" customWidth="1"/>
    <col min="6" max="6" width="8" customWidth="1"/>
    <col min="7" max="7" width="26" customWidth="1"/>
    <col min="8" max="8" width="9" customWidth="1"/>
    <col min="9" max="9" width="16" customWidth="1"/>
    <col min="10" max="10" width="46" customWidth="1"/>
    <col min="11" max="11" width="10" customWidth="1"/>
  </cols>
  <sheetData>
    <row r="1" spans="1:11" ht="17.399999999999999" x14ac:dyDescent="0.3">
      <c r="A1" s="1" t="s">
        <v>1043</v>
      </c>
    </row>
    <row r="2" spans="1:11" x14ac:dyDescent="0.3">
      <c r="A2" s="2" t="s">
        <v>1044</v>
      </c>
    </row>
    <row r="4" spans="1:11" ht="39.6" x14ac:dyDescent="0.3">
      <c r="A4" s="10" t="s">
        <v>1045</v>
      </c>
      <c r="B4" s="10" t="s">
        <v>1046</v>
      </c>
      <c r="C4" s="10" t="s">
        <v>1047</v>
      </c>
      <c r="D4" s="10" t="s">
        <v>1048</v>
      </c>
      <c r="E4" s="10" t="s">
        <v>1049</v>
      </c>
      <c r="F4" s="10" t="s">
        <v>159</v>
      </c>
      <c r="G4" s="34" t="s">
        <v>141</v>
      </c>
      <c r="H4" s="10" t="s">
        <v>1050</v>
      </c>
      <c r="I4" s="10" t="s">
        <v>1051</v>
      </c>
      <c r="J4" s="10" t="s">
        <v>1052</v>
      </c>
      <c r="K4" s="10" t="s">
        <v>1053</v>
      </c>
    </row>
    <row r="5" spans="1:11" ht="30" customHeight="1" x14ac:dyDescent="0.3">
      <c r="A5" s="35" t="s">
        <v>1054</v>
      </c>
      <c r="B5" s="36">
        <v>46183</v>
      </c>
      <c r="C5" s="35" t="s">
        <v>1055</v>
      </c>
      <c r="D5" s="35" t="s">
        <v>1056</v>
      </c>
      <c r="E5" s="43">
        <v>18</v>
      </c>
      <c r="F5" s="35" t="s">
        <v>279</v>
      </c>
      <c r="G5" s="39" t="str">
        <f>IF(F5="","",IFERROR(INDEX(Temas!$E$5:$E$40,MATCH(F5,Temas!$A$5:$A$40,0)),"ID_Tema não encontrado"))</f>
        <v>Saúde e segurança no trabalho</v>
      </c>
      <c r="H5" s="43">
        <v>5</v>
      </c>
      <c r="I5" s="35" t="s">
        <v>1057</v>
      </c>
      <c r="J5" s="35" t="s">
        <v>1058</v>
      </c>
      <c r="K5" s="35" t="s">
        <v>693</v>
      </c>
    </row>
    <row r="6" spans="1:11" ht="30" customHeight="1" x14ac:dyDescent="0.3">
      <c r="A6" s="35" t="s">
        <v>1059</v>
      </c>
      <c r="B6" s="36">
        <v>46183</v>
      </c>
      <c r="C6" s="35" t="s">
        <v>1055</v>
      </c>
      <c r="D6" s="35" t="s">
        <v>1056</v>
      </c>
      <c r="E6" s="43">
        <v>18</v>
      </c>
      <c r="F6" s="35" t="s">
        <v>288</v>
      </c>
      <c r="G6" s="39" t="str">
        <f>IF(F6="","",IFERROR(INDEX(Temas!$E$5:$E$40,MATCH(F6,Temas!$A$5:$A$40,0)),"ID_Tema não encontrado"))</f>
        <v>Condições de trabalho e disponibilidade de pessoas</v>
      </c>
      <c r="H6" s="43">
        <v>4</v>
      </c>
      <c r="I6" s="35" t="s">
        <v>1060</v>
      </c>
      <c r="J6" s="35" t="s">
        <v>1061</v>
      </c>
      <c r="K6" s="35" t="s">
        <v>693</v>
      </c>
    </row>
    <row r="7" spans="1:11" ht="30" customHeight="1" x14ac:dyDescent="0.3">
      <c r="A7" s="35" t="s">
        <v>1062</v>
      </c>
      <c r="B7" s="36">
        <v>46183</v>
      </c>
      <c r="C7" s="35" t="s">
        <v>1055</v>
      </c>
      <c r="D7" s="35" t="s">
        <v>1056</v>
      </c>
      <c r="E7" s="43">
        <v>18</v>
      </c>
      <c r="F7" s="35" t="s">
        <v>295</v>
      </c>
      <c r="G7" s="39" t="str">
        <f>IF(F7="","",IFERROR(INDEX(Temas!$E$5:$E$40,MATCH(F7,Temas!$A$5:$A$40,0)),"ID_Tema não encontrado"))</f>
        <v>Formação e competências</v>
      </c>
      <c r="H7" s="43">
        <v>4</v>
      </c>
      <c r="I7" s="35" t="s">
        <v>1060</v>
      </c>
      <c r="J7" s="35" t="s">
        <v>1063</v>
      </c>
      <c r="K7" s="35" t="s">
        <v>693</v>
      </c>
    </row>
    <row r="8" spans="1:11" ht="30" customHeight="1" x14ac:dyDescent="0.3">
      <c r="A8" s="35" t="s">
        <v>1064</v>
      </c>
      <c r="B8" s="36">
        <v>46183</v>
      </c>
      <c r="C8" s="35" t="s">
        <v>1055</v>
      </c>
      <c r="D8" s="35" t="s">
        <v>1056</v>
      </c>
      <c r="E8" s="43">
        <v>18</v>
      </c>
      <c r="F8" s="35" t="s">
        <v>214</v>
      </c>
      <c r="G8" s="39" t="str">
        <f>IF(F8="","",IFERROR(INDEX(Temas!$E$5:$E$40,MATCH(F8,Temas!$A$5:$A$40,0)),"ID_Tema não encontrado"))</f>
        <v>Emissões de COV da serigrafia</v>
      </c>
      <c r="H8" s="43">
        <v>3</v>
      </c>
      <c r="I8" s="35" t="s">
        <v>1060</v>
      </c>
      <c r="J8" s="35" t="s">
        <v>1065</v>
      </c>
      <c r="K8" s="35" t="s">
        <v>693</v>
      </c>
    </row>
    <row r="9" spans="1:11" ht="30" customHeight="1" x14ac:dyDescent="0.3">
      <c r="A9" s="35" t="s">
        <v>1066</v>
      </c>
      <c r="B9" s="36">
        <v>46183</v>
      </c>
      <c r="C9" s="35" t="s">
        <v>1055</v>
      </c>
      <c r="D9" s="35" t="s">
        <v>1056</v>
      </c>
      <c r="E9" s="43">
        <v>18</v>
      </c>
      <c r="F9" s="35" t="s">
        <v>302</v>
      </c>
      <c r="G9" s="39" t="str">
        <f>IF(F9="","",IFERROR(INDEX(Temas!$E$5:$E$40,MATCH(F9,Temas!$A$5:$A$40,0)),"ID_Tema não encontrado"))</f>
        <v>Igualdade e não discriminação</v>
      </c>
      <c r="H9" s="43">
        <v>2</v>
      </c>
      <c r="I9" s="35" t="s">
        <v>1060</v>
      </c>
      <c r="J9" s="35" t="s">
        <v>1067</v>
      </c>
      <c r="K9" s="35" t="s">
        <v>693</v>
      </c>
    </row>
    <row r="10" spans="1:11" ht="30" customHeight="1" x14ac:dyDescent="0.3">
      <c r="A10" s="35" t="s">
        <v>1068</v>
      </c>
      <c r="B10" s="36">
        <v>46183</v>
      </c>
      <c r="C10" s="35" t="s">
        <v>1055</v>
      </c>
      <c r="D10" s="35" t="s">
        <v>1056</v>
      </c>
      <c r="E10" s="43">
        <v>18</v>
      </c>
      <c r="F10" s="35" t="s">
        <v>228</v>
      </c>
      <c r="G10" s="39" t="str">
        <f>IF(F10="","",IFERROR(INDEX(Temas!$E$5:$E$40,MATCH(F10,Temas!$A$5:$A$40,0)),"ID_Tema não encontrado"))</f>
        <v>Perdas de granulado de plástico</v>
      </c>
      <c r="H10" s="43">
        <v>3</v>
      </c>
      <c r="I10" s="35" t="s">
        <v>1060</v>
      </c>
      <c r="J10" s="35" t="s">
        <v>1069</v>
      </c>
      <c r="K10" s="35" t="s">
        <v>693</v>
      </c>
    </row>
    <row r="11" spans="1:11" ht="30" customHeight="1" x14ac:dyDescent="0.3">
      <c r="A11" s="35" t="s">
        <v>1070</v>
      </c>
      <c r="B11" s="36">
        <v>46162</v>
      </c>
      <c r="C11" s="35" t="s">
        <v>1071</v>
      </c>
      <c r="D11" s="35" t="s">
        <v>1072</v>
      </c>
      <c r="E11" s="43">
        <v>9</v>
      </c>
      <c r="F11" s="35" t="s">
        <v>266</v>
      </c>
      <c r="G11" s="39" t="str">
        <f>IF(F11="","",IFERROR(INDEX(Temas!$E$5:$E$40,MATCH(F11,Temas!$A$5:$A$40,0)),"ID_Tema não encontrado"))</f>
        <v>Reciclabilidade e conformidade PPWR das embalagens</v>
      </c>
      <c r="H11" s="43">
        <v>5</v>
      </c>
      <c r="I11" s="35" t="s">
        <v>1057</v>
      </c>
      <c r="J11" s="35" t="s">
        <v>1073</v>
      </c>
      <c r="K11" s="35" t="s">
        <v>693</v>
      </c>
    </row>
    <row r="12" spans="1:11" ht="30" customHeight="1" x14ac:dyDescent="0.3">
      <c r="A12" s="35" t="s">
        <v>1074</v>
      </c>
      <c r="B12" s="36">
        <v>46162</v>
      </c>
      <c r="C12" s="35" t="s">
        <v>1071</v>
      </c>
      <c r="D12" s="35" t="s">
        <v>1072</v>
      </c>
      <c r="E12" s="43">
        <v>9</v>
      </c>
      <c r="F12" s="35" t="s">
        <v>258</v>
      </c>
      <c r="G12" s="39" t="str">
        <f>IF(F12="","",IFERROR(INDEX(Temas!$E$5:$E$40,MATCH(F12,Temas!$A$5:$A$40,0)),"ID_Tema não encontrado"))</f>
        <v>Polímeros virgens e conteúdo reciclado</v>
      </c>
      <c r="H12" s="43">
        <v>5</v>
      </c>
      <c r="I12" s="35" t="s">
        <v>1057</v>
      </c>
      <c r="J12" s="35" t="s">
        <v>1075</v>
      </c>
      <c r="K12" s="35" t="s">
        <v>693</v>
      </c>
    </row>
    <row r="13" spans="1:11" ht="30" customHeight="1" x14ac:dyDescent="0.3">
      <c r="A13" s="35" t="s">
        <v>1076</v>
      </c>
      <c r="B13" s="36">
        <v>46162</v>
      </c>
      <c r="C13" s="35" t="s">
        <v>1071</v>
      </c>
      <c r="D13" s="35" t="s">
        <v>1072</v>
      </c>
      <c r="E13" s="43">
        <v>9</v>
      </c>
      <c r="F13" s="35" t="s">
        <v>188</v>
      </c>
      <c r="G13" s="39" t="str">
        <f>IF(F13="","",IFERROR(INDEX(Temas!$E$5:$E$40,MATCH(F13,Temas!$A$5:$A$40,0)),"ID_Tema não encontrado"))</f>
        <v>Emissões de GEE (âmbitos 1, 2 e 3)</v>
      </c>
      <c r="H13" s="43">
        <v>4</v>
      </c>
      <c r="I13" s="35" t="s">
        <v>1057</v>
      </c>
      <c r="J13" s="35" t="s">
        <v>1077</v>
      </c>
      <c r="K13" s="35" t="s">
        <v>693</v>
      </c>
    </row>
    <row r="14" spans="1:11" ht="30" customHeight="1" x14ac:dyDescent="0.3">
      <c r="A14" s="35" t="s">
        <v>1078</v>
      </c>
      <c r="B14" s="36">
        <v>46162</v>
      </c>
      <c r="C14" s="35" t="s">
        <v>1071</v>
      </c>
      <c r="D14" s="35" t="s">
        <v>1072</v>
      </c>
      <c r="E14" s="43">
        <v>9</v>
      </c>
      <c r="F14" s="35" t="s">
        <v>324</v>
      </c>
      <c r="G14" s="39" t="str">
        <f>IF(F14="","",IFERROR(INDEX(Temas!$E$5:$E$40,MATCH(F14,Temas!$A$5:$A$40,0)),"ID_Tema não encontrado"))</f>
        <v>Segurança do produto (contacto alimentar, farmacêutico e cosmético)</v>
      </c>
      <c r="H14" s="43">
        <v>5</v>
      </c>
      <c r="I14" s="35" t="s">
        <v>1057</v>
      </c>
      <c r="J14" s="35" t="s">
        <v>1079</v>
      </c>
      <c r="K14" s="35" t="s">
        <v>693</v>
      </c>
    </row>
    <row r="15" spans="1:11" ht="30" customHeight="1" x14ac:dyDescent="0.3">
      <c r="A15" s="35" t="s">
        <v>1080</v>
      </c>
      <c r="B15" s="36">
        <v>46162</v>
      </c>
      <c r="C15" s="35" t="s">
        <v>1071</v>
      </c>
      <c r="D15" s="35" t="s">
        <v>1072</v>
      </c>
      <c r="E15" s="43">
        <v>9</v>
      </c>
      <c r="F15" s="35" t="s">
        <v>331</v>
      </c>
      <c r="G15" s="39" t="str">
        <f>IF(F15="","",IFERROR(INDEX(Temas!$E$5:$E$40,MATCH(F15,Temas!$A$5:$A$40,0)),"ID_Tema não encontrado"))</f>
        <v>Alegações ambientais e informação ao cliente</v>
      </c>
      <c r="H15" s="43">
        <v>4</v>
      </c>
      <c r="I15" s="35" t="s">
        <v>1060</v>
      </c>
      <c r="J15" s="35" t="s">
        <v>1081</v>
      </c>
      <c r="K15" s="35" t="s">
        <v>693</v>
      </c>
    </row>
    <row r="16" spans="1:11" ht="30" customHeight="1" x14ac:dyDescent="0.3">
      <c r="A16" s="35" t="s">
        <v>1082</v>
      </c>
      <c r="B16" s="36">
        <v>46162</v>
      </c>
      <c r="C16" s="35" t="s">
        <v>1071</v>
      </c>
      <c r="D16" s="35" t="s">
        <v>1072</v>
      </c>
      <c r="E16" s="43">
        <v>9</v>
      </c>
      <c r="F16" s="35" t="s">
        <v>354</v>
      </c>
      <c r="G16" s="39" t="str">
        <f>IF(F16="","",IFERROR(INDEX(Temas!$E$5:$E$40,MATCH(F16,Temas!$A$5:$A$40,0)),"ID_Tema não encontrado"))</f>
        <v>Qualidade do produto e custo da não-qualidade</v>
      </c>
      <c r="H16" s="43">
        <v>5</v>
      </c>
      <c r="I16" s="35" t="s">
        <v>1057</v>
      </c>
      <c r="J16" s="35" t="s">
        <v>1083</v>
      </c>
      <c r="K16" s="35" t="s">
        <v>693</v>
      </c>
    </row>
    <row r="17" spans="1:11" ht="30" customHeight="1" x14ac:dyDescent="0.3">
      <c r="A17" s="35" t="s">
        <v>1084</v>
      </c>
      <c r="B17" s="36">
        <v>46170</v>
      </c>
      <c r="C17" s="35" t="s">
        <v>1085</v>
      </c>
      <c r="D17" s="35" t="s">
        <v>1086</v>
      </c>
      <c r="E17" s="43">
        <v>5</v>
      </c>
      <c r="F17" s="35" t="s">
        <v>258</v>
      </c>
      <c r="G17" s="39" t="str">
        <f>IF(F17="","",IFERROR(INDEX(Temas!$E$5:$E$40,MATCH(F17,Temas!$A$5:$A$40,0)),"ID_Tema não encontrado"))</f>
        <v>Polímeros virgens e conteúdo reciclado</v>
      </c>
      <c r="H17" s="43">
        <v>4</v>
      </c>
      <c r="I17" s="35" t="s">
        <v>1060</v>
      </c>
      <c r="J17" s="35" t="s">
        <v>1087</v>
      </c>
      <c r="K17" s="35" t="s">
        <v>693</v>
      </c>
    </row>
    <row r="18" spans="1:11" ht="30" customHeight="1" x14ac:dyDescent="0.3">
      <c r="A18" s="35" t="s">
        <v>1088</v>
      </c>
      <c r="B18" s="36">
        <v>46170</v>
      </c>
      <c r="C18" s="35" t="s">
        <v>1085</v>
      </c>
      <c r="D18" s="35" t="s">
        <v>1086</v>
      </c>
      <c r="E18" s="43">
        <v>5</v>
      </c>
      <c r="F18" s="35" t="s">
        <v>347</v>
      </c>
      <c r="G18" s="39" t="str">
        <f>IF(F18="","",IFERROR(INDEX(Temas!$E$5:$E$40,MATCH(F18,Temas!$A$5:$A$40,0)),"ID_Tema não encontrado"))</f>
        <v>Gestão e avaliação de fornecedores</v>
      </c>
      <c r="H18" s="43">
        <v>3</v>
      </c>
      <c r="I18" s="35" t="s">
        <v>1060</v>
      </c>
      <c r="J18" s="35" t="s">
        <v>1089</v>
      </c>
      <c r="K18" s="35" t="s">
        <v>693</v>
      </c>
    </row>
    <row r="19" spans="1:11" ht="30" customHeight="1" x14ac:dyDescent="0.3">
      <c r="A19" s="35" t="s">
        <v>1090</v>
      </c>
      <c r="B19" s="36">
        <v>46170</v>
      </c>
      <c r="C19" s="35" t="s">
        <v>1085</v>
      </c>
      <c r="D19" s="35" t="s">
        <v>1086</v>
      </c>
      <c r="E19" s="43">
        <v>5</v>
      </c>
      <c r="F19" s="35" t="s">
        <v>310</v>
      </c>
      <c r="G19" s="39" t="str">
        <f>IF(F19="","",IFERROR(INDEX(Temas!$E$5:$E$40,MATCH(F19,Temas!$A$5:$A$40,0)),"ID_Tema não encontrado"))</f>
        <v>Trabalhadores da cadeia de valor</v>
      </c>
      <c r="H19" s="43">
        <v>3</v>
      </c>
      <c r="I19" s="35" t="s">
        <v>1060</v>
      </c>
      <c r="J19" s="35" t="s">
        <v>1091</v>
      </c>
      <c r="K19" s="35" t="s">
        <v>693</v>
      </c>
    </row>
    <row r="20" spans="1:11" ht="30" customHeight="1" x14ac:dyDescent="0.3">
      <c r="A20" s="35" t="s">
        <v>1092</v>
      </c>
      <c r="B20" s="36">
        <v>46142</v>
      </c>
      <c r="C20" s="35" t="s">
        <v>1093</v>
      </c>
      <c r="D20" s="35" t="s">
        <v>1094</v>
      </c>
      <c r="E20" s="43">
        <v>1</v>
      </c>
      <c r="F20" s="35" t="s">
        <v>228</v>
      </c>
      <c r="G20" s="39" t="str">
        <f>IF(F20="","",IFERROR(INDEX(Temas!$E$5:$E$40,MATCH(F20,Temas!$A$5:$A$40,0)),"ID_Tema não encontrado"))</f>
        <v>Perdas de granulado de plástico</v>
      </c>
      <c r="H20" s="43">
        <v>4</v>
      </c>
      <c r="I20" s="35" t="s">
        <v>1057</v>
      </c>
      <c r="J20" s="35" t="s">
        <v>1095</v>
      </c>
      <c r="K20" s="35" t="s">
        <v>693</v>
      </c>
    </row>
    <row r="21" spans="1:11" ht="30" customHeight="1" x14ac:dyDescent="0.3">
      <c r="A21" s="35" t="s">
        <v>1096</v>
      </c>
      <c r="B21" s="36">
        <v>46142</v>
      </c>
      <c r="C21" s="35" t="s">
        <v>1093</v>
      </c>
      <c r="D21" s="35" t="s">
        <v>1094</v>
      </c>
      <c r="E21" s="43">
        <v>1</v>
      </c>
      <c r="F21" s="35" t="s">
        <v>273</v>
      </c>
      <c r="G21" s="39" t="str">
        <f>IF(F21="","",IFERROR(INDEX(Temas!$E$5:$E$40,MATCH(F21,Temas!$A$5:$A$40,0)),"ID_Tema não encontrado"))</f>
        <v>Resíduos da produção</v>
      </c>
      <c r="H21" s="43">
        <v>4</v>
      </c>
      <c r="I21" s="35" t="s">
        <v>1057</v>
      </c>
      <c r="J21" s="35" t="s">
        <v>1097</v>
      </c>
      <c r="K21" s="35" t="s">
        <v>693</v>
      </c>
    </row>
    <row r="22" spans="1:11" ht="30" customHeight="1" x14ac:dyDescent="0.3">
      <c r="A22" s="35" t="s">
        <v>1098</v>
      </c>
      <c r="B22" s="36">
        <v>46142</v>
      </c>
      <c r="C22" s="35" t="s">
        <v>1093</v>
      </c>
      <c r="D22" s="35" t="s">
        <v>1094</v>
      </c>
      <c r="E22" s="43">
        <v>1</v>
      </c>
      <c r="F22" s="35" t="s">
        <v>338</v>
      </c>
      <c r="G22" s="39" t="str">
        <f>IF(F22="","",IFERROR(INDEX(Temas!$E$5:$E$40,MATCH(F22,Temas!$A$5:$A$40,0)),"ID_Tema não encontrado"))</f>
        <v>Conformidade legal e conduta ética</v>
      </c>
      <c r="H22" s="43">
        <v>4</v>
      </c>
      <c r="I22" s="35" t="s">
        <v>1057</v>
      </c>
      <c r="J22" s="35" t="s">
        <v>1099</v>
      </c>
      <c r="K22" s="35" t="s">
        <v>693</v>
      </c>
    </row>
    <row r="23" spans="1:11" ht="30" customHeight="1" x14ac:dyDescent="0.3">
      <c r="A23" s="35" t="s">
        <v>1100</v>
      </c>
      <c r="B23" s="36">
        <v>46142</v>
      </c>
      <c r="C23" s="35" t="s">
        <v>1093</v>
      </c>
      <c r="D23" s="35" t="s">
        <v>1094</v>
      </c>
      <c r="E23" s="43">
        <v>1</v>
      </c>
      <c r="F23" s="35" t="s">
        <v>279</v>
      </c>
      <c r="G23" s="39" t="str">
        <f>IF(F23="","",IFERROR(INDEX(Temas!$E$5:$E$40,MATCH(F23,Temas!$A$5:$A$40,0)),"ID_Tema não encontrado"))</f>
        <v>Saúde e segurança no trabalho</v>
      </c>
      <c r="H23" s="43">
        <v>4</v>
      </c>
      <c r="I23" s="35" t="s">
        <v>1057</v>
      </c>
      <c r="J23" s="35" t="s">
        <v>1101</v>
      </c>
      <c r="K23" s="35" t="s">
        <v>693</v>
      </c>
    </row>
    <row r="24" spans="1:11" ht="30" customHeight="1" x14ac:dyDescent="0.3">
      <c r="A24" s="35" t="s">
        <v>1102</v>
      </c>
      <c r="B24" s="36">
        <v>46205</v>
      </c>
      <c r="C24" s="35" t="s">
        <v>1103</v>
      </c>
      <c r="D24" s="35" t="s">
        <v>1104</v>
      </c>
      <c r="E24" s="43">
        <v>3</v>
      </c>
      <c r="F24" s="35" t="s">
        <v>317</v>
      </c>
      <c r="G24" s="39" t="str">
        <f>IF(F24="","",IFERROR(INDEX(Temas!$E$5:$E$40,MATCH(F24,Temas!$A$5:$A$40,0)),"ID_Tema não encontrado"))</f>
        <v>Relação com a comunidade local</v>
      </c>
      <c r="H24" s="43">
        <v>4</v>
      </c>
      <c r="I24" s="35" t="s">
        <v>1057</v>
      </c>
      <c r="J24" s="35" t="s">
        <v>1105</v>
      </c>
      <c r="K24" s="35" t="s">
        <v>693</v>
      </c>
    </row>
    <row r="25" spans="1:11" ht="30" customHeight="1" x14ac:dyDescent="0.3">
      <c r="A25" s="35" t="s">
        <v>1106</v>
      </c>
      <c r="B25" s="36">
        <v>46205</v>
      </c>
      <c r="C25" s="35" t="s">
        <v>1103</v>
      </c>
      <c r="D25" s="35" t="s">
        <v>1104</v>
      </c>
      <c r="E25" s="43">
        <v>3</v>
      </c>
      <c r="F25" s="35" t="s">
        <v>206</v>
      </c>
      <c r="G25" s="39" t="str">
        <f>IF(F25="","",IFERROR(INDEX(Temas!$E$5:$E$40,MATCH(F25,Temas!$A$5:$A$40,0)),"ID_Tema não encontrado"))</f>
        <v>Resiliência a ondas de calor, seca e incêndio</v>
      </c>
      <c r="H25" s="43">
        <v>3</v>
      </c>
      <c r="I25" s="35" t="s">
        <v>1060</v>
      </c>
      <c r="J25" s="35" t="s">
        <v>1107</v>
      </c>
      <c r="K25" s="35" t="s">
        <v>693</v>
      </c>
    </row>
    <row r="26" spans="1:11" ht="30" customHeight="1" x14ac:dyDescent="0.3">
      <c r="A26" s="35" t="s">
        <v>1108</v>
      </c>
      <c r="B26" s="36">
        <v>46205</v>
      </c>
      <c r="C26" s="35" t="s">
        <v>1103</v>
      </c>
      <c r="D26" s="35" t="s">
        <v>1104</v>
      </c>
      <c r="E26" s="43">
        <v>3</v>
      </c>
      <c r="F26" s="35" t="s">
        <v>243</v>
      </c>
      <c r="G26" s="39" t="str">
        <f>IF(F26="","",IFERROR(INDEX(Temas!$E$5:$E$40,MATCH(F26,Temas!$A$5:$A$40,0)),"ID_Tema não encontrado"))</f>
        <v>Consumo de água</v>
      </c>
      <c r="H26" s="43">
        <v>3</v>
      </c>
      <c r="I26" s="35" t="s">
        <v>1060</v>
      </c>
      <c r="J26" s="35" t="s">
        <v>1109</v>
      </c>
      <c r="K26" s="35" t="s">
        <v>693</v>
      </c>
    </row>
    <row r="27" spans="1:11" ht="30" customHeight="1" x14ac:dyDescent="0.3">
      <c r="A27" s="35" t="s">
        <v>1110</v>
      </c>
      <c r="B27" s="36">
        <v>46198</v>
      </c>
      <c r="C27" s="35" t="s">
        <v>1111</v>
      </c>
      <c r="D27" s="35" t="s">
        <v>1112</v>
      </c>
      <c r="E27" s="43">
        <v>3</v>
      </c>
      <c r="F27" s="35" t="s">
        <v>198</v>
      </c>
      <c r="G27" s="39" t="str">
        <f>IF(F27="","",IFERROR(INDEX(Temas!$E$5:$E$40,MATCH(F27,Temas!$A$5:$A$40,0)),"ID_Tema não encontrado"))</f>
        <v>Consumo e eficiência energética</v>
      </c>
      <c r="H27" s="43">
        <v>5</v>
      </c>
      <c r="I27" s="35" t="s">
        <v>1057</v>
      </c>
      <c r="J27" s="35" t="s">
        <v>1113</v>
      </c>
      <c r="K27" s="35" t="s">
        <v>693</v>
      </c>
    </row>
    <row r="28" spans="1:11" ht="30" customHeight="1" x14ac:dyDescent="0.3">
      <c r="A28" s="35" t="s">
        <v>1114</v>
      </c>
      <c r="B28" s="36">
        <v>46198</v>
      </c>
      <c r="C28" s="35" t="s">
        <v>1111</v>
      </c>
      <c r="D28" s="35" t="s">
        <v>1112</v>
      </c>
      <c r="E28" s="43">
        <v>3</v>
      </c>
      <c r="F28" s="35" t="s">
        <v>266</v>
      </c>
      <c r="G28" s="39" t="str">
        <f>IF(F28="","",IFERROR(INDEX(Temas!$E$5:$E$40,MATCH(F28,Temas!$A$5:$A$40,0)),"ID_Tema não encontrado"))</f>
        <v>Reciclabilidade e conformidade PPWR das embalagens</v>
      </c>
      <c r="H28" s="43">
        <v>5</v>
      </c>
      <c r="I28" s="35" t="s">
        <v>1060</v>
      </c>
      <c r="J28" s="35" t="s">
        <v>1115</v>
      </c>
      <c r="K28" s="35" t="s">
        <v>693</v>
      </c>
    </row>
    <row r="29" spans="1:11" ht="30" customHeight="1" x14ac:dyDescent="0.3">
      <c r="A29" s="35" t="s">
        <v>1116</v>
      </c>
      <c r="B29" s="36">
        <v>46198</v>
      </c>
      <c r="C29" s="35" t="s">
        <v>1111</v>
      </c>
      <c r="D29" s="35" t="s">
        <v>1112</v>
      </c>
      <c r="E29" s="43">
        <v>3</v>
      </c>
      <c r="F29" s="35" t="s">
        <v>354</v>
      </c>
      <c r="G29" s="39" t="str">
        <f>IF(F29="","",IFERROR(INDEX(Temas!$E$5:$E$40,MATCH(F29,Temas!$A$5:$A$40,0)),"ID_Tema não encontrado"))</f>
        <v>Qualidade do produto e custo da não-qualidade</v>
      </c>
      <c r="H29" s="43">
        <v>5</v>
      </c>
      <c r="I29" s="35" t="s">
        <v>1057</v>
      </c>
      <c r="J29" s="35" t="s">
        <v>1117</v>
      </c>
      <c r="K29" s="35" t="s">
        <v>693</v>
      </c>
    </row>
    <row r="30" spans="1:11" ht="30" customHeight="1" x14ac:dyDescent="0.3">
      <c r="A30" s="35" t="s">
        <v>1118</v>
      </c>
      <c r="B30" s="36">
        <v>46198</v>
      </c>
      <c r="C30" s="35" t="s">
        <v>1111</v>
      </c>
      <c r="D30" s="35" t="s">
        <v>1112</v>
      </c>
      <c r="E30" s="43">
        <v>3</v>
      </c>
      <c r="F30" s="35" t="s">
        <v>361</v>
      </c>
      <c r="G30" s="39" t="str">
        <f>IF(F30="","",IFERROR(INDEX(Temas!$E$5:$E$40,MATCH(F30,Temas!$A$5:$A$40,0)),"ID_Tema não encontrado"))</f>
        <v>Dados industriais e cibersegurança</v>
      </c>
      <c r="H30" s="43">
        <v>4</v>
      </c>
      <c r="I30" s="35" t="s">
        <v>1060</v>
      </c>
      <c r="J30" s="35" t="s">
        <v>1119</v>
      </c>
      <c r="K30" s="35" t="s">
        <v>693</v>
      </c>
    </row>
    <row r="31" spans="1:11" ht="30" customHeight="1" x14ac:dyDescent="0.3">
      <c r="A31" s="35" t="s">
        <v>1120</v>
      </c>
      <c r="B31" s="36">
        <v>46198</v>
      </c>
      <c r="C31" s="35" t="s">
        <v>1111</v>
      </c>
      <c r="D31" s="35" t="s">
        <v>1112</v>
      </c>
      <c r="E31" s="43">
        <v>3</v>
      </c>
      <c r="F31" s="35" t="s">
        <v>188</v>
      </c>
      <c r="G31" s="39" t="str">
        <f>IF(F31="","",IFERROR(INDEX(Temas!$E$5:$E$40,MATCH(F31,Temas!$A$5:$A$40,0)),"ID_Tema não encontrado"))</f>
        <v>Emissões de GEE (âmbitos 1, 2 e 3)</v>
      </c>
      <c r="H31" s="43">
        <v>4</v>
      </c>
      <c r="I31" s="35" t="s">
        <v>1060</v>
      </c>
      <c r="J31" s="35" t="s">
        <v>1121</v>
      </c>
      <c r="K31" s="35" t="s">
        <v>693</v>
      </c>
    </row>
    <row r="32" spans="1:11" ht="30" customHeight="1" x14ac:dyDescent="0.3">
      <c r="A32" s="35" t="s">
        <v>1122</v>
      </c>
      <c r="B32" s="36">
        <v>46157</v>
      </c>
      <c r="C32" s="35" t="s">
        <v>1123</v>
      </c>
      <c r="D32" s="35" t="s">
        <v>1086</v>
      </c>
      <c r="E32" s="43">
        <v>2</v>
      </c>
      <c r="F32" s="35" t="s">
        <v>273</v>
      </c>
      <c r="G32" s="39" t="str">
        <f>IF(F32="","",IFERROR(INDEX(Temas!$E$5:$E$40,MATCH(F32,Temas!$A$5:$A$40,0)),"ID_Tema não encontrado"))</f>
        <v>Resíduos da produção</v>
      </c>
      <c r="H32" s="43">
        <v>3</v>
      </c>
      <c r="I32" s="35" t="s">
        <v>1060</v>
      </c>
      <c r="J32" s="35" t="s">
        <v>1124</v>
      </c>
      <c r="K32" s="35" t="s">
        <v>693</v>
      </c>
    </row>
    <row r="33" spans="1:11" ht="30" customHeight="1" x14ac:dyDescent="0.3">
      <c r="A33" s="35" t="s">
        <v>1125</v>
      </c>
      <c r="B33" s="36">
        <v>46157</v>
      </c>
      <c r="C33" s="35" t="s">
        <v>1123</v>
      </c>
      <c r="D33" s="35" t="s">
        <v>1086</v>
      </c>
      <c r="E33" s="43">
        <v>2</v>
      </c>
      <c r="F33" s="35" t="s">
        <v>266</v>
      </c>
      <c r="G33" s="39" t="str">
        <f>IF(F33="","",IFERROR(INDEX(Temas!$E$5:$E$40,MATCH(F33,Temas!$A$5:$A$40,0)),"ID_Tema não encontrado"))</f>
        <v>Reciclabilidade e conformidade PPWR das embalagens</v>
      </c>
      <c r="H33" s="43">
        <v>4</v>
      </c>
      <c r="I33" s="35" t="s">
        <v>1060</v>
      </c>
      <c r="J33" s="35" t="s">
        <v>1126</v>
      </c>
      <c r="K33" s="35" t="s">
        <v>693</v>
      </c>
    </row>
    <row r="34" spans="1:11" ht="30" customHeight="1" x14ac:dyDescent="0.3">
      <c r="A34" s="35" t="s">
        <v>1127</v>
      </c>
      <c r="B34" s="36">
        <v>46178</v>
      </c>
      <c r="C34" s="35" t="s">
        <v>1128</v>
      </c>
      <c r="D34" s="35" t="s">
        <v>1112</v>
      </c>
      <c r="E34" s="43">
        <v>2</v>
      </c>
      <c r="F34" s="35" t="s">
        <v>206</v>
      </c>
      <c r="G34" s="39" t="str">
        <f>IF(F34="","",IFERROR(INDEX(Temas!$E$5:$E$40,MATCH(F34,Temas!$A$5:$A$40,0)),"ID_Tema não encontrado"))</f>
        <v>Resiliência a ondas de calor, seca e incêndio</v>
      </c>
      <c r="H34" s="43">
        <v>4</v>
      </c>
      <c r="I34" s="35" t="s">
        <v>1060</v>
      </c>
      <c r="J34" s="35" t="s">
        <v>1129</v>
      </c>
      <c r="K34" s="35" t="s">
        <v>693</v>
      </c>
    </row>
    <row r="35" spans="1:11" ht="30" customHeight="1" x14ac:dyDescent="0.3">
      <c r="A35" s="35" t="s">
        <v>1130</v>
      </c>
      <c r="B35" s="36">
        <v>46178</v>
      </c>
      <c r="C35" s="35" t="s">
        <v>1128</v>
      </c>
      <c r="D35" s="35" t="s">
        <v>1112</v>
      </c>
      <c r="E35" s="43">
        <v>2</v>
      </c>
      <c r="F35" s="35" t="s">
        <v>198</v>
      </c>
      <c r="G35" s="39" t="str">
        <f>IF(F35="","",IFERROR(INDEX(Temas!$E$5:$E$40,MATCH(F35,Temas!$A$5:$A$40,0)),"ID_Tema não encontrado"))</f>
        <v>Consumo e eficiência energética</v>
      </c>
      <c r="H35" s="43">
        <v>4</v>
      </c>
      <c r="I35" s="35" t="s">
        <v>1060</v>
      </c>
      <c r="J35" s="35" t="s">
        <v>1131</v>
      </c>
      <c r="K35" s="35" t="s">
        <v>693</v>
      </c>
    </row>
    <row r="36" spans="1:11" ht="30" customHeight="1" x14ac:dyDescent="0.3">
      <c r="A36" s="35" t="s">
        <v>1132</v>
      </c>
      <c r="B36" s="36">
        <v>46178</v>
      </c>
      <c r="C36" s="35" t="s">
        <v>1128</v>
      </c>
      <c r="D36" s="35" t="s">
        <v>1112</v>
      </c>
      <c r="E36" s="43">
        <v>2</v>
      </c>
      <c r="F36" s="35" t="s">
        <v>221</v>
      </c>
      <c r="G36" s="39" t="str">
        <f>IF(F36="","",IFERROR(INDEX(Temas!$E$5:$E$40,MATCH(F36,Temas!$A$5:$A$40,0)),"ID_Tema não encontrado"))</f>
        <v>Derrames e descargas</v>
      </c>
      <c r="H36" s="43">
        <v>3</v>
      </c>
      <c r="I36" s="35" t="s">
        <v>1060</v>
      </c>
      <c r="J36" s="35" t="s">
        <v>1133</v>
      </c>
      <c r="K36" s="35" t="s">
        <v>693</v>
      </c>
    </row>
    <row r="37" spans="1:11" ht="30" customHeight="1" x14ac:dyDescent="0.3">
      <c r="A37" s="35"/>
      <c r="B37" s="36"/>
      <c r="C37" s="35"/>
      <c r="D37" s="35"/>
      <c r="E37" s="43"/>
      <c r="F37" s="35"/>
      <c r="G37" s="39" t="str">
        <f>IF(F37="","",IFERROR(INDEX(Temas!$E$5:$E$40,MATCH(F37,Temas!$A$5:$A$40,0)),"ID_Tema não encontrado"))</f>
        <v/>
      </c>
      <c r="H37" s="43"/>
      <c r="I37" s="35"/>
      <c r="J37" s="35"/>
      <c r="K37" s="35"/>
    </row>
    <row r="38" spans="1:11" ht="30" customHeight="1" x14ac:dyDescent="0.3">
      <c r="A38" s="35"/>
      <c r="B38" s="36"/>
      <c r="C38" s="35"/>
      <c r="D38" s="35"/>
      <c r="E38" s="43"/>
      <c r="F38" s="35"/>
      <c r="G38" s="39" t="str">
        <f>IF(F38="","",IFERROR(INDEX(Temas!$E$5:$E$40,MATCH(F38,Temas!$A$5:$A$40,0)),"ID_Tema não encontrado"))</f>
        <v/>
      </c>
      <c r="H38" s="43"/>
      <c r="I38" s="35"/>
      <c r="J38" s="35"/>
      <c r="K38" s="35"/>
    </row>
    <row r="39" spans="1:11" ht="30" customHeight="1" x14ac:dyDescent="0.3">
      <c r="A39" s="35"/>
      <c r="B39" s="36"/>
      <c r="C39" s="35"/>
      <c r="D39" s="35"/>
      <c r="E39" s="43"/>
      <c r="F39" s="35"/>
      <c r="G39" s="39" t="str">
        <f>IF(F39="","",IFERROR(INDEX(Temas!$E$5:$E$40,MATCH(F39,Temas!$A$5:$A$40,0)),"ID_Tema não encontrado"))</f>
        <v/>
      </c>
      <c r="H39" s="43"/>
      <c r="I39" s="35"/>
      <c r="J39" s="35"/>
      <c r="K39" s="35"/>
    </row>
    <row r="40" spans="1:11" ht="30" customHeight="1" x14ac:dyDescent="0.3">
      <c r="A40" s="35"/>
      <c r="B40" s="36"/>
      <c r="C40" s="35"/>
      <c r="D40" s="35"/>
      <c r="E40" s="43"/>
      <c r="F40" s="35"/>
      <c r="G40" s="39" t="str">
        <f>IF(F40="","",IFERROR(INDEX(Temas!$E$5:$E$40,MATCH(F40,Temas!$A$5:$A$40,0)),"ID_Tema não encontrado"))</f>
        <v/>
      </c>
      <c r="H40" s="43"/>
      <c r="I40" s="35"/>
      <c r="J40" s="35"/>
      <c r="K40" s="35"/>
    </row>
    <row r="41" spans="1:11" ht="30" customHeight="1" x14ac:dyDescent="0.3">
      <c r="A41" s="35"/>
      <c r="B41" s="36"/>
      <c r="C41" s="35"/>
      <c r="D41" s="35"/>
      <c r="E41" s="43"/>
      <c r="F41" s="35"/>
      <c r="G41" s="39" t="str">
        <f>IF(F41="","",IFERROR(INDEX(Temas!$E$5:$E$40,MATCH(F41,Temas!$A$5:$A$40,0)),"ID_Tema não encontrado"))</f>
        <v/>
      </c>
      <c r="H41" s="43"/>
      <c r="I41" s="35"/>
      <c r="J41" s="35"/>
      <c r="K41" s="35"/>
    </row>
    <row r="42" spans="1:11" ht="30" customHeight="1" x14ac:dyDescent="0.3">
      <c r="A42" s="35"/>
      <c r="B42" s="36"/>
      <c r="C42" s="35"/>
      <c r="D42" s="35"/>
      <c r="E42" s="43"/>
      <c r="F42" s="35"/>
      <c r="G42" s="39" t="str">
        <f>IF(F42="","",IFERROR(INDEX(Temas!$E$5:$E$40,MATCH(F42,Temas!$A$5:$A$40,0)),"ID_Tema não encontrado"))</f>
        <v/>
      </c>
      <c r="H42" s="43"/>
      <c r="I42" s="35"/>
      <c r="J42" s="35"/>
      <c r="K42" s="35"/>
    </row>
    <row r="43" spans="1:11" ht="30" customHeight="1" x14ac:dyDescent="0.3">
      <c r="A43" s="35"/>
      <c r="B43" s="36"/>
      <c r="C43" s="35"/>
      <c r="D43" s="35"/>
      <c r="E43" s="43"/>
      <c r="F43" s="35"/>
      <c r="G43" s="39" t="str">
        <f>IF(F43="","",IFERROR(INDEX(Temas!$E$5:$E$40,MATCH(F43,Temas!$A$5:$A$40,0)),"ID_Tema não encontrado"))</f>
        <v/>
      </c>
      <c r="H43" s="43"/>
      <c r="I43" s="35"/>
      <c r="J43" s="35"/>
      <c r="K43" s="35"/>
    </row>
    <row r="44" spans="1:11" ht="30" customHeight="1" x14ac:dyDescent="0.3">
      <c r="A44" s="35"/>
      <c r="B44" s="36"/>
      <c r="C44" s="35"/>
      <c r="D44" s="35"/>
      <c r="E44" s="43"/>
      <c r="F44" s="35"/>
      <c r="G44" s="39" t="str">
        <f>IF(F44="","",IFERROR(INDEX(Temas!$E$5:$E$40,MATCH(F44,Temas!$A$5:$A$40,0)),"ID_Tema não encontrado"))</f>
        <v/>
      </c>
      <c r="H44" s="43"/>
      <c r="I44" s="35"/>
      <c r="J44" s="35"/>
      <c r="K44" s="35"/>
    </row>
    <row r="45" spans="1:11" ht="30" customHeight="1" x14ac:dyDescent="0.3">
      <c r="A45" s="35"/>
      <c r="B45" s="36"/>
      <c r="C45" s="35"/>
      <c r="D45" s="35"/>
      <c r="E45" s="43"/>
      <c r="F45" s="35"/>
      <c r="G45" s="39" t="str">
        <f>IF(F45="","",IFERROR(INDEX(Temas!$E$5:$E$40,MATCH(F45,Temas!$A$5:$A$40,0)),"ID_Tema não encontrado"))</f>
        <v/>
      </c>
      <c r="H45" s="43"/>
      <c r="I45" s="35"/>
      <c r="J45" s="35"/>
      <c r="K45" s="35"/>
    </row>
    <row r="46" spans="1:11" ht="30" customHeight="1" x14ac:dyDescent="0.3">
      <c r="A46" s="35"/>
      <c r="B46" s="36"/>
      <c r="C46" s="35"/>
      <c r="D46" s="35"/>
      <c r="E46" s="43"/>
      <c r="F46" s="35"/>
      <c r="G46" s="39" t="str">
        <f>IF(F46="","",IFERROR(INDEX(Temas!$E$5:$E$40,MATCH(F46,Temas!$A$5:$A$40,0)),"ID_Tema não encontrado"))</f>
        <v/>
      </c>
      <c r="H46" s="43"/>
      <c r="I46" s="35"/>
      <c r="J46" s="35"/>
      <c r="K46" s="35"/>
    </row>
    <row r="47" spans="1:11" ht="30" customHeight="1" x14ac:dyDescent="0.3">
      <c r="A47" s="35"/>
      <c r="B47" s="36"/>
      <c r="C47" s="35"/>
      <c r="D47" s="35"/>
      <c r="E47" s="43"/>
      <c r="F47" s="35"/>
      <c r="G47" s="39" t="str">
        <f>IF(F47="","",IFERROR(INDEX(Temas!$E$5:$E$40,MATCH(F47,Temas!$A$5:$A$40,0)),"ID_Tema não encontrado"))</f>
        <v/>
      </c>
      <c r="H47" s="43"/>
      <c r="I47" s="35"/>
      <c r="J47" s="35"/>
      <c r="K47" s="35"/>
    </row>
    <row r="48" spans="1:11" ht="30" customHeight="1" x14ac:dyDescent="0.3">
      <c r="A48" s="35"/>
      <c r="B48" s="36"/>
      <c r="C48" s="35"/>
      <c r="D48" s="35"/>
      <c r="E48" s="43"/>
      <c r="F48" s="35"/>
      <c r="G48" s="39" t="str">
        <f>IF(F48="","",IFERROR(INDEX(Temas!$E$5:$E$40,MATCH(F48,Temas!$A$5:$A$40,0)),"ID_Tema não encontrado"))</f>
        <v/>
      </c>
      <c r="H48" s="43"/>
      <c r="I48" s="35"/>
      <c r="J48" s="35"/>
      <c r="K48" s="35"/>
    </row>
    <row r="49" spans="1:11" ht="30" customHeight="1" x14ac:dyDescent="0.3">
      <c r="A49" s="35"/>
      <c r="B49" s="36"/>
      <c r="C49" s="35"/>
      <c r="D49" s="35"/>
      <c r="E49" s="43"/>
      <c r="F49" s="35"/>
      <c r="G49" s="39" t="str">
        <f>IF(F49="","",IFERROR(INDEX(Temas!$E$5:$E$40,MATCH(F49,Temas!$A$5:$A$40,0)),"ID_Tema não encontrado"))</f>
        <v/>
      </c>
      <c r="H49" s="43"/>
      <c r="I49" s="35"/>
      <c r="J49" s="35"/>
      <c r="K49" s="35"/>
    </row>
    <row r="50" spans="1:11" ht="30" customHeight="1" x14ac:dyDescent="0.3">
      <c r="A50" s="35"/>
      <c r="B50" s="36"/>
      <c r="C50" s="35"/>
      <c r="D50" s="35"/>
      <c r="E50" s="43"/>
      <c r="F50" s="35"/>
      <c r="G50" s="39" t="str">
        <f>IF(F50="","",IFERROR(INDEX(Temas!$E$5:$E$40,MATCH(F50,Temas!$A$5:$A$40,0)),"ID_Tema não encontrado"))</f>
        <v/>
      </c>
      <c r="H50" s="43"/>
      <c r="I50" s="35"/>
      <c r="J50" s="35"/>
      <c r="K50" s="35"/>
    </row>
    <row r="51" spans="1:11" ht="30" customHeight="1" x14ac:dyDescent="0.3">
      <c r="A51" s="35"/>
      <c r="B51" s="36"/>
      <c r="C51" s="35"/>
      <c r="D51" s="35"/>
      <c r="E51" s="43"/>
      <c r="F51" s="35"/>
      <c r="G51" s="39" t="str">
        <f>IF(F51="","",IFERROR(INDEX(Temas!$E$5:$E$40,MATCH(F51,Temas!$A$5:$A$40,0)),"ID_Tema não encontrado"))</f>
        <v/>
      </c>
      <c r="H51" s="43"/>
      <c r="I51" s="35"/>
      <c r="J51" s="35"/>
      <c r="K51" s="35"/>
    </row>
    <row r="52" spans="1:11" ht="30" customHeight="1" x14ac:dyDescent="0.3">
      <c r="A52" s="35"/>
      <c r="B52" s="36"/>
      <c r="C52" s="35"/>
      <c r="D52" s="35"/>
      <c r="E52" s="43"/>
      <c r="F52" s="35"/>
      <c r="G52" s="39" t="str">
        <f>IF(F52="","",IFERROR(INDEX(Temas!$E$5:$E$40,MATCH(F52,Temas!$A$5:$A$40,0)),"ID_Tema não encontrado"))</f>
        <v/>
      </c>
      <c r="H52" s="43"/>
      <c r="I52" s="35"/>
      <c r="J52" s="35"/>
      <c r="K52" s="35"/>
    </row>
    <row r="53" spans="1:11" ht="30" customHeight="1" x14ac:dyDescent="0.3">
      <c r="A53" s="35"/>
      <c r="B53" s="36"/>
      <c r="C53" s="35"/>
      <c r="D53" s="35"/>
      <c r="E53" s="43"/>
      <c r="F53" s="35"/>
      <c r="G53" s="39" t="str">
        <f>IF(F53="","",IFERROR(INDEX(Temas!$E$5:$E$40,MATCH(F53,Temas!$A$5:$A$40,0)),"ID_Tema não encontrado"))</f>
        <v/>
      </c>
      <c r="H53" s="43"/>
      <c r="I53" s="35"/>
      <c r="J53" s="35"/>
      <c r="K53" s="35"/>
    </row>
    <row r="54" spans="1:11" ht="30" customHeight="1" x14ac:dyDescent="0.3">
      <c r="A54" s="35"/>
      <c r="B54" s="36"/>
      <c r="C54" s="35"/>
      <c r="D54" s="35"/>
      <c r="E54" s="43"/>
      <c r="F54" s="35"/>
      <c r="G54" s="39" t="str">
        <f>IF(F54="","",IFERROR(INDEX(Temas!$E$5:$E$40,MATCH(F54,Temas!$A$5:$A$40,0)),"ID_Tema não encontrado"))</f>
        <v/>
      </c>
      <c r="H54" s="43"/>
      <c r="I54" s="35"/>
      <c r="J54" s="35"/>
      <c r="K54" s="35"/>
    </row>
    <row r="55" spans="1:11" ht="30" customHeight="1" x14ac:dyDescent="0.3">
      <c r="A55" s="35"/>
      <c r="B55" s="36"/>
      <c r="C55" s="35"/>
      <c r="D55" s="35"/>
      <c r="E55" s="43"/>
      <c r="F55" s="35"/>
      <c r="G55" s="39" t="str">
        <f>IF(F55="","",IFERROR(INDEX(Temas!$E$5:$E$40,MATCH(F55,Temas!$A$5:$A$40,0)),"ID_Tema não encontrado"))</f>
        <v/>
      </c>
      <c r="H55" s="43"/>
      <c r="I55" s="35"/>
      <c r="J55" s="35"/>
      <c r="K55" s="35"/>
    </row>
    <row r="56" spans="1:11" ht="30" customHeight="1" x14ac:dyDescent="0.3">
      <c r="A56" s="35"/>
      <c r="B56" s="36"/>
      <c r="C56" s="35"/>
      <c r="D56" s="35"/>
      <c r="E56" s="43"/>
      <c r="F56" s="35"/>
      <c r="G56" s="39" t="str">
        <f>IF(F56="","",IFERROR(INDEX(Temas!$E$5:$E$40,MATCH(F56,Temas!$A$5:$A$40,0)),"ID_Tema não encontrado"))</f>
        <v/>
      </c>
      <c r="H56" s="43"/>
      <c r="I56" s="35"/>
      <c r="J56" s="35"/>
      <c r="K56" s="35"/>
    </row>
    <row r="57" spans="1:11" ht="30" customHeight="1" x14ac:dyDescent="0.3">
      <c r="A57" s="35"/>
      <c r="B57" s="36"/>
      <c r="C57" s="35"/>
      <c r="D57" s="35"/>
      <c r="E57" s="43"/>
      <c r="F57" s="35"/>
      <c r="G57" s="39" t="str">
        <f>IF(F57="","",IFERROR(INDEX(Temas!$E$5:$E$40,MATCH(F57,Temas!$A$5:$A$40,0)),"ID_Tema não encontrado"))</f>
        <v/>
      </c>
      <c r="H57" s="43"/>
      <c r="I57" s="35"/>
      <c r="J57" s="35"/>
      <c r="K57" s="35"/>
    </row>
    <row r="58" spans="1:11" ht="30" customHeight="1" x14ac:dyDescent="0.3">
      <c r="A58" s="35"/>
      <c r="B58" s="36"/>
      <c r="C58" s="35"/>
      <c r="D58" s="35"/>
      <c r="E58" s="43"/>
      <c r="F58" s="35"/>
      <c r="G58" s="39" t="str">
        <f>IF(F58="","",IFERROR(INDEX(Temas!$E$5:$E$40,MATCH(F58,Temas!$A$5:$A$40,0)),"ID_Tema não encontrado"))</f>
        <v/>
      </c>
      <c r="H58" s="43"/>
      <c r="I58" s="35"/>
      <c r="J58" s="35"/>
      <c r="K58" s="35"/>
    </row>
    <row r="59" spans="1:11" ht="30" customHeight="1" x14ac:dyDescent="0.3">
      <c r="A59" s="35"/>
      <c r="B59" s="36"/>
      <c r="C59" s="35"/>
      <c r="D59" s="35"/>
      <c r="E59" s="43"/>
      <c r="F59" s="35"/>
      <c r="G59" s="39" t="str">
        <f>IF(F59="","",IFERROR(INDEX(Temas!$E$5:$E$40,MATCH(F59,Temas!$A$5:$A$40,0)),"ID_Tema não encontrado"))</f>
        <v/>
      </c>
      <c r="H59" s="43"/>
      <c r="I59" s="35"/>
      <c r="J59" s="35"/>
      <c r="K59" s="35"/>
    </row>
    <row r="60" spans="1:11" ht="30" customHeight="1" x14ac:dyDescent="0.3">
      <c r="A60" s="35"/>
      <c r="B60" s="36"/>
      <c r="C60" s="35"/>
      <c r="D60" s="35"/>
      <c r="E60" s="43"/>
      <c r="F60" s="35"/>
      <c r="G60" s="39" t="str">
        <f>IF(F60="","",IFERROR(INDEX(Temas!$E$5:$E$40,MATCH(F60,Temas!$A$5:$A$40,0)),"ID_Tema não encontrado"))</f>
        <v/>
      </c>
      <c r="H60" s="43"/>
      <c r="I60" s="35"/>
      <c r="J60" s="35"/>
      <c r="K60" s="35"/>
    </row>
    <row r="61" spans="1:11" ht="30" customHeight="1" x14ac:dyDescent="0.3">
      <c r="A61" s="35"/>
      <c r="B61" s="36"/>
      <c r="C61" s="35"/>
      <c r="D61" s="35"/>
      <c r="E61" s="43"/>
      <c r="F61" s="35"/>
      <c r="G61" s="39" t="str">
        <f>IF(F61="","",IFERROR(INDEX(Temas!$E$5:$E$40,MATCH(F61,Temas!$A$5:$A$40,0)),"ID_Tema não encontrado"))</f>
        <v/>
      </c>
      <c r="H61" s="43"/>
      <c r="I61" s="35"/>
      <c r="J61" s="35"/>
      <c r="K61" s="35"/>
    </row>
    <row r="62" spans="1:11" ht="30" customHeight="1" x14ac:dyDescent="0.3">
      <c r="A62" s="35"/>
      <c r="B62" s="36"/>
      <c r="C62" s="35"/>
      <c r="D62" s="35"/>
      <c r="E62" s="43"/>
      <c r="F62" s="35"/>
      <c r="G62" s="39" t="str">
        <f>IF(F62="","",IFERROR(INDEX(Temas!$E$5:$E$40,MATCH(F62,Temas!$A$5:$A$40,0)),"ID_Tema não encontrado"))</f>
        <v/>
      </c>
      <c r="H62" s="43"/>
      <c r="I62" s="35"/>
      <c r="J62" s="35"/>
      <c r="K62" s="35"/>
    </row>
    <row r="63" spans="1:11" ht="30" customHeight="1" x14ac:dyDescent="0.3">
      <c r="A63" s="35"/>
      <c r="B63" s="36"/>
      <c r="C63" s="35"/>
      <c r="D63" s="35"/>
      <c r="E63" s="43"/>
      <c r="F63" s="35"/>
      <c r="G63" s="39" t="str">
        <f>IF(F63="","",IFERROR(INDEX(Temas!$E$5:$E$40,MATCH(F63,Temas!$A$5:$A$40,0)),"ID_Tema não encontrado"))</f>
        <v/>
      </c>
      <c r="H63" s="43"/>
      <c r="I63" s="35"/>
      <c r="J63" s="35"/>
      <c r="K63" s="35"/>
    </row>
    <row r="64" spans="1:11" ht="30" customHeight="1" x14ac:dyDescent="0.3">
      <c r="A64" s="35"/>
      <c r="B64" s="36"/>
      <c r="C64" s="35"/>
      <c r="D64" s="35"/>
      <c r="E64" s="43"/>
      <c r="F64" s="35"/>
      <c r="G64" s="39" t="str">
        <f>IF(F64="","",IFERROR(INDEX(Temas!$E$5:$E$40,MATCH(F64,Temas!$A$5:$A$40,0)),"ID_Tema não encontrado"))</f>
        <v/>
      </c>
      <c r="H64" s="43"/>
      <c r="I64" s="35"/>
      <c r="J64" s="35"/>
      <c r="K64" s="35"/>
    </row>
    <row r="65" spans="1:11" ht="30" customHeight="1" x14ac:dyDescent="0.3">
      <c r="A65" s="35"/>
      <c r="B65" s="36"/>
      <c r="C65" s="35"/>
      <c r="D65" s="35"/>
      <c r="E65" s="43"/>
      <c r="F65" s="35"/>
      <c r="G65" s="39" t="str">
        <f>IF(F65="","",IFERROR(INDEX(Temas!$E$5:$E$40,MATCH(F65,Temas!$A$5:$A$40,0)),"ID_Tema não encontrado"))</f>
        <v/>
      </c>
      <c r="H65" s="43"/>
      <c r="I65" s="35"/>
      <c r="J65" s="35"/>
      <c r="K65" s="35"/>
    </row>
    <row r="66" spans="1:11" ht="30" customHeight="1" x14ac:dyDescent="0.3">
      <c r="A66" s="35"/>
      <c r="B66" s="36"/>
      <c r="C66" s="35"/>
      <c r="D66" s="35"/>
      <c r="E66" s="43"/>
      <c r="F66" s="35"/>
      <c r="G66" s="39" t="str">
        <f>IF(F66="","",IFERROR(INDEX(Temas!$E$5:$E$40,MATCH(F66,Temas!$A$5:$A$40,0)),"ID_Tema não encontrado"))</f>
        <v/>
      </c>
      <c r="H66" s="43"/>
      <c r="I66" s="35"/>
      <c r="J66" s="35"/>
      <c r="K66" s="35"/>
    </row>
    <row r="67" spans="1:11" ht="30" customHeight="1" x14ac:dyDescent="0.3">
      <c r="A67" s="35"/>
      <c r="B67" s="36"/>
      <c r="C67" s="35"/>
      <c r="D67" s="35"/>
      <c r="E67" s="43"/>
      <c r="F67" s="35"/>
      <c r="G67" s="39" t="str">
        <f>IF(F67="","",IFERROR(INDEX(Temas!$E$5:$E$40,MATCH(F67,Temas!$A$5:$A$40,0)),"ID_Tema não encontrado"))</f>
        <v/>
      </c>
      <c r="H67" s="43"/>
      <c r="I67" s="35"/>
      <c r="J67" s="35"/>
      <c r="K67" s="35"/>
    </row>
    <row r="68" spans="1:11" ht="30" customHeight="1" x14ac:dyDescent="0.3">
      <c r="A68" s="35"/>
      <c r="B68" s="36"/>
      <c r="C68" s="35"/>
      <c r="D68" s="35"/>
      <c r="E68" s="43"/>
      <c r="F68" s="35"/>
      <c r="G68" s="39" t="str">
        <f>IF(F68="","",IFERROR(INDEX(Temas!$E$5:$E$40,MATCH(F68,Temas!$A$5:$A$40,0)),"ID_Tema não encontrado"))</f>
        <v/>
      </c>
      <c r="H68" s="43"/>
      <c r="I68" s="35"/>
      <c r="J68" s="35"/>
      <c r="K68" s="35"/>
    </row>
    <row r="69" spans="1:11" ht="30" customHeight="1" x14ac:dyDescent="0.3">
      <c r="A69" s="35"/>
      <c r="B69" s="36"/>
      <c r="C69" s="35"/>
      <c r="D69" s="35"/>
      <c r="E69" s="43"/>
      <c r="F69" s="35"/>
      <c r="G69" s="39" t="str">
        <f>IF(F69="","",IFERROR(INDEX(Temas!$E$5:$E$40,MATCH(F69,Temas!$A$5:$A$40,0)),"ID_Tema não encontrado"))</f>
        <v/>
      </c>
      <c r="H69" s="43"/>
      <c r="I69" s="35"/>
      <c r="J69" s="35"/>
      <c r="K69" s="35"/>
    </row>
    <row r="70" spans="1:11" ht="30" customHeight="1" x14ac:dyDescent="0.3">
      <c r="A70" s="35"/>
      <c r="B70" s="36"/>
      <c r="C70" s="35"/>
      <c r="D70" s="35"/>
      <c r="E70" s="43"/>
      <c r="F70" s="35"/>
      <c r="G70" s="39" t="str">
        <f>IF(F70="","",IFERROR(INDEX(Temas!$E$5:$E$40,MATCH(F70,Temas!$A$5:$A$40,0)),"ID_Tema não encontrado"))</f>
        <v/>
      </c>
      <c r="H70" s="43"/>
      <c r="I70" s="35"/>
      <c r="J70" s="35"/>
      <c r="K70" s="35"/>
    </row>
    <row r="71" spans="1:11" ht="30" customHeight="1" x14ac:dyDescent="0.3">
      <c r="A71" s="35"/>
      <c r="B71" s="36"/>
      <c r="C71" s="35"/>
      <c r="D71" s="35"/>
      <c r="E71" s="43"/>
      <c r="F71" s="35"/>
      <c r="G71" s="39" t="str">
        <f>IF(F71="","",IFERROR(INDEX(Temas!$E$5:$E$40,MATCH(F71,Temas!$A$5:$A$40,0)),"ID_Tema não encontrado"))</f>
        <v/>
      </c>
      <c r="H71" s="43"/>
      <c r="I71" s="35"/>
      <c r="J71" s="35"/>
      <c r="K71" s="35"/>
    </row>
    <row r="72" spans="1:11" ht="30" customHeight="1" x14ac:dyDescent="0.3">
      <c r="A72" s="35"/>
      <c r="B72" s="36"/>
      <c r="C72" s="35"/>
      <c r="D72" s="35"/>
      <c r="E72" s="43"/>
      <c r="F72" s="35"/>
      <c r="G72" s="39" t="str">
        <f>IF(F72="","",IFERROR(INDEX(Temas!$E$5:$E$40,MATCH(F72,Temas!$A$5:$A$40,0)),"ID_Tema não encontrado"))</f>
        <v/>
      </c>
      <c r="H72" s="43"/>
      <c r="I72" s="35"/>
      <c r="J72" s="35"/>
      <c r="K72" s="35"/>
    </row>
    <row r="73" spans="1:11" ht="30" customHeight="1" x14ac:dyDescent="0.3">
      <c r="A73" s="35"/>
      <c r="B73" s="36"/>
      <c r="C73" s="35"/>
      <c r="D73" s="35"/>
      <c r="E73" s="43"/>
      <c r="F73" s="35"/>
      <c r="G73" s="39" t="str">
        <f>IF(F73="","",IFERROR(INDEX(Temas!$E$5:$E$40,MATCH(F73,Temas!$A$5:$A$40,0)),"ID_Tema não encontrado"))</f>
        <v/>
      </c>
      <c r="H73" s="43"/>
      <c r="I73" s="35"/>
      <c r="J73" s="35"/>
      <c r="K73" s="35"/>
    </row>
    <row r="74" spans="1:11" ht="30" customHeight="1" x14ac:dyDescent="0.3">
      <c r="A74" s="35"/>
      <c r="B74" s="36"/>
      <c r="C74" s="35"/>
      <c r="D74" s="35"/>
      <c r="E74" s="43"/>
      <c r="F74" s="35"/>
      <c r="G74" s="39" t="str">
        <f>IF(F74="","",IFERROR(INDEX(Temas!$E$5:$E$40,MATCH(F74,Temas!$A$5:$A$40,0)),"ID_Tema não encontrado"))</f>
        <v/>
      </c>
      <c r="H74" s="43"/>
      <c r="I74" s="35"/>
      <c r="J74" s="35"/>
      <c r="K74" s="35"/>
    </row>
    <row r="75" spans="1:11" ht="30" customHeight="1" x14ac:dyDescent="0.3">
      <c r="A75" s="35"/>
      <c r="B75" s="36"/>
      <c r="C75" s="35"/>
      <c r="D75" s="35"/>
      <c r="E75" s="43"/>
      <c r="F75" s="35"/>
      <c r="G75" s="39" t="str">
        <f>IF(F75="","",IFERROR(INDEX(Temas!$E$5:$E$40,MATCH(F75,Temas!$A$5:$A$40,0)),"ID_Tema não encontrado"))</f>
        <v/>
      </c>
      <c r="H75" s="43"/>
      <c r="I75" s="35"/>
      <c r="J75" s="35"/>
      <c r="K75" s="35"/>
    </row>
    <row r="76" spans="1:11" ht="30" customHeight="1" x14ac:dyDescent="0.3">
      <c r="A76" s="35"/>
      <c r="B76" s="36"/>
      <c r="C76" s="35"/>
      <c r="D76" s="35"/>
      <c r="E76" s="43"/>
      <c r="F76" s="35"/>
      <c r="G76" s="39" t="str">
        <f>IF(F76="","",IFERROR(INDEX(Temas!$E$5:$E$40,MATCH(F76,Temas!$A$5:$A$40,0)),"ID_Tema não encontrado"))</f>
        <v/>
      </c>
      <c r="H76" s="43"/>
      <c r="I76" s="35"/>
      <c r="J76" s="35"/>
      <c r="K76" s="35"/>
    </row>
  </sheetData>
  <conditionalFormatting sqref="I5:I276">
    <cfRule type="expression" dxfId="0" priority="1">
      <formula>ISNUMBER(SEARCH("Evidência",I5))</formula>
    </cfRule>
  </conditionalFormatting>
  <dataValidations count="5">
    <dataValidation type="list" allowBlank="1" showErrorMessage="1" errorTitle="Valor inválido" error="Valor fora da lista controlada (ver folha Listas)." sqref="C5:C276" xr:uid="{00000000-0002-0000-0500-000000000000}">
      <formula1>lst_Parte</formula1>
    </dataValidation>
    <dataValidation type="list" allowBlank="1" showErrorMessage="1" errorTitle="Valor inválido" error="Valor fora da lista controlada (ver folha Listas)." sqref="D5:D276" xr:uid="{00000000-0002-0000-0500-000001000000}">
      <formula1>lst_Metodo</formula1>
    </dataValidation>
    <dataValidation type="list" allowBlank="1" showErrorMessage="1" errorTitle="Valor inválido" error="Valor fora da lista controlada (ver folha Listas)." sqref="H5:H276" xr:uid="{00000000-0002-0000-0500-000002000000}">
      <formula1>lst_Escala</formula1>
    </dataValidation>
    <dataValidation type="list" allowBlank="1" showErrorMessage="1" errorTitle="Valor inválido" error="Valor fora da lista controlada (ver folha Listas)." sqref="I5:I276" xr:uid="{00000000-0002-0000-0500-000003000000}">
      <formula1>lst_TipoContributo</formula1>
    </dataValidation>
    <dataValidation type="list" allowBlank="1" showErrorMessage="1" errorTitle="Valor inválido" error="Valor fora da lista controlada (ver folha Listas)." sqref="K5:K276" xr:uid="{00000000-0002-0000-0500-000004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4" customWidth="1"/>
    <col min="2" max="2" width="16" customWidth="1"/>
    <col min="3" max="3" width="40" customWidth="1"/>
    <col min="4" max="4" width="60" customWidth="1"/>
    <col min="5" max="5" width="40" customWidth="1"/>
    <col min="6" max="6" width="27" customWidth="1"/>
    <col min="7" max="7" width="24" customWidth="1"/>
    <col min="8" max="9" width="16" customWidth="1"/>
    <col min="10" max="10" width="37" customWidth="1"/>
    <col min="11" max="12" width="16" customWidth="1"/>
    <col min="13" max="13" width="27" customWidth="1"/>
    <col min="14" max="14" width="20" customWidth="1"/>
    <col min="15" max="15" width="34" customWidth="1"/>
    <col min="16" max="16" width="22" customWidth="1"/>
    <col min="17" max="17" width="20" customWidth="1"/>
    <col min="18" max="18" width="48" customWidth="1"/>
    <col min="19" max="19" width="16" customWidth="1"/>
    <col min="20" max="20" width="40" customWidth="1"/>
    <col min="21" max="21" width="27" customWidth="1"/>
    <col min="22" max="22" width="24" customWidth="1"/>
    <col min="23" max="23" width="18" customWidth="1"/>
  </cols>
  <sheetData>
    <row r="1" spans="1:23" x14ac:dyDescent="0.3">
      <c r="A1" s="47" t="s">
        <v>1134</v>
      </c>
    </row>
    <row r="2" spans="1:23" x14ac:dyDescent="0.3">
      <c r="A2" s="48" t="s">
        <v>1135</v>
      </c>
      <c r="B2" s="48" t="s">
        <v>101</v>
      </c>
      <c r="C2" s="48" t="s">
        <v>1136</v>
      </c>
      <c r="D2" s="48" t="s">
        <v>1137</v>
      </c>
      <c r="E2" s="48" t="s">
        <v>373</v>
      </c>
      <c r="F2" s="48" t="s">
        <v>1138</v>
      </c>
      <c r="G2" s="48" t="s">
        <v>375</v>
      </c>
      <c r="H2" s="48" t="s">
        <v>1139</v>
      </c>
      <c r="I2" s="48" t="s">
        <v>1140</v>
      </c>
      <c r="J2" s="48" t="s">
        <v>1141</v>
      </c>
      <c r="K2" s="48" t="s">
        <v>843</v>
      </c>
      <c r="L2" s="48" t="s">
        <v>1142</v>
      </c>
      <c r="M2" s="48" t="s">
        <v>1143</v>
      </c>
      <c r="N2" s="48" t="s">
        <v>1144</v>
      </c>
      <c r="O2" s="48" t="s">
        <v>1145</v>
      </c>
      <c r="P2" s="48" t="s">
        <v>1048</v>
      </c>
      <c r="Q2" s="48" t="s">
        <v>1146</v>
      </c>
      <c r="R2" s="48" t="s">
        <v>1147</v>
      </c>
      <c r="S2" s="48" t="s">
        <v>1148</v>
      </c>
      <c r="T2" s="48" t="s">
        <v>1149</v>
      </c>
      <c r="U2" s="48" t="s">
        <v>1150</v>
      </c>
      <c r="V2" s="48" t="s">
        <v>1151</v>
      </c>
      <c r="W2" s="48" t="s">
        <v>1152</v>
      </c>
    </row>
    <row r="3" spans="1:23" x14ac:dyDescent="0.3">
      <c r="A3" s="49">
        <v>46387</v>
      </c>
      <c r="B3" s="6" t="s">
        <v>189</v>
      </c>
      <c r="C3" s="6" t="s">
        <v>128</v>
      </c>
      <c r="D3" s="6" t="s">
        <v>414</v>
      </c>
      <c r="E3" s="6" t="s">
        <v>416</v>
      </c>
      <c r="F3" s="6" t="s">
        <v>150</v>
      </c>
      <c r="G3" s="6" t="s">
        <v>146</v>
      </c>
      <c r="H3" s="6" t="s">
        <v>693</v>
      </c>
      <c r="I3" s="6">
        <v>1</v>
      </c>
      <c r="J3" s="6" t="s">
        <v>447</v>
      </c>
      <c r="K3" s="6" t="s">
        <v>194</v>
      </c>
      <c r="L3" s="6" t="s">
        <v>859</v>
      </c>
      <c r="M3" s="6" t="s">
        <v>1153</v>
      </c>
      <c r="N3" s="6" t="s">
        <v>194</v>
      </c>
      <c r="O3" s="6" t="s">
        <v>1055</v>
      </c>
      <c r="P3" s="6" t="s">
        <v>1056</v>
      </c>
      <c r="Q3" s="6" t="s">
        <v>1060</v>
      </c>
      <c r="R3" s="6" t="s">
        <v>345</v>
      </c>
      <c r="S3" s="6" t="s">
        <v>106</v>
      </c>
      <c r="T3" s="6" t="s">
        <v>106</v>
      </c>
      <c r="U3" s="6" t="s">
        <v>106</v>
      </c>
      <c r="V3" s="6" t="s">
        <v>106</v>
      </c>
      <c r="W3" s="6" t="s">
        <v>106</v>
      </c>
    </row>
    <row r="4" spans="1:23" x14ac:dyDescent="0.3">
      <c r="B4" s="6" t="s">
        <v>280</v>
      </c>
      <c r="C4" s="6" t="s">
        <v>129</v>
      </c>
      <c r="D4" s="6" t="s">
        <v>647</v>
      </c>
      <c r="E4" s="6" t="s">
        <v>533</v>
      </c>
      <c r="F4" s="6" t="s">
        <v>151</v>
      </c>
      <c r="G4" s="6" t="s">
        <v>147</v>
      </c>
      <c r="H4" s="6" t="s">
        <v>418</v>
      </c>
      <c r="I4" s="6">
        <v>2</v>
      </c>
      <c r="J4" s="6" t="s">
        <v>467</v>
      </c>
      <c r="K4" s="6" t="s">
        <v>211</v>
      </c>
      <c r="L4" s="6" t="s">
        <v>851</v>
      </c>
      <c r="M4" s="6" t="s">
        <v>427</v>
      </c>
      <c r="N4" s="6" t="s">
        <v>211</v>
      </c>
      <c r="O4" s="6" t="s">
        <v>1071</v>
      </c>
      <c r="P4" s="6" t="s">
        <v>1072</v>
      </c>
      <c r="Q4" s="6" t="s">
        <v>1057</v>
      </c>
      <c r="R4" s="6" t="s">
        <v>204</v>
      </c>
      <c r="S4" s="6" t="s">
        <v>189</v>
      </c>
      <c r="T4" s="6" t="s">
        <v>128</v>
      </c>
      <c r="U4" s="6" t="s">
        <v>150</v>
      </c>
      <c r="V4" s="6" t="s">
        <v>146</v>
      </c>
      <c r="W4" s="6" t="s">
        <v>414</v>
      </c>
    </row>
    <row r="5" spans="1:23" x14ac:dyDescent="0.3">
      <c r="B5" s="6" t="s">
        <v>339</v>
      </c>
      <c r="C5" s="6" t="s">
        <v>130</v>
      </c>
      <c r="D5" s="6" t="s">
        <v>444</v>
      </c>
      <c r="F5" s="6" t="s">
        <v>152</v>
      </c>
      <c r="G5" s="6" t="s">
        <v>148</v>
      </c>
      <c r="I5" s="6">
        <v>3</v>
      </c>
      <c r="J5" s="6" t="s">
        <v>494</v>
      </c>
      <c r="K5" s="6" t="s">
        <v>307</v>
      </c>
      <c r="L5" s="6" t="s">
        <v>866</v>
      </c>
      <c r="M5" s="6" t="s">
        <v>1154</v>
      </c>
      <c r="N5" s="6" t="s">
        <v>307</v>
      </c>
      <c r="O5" s="6" t="s">
        <v>1085</v>
      </c>
      <c r="P5" s="6" t="s">
        <v>1112</v>
      </c>
      <c r="R5" s="6" t="s">
        <v>196</v>
      </c>
      <c r="S5" s="6" t="s">
        <v>280</v>
      </c>
      <c r="T5" s="6" t="s">
        <v>129</v>
      </c>
      <c r="U5" s="6" t="s">
        <v>151</v>
      </c>
      <c r="V5" s="6" t="s">
        <v>147</v>
      </c>
      <c r="W5" s="6" t="s">
        <v>647</v>
      </c>
    </row>
    <row r="6" spans="1:23" x14ac:dyDescent="0.3">
      <c r="C6" s="6" t="s">
        <v>131</v>
      </c>
      <c r="D6" s="6" t="s">
        <v>475</v>
      </c>
      <c r="F6" s="6" t="s">
        <v>153</v>
      </c>
      <c r="I6" s="6">
        <v>4</v>
      </c>
      <c r="J6" s="6" t="s">
        <v>506</v>
      </c>
      <c r="L6" s="6" t="s">
        <v>1008</v>
      </c>
      <c r="O6" s="6" t="s">
        <v>1093</v>
      </c>
      <c r="P6" s="6" t="s">
        <v>1086</v>
      </c>
      <c r="R6" s="6" t="s">
        <v>524</v>
      </c>
      <c r="S6" s="6" t="s">
        <v>339</v>
      </c>
      <c r="T6" s="6" t="s">
        <v>130</v>
      </c>
      <c r="U6" s="6" t="s">
        <v>152</v>
      </c>
      <c r="V6" s="6" t="s">
        <v>148</v>
      </c>
      <c r="W6" s="6" t="s">
        <v>444</v>
      </c>
    </row>
    <row r="7" spans="1:23" x14ac:dyDescent="0.3">
      <c r="C7" s="6" t="s">
        <v>132</v>
      </c>
      <c r="F7" s="6" t="s">
        <v>154</v>
      </c>
      <c r="I7" s="6">
        <v>5</v>
      </c>
      <c r="J7" s="6" t="s">
        <v>528</v>
      </c>
      <c r="O7" s="6" t="s">
        <v>1103</v>
      </c>
      <c r="P7" s="6" t="s">
        <v>1094</v>
      </c>
      <c r="R7" s="6" t="s">
        <v>249</v>
      </c>
      <c r="T7" s="6" t="s">
        <v>131</v>
      </c>
      <c r="U7" s="6" t="s">
        <v>153</v>
      </c>
      <c r="W7" s="6" t="s">
        <v>475</v>
      </c>
    </row>
    <row r="8" spans="1:23" x14ac:dyDescent="0.3">
      <c r="C8" s="6" t="s">
        <v>133</v>
      </c>
      <c r="J8" s="6" t="s">
        <v>1155</v>
      </c>
      <c r="O8" s="6" t="s">
        <v>1111</v>
      </c>
      <c r="P8" s="6" t="s">
        <v>1104</v>
      </c>
      <c r="R8" s="6" t="s">
        <v>329</v>
      </c>
      <c r="T8" s="6" t="s">
        <v>132</v>
      </c>
      <c r="U8" s="6" t="s">
        <v>154</v>
      </c>
    </row>
    <row r="9" spans="1:23" x14ac:dyDescent="0.3">
      <c r="C9" s="6" t="s">
        <v>134</v>
      </c>
      <c r="O9" s="6" t="s">
        <v>1123</v>
      </c>
      <c r="R9" s="6" t="s">
        <v>442</v>
      </c>
      <c r="T9" s="6" t="s">
        <v>133</v>
      </c>
    </row>
    <row r="10" spans="1:23" x14ac:dyDescent="0.3">
      <c r="C10" s="6" t="s">
        <v>135</v>
      </c>
      <c r="O10" s="6" t="s">
        <v>1128</v>
      </c>
      <c r="R10" s="6" t="s">
        <v>264</v>
      </c>
      <c r="T10" s="6" t="s">
        <v>134</v>
      </c>
    </row>
    <row r="11" spans="1:23" x14ac:dyDescent="0.3">
      <c r="C11" s="6" t="s">
        <v>136</v>
      </c>
      <c r="R11" s="6" t="s">
        <v>241</v>
      </c>
      <c r="T11" s="6" t="s">
        <v>135</v>
      </c>
    </row>
    <row r="12" spans="1:23" x14ac:dyDescent="0.3">
      <c r="C12" s="6" t="s">
        <v>137</v>
      </c>
      <c r="R12" s="6" t="s">
        <v>286</v>
      </c>
      <c r="T12" s="6" t="s">
        <v>136</v>
      </c>
    </row>
    <row r="13" spans="1:23" x14ac:dyDescent="0.3">
      <c r="C13" s="6" t="s">
        <v>138</v>
      </c>
      <c r="R13" s="6" t="s">
        <v>473</v>
      </c>
      <c r="T13" s="6" t="s">
        <v>137</v>
      </c>
    </row>
    <row r="14" spans="1:23" x14ac:dyDescent="0.3">
      <c r="R14" s="6" t="s">
        <v>1156</v>
      </c>
      <c r="T14" s="6" t="s">
        <v>138</v>
      </c>
    </row>
    <row r="15" spans="1:23" x14ac:dyDescent="0.3">
      <c r="R15" s="6" t="s">
        <v>1157</v>
      </c>
    </row>
    <row r="16" spans="1:23" x14ac:dyDescent="0.3">
      <c r="R16" s="6" t="s">
        <v>1158</v>
      </c>
    </row>
    <row r="17" spans="1:18" x14ac:dyDescent="0.3">
      <c r="R17" s="6" t="s">
        <v>1159</v>
      </c>
    </row>
    <row r="18" spans="1:18" x14ac:dyDescent="0.3">
      <c r="R18" s="6" t="s">
        <v>1160</v>
      </c>
    </row>
    <row r="19" spans="1:18" x14ac:dyDescent="0.3">
      <c r="R19" s="6" t="s">
        <v>1161</v>
      </c>
    </row>
    <row r="20" spans="1:18" x14ac:dyDescent="0.3">
      <c r="R20" s="6" t="s">
        <v>1162</v>
      </c>
    </row>
    <row r="21" spans="1:18" x14ac:dyDescent="0.3">
      <c r="R21" s="6" t="s">
        <v>1163</v>
      </c>
    </row>
    <row r="22" spans="1:18" x14ac:dyDescent="0.3">
      <c r="R22" s="6" t="s">
        <v>1164</v>
      </c>
    </row>
    <row r="23" spans="1:18" x14ac:dyDescent="0.3">
      <c r="R23" s="6" t="s">
        <v>1165</v>
      </c>
    </row>
    <row r="24" spans="1:18" x14ac:dyDescent="0.3">
      <c r="R24" s="6" t="s">
        <v>1166</v>
      </c>
    </row>
    <row r="27" spans="1:18" x14ac:dyDescent="0.3">
      <c r="A27" s="47" t="s">
        <v>1167</v>
      </c>
    </row>
    <row r="28" spans="1:18" x14ac:dyDescent="0.3">
      <c r="A28" s="10" t="s">
        <v>1168</v>
      </c>
      <c r="B28" s="10" t="s">
        <v>1169</v>
      </c>
      <c r="C28" s="10" t="s">
        <v>1170</v>
      </c>
      <c r="D28" s="10" t="s">
        <v>162</v>
      </c>
      <c r="E28" s="10" t="s">
        <v>1171</v>
      </c>
      <c r="F28" s="10" t="s">
        <v>1172</v>
      </c>
    </row>
    <row r="29" spans="1:18" x14ac:dyDescent="0.3">
      <c r="A29" s="50" t="s">
        <v>378</v>
      </c>
      <c r="B29" s="50">
        <v>1</v>
      </c>
      <c r="C29" s="50" t="s">
        <v>1173</v>
      </c>
      <c r="D29" s="50" t="s">
        <v>1174</v>
      </c>
      <c r="E29" s="50"/>
      <c r="F29" s="50"/>
    </row>
    <row r="30" spans="1:18" x14ac:dyDescent="0.3">
      <c r="A30" s="50" t="s">
        <v>378</v>
      </c>
      <c r="B30" s="50">
        <v>2</v>
      </c>
      <c r="C30" s="50" t="s">
        <v>307</v>
      </c>
      <c r="D30" s="50" t="s">
        <v>1175</v>
      </c>
      <c r="E30" s="50"/>
      <c r="F30" s="50"/>
    </row>
    <row r="31" spans="1:18" x14ac:dyDescent="0.3">
      <c r="A31" s="50" t="s">
        <v>378</v>
      </c>
      <c r="B31" s="50">
        <v>3</v>
      </c>
      <c r="C31" s="50" t="s">
        <v>211</v>
      </c>
      <c r="D31" s="50" t="s">
        <v>1176</v>
      </c>
      <c r="E31" s="50"/>
      <c r="F31" s="50"/>
    </row>
    <row r="32" spans="1:18" x14ac:dyDescent="0.3">
      <c r="A32" s="50" t="s">
        <v>378</v>
      </c>
      <c r="B32" s="50">
        <v>4</v>
      </c>
      <c r="C32" s="50" t="s">
        <v>194</v>
      </c>
      <c r="D32" s="50" t="s">
        <v>1177</v>
      </c>
      <c r="E32" s="50"/>
      <c r="F32" s="50"/>
    </row>
    <row r="33" spans="1:6" x14ac:dyDescent="0.3">
      <c r="A33" s="50" t="s">
        <v>378</v>
      </c>
      <c r="B33" s="50">
        <v>5</v>
      </c>
      <c r="C33" s="50" t="s">
        <v>1178</v>
      </c>
      <c r="D33" s="50" t="s">
        <v>1179</v>
      </c>
      <c r="E33" s="50"/>
      <c r="F33" s="50"/>
    </row>
    <row r="34" spans="1:6" x14ac:dyDescent="0.3">
      <c r="A34" s="50" t="s">
        <v>379</v>
      </c>
      <c r="B34" s="50">
        <v>1</v>
      </c>
      <c r="C34" s="50" t="s">
        <v>1180</v>
      </c>
      <c r="D34" s="50" t="s">
        <v>1181</v>
      </c>
      <c r="E34" s="50"/>
      <c r="F34" s="50"/>
    </row>
    <row r="35" spans="1:6" x14ac:dyDescent="0.3">
      <c r="A35" s="50" t="s">
        <v>379</v>
      </c>
      <c r="B35" s="50">
        <v>2</v>
      </c>
      <c r="C35" s="50" t="s">
        <v>1182</v>
      </c>
      <c r="D35" s="50" t="s">
        <v>1183</v>
      </c>
      <c r="E35" s="50"/>
      <c r="F35" s="50"/>
    </row>
    <row r="36" spans="1:6" x14ac:dyDescent="0.3">
      <c r="A36" s="50" t="s">
        <v>379</v>
      </c>
      <c r="B36" s="50">
        <v>3</v>
      </c>
      <c r="C36" s="50" t="s">
        <v>1184</v>
      </c>
      <c r="D36" s="50" t="s">
        <v>1185</v>
      </c>
      <c r="E36" s="50"/>
      <c r="F36" s="50"/>
    </row>
    <row r="37" spans="1:6" x14ac:dyDescent="0.3">
      <c r="A37" s="50" t="s">
        <v>379</v>
      </c>
      <c r="B37" s="50">
        <v>4</v>
      </c>
      <c r="C37" s="50" t="s">
        <v>1186</v>
      </c>
      <c r="D37" s="50" t="s">
        <v>1187</v>
      </c>
      <c r="E37" s="50"/>
      <c r="F37" s="50"/>
    </row>
    <row r="38" spans="1:6" x14ac:dyDescent="0.3">
      <c r="A38" s="50" t="s">
        <v>379</v>
      </c>
      <c r="B38" s="50">
        <v>5</v>
      </c>
      <c r="C38" s="50" t="s">
        <v>1188</v>
      </c>
      <c r="D38" s="50" t="s">
        <v>1189</v>
      </c>
      <c r="E38" s="50"/>
      <c r="F38" s="50"/>
    </row>
    <row r="39" spans="1:6" x14ac:dyDescent="0.3">
      <c r="A39" s="50" t="s">
        <v>380</v>
      </c>
      <c r="B39" s="50">
        <v>1</v>
      </c>
      <c r="C39" s="50" t="s">
        <v>1190</v>
      </c>
      <c r="D39" s="50" t="s">
        <v>1191</v>
      </c>
      <c r="E39" s="50"/>
      <c r="F39" s="50"/>
    </row>
    <row r="40" spans="1:6" x14ac:dyDescent="0.3">
      <c r="A40" s="50" t="s">
        <v>380</v>
      </c>
      <c r="B40" s="50">
        <v>2</v>
      </c>
      <c r="C40" s="50" t="s">
        <v>1192</v>
      </c>
      <c r="D40" s="50" t="s">
        <v>1193</v>
      </c>
      <c r="E40" s="50"/>
      <c r="F40" s="50"/>
    </row>
    <row r="41" spans="1:6" x14ac:dyDescent="0.3">
      <c r="A41" s="50" t="s">
        <v>380</v>
      </c>
      <c r="B41" s="50">
        <v>3</v>
      </c>
      <c r="C41" s="50" t="s">
        <v>1194</v>
      </c>
      <c r="D41" s="50" t="s">
        <v>1195</v>
      </c>
      <c r="E41" s="50"/>
      <c r="F41" s="50"/>
    </row>
    <row r="42" spans="1:6" x14ac:dyDescent="0.3">
      <c r="A42" s="50" t="s">
        <v>380</v>
      </c>
      <c r="B42" s="50">
        <v>4</v>
      </c>
      <c r="C42" s="50" t="s">
        <v>1196</v>
      </c>
      <c r="D42" s="50" t="s">
        <v>1197</v>
      </c>
      <c r="E42" s="50"/>
      <c r="F42" s="50"/>
    </row>
    <row r="43" spans="1:6" x14ac:dyDescent="0.3">
      <c r="A43" s="50" t="s">
        <v>380</v>
      </c>
      <c r="B43" s="50">
        <v>5</v>
      </c>
      <c r="C43" s="50" t="s">
        <v>1198</v>
      </c>
      <c r="D43" s="50" t="s">
        <v>1199</v>
      </c>
      <c r="E43" s="50"/>
      <c r="F43" s="50"/>
    </row>
    <row r="44" spans="1:6" x14ac:dyDescent="0.3">
      <c r="A44" s="50" t="s">
        <v>381</v>
      </c>
      <c r="B44" s="50">
        <v>1</v>
      </c>
      <c r="C44" s="50" t="s">
        <v>1200</v>
      </c>
      <c r="D44" s="50" t="s">
        <v>1201</v>
      </c>
      <c r="E44" s="50"/>
      <c r="F44" s="50">
        <v>0.05</v>
      </c>
    </row>
    <row r="45" spans="1:6" x14ac:dyDescent="0.3">
      <c r="A45" s="50" t="s">
        <v>381</v>
      </c>
      <c r="B45" s="50">
        <v>2</v>
      </c>
      <c r="C45" s="50" t="s">
        <v>1202</v>
      </c>
      <c r="D45" s="50" t="s">
        <v>1203</v>
      </c>
      <c r="E45" s="50"/>
      <c r="F45" s="50">
        <v>0.2</v>
      </c>
    </row>
    <row r="46" spans="1:6" x14ac:dyDescent="0.3">
      <c r="A46" s="50" t="s">
        <v>381</v>
      </c>
      <c r="B46" s="50">
        <v>3</v>
      </c>
      <c r="C46" s="50" t="s">
        <v>1204</v>
      </c>
      <c r="D46" s="50" t="s">
        <v>1205</v>
      </c>
      <c r="E46" s="50"/>
      <c r="F46" s="50">
        <v>0.4</v>
      </c>
    </row>
    <row r="47" spans="1:6" x14ac:dyDescent="0.3">
      <c r="A47" s="50" t="s">
        <v>381</v>
      </c>
      <c r="B47" s="50">
        <v>4</v>
      </c>
      <c r="C47" s="50" t="s">
        <v>1206</v>
      </c>
      <c r="D47" s="50" t="s">
        <v>1207</v>
      </c>
      <c r="E47" s="50"/>
      <c r="F47" s="50">
        <v>0.65</v>
      </c>
    </row>
    <row r="48" spans="1:6" x14ac:dyDescent="0.3">
      <c r="A48" s="50" t="s">
        <v>381</v>
      </c>
      <c r="B48" s="50">
        <v>5</v>
      </c>
      <c r="C48" s="50" t="s">
        <v>1208</v>
      </c>
      <c r="D48" s="50" t="s">
        <v>1209</v>
      </c>
      <c r="E48" s="50"/>
      <c r="F48" s="50">
        <v>0.9</v>
      </c>
    </row>
    <row r="49" spans="1:6" x14ac:dyDescent="0.3">
      <c r="A49" s="50" t="s">
        <v>1210</v>
      </c>
      <c r="B49" s="50">
        <v>1</v>
      </c>
      <c r="C49" s="50" t="s">
        <v>1211</v>
      </c>
      <c r="D49" s="50" t="s">
        <v>1212</v>
      </c>
      <c r="E49" s="50">
        <v>0</v>
      </c>
      <c r="F49" s="50"/>
    </row>
    <row r="50" spans="1:6" x14ac:dyDescent="0.3">
      <c r="A50" s="50" t="s">
        <v>1210</v>
      </c>
      <c r="B50" s="50">
        <v>2</v>
      </c>
      <c r="C50" s="50" t="s">
        <v>307</v>
      </c>
      <c r="D50" s="50" t="s">
        <v>1213</v>
      </c>
      <c r="E50" s="50">
        <v>5000</v>
      </c>
      <c r="F50" s="50"/>
    </row>
    <row r="51" spans="1:6" x14ac:dyDescent="0.3">
      <c r="A51" s="50" t="s">
        <v>1210</v>
      </c>
      <c r="B51" s="50">
        <v>3</v>
      </c>
      <c r="C51" s="50" t="s">
        <v>211</v>
      </c>
      <c r="D51" s="50" t="s">
        <v>1214</v>
      </c>
      <c r="E51" s="50">
        <v>25000</v>
      </c>
      <c r="F51" s="50"/>
    </row>
    <row r="52" spans="1:6" x14ac:dyDescent="0.3">
      <c r="A52" s="50" t="s">
        <v>1210</v>
      </c>
      <c r="B52" s="50">
        <v>4</v>
      </c>
      <c r="C52" s="50" t="s">
        <v>194</v>
      </c>
      <c r="D52" s="50" t="s">
        <v>1215</v>
      </c>
      <c r="E52" s="50">
        <v>100000</v>
      </c>
      <c r="F52" s="50"/>
    </row>
    <row r="53" spans="1:6" x14ac:dyDescent="0.3">
      <c r="A53" s="50" t="s">
        <v>1210</v>
      </c>
      <c r="B53" s="50">
        <v>5</v>
      </c>
      <c r="C53" s="50" t="s">
        <v>1178</v>
      </c>
      <c r="D53" s="50" t="s">
        <v>1216</v>
      </c>
      <c r="E53" s="50">
        <v>300000</v>
      </c>
      <c r="F53" s="50"/>
    </row>
    <row r="56" spans="1:6" x14ac:dyDescent="0.3">
      <c r="A56" s="47" t="s">
        <v>1217</v>
      </c>
    </row>
    <row r="57" spans="1:6" x14ac:dyDescent="0.3">
      <c r="A57" s="10" t="s">
        <v>1218</v>
      </c>
      <c r="B57" s="10" t="s">
        <v>837</v>
      </c>
      <c r="C57" s="10" t="s">
        <v>838</v>
      </c>
      <c r="D57" s="10" t="s">
        <v>162</v>
      </c>
      <c r="E57" s="10" t="s">
        <v>1219</v>
      </c>
    </row>
    <row r="58" spans="1:6" x14ac:dyDescent="0.3">
      <c r="A58" s="50" t="s">
        <v>1220</v>
      </c>
      <c r="B58" s="51">
        <v>12</v>
      </c>
      <c r="C58" s="50" t="s">
        <v>1221</v>
      </c>
      <c r="D58" s="50" t="s">
        <v>1222</v>
      </c>
      <c r="E58" s="50" t="s">
        <v>1223</v>
      </c>
    </row>
    <row r="59" spans="1:6" x14ac:dyDescent="0.3">
      <c r="A59" s="50" t="s">
        <v>1224</v>
      </c>
      <c r="B59" s="51">
        <v>12</v>
      </c>
      <c r="C59" s="50" t="s">
        <v>1221</v>
      </c>
      <c r="D59" s="50" t="s">
        <v>1225</v>
      </c>
      <c r="E59" s="50" t="s">
        <v>1223</v>
      </c>
    </row>
    <row r="60" spans="1:6" x14ac:dyDescent="0.3">
      <c r="A60" s="50" t="s">
        <v>1226</v>
      </c>
      <c r="B60" s="51">
        <v>18</v>
      </c>
      <c r="C60" s="50" t="s">
        <v>1221</v>
      </c>
      <c r="D60" s="50" t="s">
        <v>1227</v>
      </c>
      <c r="E60" s="50" t="s">
        <v>1228</v>
      </c>
    </row>
    <row r="61" spans="1:6" x14ac:dyDescent="0.3">
      <c r="A61" s="50" t="s">
        <v>1229</v>
      </c>
      <c r="B61" s="51">
        <v>6</v>
      </c>
      <c r="C61" s="50" t="s">
        <v>1221</v>
      </c>
      <c r="D61" s="50" t="s">
        <v>1230</v>
      </c>
      <c r="E61" s="50" t="s">
        <v>1228</v>
      </c>
    </row>
    <row r="62" spans="1:6" x14ac:dyDescent="0.3">
      <c r="A62" s="50" t="s">
        <v>1231</v>
      </c>
      <c r="B62" s="51">
        <v>4</v>
      </c>
      <c r="C62" s="50" t="s">
        <v>1232</v>
      </c>
      <c r="D62" s="50" t="s">
        <v>1233</v>
      </c>
      <c r="E62" s="50" t="s">
        <v>1234</v>
      </c>
    </row>
    <row r="63" spans="1:6" x14ac:dyDescent="0.3">
      <c r="A63" s="50" t="s">
        <v>1235</v>
      </c>
      <c r="B63" s="51">
        <v>4</v>
      </c>
      <c r="C63" s="50" t="s">
        <v>1236</v>
      </c>
      <c r="D63" s="50" t="s">
        <v>1237</v>
      </c>
      <c r="E63" s="50" t="s">
        <v>1228</v>
      </c>
    </row>
    <row r="64" spans="1:6" x14ac:dyDescent="0.3">
      <c r="A64" s="50" t="s">
        <v>1238</v>
      </c>
      <c r="B64" s="51">
        <v>6</v>
      </c>
      <c r="C64" s="50" t="s">
        <v>1239</v>
      </c>
      <c r="D64" s="50" t="s">
        <v>1240</v>
      </c>
      <c r="E64" s="50" t="s">
        <v>1228</v>
      </c>
    </row>
    <row r="65" spans="1:5" x14ac:dyDescent="0.3">
      <c r="A65" s="50" t="s">
        <v>1241</v>
      </c>
      <c r="B65" s="51">
        <v>12</v>
      </c>
      <c r="C65" s="50" t="s">
        <v>1239</v>
      </c>
      <c r="D65" s="50" t="s">
        <v>1242</v>
      </c>
      <c r="E65" s="50" t="s">
        <v>1228</v>
      </c>
    </row>
    <row r="66" spans="1:5" x14ac:dyDescent="0.3">
      <c r="A66" s="50" t="s">
        <v>1243</v>
      </c>
      <c r="B66" s="51">
        <v>3680000</v>
      </c>
      <c r="C66" s="50" t="s">
        <v>891</v>
      </c>
      <c r="D66" s="50" t="s">
        <v>1244</v>
      </c>
      <c r="E66" s="50" t="s">
        <v>1245</v>
      </c>
    </row>
    <row r="67" spans="1:5" x14ac:dyDescent="0.3">
      <c r="A67" s="50" t="s">
        <v>1246</v>
      </c>
      <c r="B67" s="51">
        <v>0.13</v>
      </c>
      <c r="C67" s="50" t="s">
        <v>1247</v>
      </c>
      <c r="D67" s="50" t="s">
        <v>1248</v>
      </c>
      <c r="E67" s="50" t="s">
        <v>1249</v>
      </c>
    </row>
    <row r="68" spans="1:5" x14ac:dyDescent="0.3">
      <c r="A68" s="50" t="s">
        <v>1250</v>
      </c>
      <c r="B68" s="51">
        <v>1.35</v>
      </c>
      <c r="C68" s="50" t="s">
        <v>1251</v>
      </c>
      <c r="D68" s="50" t="s">
        <v>1252</v>
      </c>
      <c r="E68" s="50" t="s">
        <v>1253</v>
      </c>
    </row>
    <row r="69" spans="1:5" x14ac:dyDescent="0.3">
      <c r="A69" s="50" t="s">
        <v>1254</v>
      </c>
      <c r="B69" s="51">
        <v>150</v>
      </c>
      <c r="C69" s="50" t="s">
        <v>924</v>
      </c>
      <c r="D69" s="50" t="s">
        <v>723</v>
      </c>
      <c r="E69" s="50" t="s">
        <v>1255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10" t="s">
        <v>1256</v>
      </c>
      <c r="B1" s="10" t="s">
        <v>1257</v>
      </c>
      <c r="C1" s="10" t="s">
        <v>1258</v>
      </c>
      <c r="D1" s="10" t="s">
        <v>1259</v>
      </c>
      <c r="E1" s="10" t="s">
        <v>1260</v>
      </c>
      <c r="F1" s="10" t="s">
        <v>162</v>
      </c>
      <c r="G1" s="10" t="s">
        <v>1261</v>
      </c>
      <c r="H1" s="10" t="s">
        <v>1262</v>
      </c>
      <c r="I1" s="10" t="s">
        <v>1263</v>
      </c>
    </row>
    <row r="2" spans="1:9" x14ac:dyDescent="0.3">
      <c r="A2" s="23" t="s">
        <v>30</v>
      </c>
      <c r="B2" s="23" t="s">
        <v>1264</v>
      </c>
      <c r="C2" s="23" t="s">
        <v>159</v>
      </c>
      <c r="D2" s="23" t="s">
        <v>1265</v>
      </c>
      <c r="E2" s="23" t="s">
        <v>1266</v>
      </c>
      <c r="F2" s="23" t="s">
        <v>1267</v>
      </c>
      <c r="G2" s="23" t="s">
        <v>1268</v>
      </c>
      <c r="H2" s="23" t="s">
        <v>693</v>
      </c>
      <c r="I2" s="23" t="s">
        <v>1269</v>
      </c>
    </row>
    <row r="3" spans="1:9" x14ac:dyDescent="0.3">
      <c r="A3" s="23" t="s">
        <v>30</v>
      </c>
      <c r="B3" s="23" t="s">
        <v>1264</v>
      </c>
      <c r="C3" s="23" t="s">
        <v>101</v>
      </c>
      <c r="D3" s="23" t="s">
        <v>1265</v>
      </c>
      <c r="E3" s="23" t="s">
        <v>1266</v>
      </c>
      <c r="F3" s="23" t="s">
        <v>1270</v>
      </c>
      <c r="G3" s="23" t="s">
        <v>1271</v>
      </c>
      <c r="H3" s="23" t="s">
        <v>693</v>
      </c>
      <c r="I3" s="23"/>
    </row>
    <row r="4" spans="1:9" x14ac:dyDescent="0.3">
      <c r="A4" s="23" t="s">
        <v>30</v>
      </c>
      <c r="B4" s="23" t="s">
        <v>1264</v>
      </c>
      <c r="C4" s="23" t="s">
        <v>160</v>
      </c>
      <c r="D4" s="23" t="s">
        <v>1265</v>
      </c>
      <c r="E4" s="23" t="s">
        <v>1266</v>
      </c>
      <c r="F4" s="23" t="s">
        <v>1272</v>
      </c>
      <c r="G4" s="23" t="s">
        <v>1273</v>
      </c>
      <c r="H4" s="23" t="s">
        <v>693</v>
      </c>
      <c r="I4" s="23"/>
    </row>
    <row r="5" spans="1:9" x14ac:dyDescent="0.3">
      <c r="A5" s="23" t="s">
        <v>30</v>
      </c>
      <c r="B5" s="23" t="s">
        <v>1264</v>
      </c>
      <c r="C5" s="23" t="s">
        <v>161</v>
      </c>
      <c r="D5" s="23" t="s">
        <v>1265</v>
      </c>
      <c r="E5" s="23" t="s">
        <v>1266</v>
      </c>
      <c r="F5" s="23" t="s">
        <v>1274</v>
      </c>
      <c r="G5" s="23"/>
      <c r="H5" s="23" t="s">
        <v>693</v>
      </c>
      <c r="I5" s="23"/>
    </row>
    <row r="6" spans="1:9" x14ac:dyDescent="0.3">
      <c r="A6" s="23" t="s">
        <v>30</v>
      </c>
      <c r="B6" s="23" t="s">
        <v>1264</v>
      </c>
      <c r="C6" s="23" t="s">
        <v>141</v>
      </c>
      <c r="D6" s="23" t="s">
        <v>1265</v>
      </c>
      <c r="E6" s="23" t="s">
        <v>1266</v>
      </c>
      <c r="F6" s="23" t="s">
        <v>1275</v>
      </c>
      <c r="G6" s="23"/>
      <c r="H6" s="23" t="s">
        <v>693</v>
      </c>
      <c r="I6" s="23"/>
    </row>
    <row r="7" spans="1:9" x14ac:dyDescent="0.3">
      <c r="A7" s="23" t="s">
        <v>30</v>
      </c>
      <c r="B7" s="23" t="s">
        <v>1264</v>
      </c>
      <c r="C7" s="23" t="s">
        <v>162</v>
      </c>
      <c r="D7" s="23" t="s">
        <v>1265</v>
      </c>
      <c r="E7" s="23" t="s">
        <v>1266</v>
      </c>
      <c r="F7" s="23" t="s">
        <v>1276</v>
      </c>
      <c r="G7" s="23"/>
      <c r="H7" s="23" t="s">
        <v>693</v>
      </c>
      <c r="I7" s="23"/>
    </row>
    <row r="8" spans="1:9" x14ac:dyDescent="0.3">
      <c r="A8" s="23" t="s">
        <v>30</v>
      </c>
      <c r="B8" s="23" t="s">
        <v>1264</v>
      </c>
      <c r="C8" s="23" t="s">
        <v>163</v>
      </c>
      <c r="D8" s="23" t="s">
        <v>1265</v>
      </c>
      <c r="E8" s="23" t="s">
        <v>1266</v>
      </c>
      <c r="F8" s="23" t="s">
        <v>1277</v>
      </c>
      <c r="G8" s="23"/>
      <c r="H8" s="23" t="s">
        <v>418</v>
      </c>
      <c r="I8" s="23"/>
    </row>
    <row r="9" spans="1:9" x14ac:dyDescent="0.3">
      <c r="A9" s="23" t="s">
        <v>30</v>
      </c>
      <c r="B9" s="23" t="s">
        <v>1264</v>
      </c>
      <c r="C9" s="23" t="s">
        <v>164</v>
      </c>
      <c r="D9" s="23" t="s">
        <v>1265</v>
      </c>
      <c r="E9" s="23" t="s">
        <v>1266</v>
      </c>
      <c r="F9" s="23" t="s">
        <v>1278</v>
      </c>
      <c r="G9" s="23" t="s">
        <v>1279</v>
      </c>
      <c r="H9" s="23" t="s">
        <v>693</v>
      </c>
      <c r="I9" s="23"/>
    </row>
    <row r="10" spans="1:9" ht="26.4" x14ac:dyDescent="0.3">
      <c r="A10" s="23" t="s">
        <v>30</v>
      </c>
      <c r="B10" s="23" t="s">
        <v>1264</v>
      </c>
      <c r="C10" s="23" t="s">
        <v>165</v>
      </c>
      <c r="D10" s="23" t="s">
        <v>1265</v>
      </c>
      <c r="E10" s="23" t="s">
        <v>1266</v>
      </c>
      <c r="F10" s="23" t="s">
        <v>1280</v>
      </c>
      <c r="G10" s="23"/>
      <c r="H10" s="23" t="s">
        <v>693</v>
      </c>
      <c r="I10" s="23"/>
    </row>
    <row r="11" spans="1:9" x14ac:dyDescent="0.3">
      <c r="A11" s="23" t="s">
        <v>30</v>
      </c>
      <c r="B11" s="23" t="s">
        <v>1264</v>
      </c>
      <c r="C11" s="23" t="s">
        <v>166</v>
      </c>
      <c r="D11" s="23" t="s">
        <v>1265</v>
      </c>
      <c r="E11" s="23" t="s">
        <v>1266</v>
      </c>
      <c r="F11" s="23" t="s">
        <v>1281</v>
      </c>
      <c r="G11" s="23" t="s">
        <v>1282</v>
      </c>
      <c r="H11" s="23" t="s">
        <v>693</v>
      </c>
      <c r="I11" s="23"/>
    </row>
    <row r="12" spans="1:9" x14ac:dyDescent="0.3">
      <c r="A12" s="23" t="s">
        <v>30</v>
      </c>
      <c r="B12" s="23" t="s">
        <v>1264</v>
      </c>
      <c r="C12" s="23" t="s">
        <v>167</v>
      </c>
      <c r="D12" s="23" t="s">
        <v>1265</v>
      </c>
      <c r="E12" s="23" t="s">
        <v>1266</v>
      </c>
      <c r="F12" s="23" t="s">
        <v>1283</v>
      </c>
      <c r="G12" s="23"/>
      <c r="H12" s="23" t="s">
        <v>693</v>
      </c>
      <c r="I12" s="23"/>
    </row>
    <row r="13" spans="1:9" ht="26.4" x14ac:dyDescent="0.3">
      <c r="A13" s="23" t="s">
        <v>30</v>
      </c>
      <c r="B13" s="23" t="s">
        <v>1264</v>
      </c>
      <c r="C13" s="23" t="s">
        <v>168</v>
      </c>
      <c r="D13" s="23" t="s">
        <v>1284</v>
      </c>
      <c r="E13" s="23" t="s">
        <v>1266</v>
      </c>
      <c r="F13" s="23" t="s">
        <v>1285</v>
      </c>
      <c r="G13" s="23"/>
      <c r="H13" s="23" t="s">
        <v>693</v>
      </c>
      <c r="I13" s="23"/>
    </row>
    <row r="14" spans="1:9" x14ac:dyDescent="0.3">
      <c r="A14" s="23" t="s">
        <v>30</v>
      </c>
      <c r="B14" s="23" t="s">
        <v>1264</v>
      </c>
      <c r="C14" s="23" t="s">
        <v>169</v>
      </c>
      <c r="D14" s="23" t="s">
        <v>1286</v>
      </c>
      <c r="E14" s="23" t="s">
        <v>1287</v>
      </c>
      <c r="F14" s="23" t="s">
        <v>1288</v>
      </c>
      <c r="G14" s="23"/>
      <c r="H14" s="23" t="s">
        <v>693</v>
      </c>
      <c r="I14" s="23"/>
    </row>
    <row r="15" spans="1:9" x14ac:dyDescent="0.3">
      <c r="A15" s="23" t="s">
        <v>30</v>
      </c>
      <c r="B15" s="23" t="s">
        <v>1264</v>
      </c>
      <c r="C15" s="23" t="s">
        <v>170</v>
      </c>
      <c r="D15" s="23" t="s">
        <v>1286</v>
      </c>
      <c r="E15" s="23" t="s">
        <v>1287</v>
      </c>
      <c r="F15" s="23" t="s">
        <v>1289</v>
      </c>
      <c r="G15" s="23"/>
      <c r="H15" s="23" t="s">
        <v>693</v>
      </c>
      <c r="I15" s="23"/>
    </row>
    <row r="16" spans="1:9" x14ac:dyDescent="0.3">
      <c r="A16" s="23" t="s">
        <v>30</v>
      </c>
      <c r="B16" s="23" t="s">
        <v>1264</v>
      </c>
      <c r="C16" s="23" t="s">
        <v>171</v>
      </c>
      <c r="D16" s="23" t="s">
        <v>1286</v>
      </c>
      <c r="E16" s="23" t="s">
        <v>1287</v>
      </c>
      <c r="F16" s="23" t="s">
        <v>1290</v>
      </c>
      <c r="G16" s="23"/>
      <c r="H16" s="23" t="s">
        <v>693</v>
      </c>
      <c r="I16" s="23"/>
    </row>
    <row r="17" spans="1:9" x14ac:dyDescent="0.3">
      <c r="A17" s="23" t="s">
        <v>30</v>
      </c>
      <c r="B17" s="23" t="s">
        <v>1264</v>
      </c>
      <c r="C17" s="23" t="s">
        <v>172</v>
      </c>
      <c r="D17" s="23" t="s">
        <v>1291</v>
      </c>
      <c r="E17" s="23" t="s">
        <v>1287</v>
      </c>
      <c r="F17" s="23" t="s">
        <v>1292</v>
      </c>
      <c r="G17" s="23"/>
      <c r="H17" s="23" t="s">
        <v>693</v>
      </c>
      <c r="I17" s="23"/>
    </row>
    <row r="18" spans="1:9" x14ac:dyDescent="0.3">
      <c r="A18" s="23" t="s">
        <v>30</v>
      </c>
      <c r="B18" s="23" t="s">
        <v>1264</v>
      </c>
      <c r="C18" s="23" t="s">
        <v>173</v>
      </c>
      <c r="D18" s="23" t="s">
        <v>1291</v>
      </c>
      <c r="E18" s="23" t="s">
        <v>1287</v>
      </c>
      <c r="F18" s="23" t="s">
        <v>1293</v>
      </c>
      <c r="G18" s="23"/>
      <c r="H18" s="23" t="s">
        <v>693</v>
      </c>
      <c r="I18" s="23"/>
    </row>
    <row r="19" spans="1:9" x14ac:dyDescent="0.3">
      <c r="A19" s="23" t="s">
        <v>30</v>
      </c>
      <c r="B19" s="23" t="s">
        <v>1264</v>
      </c>
      <c r="C19" s="23" t="s">
        <v>174</v>
      </c>
      <c r="D19" s="23" t="s">
        <v>1265</v>
      </c>
      <c r="E19" s="23" t="s">
        <v>1287</v>
      </c>
      <c r="F19" s="23" t="s">
        <v>1294</v>
      </c>
      <c r="G19" s="23"/>
      <c r="H19" s="23" t="s">
        <v>693</v>
      </c>
      <c r="I19" s="23"/>
    </row>
    <row r="20" spans="1:9" x14ac:dyDescent="0.3">
      <c r="A20" s="23" t="s">
        <v>30</v>
      </c>
      <c r="B20" s="23" t="s">
        <v>1264</v>
      </c>
      <c r="C20" s="23" t="s">
        <v>175</v>
      </c>
      <c r="D20" s="23" t="s">
        <v>1265</v>
      </c>
      <c r="E20" s="23" t="s">
        <v>1287</v>
      </c>
      <c r="F20" s="23" t="s">
        <v>1295</v>
      </c>
      <c r="G20" s="23"/>
      <c r="H20" s="23" t="s">
        <v>693</v>
      </c>
      <c r="I20" s="23"/>
    </row>
    <row r="21" spans="1:9" x14ac:dyDescent="0.3">
      <c r="A21" s="23" t="s">
        <v>30</v>
      </c>
      <c r="B21" s="23" t="s">
        <v>1264</v>
      </c>
      <c r="C21" s="23" t="s">
        <v>176</v>
      </c>
      <c r="D21" s="23" t="s">
        <v>1265</v>
      </c>
      <c r="E21" s="23" t="s">
        <v>1287</v>
      </c>
      <c r="F21" s="23" t="s">
        <v>1296</v>
      </c>
      <c r="G21" s="23"/>
      <c r="H21" s="23" t="s">
        <v>693</v>
      </c>
      <c r="I21" s="23"/>
    </row>
    <row r="22" spans="1:9" x14ac:dyDescent="0.3">
      <c r="A22" s="23" t="s">
        <v>30</v>
      </c>
      <c r="B22" s="23" t="s">
        <v>1264</v>
      </c>
      <c r="C22" s="23" t="s">
        <v>177</v>
      </c>
      <c r="D22" s="23" t="s">
        <v>1286</v>
      </c>
      <c r="E22" s="23" t="s">
        <v>1287</v>
      </c>
      <c r="F22" s="23" t="s">
        <v>1297</v>
      </c>
      <c r="G22" s="23"/>
      <c r="H22" s="23" t="s">
        <v>693</v>
      </c>
      <c r="I22" s="23"/>
    </row>
    <row r="23" spans="1:9" x14ac:dyDescent="0.3">
      <c r="A23" s="23" t="s">
        <v>30</v>
      </c>
      <c r="B23" s="23" t="s">
        <v>1264</v>
      </c>
      <c r="C23" s="23" t="s">
        <v>178</v>
      </c>
      <c r="D23" s="23" t="s">
        <v>1286</v>
      </c>
      <c r="E23" s="23" t="s">
        <v>1287</v>
      </c>
      <c r="F23" s="23" t="s">
        <v>1298</v>
      </c>
      <c r="G23" s="23"/>
      <c r="H23" s="23" t="s">
        <v>693</v>
      </c>
      <c r="I23" s="23"/>
    </row>
    <row r="24" spans="1:9" x14ac:dyDescent="0.3">
      <c r="A24" s="23" t="s">
        <v>30</v>
      </c>
      <c r="B24" s="23" t="s">
        <v>1264</v>
      </c>
      <c r="C24" s="23" t="s">
        <v>179</v>
      </c>
      <c r="D24" s="23" t="s">
        <v>1291</v>
      </c>
      <c r="E24" s="23" t="s">
        <v>1287</v>
      </c>
      <c r="F24" s="23" t="s">
        <v>1299</v>
      </c>
      <c r="G24" s="23"/>
      <c r="H24" s="23" t="s">
        <v>693</v>
      </c>
      <c r="I24" s="23"/>
    </row>
    <row r="25" spans="1:9" x14ac:dyDescent="0.3">
      <c r="A25" s="23" t="s">
        <v>30</v>
      </c>
      <c r="B25" s="23" t="s">
        <v>1264</v>
      </c>
      <c r="C25" s="23" t="s">
        <v>180</v>
      </c>
      <c r="D25" s="23" t="s">
        <v>1286</v>
      </c>
      <c r="E25" s="23" t="s">
        <v>1287</v>
      </c>
      <c r="F25" s="23" t="s">
        <v>1300</v>
      </c>
      <c r="G25" s="23"/>
      <c r="H25" s="23" t="s">
        <v>693</v>
      </c>
      <c r="I25" s="23"/>
    </row>
    <row r="26" spans="1:9" x14ac:dyDescent="0.3">
      <c r="A26" s="23" t="s">
        <v>30</v>
      </c>
      <c r="B26" s="23" t="s">
        <v>1264</v>
      </c>
      <c r="C26" s="23" t="s">
        <v>181</v>
      </c>
      <c r="D26" s="23" t="s">
        <v>1301</v>
      </c>
      <c r="E26" s="23" t="s">
        <v>1287</v>
      </c>
      <c r="F26" s="23" t="s">
        <v>1302</v>
      </c>
      <c r="G26" s="23"/>
      <c r="H26" s="23" t="s">
        <v>693</v>
      </c>
      <c r="I26" s="23"/>
    </row>
    <row r="27" spans="1:9" x14ac:dyDescent="0.3">
      <c r="A27" s="23" t="s">
        <v>30</v>
      </c>
      <c r="B27" s="23" t="s">
        <v>1264</v>
      </c>
      <c r="C27" s="23" t="s">
        <v>182</v>
      </c>
      <c r="D27" s="23" t="s">
        <v>1301</v>
      </c>
      <c r="E27" s="23" t="s">
        <v>1287</v>
      </c>
      <c r="F27" s="23" t="s">
        <v>1303</v>
      </c>
      <c r="G27" s="23"/>
      <c r="H27" s="23" t="s">
        <v>693</v>
      </c>
      <c r="I27" s="23"/>
    </row>
    <row r="28" spans="1:9" x14ac:dyDescent="0.3">
      <c r="A28" s="23" t="s">
        <v>30</v>
      </c>
      <c r="B28" s="23" t="s">
        <v>1264</v>
      </c>
      <c r="C28" s="23" t="s">
        <v>183</v>
      </c>
      <c r="D28" s="23" t="s">
        <v>1291</v>
      </c>
      <c r="E28" s="23" t="s">
        <v>1287</v>
      </c>
      <c r="F28" s="23" t="s">
        <v>1304</v>
      </c>
      <c r="G28" s="23"/>
      <c r="H28" s="23" t="s">
        <v>693</v>
      </c>
      <c r="I28" s="23"/>
    </row>
    <row r="29" spans="1:9" x14ac:dyDescent="0.3">
      <c r="A29" s="23" t="s">
        <v>30</v>
      </c>
      <c r="B29" s="23" t="s">
        <v>1264</v>
      </c>
      <c r="C29" s="23" t="s">
        <v>184</v>
      </c>
      <c r="D29" s="23" t="s">
        <v>1286</v>
      </c>
      <c r="E29" s="23" t="s">
        <v>1287</v>
      </c>
      <c r="F29" s="23" t="s">
        <v>1305</v>
      </c>
      <c r="G29" s="23"/>
      <c r="H29" s="23" t="s">
        <v>693</v>
      </c>
      <c r="I29" s="23"/>
    </row>
    <row r="30" spans="1:9" ht="26.4" x14ac:dyDescent="0.3">
      <c r="A30" s="23" t="s">
        <v>30</v>
      </c>
      <c r="B30" s="23" t="s">
        <v>1264</v>
      </c>
      <c r="C30" s="23" t="s">
        <v>185</v>
      </c>
      <c r="D30" s="23" t="s">
        <v>1306</v>
      </c>
      <c r="E30" s="23" t="s">
        <v>1287</v>
      </c>
      <c r="F30" s="23" t="s">
        <v>1307</v>
      </c>
      <c r="G30" s="23"/>
      <c r="H30" s="23" t="s">
        <v>693</v>
      </c>
      <c r="I30" s="23"/>
    </row>
    <row r="31" spans="1:9" ht="26.4" x14ac:dyDescent="0.3">
      <c r="A31" s="23" t="s">
        <v>30</v>
      </c>
      <c r="B31" s="23" t="s">
        <v>1264</v>
      </c>
      <c r="C31" s="23" t="s">
        <v>186</v>
      </c>
      <c r="D31" s="23" t="s">
        <v>1265</v>
      </c>
      <c r="E31" s="23" t="s">
        <v>1287</v>
      </c>
      <c r="F31" s="23" t="s">
        <v>1308</v>
      </c>
      <c r="G31" s="23"/>
      <c r="H31" s="23" t="s">
        <v>693</v>
      </c>
      <c r="I31" s="23"/>
    </row>
    <row r="32" spans="1:9" x14ac:dyDescent="0.3">
      <c r="A32" s="23" t="s">
        <v>30</v>
      </c>
      <c r="B32" s="23" t="s">
        <v>1264</v>
      </c>
      <c r="C32" s="23" t="s">
        <v>187</v>
      </c>
      <c r="D32" s="23" t="s">
        <v>1265</v>
      </c>
      <c r="E32" s="23" t="s">
        <v>1287</v>
      </c>
      <c r="F32" s="23" t="s">
        <v>1309</v>
      </c>
      <c r="G32" s="23"/>
      <c r="H32" s="23" t="s">
        <v>693</v>
      </c>
      <c r="I32" s="23"/>
    </row>
    <row r="33" spans="1:9" x14ac:dyDescent="0.3">
      <c r="A33" s="23" t="s">
        <v>32</v>
      </c>
      <c r="B33" s="23" t="s">
        <v>1310</v>
      </c>
      <c r="C33" s="23" t="s">
        <v>370</v>
      </c>
      <c r="D33" s="23" t="s">
        <v>1265</v>
      </c>
      <c r="E33" s="23" t="s">
        <v>1266</v>
      </c>
      <c r="F33" s="23" t="s">
        <v>1311</v>
      </c>
      <c r="G33" s="23" t="s">
        <v>1312</v>
      </c>
      <c r="H33" s="23" t="s">
        <v>693</v>
      </c>
      <c r="I33" s="23" t="s">
        <v>1269</v>
      </c>
    </row>
    <row r="34" spans="1:9" ht="39.6" x14ac:dyDescent="0.3">
      <c r="A34" s="23" t="s">
        <v>32</v>
      </c>
      <c r="B34" s="23" t="s">
        <v>1310</v>
      </c>
      <c r="C34" s="23" t="s">
        <v>159</v>
      </c>
      <c r="D34" s="23" t="s">
        <v>1265</v>
      </c>
      <c r="E34" s="23" t="s">
        <v>1266</v>
      </c>
      <c r="F34" s="23" t="s">
        <v>1313</v>
      </c>
      <c r="G34" s="23"/>
      <c r="H34" s="23" t="s">
        <v>693</v>
      </c>
      <c r="I34" s="23" t="s">
        <v>1314</v>
      </c>
    </row>
    <row r="35" spans="1:9" x14ac:dyDescent="0.3">
      <c r="A35" s="23" t="s">
        <v>32</v>
      </c>
      <c r="B35" s="23" t="s">
        <v>1310</v>
      </c>
      <c r="C35" s="23" t="s">
        <v>141</v>
      </c>
      <c r="D35" s="23" t="s">
        <v>1265</v>
      </c>
      <c r="E35" s="23" t="s">
        <v>1287</v>
      </c>
      <c r="F35" s="23" t="s">
        <v>1315</v>
      </c>
      <c r="G35" s="23"/>
      <c r="H35" s="23" t="s">
        <v>693</v>
      </c>
      <c r="I35" s="23"/>
    </row>
    <row r="36" spans="1:9" x14ac:dyDescent="0.3">
      <c r="A36" s="23" t="s">
        <v>32</v>
      </c>
      <c r="B36" s="23" t="s">
        <v>1310</v>
      </c>
      <c r="C36" s="23" t="s">
        <v>101</v>
      </c>
      <c r="D36" s="23" t="s">
        <v>1265</v>
      </c>
      <c r="E36" s="23" t="s">
        <v>1287</v>
      </c>
      <c r="F36" s="23" t="s">
        <v>1316</v>
      </c>
      <c r="G36" s="23"/>
      <c r="H36" s="23" t="s">
        <v>693</v>
      </c>
      <c r="I36" s="23"/>
    </row>
    <row r="37" spans="1:9" x14ac:dyDescent="0.3">
      <c r="A37" s="23" t="s">
        <v>32</v>
      </c>
      <c r="B37" s="23" t="s">
        <v>1310</v>
      </c>
      <c r="C37" s="23" t="s">
        <v>160</v>
      </c>
      <c r="D37" s="23" t="s">
        <v>1265</v>
      </c>
      <c r="E37" s="23" t="s">
        <v>1287</v>
      </c>
      <c r="F37" s="23" t="s">
        <v>1316</v>
      </c>
      <c r="G37" s="23"/>
      <c r="H37" s="23" t="s">
        <v>693</v>
      </c>
      <c r="I37" s="23"/>
    </row>
    <row r="38" spans="1:9" x14ac:dyDescent="0.3">
      <c r="A38" s="23" t="s">
        <v>32</v>
      </c>
      <c r="B38" s="23" t="s">
        <v>1310</v>
      </c>
      <c r="C38" s="23" t="s">
        <v>371</v>
      </c>
      <c r="D38" s="23" t="s">
        <v>1265</v>
      </c>
      <c r="E38" s="23" t="s">
        <v>1266</v>
      </c>
      <c r="F38" s="23" t="s">
        <v>1317</v>
      </c>
      <c r="G38" s="23" t="s">
        <v>1318</v>
      </c>
      <c r="H38" s="23" t="s">
        <v>693</v>
      </c>
      <c r="I38" s="23"/>
    </row>
    <row r="39" spans="1:9" x14ac:dyDescent="0.3">
      <c r="A39" s="23" t="s">
        <v>32</v>
      </c>
      <c r="B39" s="23" t="s">
        <v>1310</v>
      </c>
      <c r="C39" s="23" t="s">
        <v>372</v>
      </c>
      <c r="D39" s="23" t="s">
        <v>1265</v>
      </c>
      <c r="E39" s="23" t="s">
        <v>1287</v>
      </c>
      <c r="F39" s="23" t="s">
        <v>1319</v>
      </c>
      <c r="G39" s="23"/>
      <c r="H39" s="23" t="s">
        <v>693</v>
      </c>
      <c r="I39" s="23"/>
    </row>
    <row r="40" spans="1:9" x14ac:dyDescent="0.3">
      <c r="A40" s="23" t="s">
        <v>32</v>
      </c>
      <c r="B40" s="23" t="s">
        <v>1310</v>
      </c>
      <c r="C40" s="23" t="s">
        <v>162</v>
      </c>
      <c r="D40" s="23" t="s">
        <v>1265</v>
      </c>
      <c r="E40" s="23" t="s">
        <v>1266</v>
      </c>
      <c r="F40" s="23" t="s">
        <v>1320</v>
      </c>
      <c r="G40" s="23"/>
      <c r="H40" s="23" t="s">
        <v>693</v>
      </c>
      <c r="I40" s="23"/>
    </row>
    <row r="41" spans="1:9" x14ac:dyDescent="0.3">
      <c r="A41" s="23" t="s">
        <v>32</v>
      </c>
      <c r="B41" s="23" t="s">
        <v>1310</v>
      </c>
      <c r="C41" s="23" t="s">
        <v>373</v>
      </c>
      <c r="D41" s="23" t="s">
        <v>1265</v>
      </c>
      <c r="E41" s="23" t="s">
        <v>1266</v>
      </c>
      <c r="F41" s="23" t="s">
        <v>1321</v>
      </c>
      <c r="G41" s="23" t="s">
        <v>1322</v>
      </c>
      <c r="H41" s="23" t="s">
        <v>418</v>
      </c>
      <c r="I41" s="23"/>
    </row>
    <row r="42" spans="1:9" x14ac:dyDescent="0.3">
      <c r="A42" s="23" t="s">
        <v>32</v>
      </c>
      <c r="B42" s="23" t="s">
        <v>1310</v>
      </c>
      <c r="C42" s="23" t="s">
        <v>374</v>
      </c>
      <c r="D42" s="23" t="s">
        <v>1265</v>
      </c>
      <c r="E42" s="23" t="s">
        <v>1266</v>
      </c>
      <c r="F42" s="23" t="s">
        <v>1323</v>
      </c>
      <c r="G42" s="23" t="s">
        <v>1324</v>
      </c>
      <c r="H42" s="23" t="s">
        <v>693</v>
      </c>
      <c r="I42" s="23"/>
    </row>
    <row r="43" spans="1:9" x14ac:dyDescent="0.3">
      <c r="A43" s="23" t="s">
        <v>32</v>
      </c>
      <c r="B43" s="23" t="s">
        <v>1310</v>
      </c>
      <c r="C43" s="23" t="s">
        <v>375</v>
      </c>
      <c r="D43" s="23" t="s">
        <v>1265</v>
      </c>
      <c r="E43" s="23" t="s">
        <v>1266</v>
      </c>
      <c r="F43" s="23" t="s">
        <v>1325</v>
      </c>
      <c r="G43" s="23" t="s">
        <v>1326</v>
      </c>
      <c r="H43" s="23" t="s">
        <v>693</v>
      </c>
      <c r="I43" s="23"/>
    </row>
    <row r="44" spans="1:9" x14ac:dyDescent="0.3">
      <c r="A44" s="23" t="s">
        <v>32</v>
      </c>
      <c r="B44" s="23" t="s">
        <v>1310</v>
      </c>
      <c r="C44" s="23" t="s">
        <v>376</v>
      </c>
      <c r="D44" s="23" t="s">
        <v>1265</v>
      </c>
      <c r="E44" s="23" t="s">
        <v>1266</v>
      </c>
      <c r="F44" s="23" t="s">
        <v>1327</v>
      </c>
      <c r="G44" s="23"/>
      <c r="H44" s="23" t="s">
        <v>418</v>
      </c>
      <c r="I44" s="23"/>
    </row>
    <row r="45" spans="1:9" x14ac:dyDescent="0.3">
      <c r="A45" s="23" t="s">
        <v>32</v>
      </c>
      <c r="B45" s="23" t="s">
        <v>1310</v>
      </c>
      <c r="C45" s="23" t="s">
        <v>377</v>
      </c>
      <c r="D45" s="23" t="s">
        <v>1265</v>
      </c>
      <c r="E45" s="23" t="s">
        <v>1266</v>
      </c>
      <c r="F45" s="23" t="s">
        <v>1328</v>
      </c>
      <c r="G45" s="23" t="s">
        <v>1329</v>
      </c>
      <c r="H45" s="23" t="s">
        <v>418</v>
      </c>
      <c r="I45" s="23"/>
    </row>
    <row r="46" spans="1:9" x14ac:dyDescent="0.3">
      <c r="A46" s="23" t="s">
        <v>32</v>
      </c>
      <c r="B46" s="23" t="s">
        <v>1310</v>
      </c>
      <c r="C46" s="23" t="s">
        <v>378</v>
      </c>
      <c r="D46" s="23" t="s">
        <v>1286</v>
      </c>
      <c r="E46" s="23" t="s">
        <v>1266</v>
      </c>
      <c r="F46" s="23" t="s">
        <v>1330</v>
      </c>
      <c r="G46" s="23" t="s">
        <v>1331</v>
      </c>
      <c r="H46" s="23" t="s">
        <v>418</v>
      </c>
      <c r="I46" s="23"/>
    </row>
    <row r="47" spans="1:9" x14ac:dyDescent="0.3">
      <c r="A47" s="23" t="s">
        <v>32</v>
      </c>
      <c r="B47" s="23" t="s">
        <v>1310</v>
      </c>
      <c r="C47" s="23" t="s">
        <v>379</v>
      </c>
      <c r="D47" s="23" t="s">
        <v>1286</v>
      </c>
      <c r="E47" s="23" t="s">
        <v>1266</v>
      </c>
      <c r="F47" s="23" t="s">
        <v>1332</v>
      </c>
      <c r="G47" s="23" t="s">
        <v>1331</v>
      </c>
      <c r="H47" s="23" t="s">
        <v>418</v>
      </c>
      <c r="I47" s="23"/>
    </row>
    <row r="48" spans="1:9" x14ac:dyDescent="0.3">
      <c r="A48" s="23" t="s">
        <v>32</v>
      </c>
      <c r="B48" s="23" t="s">
        <v>1310</v>
      </c>
      <c r="C48" s="23" t="s">
        <v>380</v>
      </c>
      <c r="D48" s="23" t="s">
        <v>1286</v>
      </c>
      <c r="E48" s="23" t="s">
        <v>1266</v>
      </c>
      <c r="F48" s="23" t="s">
        <v>1333</v>
      </c>
      <c r="G48" s="23" t="s">
        <v>1331</v>
      </c>
      <c r="H48" s="23" t="s">
        <v>418</v>
      </c>
      <c r="I48" s="23"/>
    </row>
    <row r="49" spans="1:9" x14ac:dyDescent="0.3">
      <c r="A49" s="23" t="s">
        <v>32</v>
      </c>
      <c r="B49" s="23" t="s">
        <v>1310</v>
      </c>
      <c r="C49" s="23" t="s">
        <v>381</v>
      </c>
      <c r="D49" s="23" t="s">
        <v>1286</v>
      </c>
      <c r="E49" s="23" t="s">
        <v>1266</v>
      </c>
      <c r="F49" s="23" t="s">
        <v>1334</v>
      </c>
      <c r="G49" s="23" t="s">
        <v>1331</v>
      </c>
      <c r="H49" s="23" t="s">
        <v>418</v>
      </c>
      <c r="I49" s="23"/>
    </row>
    <row r="50" spans="1:9" ht="26.4" x14ac:dyDescent="0.3">
      <c r="A50" s="23" t="s">
        <v>32</v>
      </c>
      <c r="B50" s="23" t="s">
        <v>1310</v>
      </c>
      <c r="C50" s="23" t="s">
        <v>382</v>
      </c>
      <c r="D50" s="23" t="s">
        <v>1291</v>
      </c>
      <c r="E50" s="23" t="s">
        <v>1287</v>
      </c>
      <c r="F50" s="23" t="s">
        <v>1335</v>
      </c>
      <c r="G50" s="23"/>
      <c r="H50" s="23" t="s">
        <v>693</v>
      </c>
      <c r="I50" s="23"/>
    </row>
    <row r="51" spans="1:9" ht="26.4" x14ac:dyDescent="0.3">
      <c r="A51" s="23" t="s">
        <v>32</v>
      </c>
      <c r="B51" s="23" t="s">
        <v>1310</v>
      </c>
      <c r="C51" s="23" t="s">
        <v>383</v>
      </c>
      <c r="D51" s="23" t="s">
        <v>1286</v>
      </c>
      <c r="E51" s="23" t="s">
        <v>1287</v>
      </c>
      <c r="F51" s="23" t="s">
        <v>1336</v>
      </c>
      <c r="G51" s="23"/>
      <c r="H51" s="23" t="s">
        <v>693</v>
      </c>
      <c r="I51" s="23"/>
    </row>
    <row r="52" spans="1:9" x14ac:dyDescent="0.3">
      <c r="A52" s="23" t="s">
        <v>32</v>
      </c>
      <c r="B52" s="23" t="s">
        <v>1310</v>
      </c>
      <c r="C52" s="23" t="s">
        <v>384</v>
      </c>
      <c r="D52" s="23" t="s">
        <v>1291</v>
      </c>
      <c r="E52" s="23" t="s">
        <v>1287</v>
      </c>
      <c r="F52" s="23" t="s">
        <v>1337</v>
      </c>
      <c r="G52" s="23"/>
      <c r="H52" s="23" t="s">
        <v>693</v>
      </c>
      <c r="I52" s="23"/>
    </row>
    <row r="53" spans="1:9" ht="26.4" x14ac:dyDescent="0.3">
      <c r="A53" s="23" t="s">
        <v>32</v>
      </c>
      <c r="B53" s="23" t="s">
        <v>1310</v>
      </c>
      <c r="C53" s="23" t="s">
        <v>385</v>
      </c>
      <c r="D53" s="23" t="s">
        <v>1265</v>
      </c>
      <c r="E53" s="23" t="s">
        <v>1266</v>
      </c>
      <c r="F53" s="23" t="s">
        <v>1338</v>
      </c>
      <c r="G53" s="23"/>
      <c r="H53" s="23" t="s">
        <v>418</v>
      </c>
      <c r="I53" s="23"/>
    </row>
    <row r="54" spans="1:9" x14ac:dyDescent="0.3">
      <c r="A54" s="23" t="s">
        <v>32</v>
      </c>
      <c r="B54" s="23" t="s">
        <v>1310</v>
      </c>
      <c r="C54" s="23" t="s">
        <v>386</v>
      </c>
      <c r="D54" s="23" t="s">
        <v>1265</v>
      </c>
      <c r="E54" s="23" t="s">
        <v>1266</v>
      </c>
      <c r="F54" s="23" t="s">
        <v>1339</v>
      </c>
      <c r="G54" s="23" t="s">
        <v>1340</v>
      </c>
      <c r="H54" s="23" t="s">
        <v>418</v>
      </c>
      <c r="I54" s="23"/>
    </row>
    <row r="55" spans="1:9" x14ac:dyDescent="0.3">
      <c r="A55" s="23" t="s">
        <v>32</v>
      </c>
      <c r="B55" s="23" t="s">
        <v>1310</v>
      </c>
      <c r="C55" s="23" t="s">
        <v>387</v>
      </c>
      <c r="D55" s="23" t="s">
        <v>1301</v>
      </c>
      <c r="E55" s="23" t="s">
        <v>1266</v>
      </c>
      <c r="F55" s="23" t="s">
        <v>1341</v>
      </c>
      <c r="G55" s="23"/>
      <c r="H55" s="23" t="s">
        <v>418</v>
      </c>
      <c r="I55" s="23"/>
    </row>
    <row r="56" spans="1:9" x14ac:dyDescent="0.3">
      <c r="A56" s="23" t="s">
        <v>32</v>
      </c>
      <c r="B56" s="23" t="s">
        <v>1310</v>
      </c>
      <c r="C56" s="23" t="s">
        <v>388</v>
      </c>
      <c r="D56" s="23" t="s">
        <v>1286</v>
      </c>
      <c r="E56" s="23" t="s">
        <v>1266</v>
      </c>
      <c r="F56" s="23" t="s">
        <v>1342</v>
      </c>
      <c r="G56" s="23" t="s">
        <v>1331</v>
      </c>
      <c r="H56" s="23" t="s">
        <v>418</v>
      </c>
      <c r="I56" s="23"/>
    </row>
    <row r="57" spans="1:9" x14ac:dyDescent="0.3">
      <c r="A57" s="23" t="s">
        <v>32</v>
      </c>
      <c r="B57" s="23" t="s">
        <v>1310</v>
      </c>
      <c r="C57" s="23" t="s">
        <v>389</v>
      </c>
      <c r="D57" s="23" t="s">
        <v>1286</v>
      </c>
      <c r="E57" s="23" t="s">
        <v>1287</v>
      </c>
      <c r="F57" s="23" t="s">
        <v>1343</v>
      </c>
      <c r="G57" s="23"/>
      <c r="H57" s="23" t="s">
        <v>693</v>
      </c>
      <c r="I57" s="23"/>
    </row>
    <row r="58" spans="1:9" x14ac:dyDescent="0.3">
      <c r="A58" s="23" t="s">
        <v>32</v>
      </c>
      <c r="B58" s="23" t="s">
        <v>1310</v>
      </c>
      <c r="C58" s="23" t="s">
        <v>390</v>
      </c>
      <c r="D58" s="23" t="s">
        <v>1291</v>
      </c>
      <c r="E58" s="23" t="s">
        <v>1287</v>
      </c>
      <c r="F58" s="23" t="s">
        <v>1344</v>
      </c>
      <c r="G58" s="23"/>
      <c r="H58" s="23" t="s">
        <v>693</v>
      </c>
      <c r="I58" s="23"/>
    </row>
    <row r="59" spans="1:9" x14ac:dyDescent="0.3">
      <c r="A59" s="23" t="s">
        <v>32</v>
      </c>
      <c r="B59" s="23" t="s">
        <v>1310</v>
      </c>
      <c r="C59" s="23" t="s">
        <v>391</v>
      </c>
      <c r="D59" s="23" t="s">
        <v>1301</v>
      </c>
      <c r="E59" s="23" t="s">
        <v>1287</v>
      </c>
      <c r="F59" s="23" t="s">
        <v>1345</v>
      </c>
      <c r="G59" s="23"/>
      <c r="H59" s="23" t="s">
        <v>693</v>
      </c>
      <c r="I59" s="23"/>
    </row>
    <row r="60" spans="1:9" x14ac:dyDescent="0.3">
      <c r="A60" s="23" t="s">
        <v>32</v>
      </c>
      <c r="B60" s="23" t="s">
        <v>1310</v>
      </c>
      <c r="C60" s="23" t="s">
        <v>392</v>
      </c>
      <c r="D60" s="23" t="s">
        <v>1291</v>
      </c>
      <c r="E60" s="23" t="s">
        <v>1287</v>
      </c>
      <c r="F60" s="23" t="s">
        <v>1346</v>
      </c>
      <c r="G60" s="23"/>
      <c r="H60" s="23" t="s">
        <v>693</v>
      </c>
      <c r="I60" s="23"/>
    </row>
    <row r="61" spans="1:9" x14ac:dyDescent="0.3">
      <c r="A61" s="23" t="s">
        <v>32</v>
      </c>
      <c r="B61" s="23" t="s">
        <v>1310</v>
      </c>
      <c r="C61" s="23" t="s">
        <v>393</v>
      </c>
      <c r="D61" s="23" t="s">
        <v>1265</v>
      </c>
      <c r="E61" s="23" t="s">
        <v>1287</v>
      </c>
      <c r="F61" s="23" t="s">
        <v>1347</v>
      </c>
      <c r="G61" s="23"/>
      <c r="H61" s="23" t="s">
        <v>693</v>
      </c>
      <c r="I61" s="23"/>
    </row>
    <row r="62" spans="1:9" x14ac:dyDescent="0.3">
      <c r="A62" s="23" t="s">
        <v>32</v>
      </c>
      <c r="B62" s="23" t="s">
        <v>1310</v>
      </c>
      <c r="C62" s="23" t="s">
        <v>394</v>
      </c>
      <c r="D62" s="23" t="s">
        <v>1265</v>
      </c>
      <c r="E62" s="23" t="s">
        <v>1287</v>
      </c>
      <c r="F62" s="23" t="s">
        <v>1348</v>
      </c>
      <c r="G62" s="23"/>
      <c r="H62" s="23" t="s">
        <v>693</v>
      </c>
      <c r="I62" s="23"/>
    </row>
    <row r="63" spans="1:9" x14ac:dyDescent="0.3">
      <c r="A63" s="23" t="s">
        <v>32</v>
      </c>
      <c r="B63" s="23" t="s">
        <v>1310</v>
      </c>
      <c r="C63" s="23" t="s">
        <v>395</v>
      </c>
      <c r="D63" s="23" t="s">
        <v>1286</v>
      </c>
      <c r="E63" s="23" t="s">
        <v>1287</v>
      </c>
      <c r="F63" s="23" t="s">
        <v>1349</v>
      </c>
      <c r="G63" s="23"/>
      <c r="H63" s="23" t="s">
        <v>693</v>
      </c>
      <c r="I63" s="23"/>
    </row>
    <row r="64" spans="1:9" x14ac:dyDescent="0.3">
      <c r="A64" s="23" t="s">
        <v>32</v>
      </c>
      <c r="B64" s="23" t="s">
        <v>1310</v>
      </c>
      <c r="C64" s="23" t="s">
        <v>396</v>
      </c>
      <c r="D64" s="23" t="s">
        <v>1265</v>
      </c>
      <c r="E64" s="23" t="s">
        <v>1266</v>
      </c>
      <c r="F64" s="23" t="s">
        <v>1350</v>
      </c>
      <c r="G64" s="23"/>
      <c r="H64" s="23" t="s">
        <v>693</v>
      </c>
      <c r="I64" s="23"/>
    </row>
    <row r="65" spans="1:9" x14ac:dyDescent="0.3">
      <c r="A65" s="23" t="s">
        <v>32</v>
      </c>
      <c r="B65" s="23" t="s">
        <v>1310</v>
      </c>
      <c r="C65" s="23" t="s">
        <v>397</v>
      </c>
      <c r="D65" s="23" t="s">
        <v>1265</v>
      </c>
      <c r="E65" s="23" t="s">
        <v>1266</v>
      </c>
      <c r="F65" s="23" t="s">
        <v>1351</v>
      </c>
      <c r="G65" s="23" t="s">
        <v>1352</v>
      </c>
      <c r="H65" s="23" t="s">
        <v>693</v>
      </c>
      <c r="I65" s="23"/>
    </row>
    <row r="66" spans="1:9" x14ac:dyDescent="0.3">
      <c r="A66" s="23" t="s">
        <v>32</v>
      </c>
      <c r="B66" s="23" t="s">
        <v>1310</v>
      </c>
      <c r="C66" s="23" t="s">
        <v>398</v>
      </c>
      <c r="D66" s="23" t="s">
        <v>1286</v>
      </c>
      <c r="E66" s="23" t="s">
        <v>1287</v>
      </c>
      <c r="F66" s="23" t="s">
        <v>1353</v>
      </c>
      <c r="G66" s="23"/>
      <c r="H66" s="23" t="s">
        <v>693</v>
      </c>
      <c r="I66" s="23"/>
    </row>
    <row r="67" spans="1:9" x14ac:dyDescent="0.3">
      <c r="A67" s="23" t="s">
        <v>32</v>
      </c>
      <c r="B67" s="23" t="s">
        <v>1310</v>
      </c>
      <c r="C67" s="23" t="s">
        <v>399</v>
      </c>
      <c r="D67" s="23" t="s">
        <v>1265</v>
      </c>
      <c r="E67" s="23" t="s">
        <v>1287</v>
      </c>
      <c r="F67" s="23" t="s">
        <v>1354</v>
      </c>
      <c r="G67" s="23"/>
      <c r="H67" s="23" t="s">
        <v>693</v>
      </c>
      <c r="I67" s="23"/>
    </row>
    <row r="68" spans="1:9" ht="26.4" x14ac:dyDescent="0.3">
      <c r="A68" s="23" t="s">
        <v>32</v>
      </c>
      <c r="B68" s="23" t="s">
        <v>1310</v>
      </c>
      <c r="C68" s="23" t="s">
        <v>400</v>
      </c>
      <c r="D68" s="23" t="s">
        <v>1265</v>
      </c>
      <c r="E68" s="23" t="s">
        <v>1266</v>
      </c>
      <c r="F68" s="23" t="s">
        <v>1355</v>
      </c>
      <c r="G68" s="23"/>
      <c r="H68" s="23" t="s">
        <v>418</v>
      </c>
      <c r="I68" s="23" t="s">
        <v>1356</v>
      </c>
    </row>
    <row r="69" spans="1:9" ht="26.4" x14ac:dyDescent="0.3">
      <c r="A69" s="23" t="s">
        <v>32</v>
      </c>
      <c r="B69" s="23" t="s">
        <v>1310</v>
      </c>
      <c r="C69" s="23" t="s">
        <v>401</v>
      </c>
      <c r="D69" s="23" t="s">
        <v>1265</v>
      </c>
      <c r="E69" s="23" t="s">
        <v>1266</v>
      </c>
      <c r="F69" s="23" t="s">
        <v>1357</v>
      </c>
      <c r="G69" s="23"/>
      <c r="H69" s="23" t="s">
        <v>418</v>
      </c>
      <c r="I69" s="23" t="s">
        <v>1358</v>
      </c>
    </row>
    <row r="70" spans="1:9" ht="26.4" x14ac:dyDescent="0.3">
      <c r="A70" s="23" t="s">
        <v>32</v>
      </c>
      <c r="B70" s="23" t="s">
        <v>1310</v>
      </c>
      <c r="C70" s="23" t="s">
        <v>402</v>
      </c>
      <c r="D70" s="23" t="s">
        <v>1265</v>
      </c>
      <c r="E70" s="23" t="s">
        <v>1266</v>
      </c>
      <c r="F70" s="23" t="s">
        <v>1359</v>
      </c>
      <c r="G70" s="23"/>
      <c r="H70" s="23" t="s">
        <v>418</v>
      </c>
      <c r="I70" s="23" t="s">
        <v>1358</v>
      </c>
    </row>
    <row r="71" spans="1:9" ht="26.4" x14ac:dyDescent="0.3">
      <c r="A71" s="23" t="s">
        <v>32</v>
      </c>
      <c r="B71" s="23" t="s">
        <v>1310</v>
      </c>
      <c r="C71" s="23" t="s">
        <v>403</v>
      </c>
      <c r="D71" s="23" t="s">
        <v>1265</v>
      </c>
      <c r="E71" s="23" t="s">
        <v>1266</v>
      </c>
      <c r="F71" s="23" t="s">
        <v>1360</v>
      </c>
      <c r="G71" s="23"/>
      <c r="H71" s="23" t="s">
        <v>418</v>
      </c>
      <c r="I71" s="23" t="s">
        <v>1361</v>
      </c>
    </row>
    <row r="72" spans="1:9" ht="26.4" x14ac:dyDescent="0.3">
      <c r="A72" s="23" t="s">
        <v>32</v>
      </c>
      <c r="B72" s="23" t="s">
        <v>1310</v>
      </c>
      <c r="C72" s="23" t="s">
        <v>404</v>
      </c>
      <c r="D72" s="23" t="s">
        <v>1265</v>
      </c>
      <c r="E72" s="23" t="s">
        <v>1266</v>
      </c>
      <c r="F72" s="23" t="s">
        <v>1362</v>
      </c>
      <c r="G72" s="23"/>
      <c r="H72" s="23" t="s">
        <v>418</v>
      </c>
      <c r="I72" s="23" t="s">
        <v>1363</v>
      </c>
    </row>
    <row r="73" spans="1:9" ht="26.4" x14ac:dyDescent="0.3">
      <c r="A73" s="23" t="s">
        <v>32</v>
      </c>
      <c r="B73" s="23" t="s">
        <v>1310</v>
      </c>
      <c r="C73" s="23" t="s">
        <v>405</v>
      </c>
      <c r="D73" s="23" t="s">
        <v>1265</v>
      </c>
      <c r="E73" s="23" t="s">
        <v>1266</v>
      </c>
      <c r="F73" s="23" t="s">
        <v>1364</v>
      </c>
      <c r="G73" s="23"/>
      <c r="H73" s="23" t="s">
        <v>418</v>
      </c>
      <c r="I73" s="23" t="s">
        <v>1365</v>
      </c>
    </row>
    <row r="74" spans="1:9" ht="26.4" x14ac:dyDescent="0.3">
      <c r="A74" s="23" t="s">
        <v>32</v>
      </c>
      <c r="B74" s="23" t="s">
        <v>1310</v>
      </c>
      <c r="C74" s="23" t="s">
        <v>406</v>
      </c>
      <c r="D74" s="23" t="s">
        <v>1265</v>
      </c>
      <c r="E74" s="23" t="s">
        <v>1266</v>
      </c>
      <c r="F74" s="23" t="s">
        <v>1366</v>
      </c>
      <c r="G74" s="23"/>
      <c r="H74" s="23" t="s">
        <v>418</v>
      </c>
      <c r="I74" s="23" t="s">
        <v>1365</v>
      </c>
    </row>
    <row r="75" spans="1:9" ht="26.4" x14ac:dyDescent="0.3">
      <c r="A75" s="23" t="s">
        <v>32</v>
      </c>
      <c r="B75" s="23" t="s">
        <v>1310</v>
      </c>
      <c r="C75" s="23" t="s">
        <v>407</v>
      </c>
      <c r="D75" s="23" t="s">
        <v>1265</v>
      </c>
      <c r="E75" s="23" t="s">
        <v>1266</v>
      </c>
      <c r="F75" s="23" t="s">
        <v>1367</v>
      </c>
      <c r="G75" s="23"/>
      <c r="H75" s="23" t="s">
        <v>418</v>
      </c>
      <c r="I75" s="23" t="s">
        <v>1368</v>
      </c>
    </row>
    <row r="76" spans="1:9" x14ac:dyDescent="0.3">
      <c r="A76" s="23" t="s">
        <v>32</v>
      </c>
      <c r="B76" s="23" t="s">
        <v>1310</v>
      </c>
      <c r="C76" s="23" t="s">
        <v>408</v>
      </c>
      <c r="D76" s="23" t="s">
        <v>1265</v>
      </c>
      <c r="E76" s="23" t="s">
        <v>1266</v>
      </c>
      <c r="F76" s="23" t="s">
        <v>1369</v>
      </c>
      <c r="G76" s="23"/>
      <c r="H76" s="23" t="s">
        <v>418</v>
      </c>
      <c r="I76" s="23"/>
    </row>
    <row r="77" spans="1:9" x14ac:dyDescent="0.3">
      <c r="A77" s="23" t="s">
        <v>32</v>
      </c>
      <c r="B77" s="23" t="s">
        <v>1310</v>
      </c>
      <c r="C77" s="23" t="s">
        <v>409</v>
      </c>
      <c r="D77" s="23" t="s">
        <v>1265</v>
      </c>
      <c r="E77" s="23" t="s">
        <v>1266</v>
      </c>
      <c r="F77" s="23" t="s">
        <v>1370</v>
      </c>
      <c r="G77" s="23" t="s">
        <v>1282</v>
      </c>
      <c r="H77" s="23" t="s">
        <v>693</v>
      </c>
      <c r="I77" s="23"/>
    </row>
    <row r="78" spans="1:9" x14ac:dyDescent="0.3">
      <c r="A78" s="23" t="s">
        <v>32</v>
      </c>
      <c r="B78" s="23" t="s">
        <v>1310</v>
      </c>
      <c r="C78" s="23" t="s">
        <v>410</v>
      </c>
      <c r="D78" s="23" t="s">
        <v>1265</v>
      </c>
      <c r="E78" s="23" t="s">
        <v>1266</v>
      </c>
      <c r="F78" s="23" t="s">
        <v>1371</v>
      </c>
      <c r="G78" s="23" t="s">
        <v>1372</v>
      </c>
      <c r="H78" s="23" t="s">
        <v>693</v>
      </c>
      <c r="I78" s="23"/>
    </row>
    <row r="79" spans="1:9" ht="26.4" x14ac:dyDescent="0.3">
      <c r="A79" s="23" t="s">
        <v>32</v>
      </c>
      <c r="B79" s="23" t="s">
        <v>1310</v>
      </c>
      <c r="C79" s="23" t="s">
        <v>168</v>
      </c>
      <c r="D79" s="23" t="s">
        <v>1284</v>
      </c>
      <c r="E79" s="23" t="s">
        <v>1266</v>
      </c>
      <c r="F79" s="23" t="s">
        <v>1285</v>
      </c>
      <c r="G79" s="23"/>
      <c r="H79" s="23" t="s">
        <v>693</v>
      </c>
      <c r="I79" s="23"/>
    </row>
    <row r="80" spans="1:9" ht="26.4" x14ac:dyDescent="0.3">
      <c r="A80" s="23" t="s">
        <v>32</v>
      </c>
      <c r="B80" s="23" t="s">
        <v>1310</v>
      </c>
      <c r="C80" s="23" t="s">
        <v>411</v>
      </c>
      <c r="D80" s="23" t="s">
        <v>1284</v>
      </c>
      <c r="E80" s="23" t="s">
        <v>1287</v>
      </c>
      <c r="F80" s="23" t="s">
        <v>1373</v>
      </c>
      <c r="G80" s="23"/>
      <c r="H80" s="23" t="s">
        <v>693</v>
      </c>
      <c r="I80" s="23"/>
    </row>
    <row r="81" spans="1:9" x14ac:dyDescent="0.3">
      <c r="A81" s="23" t="s">
        <v>32</v>
      </c>
      <c r="B81" s="23" t="s">
        <v>1310</v>
      </c>
      <c r="C81" s="23" t="s">
        <v>412</v>
      </c>
      <c r="D81" s="23" t="s">
        <v>1265</v>
      </c>
      <c r="E81" s="23" t="s">
        <v>1266</v>
      </c>
      <c r="F81" s="23" t="s">
        <v>1374</v>
      </c>
      <c r="G81" s="23"/>
      <c r="H81" s="23" t="s">
        <v>418</v>
      </c>
      <c r="I81" s="23"/>
    </row>
    <row r="82" spans="1:9" x14ac:dyDescent="0.3">
      <c r="A82" s="23" t="s">
        <v>34</v>
      </c>
      <c r="B82" s="23" t="s">
        <v>1375</v>
      </c>
      <c r="C82" s="23" t="s">
        <v>835</v>
      </c>
      <c r="D82" s="23" t="s">
        <v>1265</v>
      </c>
      <c r="E82" s="23" t="s">
        <v>1266</v>
      </c>
      <c r="F82" s="23" t="s">
        <v>1376</v>
      </c>
      <c r="G82" s="23"/>
      <c r="H82" s="23" t="s">
        <v>693</v>
      </c>
      <c r="I82" s="23" t="s">
        <v>1269</v>
      </c>
    </row>
    <row r="83" spans="1:9" ht="26.4" x14ac:dyDescent="0.3">
      <c r="A83" s="23" t="s">
        <v>34</v>
      </c>
      <c r="B83" s="23" t="s">
        <v>1375</v>
      </c>
      <c r="C83" s="23" t="s">
        <v>370</v>
      </c>
      <c r="D83" s="23" t="s">
        <v>1265</v>
      </c>
      <c r="E83" s="23" t="s">
        <v>1266</v>
      </c>
      <c r="F83" s="23" t="s">
        <v>1377</v>
      </c>
      <c r="G83" s="23"/>
      <c r="H83" s="23" t="s">
        <v>693</v>
      </c>
      <c r="I83" s="23" t="s">
        <v>1378</v>
      </c>
    </row>
    <row r="84" spans="1:9" x14ac:dyDescent="0.3">
      <c r="A84" s="23" t="s">
        <v>34</v>
      </c>
      <c r="B84" s="23" t="s">
        <v>1375</v>
      </c>
      <c r="C84" s="23" t="s">
        <v>159</v>
      </c>
      <c r="D84" s="23" t="s">
        <v>1265</v>
      </c>
      <c r="E84" s="23" t="s">
        <v>1287</v>
      </c>
      <c r="F84" s="23" t="s">
        <v>1316</v>
      </c>
      <c r="G84" s="23"/>
      <c r="H84" s="23" t="s">
        <v>693</v>
      </c>
      <c r="I84" s="23"/>
    </row>
    <row r="85" spans="1:9" x14ac:dyDescent="0.3">
      <c r="A85" s="23" t="s">
        <v>34</v>
      </c>
      <c r="B85" s="23" t="s">
        <v>1375</v>
      </c>
      <c r="C85" s="23" t="s">
        <v>836</v>
      </c>
      <c r="D85" s="23" t="s">
        <v>1265</v>
      </c>
      <c r="E85" s="23" t="s">
        <v>1266</v>
      </c>
      <c r="F85" s="23" t="s">
        <v>1379</v>
      </c>
      <c r="G85" s="23"/>
      <c r="H85" s="23" t="s">
        <v>693</v>
      </c>
      <c r="I85" s="23"/>
    </row>
    <row r="86" spans="1:9" x14ac:dyDescent="0.3">
      <c r="A86" s="23" t="s">
        <v>34</v>
      </c>
      <c r="B86" s="23" t="s">
        <v>1375</v>
      </c>
      <c r="C86" s="23" t="s">
        <v>837</v>
      </c>
      <c r="D86" s="23" t="s">
        <v>1291</v>
      </c>
      <c r="E86" s="23" t="s">
        <v>1266</v>
      </c>
      <c r="F86" s="23" t="s">
        <v>1380</v>
      </c>
      <c r="G86" s="23"/>
      <c r="H86" s="23" t="s">
        <v>693</v>
      </c>
      <c r="I86" s="23"/>
    </row>
    <row r="87" spans="1:9" x14ac:dyDescent="0.3">
      <c r="A87" s="23" t="s">
        <v>34</v>
      </c>
      <c r="B87" s="23" t="s">
        <v>1375</v>
      </c>
      <c r="C87" s="23" t="s">
        <v>838</v>
      </c>
      <c r="D87" s="23" t="s">
        <v>1265</v>
      </c>
      <c r="E87" s="23" t="s">
        <v>1266</v>
      </c>
      <c r="F87" s="23" t="s">
        <v>1381</v>
      </c>
      <c r="G87" s="23"/>
      <c r="H87" s="23" t="s">
        <v>693</v>
      </c>
      <c r="I87" s="23"/>
    </row>
    <row r="88" spans="1:9" x14ac:dyDescent="0.3">
      <c r="A88" s="23" t="s">
        <v>34</v>
      </c>
      <c r="B88" s="23" t="s">
        <v>1375</v>
      </c>
      <c r="C88" s="23" t="s">
        <v>839</v>
      </c>
      <c r="D88" s="23" t="s">
        <v>1265</v>
      </c>
      <c r="E88" s="23" t="s">
        <v>1266</v>
      </c>
      <c r="F88" s="23" t="s">
        <v>1382</v>
      </c>
      <c r="G88" s="23"/>
      <c r="H88" s="23" t="s">
        <v>693</v>
      </c>
      <c r="I88" s="23"/>
    </row>
    <row r="89" spans="1:9" x14ac:dyDescent="0.3">
      <c r="A89" s="23" t="s">
        <v>34</v>
      </c>
      <c r="B89" s="23" t="s">
        <v>1375</v>
      </c>
      <c r="C89" s="23" t="s">
        <v>840</v>
      </c>
      <c r="D89" s="23" t="s">
        <v>1265</v>
      </c>
      <c r="E89" s="23" t="s">
        <v>1266</v>
      </c>
      <c r="F89" s="23" t="s">
        <v>1383</v>
      </c>
      <c r="G89" s="23"/>
      <c r="H89" s="23" t="s">
        <v>693</v>
      </c>
      <c r="I89" s="23"/>
    </row>
    <row r="90" spans="1:9" x14ac:dyDescent="0.3">
      <c r="A90" s="23" t="s">
        <v>34</v>
      </c>
      <c r="B90" s="23" t="s">
        <v>1375</v>
      </c>
      <c r="C90" s="23" t="s">
        <v>841</v>
      </c>
      <c r="D90" s="23" t="s">
        <v>1265</v>
      </c>
      <c r="E90" s="23" t="s">
        <v>1266</v>
      </c>
      <c r="F90" s="23" t="s">
        <v>1384</v>
      </c>
      <c r="G90" s="23"/>
      <c r="H90" s="23" t="s">
        <v>418</v>
      </c>
      <c r="I90" s="23"/>
    </row>
    <row r="91" spans="1:9" x14ac:dyDescent="0.3">
      <c r="A91" s="23" t="s">
        <v>34</v>
      </c>
      <c r="B91" s="23" t="s">
        <v>1375</v>
      </c>
      <c r="C91" s="23" t="s">
        <v>842</v>
      </c>
      <c r="D91" s="23" t="s">
        <v>1265</v>
      </c>
      <c r="E91" s="23" t="s">
        <v>1266</v>
      </c>
      <c r="F91" s="23" t="s">
        <v>1385</v>
      </c>
      <c r="G91" s="23" t="s">
        <v>1386</v>
      </c>
      <c r="H91" s="23" t="s">
        <v>693</v>
      </c>
      <c r="I91" s="23"/>
    </row>
    <row r="92" spans="1:9" x14ac:dyDescent="0.3">
      <c r="A92" s="23" t="s">
        <v>34</v>
      </c>
      <c r="B92" s="23" t="s">
        <v>1375</v>
      </c>
      <c r="C92" s="23" t="s">
        <v>843</v>
      </c>
      <c r="D92" s="23" t="s">
        <v>1265</v>
      </c>
      <c r="E92" s="23" t="s">
        <v>1266</v>
      </c>
      <c r="F92" s="23" t="s">
        <v>1387</v>
      </c>
      <c r="G92" s="23" t="s">
        <v>1352</v>
      </c>
      <c r="H92" s="23" t="s">
        <v>693</v>
      </c>
      <c r="I92" s="23"/>
    </row>
    <row r="93" spans="1:9" x14ac:dyDescent="0.3">
      <c r="A93" s="23" t="s">
        <v>34</v>
      </c>
      <c r="B93" s="23" t="s">
        <v>1375</v>
      </c>
      <c r="C93" s="23" t="s">
        <v>844</v>
      </c>
      <c r="D93" s="23" t="s">
        <v>1265</v>
      </c>
      <c r="E93" s="23" t="s">
        <v>1266</v>
      </c>
      <c r="F93" s="23" t="s">
        <v>1388</v>
      </c>
      <c r="G93" s="23"/>
      <c r="H93" s="23" t="s">
        <v>418</v>
      </c>
      <c r="I93" s="23"/>
    </row>
    <row r="94" spans="1:9" x14ac:dyDescent="0.3">
      <c r="A94" s="23" t="s">
        <v>36</v>
      </c>
      <c r="B94" s="23" t="s">
        <v>1389</v>
      </c>
      <c r="C94" s="23" t="s">
        <v>1045</v>
      </c>
      <c r="D94" s="23" t="s">
        <v>1265</v>
      </c>
      <c r="E94" s="23" t="s">
        <v>1266</v>
      </c>
      <c r="F94" s="23" t="s">
        <v>1390</v>
      </c>
      <c r="G94" s="23"/>
      <c r="H94" s="23" t="s">
        <v>693</v>
      </c>
      <c r="I94" s="23" t="s">
        <v>1269</v>
      </c>
    </row>
    <row r="95" spans="1:9" ht="26.4" x14ac:dyDescent="0.3">
      <c r="A95" s="23" t="s">
        <v>36</v>
      </c>
      <c r="B95" s="23" t="s">
        <v>1389</v>
      </c>
      <c r="C95" s="23" t="s">
        <v>1046</v>
      </c>
      <c r="D95" s="23" t="s">
        <v>1284</v>
      </c>
      <c r="E95" s="23" t="s">
        <v>1266</v>
      </c>
      <c r="F95" s="23" t="s">
        <v>1391</v>
      </c>
      <c r="G95" s="23"/>
      <c r="H95" s="23" t="s">
        <v>693</v>
      </c>
      <c r="I95" s="23"/>
    </row>
    <row r="96" spans="1:9" x14ac:dyDescent="0.3">
      <c r="A96" s="23" t="s">
        <v>36</v>
      </c>
      <c r="B96" s="23" t="s">
        <v>1389</v>
      </c>
      <c r="C96" s="23" t="s">
        <v>1047</v>
      </c>
      <c r="D96" s="23" t="s">
        <v>1265</v>
      </c>
      <c r="E96" s="23" t="s">
        <v>1266</v>
      </c>
      <c r="F96" s="23" t="s">
        <v>1392</v>
      </c>
      <c r="G96" s="23" t="s">
        <v>1393</v>
      </c>
      <c r="H96" s="23" t="s">
        <v>693</v>
      </c>
      <c r="I96" s="23"/>
    </row>
    <row r="97" spans="1:9" x14ac:dyDescent="0.3">
      <c r="A97" s="23" t="s">
        <v>36</v>
      </c>
      <c r="B97" s="23" t="s">
        <v>1389</v>
      </c>
      <c r="C97" s="23" t="s">
        <v>1048</v>
      </c>
      <c r="D97" s="23" t="s">
        <v>1265</v>
      </c>
      <c r="E97" s="23" t="s">
        <v>1266</v>
      </c>
      <c r="F97" s="23" t="s">
        <v>1394</v>
      </c>
      <c r="G97" s="23" t="s">
        <v>1395</v>
      </c>
      <c r="H97" s="23" t="s">
        <v>693</v>
      </c>
      <c r="I97" s="23"/>
    </row>
    <row r="98" spans="1:9" x14ac:dyDescent="0.3">
      <c r="A98" s="23" t="s">
        <v>36</v>
      </c>
      <c r="B98" s="23" t="s">
        <v>1389</v>
      </c>
      <c r="C98" s="23" t="s">
        <v>1049</v>
      </c>
      <c r="D98" s="23" t="s">
        <v>1286</v>
      </c>
      <c r="E98" s="23" t="s">
        <v>1266</v>
      </c>
      <c r="F98" s="23" t="s">
        <v>1396</v>
      </c>
      <c r="G98" s="23"/>
      <c r="H98" s="23" t="s">
        <v>693</v>
      </c>
      <c r="I98" s="23"/>
    </row>
    <row r="99" spans="1:9" ht="39.6" x14ac:dyDescent="0.3">
      <c r="A99" s="23" t="s">
        <v>36</v>
      </c>
      <c r="B99" s="23" t="s">
        <v>1389</v>
      </c>
      <c r="C99" s="23" t="s">
        <v>159</v>
      </c>
      <c r="D99" s="23" t="s">
        <v>1265</v>
      </c>
      <c r="E99" s="23" t="s">
        <v>1266</v>
      </c>
      <c r="F99" s="23" t="s">
        <v>1397</v>
      </c>
      <c r="G99" s="23"/>
      <c r="H99" s="23" t="s">
        <v>693</v>
      </c>
      <c r="I99" s="23" t="s">
        <v>1314</v>
      </c>
    </row>
    <row r="100" spans="1:9" x14ac:dyDescent="0.3">
      <c r="A100" s="23" t="s">
        <v>36</v>
      </c>
      <c r="B100" s="23" t="s">
        <v>1389</v>
      </c>
      <c r="C100" s="23" t="s">
        <v>141</v>
      </c>
      <c r="D100" s="23" t="s">
        <v>1265</v>
      </c>
      <c r="E100" s="23" t="s">
        <v>1287</v>
      </c>
      <c r="F100" s="23" t="s">
        <v>1316</v>
      </c>
      <c r="G100" s="23"/>
      <c r="H100" s="23" t="s">
        <v>693</v>
      </c>
      <c r="I100" s="23"/>
    </row>
    <row r="101" spans="1:9" x14ac:dyDescent="0.3">
      <c r="A101" s="23" t="s">
        <v>36</v>
      </c>
      <c r="B101" s="23" t="s">
        <v>1389</v>
      </c>
      <c r="C101" s="23" t="s">
        <v>1050</v>
      </c>
      <c r="D101" s="23" t="s">
        <v>1286</v>
      </c>
      <c r="E101" s="23" t="s">
        <v>1266</v>
      </c>
      <c r="F101" s="23" t="s">
        <v>1398</v>
      </c>
      <c r="G101" s="23" t="s">
        <v>1331</v>
      </c>
      <c r="H101" s="23" t="s">
        <v>693</v>
      </c>
      <c r="I101" s="23"/>
    </row>
    <row r="102" spans="1:9" x14ac:dyDescent="0.3">
      <c r="A102" s="23" t="s">
        <v>36</v>
      </c>
      <c r="B102" s="23" t="s">
        <v>1389</v>
      </c>
      <c r="C102" s="23" t="s">
        <v>1051</v>
      </c>
      <c r="D102" s="23" t="s">
        <v>1265</v>
      </c>
      <c r="E102" s="23" t="s">
        <v>1266</v>
      </c>
      <c r="F102" s="23" t="s">
        <v>1399</v>
      </c>
      <c r="G102" s="23" t="s">
        <v>1400</v>
      </c>
      <c r="H102" s="23" t="s">
        <v>693</v>
      </c>
      <c r="I102" s="23"/>
    </row>
    <row r="103" spans="1:9" x14ac:dyDescent="0.3">
      <c r="A103" s="23" t="s">
        <v>36</v>
      </c>
      <c r="B103" s="23" t="s">
        <v>1389</v>
      </c>
      <c r="C103" s="23" t="s">
        <v>1052</v>
      </c>
      <c r="D103" s="23" t="s">
        <v>1265</v>
      </c>
      <c r="E103" s="23" t="s">
        <v>1266</v>
      </c>
      <c r="F103" s="23" t="s">
        <v>1401</v>
      </c>
      <c r="G103" s="23"/>
      <c r="H103" s="23" t="s">
        <v>693</v>
      </c>
      <c r="I103" s="23"/>
    </row>
    <row r="104" spans="1:9" x14ac:dyDescent="0.3">
      <c r="A104" s="23" t="s">
        <v>36</v>
      </c>
      <c r="B104" s="23" t="s">
        <v>1389</v>
      </c>
      <c r="C104" s="23" t="s">
        <v>1053</v>
      </c>
      <c r="D104" s="23" t="s">
        <v>1265</v>
      </c>
      <c r="E104" s="23" t="s">
        <v>1266</v>
      </c>
      <c r="F104" s="23" t="s">
        <v>1402</v>
      </c>
      <c r="G104" s="23" t="s">
        <v>1329</v>
      </c>
      <c r="H104" s="23" t="s">
        <v>693</v>
      </c>
      <c r="I104" s="2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42</vt:i4>
      </vt:variant>
    </vt:vector>
  </HeadingPairs>
  <TitlesOfParts>
    <vt:vector size="50" baseType="lpstr">
      <vt:lpstr>00_LEIA-ME</vt:lpstr>
      <vt:lpstr>Painel</vt:lpstr>
      <vt:lpstr>Temas</vt:lpstr>
      <vt:lpstr>IRO</vt:lpstr>
      <vt:lpstr>Evidencias</vt:lpstr>
      <vt:lpstr>Consultas</vt:lpstr>
      <vt:lpstr>Listas</vt:lpstr>
      <vt:lpstr>Dicionario_Dados</vt:lpstr>
      <vt:lpstr>DataRef</vt:lpstr>
      <vt:lpstr>esc_Fin_Limite</vt:lpstr>
      <vt:lpstr>esc_Prob_Media</vt:lpstr>
      <vt:lpstr>lst_DataReferencia</vt:lpstr>
      <vt:lpstr>lst_Escala</vt:lpstr>
      <vt:lpstr>lst_EstadoValidacao</vt:lpstr>
      <vt:lpstr>lst_Etapa</vt:lpstr>
      <vt:lpstr>lst_FEtapa</vt:lpstr>
      <vt:lpstr>lst_FHorizonte</vt:lpstr>
      <vt:lpstr>lst_FPilar</vt:lpstr>
      <vt:lpstr>lst_FTipo</vt:lpstr>
      <vt:lpstr>lst_FTopico</vt:lpstr>
      <vt:lpstr>lst_Funcao</vt:lpstr>
      <vt:lpstr>lst_Horizonte</vt:lpstr>
      <vt:lpstr>lst_Metodo</vt:lpstr>
      <vt:lpstr>lst_Natureza</vt:lpstr>
      <vt:lpstr>lst_Parte</vt:lpstr>
      <vt:lpstr>lst_Pilar</vt:lpstr>
      <vt:lpstr>lst_Qualidade</vt:lpstr>
      <vt:lpstr>lst_RelevanciaSetorial</vt:lpstr>
      <vt:lpstr>lst_Rubrica</vt:lpstr>
      <vt:lpstr>lst_SimNao</vt:lpstr>
      <vt:lpstr>lst_TipoContributo</vt:lpstr>
      <vt:lpstr>lst_TipoDado</vt:lpstr>
      <vt:lpstr>lst_TipoIRO</vt:lpstr>
      <vt:lpstr>lst_TopicoESRS</vt:lpstr>
      <vt:lpstr>prm_Faturacao_EUR</vt:lpstr>
      <vt:lpstr>prm_Grav_DH</vt:lpstr>
      <vt:lpstr>prm_Limiar_Alto</vt:lpstr>
      <vt:lpstr>prm_Limiar_Baixo</vt:lpstr>
      <vt:lpstr>prm_Limiar_Financeiro</vt:lpstr>
      <vt:lpstr>prm_Limiar_Impacto</vt:lpstr>
      <vt:lpstr>prm_Meses_Rev_Material</vt:lpstr>
      <vt:lpstr>prm_Meses_Rev_Outros</vt:lpstr>
      <vt:lpstr>prm_Preco_Eletricidade</vt:lpstr>
      <vt:lpstr>prm_Preco_Polimero</vt:lpstr>
      <vt:lpstr>prm_Relev_Alerta</vt:lpstr>
      <vt:lpstr>prm_Trabalhadores</vt:lpstr>
      <vt:lpstr>Consultas!Títulos_de_Impressão</vt:lpstr>
      <vt:lpstr>Evidencias!Títulos_de_Impressão</vt:lpstr>
      <vt:lpstr>IRO!Títulos_de_Impressão</vt:lpstr>
      <vt:lpstr>Temas!Títulos_de_Impressão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RG-SGA-17 Análise de Dupla Materialidade (DMA) — Plasticom</dc:title>
  <dc:subject>SGA NP EN ISO 14001:2026 — Plasticom</dc:subject>
  <dc:creator>Gestor(a) do SGA / EHS</dc:creator>
  <cp:lastModifiedBy>Aline Meireles</cp:lastModifiedBy>
  <dcterms:created xsi:type="dcterms:W3CDTF">2026-09-30T16:48:48Z</dcterms:created>
  <dcterms:modified xsi:type="dcterms:W3CDTF">2026-09-30T16:49:06Z</dcterms:modified>
</cp:coreProperties>
</file>