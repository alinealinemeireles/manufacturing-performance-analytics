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5A7DF4F5-66ED-4BAB-9DA7-8AF7A73E040D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Ficheiros" sheetId="2" r:id="rId2"/>
    <sheet name="Mapa_Atividades" sheetId="3" r:id="rId3"/>
    <sheet name="Catalogo_Tabelas" sheetId="4" r:id="rId4"/>
    <sheet name="Integridade_Referencial" sheetId="5" r:id="rId5"/>
    <sheet name="Dim_Processo" sheetId="6" r:id="rId6"/>
    <sheet name="Dim_Funcao" sheetId="7" r:id="rId7"/>
    <sheet name="Dim_Clausula_ISO14001_2026" sheetId="8" r:id="rId8"/>
    <sheet name="Matriz_Fonte_Unica" sheetId="9" r:id="rId9"/>
    <sheet name="Matriz_ISO14001_2026" sheetId="10" r:id="rId10"/>
    <sheet name="Resumo_Prontidao" sheetId="11" r:id="rId11"/>
    <sheet name="Modelo_Dados" sheetId="12" r:id="rId12"/>
    <sheet name="Listas" sheetId="13" r:id="rId13"/>
    <sheet name="Dicionario_Dados" sheetId="14" r:id="rId14"/>
  </sheets>
  <definedNames>
    <definedName name="DataRef">Listas!$A$3</definedName>
    <definedName name="lst_DataReferencia">Listas!$A$3:$A$3</definedName>
    <definedName name="lst_EstadoReq">Listas!$B$3:$B$5</definedName>
    <definedName name="lst_InfoDoc">Listas!$D$3:$D$5</definedName>
    <definedName name="lst_SimNaoReq">Listas!$C$3:$C$4</definedName>
    <definedName name="_xlnm.Print_Titles" localSheetId="3">Catalogo_Tabelas!$1:$1</definedName>
    <definedName name="_xlnm.Print_Titles" localSheetId="7">Dim_Clausula_ISO14001_2026!$1:$1</definedName>
    <definedName name="_xlnm.Print_Titles" localSheetId="6">Dim_Funcao!$1:$1</definedName>
    <definedName name="_xlnm.Print_Titles" localSheetId="5">Dim_Processo!$1:$1</definedName>
    <definedName name="_xlnm.Print_Titles" localSheetId="1">Ficheiros!$4:$4</definedName>
    <definedName name="_xlnm.Print_Titles" localSheetId="4">Integridade_Referencial!$1:$1</definedName>
    <definedName name="_xlnm.Print_Titles" localSheetId="2">Mapa_Atividades!$1:$1</definedName>
    <definedName name="_xlnm.Print_Titles" localSheetId="8">Matriz_Fonte_Unica!$4:$4</definedName>
    <definedName name="_xlnm.Print_Titles" localSheetId="9">Matriz_ISO14001_2026!$4:$4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10" l="1"/>
  <c r="C42" i="10"/>
  <c r="L41" i="10"/>
  <c r="C41" i="10"/>
  <c r="L40" i="10"/>
  <c r="C40" i="10"/>
  <c r="L39" i="10"/>
  <c r="C39" i="10"/>
  <c r="L38" i="10"/>
  <c r="C38" i="10"/>
  <c r="L37" i="10"/>
  <c r="C37" i="10"/>
  <c r="L36" i="10"/>
  <c r="C36" i="10"/>
  <c r="L35" i="10"/>
  <c r="C35" i="10"/>
  <c r="L34" i="10"/>
  <c r="C34" i="10"/>
  <c r="L33" i="10"/>
  <c r="C33" i="10"/>
  <c r="L32" i="10"/>
  <c r="C32" i="10"/>
  <c r="L31" i="10"/>
  <c r="C31" i="10"/>
  <c r="L30" i="10"/>
  <c r="C30" i="10"/>
  <c r="L29" i="10"/>
  <c r="C29" i="10"/>
  <c r="L28" i="10"/>
  <c r="C28" i="10"/>
  <c r="L27" i="10"/>
  <c r="C27" i="10"/>
  <c r="L26" i="10"/>
  <c r="C26" i="10"/>
  <c r="L25" i="10"/>
  <c r="C25" i="10"/>
  <c r="L24" i="10"/>
  <c r="C24" i="10"/>
  <c r="L23" i="10"/>
  <c r="C23" i="10"/>
  <c r="L22" i="10"/>
  <c r="C22" i="10"/>
  <c r="L21" i="10"/>
  <c r="C21" i="10"/>
  <c r="L20" i="10"/>
  <c r="C20" i="10"/>
  <c r="L19" i="10"/>
  <c r="C19" i="10"/>
  <c r="L18" i="10"/>
  <c r="C18" i="10"/>
  <c r="L17" i="10"/>
  <c r="C17" i="10"/>
  <c r="L16" i="10"/>
  <c r="C16" i="10"/>
  <c r="L15" i="10"/>
  <c r="C15" i="10"/>
  <c r="L14" i="10"/>
  <c r="C14" i="10"/>
  <c r="L13" i="10"/>
  <c r="C13" i="10"/>
  <c r="L12" i="10"/>
  <c r="C12" i="10"/>
  <c r="L11" i="10"/>
  <c r="C11" i="10"/>
  <c r="L10" i="10"/>
  <c r="C10" i="10"/>
  <c r="L9" i="10"/>
  <c r="C9" i="10"/>
  <c r="L8" i="10"/>
  <c r="C8" i="10"/>
  <c r="L7" i="10"/>
  <c r="C7" i="10"/>
  <c r="L6" i="10"/>
  <c r="C6" i="10"/>
  <c r="L5" i="10"/>
  <c r="C5" i="10"/>
  <c r="F10" i="11" s="1"/>
  <c r="C4" i="11" l="1"/>
  <c r="G4" i="11"/>
  <c r="E5" i="11"/>
  <c r="C6" i="11"/>
  <c r="H6" i="11" s="1"/>
  <c r="G6" i="11"/>
  <c r="E7" i="11"/>
  <c r="C8" i="11"/>
  <c r="H8" i="11" s="1"/>
  <c r="G8" i="11"/>
  <c r="E9" i="11"/>
  <c r="C10" i="11"/>
  <c r="H10" i="11" s="1"/>
  <c r="G10" i="11"/>
  <c r="D4" i="11"/>
  <c r="F5" i="11"/>
  <c r="D6" i="11"/>
  <c r="F7" i="11"/>
  <c r="D8" i="11"/>
  <c r="F9" i="11"/>
  <c r="D10" i="11"/>
  <c r="E4" i="11"/>
  <c r="C5" i="11"/>
  <c r="H5" i="11" s="1"/>
  <c r="G5" i="11"/>
  <c r="E6" i="11"/>
  <c r="C7" i="11"/>
  <c r="H7" i="11" s="1"/>
  <c r="G7" i="11"/>
  <c r="E8" i="11"/>
  <c r="C9" i="11"/>
  <c r="H9" i="11" s="1"/>
  <c r="G9" i="11"/>
  <c r="E10" i="11"/>
  <c r="F4" i="11"/>
  <c r="D5" i="11"/>
  <c r="F6" i="11"/>
  <c r="D7" i="11"/>
  <c r="F8" i="11"/>
  <c r="D9" i="11"/>
  <c r="D11" i="11" l="1"/>
  <c r="G11" i="11"/>
  <c r="E11" i="11"/>
  <c r="F11" i="11"/>
  <c r="C11" i="11"/>
  <c r="H11" i="11" s="1"/>
  <c r="H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Nome do ficheiro.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Código do registo.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Conteúdo.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Atividades do curso.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Cláusulas ISO 14001:2026.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Atividade do curso.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Título.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Ficheiro(s).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Folha(s) a abrir.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Ficheiro.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Folha.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Nome da tabela Excel.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Linha do cabeçalho.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N.º de registos.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N.º de colunas.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Primeira coluna (chave).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Código para ler a tabela em Python.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Tabela com a chave estrangeira.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Coluna FK (pode ter vários IDs separados por ';').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Tabela referenciada.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N.º de referências verificadas.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Referências sem correspondência.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IDs em falta.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OK / Rever.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Código.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Máquinas do dataset.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Fase principal.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ID.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Função.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Área.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Cláusula.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Título (ISO 14001:2026).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B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Único ficheiro onde o assunto é registado.</t>
        </r>
      </text>
    </comment>
    <comment ref="D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Onde aparece só por ID ou valor gerado (não se escreve lá).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Identificador.</t>
        </r>
      </text>
    </comment>
    <comment ref="B4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Cláusula da ISO 14001:2026.</t>
        </r>
      </text>
    </comment>
    <comment ref="C4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Cláusula principal (4 a 10).
[calculado]</t>
        </r>
      </text>
    </comment>
    <comment ref="D4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Requisito (resumo).</t>
        </r>
      </text>
    </comment>
    <comment ref="E4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Sim se é novo ou foi alterado na edição 2026.</t>
        </r>
      </text>
    </comment>
    <comment ref="F4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Exigência de informação documentada (2026: 'disponível' / 'disponível como evidência').</t>
        </r>
      </text>
    </comment>
    <comment ref="G4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Documento controlado (Documentos_SGA_Plasticom).</t>
        </r>
      </text>
    </comment>
    <comment ref="H4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Registo e tabelas com a evidência.</t>
        </r>
      </text>
    </comment>
    <comment ref="I4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Conforme · Parcial · Lacuna (verificação de 24/09/2026, atualizada a 31/12/2026).</t>
        </r>
      </text>
    </comment>
    <comment ref="J4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Observação ou lacuna.</t>
        </r>
      </text>
    </comment>
    <comment ref="K4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Ação do PAM que trata a lacuna.</t>
        </r>
      </text>
    </comment>
    <comment ref="L4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1 conforme · 0,5 parcial · 0 lacuna (para índice de prontidão).
[calculado]</t>
        </r>
      </text>
    </comment>
  </commentList>
</comments>
</file>

<file path=xl/sharedStrings.xml><?xml version="1.0" encoding="utf-8"?>
<sst xmlns="http://schemas.openxmlformats.org/spreadsheetml/2006/main" count="2464" uniqueCount="1285">
  <si>
    <t>RG-SGA-00 — Índice do SGA e Modelo de Dados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</si>
  <si>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</si>
  <si>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</si>
  <si>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</si>
  <si>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RG-SGA-00</t>
  </si>
  <si>
    <t>Título</t>
  </si>
  <si>
    <t>Índice do SGA e Modelo de Dados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</si>
  <si>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</si>
  <si>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</si>
  <si>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</si>
  <si>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</si>
  <si>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</si>
  <si>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</si>
  <si>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</si>
  <si>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</si>
  <si>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</si>
  <si>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</si>
  <si>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</si>
  <si>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</si>
  <si>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</si>
  <si>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</si>
  <si>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</si>
  <si>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Ponto de entrada do sistema de registos do SGA da Plasticom: onde está cada atividade, que tabelas existem, como se ligam (chaves), dimensões partilhadas e verificação automática da integridade referencial entre ficheiros — base para Power BI, análises estatísticas, previsão e machine learning.</t>
  </si>
  <si>
    <t>Atividades do curso</t>
  </si>
  <si>
    <t>Índice de todas as atividades (Módulos 3 a 6) e dos ficheiros onde estão.</t>
  </si>
  <si>
    <t>Requisitos ISO 14001:2026</t>
  </si>
  <si>
    <t>7.5 Informação documentada (lista de registos); 9.1.1 (dados para análise)</t>
  </si>
  <si>
    <t>ESTRUTURA DO FICHEIRO</t>
  </si>
  <si>
    <t>Ficheiros</t>
  </si>
  <si>
    <t>Lista de ficheiros do sistema de registos do SGA.</t>
  </si>
  <si>
    <t>Mapa_Atividades</t>
  </si>
  <si>
    <t>Onde encontrar a resposta a cada atividade.</t>
  </si>
  <si>
    <t>Catalogo_Tabelas</t>
  </si>
  <si>
    <t>Catálogo de todas as tabelas de dados (gerado automaticamente a partir dos ficheiros).</t>
  </si>
  <si>
    <t>Integridade_Referencial</t>
  </si>
  <si>
    <t>Verificação das relações entre ficheiros (instantâneo gerado na construção, 31/12/2026).</t>
  </si>
  <si>
    <t>Dim_Processo</t>
  </si>
  <si>
    <t>Dimensão processo (usada em todos os registos).</t>
  </si>
  <si>
    <t>Dim_Funcao</t>
  </si>
  <si>
    <t>Dimensão função/responsável.</t>
  </si>
  <si>
    <t>Dim_Clausula_ISO14001_2026</t>
  </si>
  <si>
    <t>Dimensão cláusulas da ISO 14001:2026 (estrutura harmonizada).</t>
  </si>
  <si>
    <t>Matriz_Fonte_Unica</t>
  </si>
  <si>
    <t>Matriz de fonte única: em que ficheiro se regista cada assunto (evita registos repetidos em ficheiros diferentes).</t>
  </si>
  <si>
    <t>Matriz_ISO14001_2026</t>
  </si>
  <si>
    <t>Mapa requisito → documento → evidência → estado para a ISO 14001:2026 (auditoria interna, transição e gap analysis).</t>
  </si>
  <si>
    <t>Resumo_Prontidao</t>
  </si>
  <si>
    <t>Índice de prontidão para a ISO 14001:2026 por cláusula (calculado a partir de tbl_matriz_iso).</t>
  </si>
  <si>
    <t>Modelo_Dados</t>
  </si>
  <si>
    <t>Descrição do modelo de dados (estrela) e convenções de IDs.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</si>
  <si>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</si>
  <si>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</si>
  <si>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</si>
  <si>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</si>
  <si>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</si>
  <si>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</si>
  <si>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</si>
  <si>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</si>
  <si>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</si>
  <si>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</si>
  <si>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</si>
  <si>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</si>
  <si>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</si>
  <si>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</si>
  <si>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</si>
  <si>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</si>
  <si>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</si>
  <si>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ÍNDICE DO SISTEMA DE REGISTOS DO SGA — PLASTICOM (ISO 14001:2026)</t>
  </si>
  <si>
    <t>Pasta Registos_SGA_Plasticom · 20 registos Excel + Documentos_SGA_Plasticom (manual, 15 procedimentos, plano climático, 2 instruções) + 1 documento Word · Data de referência 31/12/2026 (fecho do ano)</t>
  </si>
  <si>
    <t>Ficheiro</t>
  </si>
  <si>
    <t>Codigo</t>
  </si>
  <si>
    <t>Conteudo</t>
  </si>
  <si>
    <t>Atividades</t>
  </si>
  <si>
    <t>Clausulas</t>
  </si>
  <si>
    <t>SGA-01_Contexto_SWOT_PESTEL.xlsx</t>
  </si>
  <si>
    <t>RG-SGA-01</t>
  </si>
  <si>
    <t>Contexto do SGA e do SGI: PESTEL, SWOT, TOWS, 5 forças e partes interessadas (fonte única; liga aos riscos R/O do RG-SGA-02)</t>
  </si>
  <si>
    <t>Base da 3.1</t>
  </si>
  <si>
    <t>4.1; 4.2</t>
  </si>
  <si>
    <t>SGA-02_Gestao_Riscos_Oportunidades.xlsx</t>
  </si>
  <si>
    <t>RG-SGA-02</t>
  </si>
  <si>
    <t>Gestão de riscos e oportunidades — registo corporativo multiárea (política e apetite, riscos, planos SGI, KRI, BowTie, auditorias AUD-SGI); contexto no RG-SGA-01 e ações ambientais no PAM</t>
  </si>
  <si>
    <t>3.1</t>
  </si>
  <si>
    <t>6.1.4; 6.1.5</t>
  </si>
  <si>
    <t>SGA-03_Aspetos_Impactes_Ambientais.xlsx</t>
  </si>
  <si>
    <t>RG-SGA-03</t>
  </si>
  <si>
    <t>Aspetos e impactes ambientais (Mod.G.07.00)</t>
  </si>
  <si>
    <t>3.2</t>
  </si>
  <si>
    <t>6.1.2</t>
  </si>
  <si>
    <t>SGA-04_Requisitos_Legais_Conformidade.xlsx</t>
  </si>
  <si>
    <t>RG-SGA-04</t>
  </si>
  <si>
    <t>Requisitos legais e avaliação da conformidade (Mod.G.06.02)</t>
  </si>
  <si>
    <t>3.3</t>
  </si>
  <si>
    <t>6.1.3; 9.1.2</t>
  </si>
  <si>
    <t>SGA-05_Objetivos_Metas_KPI.xlsx</t>
  </si>
  <si>
    <t>RG-SGA-05</t>
  </si>
  <si>
    <t>Objetivos SMART e KPI</t>
  </si>
  <si>
    <t>3.4</t>
  </si>
  <si>
    <t>6.2</t>
  </si>
  <si>
    <t>SGA-06_Plano_Acoes_Melhoria_PAM.xlsx</t>
  </si>
  <si>
    <t>RG-SGA-06</t>
  </si>
  <si>
    <t>Plano de Ações de Melhoria (Mod.G.10.00)</t>
  </si>
  <si>
    <t>3.5; 6.1 T2; 6.2 T2</t>
  </si>
  <si>
    <t>6.1.5; 10</t>
  </si>
  <si>
    <t>SGA-07_Nao_Conformidades_RNC.xlsx</t>
  </si>
  <si>
    <t>RG-SGA-07</t>
  </si>
  <si>
    <t>Não conformidades, incidentes e 5 Porquês</t>
  </si>
  <si>
    <t>6.1 T1</t>
  </si>
  <si>
    <t>10.2</t>
  </si>
  <si>
    <t>SGA-08_Competencias_Consciencializacao.xlsx</t>
  </si>
  <si>
    <t>RG-SGA-08</t>
  </si>
  <si>
    <t>Competências e consciencialização</t>
  </si>
  <si>
    <t>4.1</t>
  </si>
  <si>
    <t>7.2; 7.3</t>
  </si>
  <si>
    <t>SGA-09_Comunicacao_Controlo_Documental.xlsx</t>
  </si>
  <si>
    <t>RG-SGA-09</t>
  </si>
  <si>
    <t>Comunicação (4 Q) e controlo documental</t>
  </si>
  <si>
    <t>4.2</t>
  </si>
  <si>
    <t>7.4; 7.5</t>
  </si>
  <si>
    <t>SGA-10_Controlo_Operacional_Rondas.xlsx</t>
  </si>
  <si>
    <t>RG-SGA-10</t>
  </si>
  <si>
    <t>Checklist e registo de rondas ambientais</t>
  </si>
  <si>
    <t>4.3</t>
  </si>
  <si>
    <t>8.1</t>
  </si>
  <si>
    <t>SGA-11_Fornecedores_Ciclo_Vida.xlsx</t>
  </si>
  <si>
    <t>RG-SGA-11</t>
  </si>
  <si>
    <t>Avaliação ambiental de fornecedores</t>
  </si>
  <si>
    <t>4.4</t>
  </si>
  <si>
    <t>SGA-12_Emergencias_Ambientais.xlsx</t>
  </si>
  <si>
    <t>RG-SGA-12</t>
  </si>
  <si>
    <t>Emergências, IT-SGA-01 e simulacros</t>
  </si>
  <si>
    <t>4.5</t>
  </si>
  <si>
    <t>8.2</t>
  </si>
  <si>
    <t>SGA-13_Monitorizacao_Medicao_Desempenho.xlsx</t>
  </si>
  <si>
    <t>RG-SGA-13</t>
  </si>
  <si>
    <t>Monitorização, calibração, base de dados mensal e desvio</t>
  </si>
  <si>
    <t>5.1; 5.2 P1</t>
  </si>
  <si>
    <t>9.1.1</t>
  </si>
  <si>
    <t>SGA-14_Auditoria_Interna.xlsx</t>
  </si>
  <si>
    <t>RG-SGA-14</t>
  </si>
  <si>
    <t>Programa e constatações de auditoria</t>
  </si>
  <si>
    <t>5.3 P1</t>
  </si>
  <si>
    <t>9.2</t>
  </si>
  <si>
    <t>SGA-15_Revisao_pela_Gestao.xlsx</t>
  </si>
  <si>
    <t>RG-SGA-15</t>
  </si>
  <si>
    <t>Revisão pela gestão: agenda e ata</t>
  </si>
  <si>
    <t>5.4</t>
  </si>
  <si>
    <t>9.3</t>
  </si>
  <si>
    <t>SGA-16_Melhoria_Kaizen_EMAS.xlsx</t>
  </si>
  <si>
    <t>RG-SGA-16</t>
  </si>
  <si>
    <t>Kaizen e indicadores EMAS</t>
  </si>
  <si>
    <t>6.2 T1; 6.3</t>
  </si>
  <si>
    <t>10.1</t>
  </si>
  <si>
    <t>SGA-18_Planeamento_Alteracoes.xlsx</t>
  </si>
  <si>
    <t>RG-SGA-18</t>
  </si>
  <si>
    <t>Planeamento de alterações (gestão de mudanças) com checklist de avaliação</t>
  </si>
  <si>
    <t>ISO 14001:2026 (complemento)</t>
  </si>
  <si>
    <t>6.3</t>
  </si>
  <si>
    <t>SGA-19_ESG_Ambiental_GEE.xlsx</t>
  </si>
  <si>
    <t>RG-SGA-19</t>
  </si>
  <si>
    <t>ESG ambiental: calculadora e inventário de GEE (âmbitos 1–3), metas 2030, pegada por produto, indicadores VSME/ESRS/GRI/SASB</t>
  </si>
  <si>
    <t>ESG (complemento)</t>
  </si>
  <si>
    <t>4.1; 6.2; 9.1.1</t>
  </si>
  <si>
    <t>SGA-20_Reciclabilidade_Embalagens.xlsx</t>
  </si>
  <si>
    <t>RG-SGA-20</t>
  </si>
  <si>
    <t>Reciclabilidade e conformidade de embalagens: avaliação RecyClass por SKU, graus PPWR, conteúdo reciclado (art. 7.º), matriz legal de produto, aplicabilidade por SKU, países, certificados PCR e alegações</t>
  </si>
  <si>
    <t>Embalagens (complemento)</t>
  </si>
  <si>
    <t>8.1; 6.1.3; 7.4</t>
  </si>
  <si>
    <t>SGA-21_Gestao_Produtos_Quimicos.xlsx</t>
  </si>
  <si>
    <t>RG-SGA-21</t>
  </si>
  <si>
    <t>Gestão de produtos químicos: papel REACH, inventário e balanço de COV, FDS (Reg. 2020/878), cenários de exposição, registo/importação, declarações SVHC de fornecedores, avaliação de risco químico (DL 24/2012, DL 301/2000), medições VLE, armazenagem, Seveso, matriz legal de químicos</t>
  </si>
  <si>
    <t>Químicos (complemento)</t>
  </si>
  <si>
    <t>6.1.3; 8.1; 9.1.2</t>
  </si>
  <si>
    <t>../Documentos_SGA_Plasticom/</t>
  </si>
  <si>
    <t>MAN/PR/IT</t>
  </si>
  <si>
    <t>Manual do SGA (MAN-SGA-01), procedimentos PR-SGA-01 a 16, plano de transição climática PL-SGA-01 e instruções IT-SGA-02, IT-SER-03 (Word)</t>
  </si>
  <si>
    <t>Todas</t>
  </si>
  <si>
    <t>4.3–10.2</t>
  </si>
  <si>
    <t>SGA-17_Dupla_Materialidade.xlsx</t>
  </si>
  <si>
    <t>RG-SGA-17</t>
  </si>
  <si>
    <t>Análise de dupla materialidade (temas, IRO, evidências, partes interessadas, painel)</t>
  </si>
  <si>
    <t>4.1; 4.2; 6.1</t>
  </si>
  <si>
    <t>SGA_Atividades_Lusitana_e_Teoria.docx</t>
  </si>
  <si>
    <t>DOC-SGA-01</t>
  </si>
  <si>
    <t>Word: atividades Lusitana Móveis e questões teóricas</t>
  </si>
  <si>
    <t>4.1 (5); 4.2 (reflexão); 5.2 P2; 5.3 P2; auto-estudos</t>
  </si>
  <si>
    <t>—</t>
  </si>
  <si>
    <t>Atividade</t>
  </si>
  <si>
    <t>Titulo</t>
  </si>
  <si>
    <t>Onde_Ver</t>
  </si>
  <si>
    <t>Tratar riscos e oportunidades</t>
  </si>
  <si>
    <t>SGA-02</t>
  </si>
  <si>
    <t>Riscos e Oportunidades: grupo METODOLOGIA SGA (filtrar 'Selecionado Atividade 3.1' = Sim)</t>
  </si>
  <si>
    <t>Aspetos e impactes ambientais</t>
  </si>
  <si>
    <t>SGA-03</t>
  </si>
  <si>
    <t>Resumo_Atividade_3_2; Mod.G.07.00_Matriz</t>
  </si>
  <si>
    <t>Requisitos legais e conformidade</t>
  </si>
  <si>
    <t>SGA-04</t>
  </si>
  <si>
    <t>Mod.G.06.02_Vista (print screen); Requisitos_Legais</t>
  </si>
  <si>
    <t>SGA-05</t>
  </si>
  <si>
    <t>Resumo_Atividade_3_4; Objetivos_SMART</t>
  </si>
  <si>
    <t>3.5</t>
  </si>
  <si>
    <t>Plano de ações de melhoria</t>
  </si>
  <si>
    <t>SGA-06</t>
  </si>
  <si>
    <t>Mod.G.10.00_Vista (ações 01/26 e 02/26)</t>
  </si>
  <si>
    <t>Matriz de competências</t>
  </si>
  <si>
    <t>SGA-08 + Word</t>
  </si>
  <si>
    <t>Resumo_Atividade_4_1; frase Competência vs Consciencialização no Word</t>
  </si>
  <si>
    <t>Comunicação e documentação</t>
  </si>
  <si>
    <t>SGA-09 + Word</t>
  </si>
  <si>
    <t>Resumo_Atividade_4_2; reflexão obsoleto vs em vigor no Word</t>
  </si>
  <si>
    <t>Checklist de ronda ambiental</t>
  </si>
  <si>
    <t>SGA-10 + Word</t>
  </si>
  <si>
    <t>Pontos_Controlo; Checklist_Ronda_Impressao; auto-estudo ar comprimido no Word</t>
  </si>
  <si>
    <t>Fornecedores e ciclo de vida</t>
  </si>
  <si>
    <t>SGA-11 + Word</t>
  </si>
  <si>
    <t>Resumo_Atividade_4_4; auto-estudo logística reversa no Word</t>
  </si>
  <si>
    <t>Emergência e instrução de trabalho</t>
  </si>
  <si>
    <t>SGA-12 + Word</t>
  </si>
  <si>
    <t>IT-SGA-01_Derrames (print screen); auto-estudo válvula de corte no Word</t>
  </si>
  <si>
    <t>5.1</t>
  </si>
  <si>
    <t>Plano de monitorização e medição</t>
  </si>
  <si>
    <t>SGA-13</t>
  </si>
  <si>
    <t>Plano_Monitorizacao; Equipamentos_Calibracao</t>
  </si>
  <si>
    <t>5.2 P1</t>
  </si>
  <si>
    <t>Análise de desvio (+15%)</t>
  </si>
  <si>
    <t>Analise_Desvio_5_2; Hipoteses_Desvio; Pesagem_Solvente</t>
  </si>
  <si>
    <t>5.2 P2</t>
  </si>
  <si>
    <t>KPI da energia solar (Lusitana)</t>
  </si>
  <si>
    <t>Word</t>
  </si>
  <si>
    <t>Secção 5.2 Parte 2</t>
  </si>
  <si>
    <t>Auditoria interna à Plasticom</t>
  </si>
  <si>
    <t>SGA-14</t>
  </si>
  <si>
    <t>Checklist_Constatacoes; Relatorio_Resumo</t>
  </si>
  <si>
    <t>5.3 P2</t>
  </si>
  <si>
    <t>Cláusulas das constatações (Lusitana)</t>
  </si>
  <si>
    <t>Secção 5.3 Parte 2</t>
  </si>
  <si>
    <t>Revisão pela gestão</t>
  </si>
  <si>
    <t>SGA-15</t>
  </si>
  <si>
    <t>Convocatoria_Impressao (Parte I); Ata_Impressao (Parte II)</t>
  </si>
  <si>
    <t>6.1</t>
  </si>
  <si>
    <t>NC do kit antipoluição</t>
  </si>
  <si>
    <t>SGA-07 + SGA-06</t>
  </si>
  <si>
    <t>RNC_Formulario (5 Porquês); PAM-26-04 (C1) e PAM-26-05 (C2)</t>
  </si>
  <si>
    <t>Kaizen</t>
  </si>
  <si>
    <t>SGA-16 + SGA-06</t>
  </si>
  <si>
    <t>Resumo_Atividade_6_2; PAM-26-06</t>
  </si>
  <si>
    <t>EMAS</t>
  </si>
  <si>
    <t>SGA-16 + Word</t>
  </si>
  <si>
    <t>EMAS_Indicadores; EMAS_Transparencia; diferenças ISO 14001 vs EMAS no Word</t>
  </si>
  <si>
    <t>QUI</t>
  </si>
  <si>
    <t>Gestão de produtos químicos — REACH/CLP e toxicidade (complemento)</t>
  </si>
  <si>
    <t>SGA-21</t>
  </si>
  <si>
    <t>Painel; Papel_REACH; Inventario; FDS_Verificacao; Avaliacao_Risco; Requisitos_Legais</t>
  </si>
  <si>
    <t>EMB</t>
  </si>
  <si>
    <t>Reciclabilidade de embalagens (complemento)</t>
  </si>
  <si>
    <t>SGA-20</t>
  </si>
  <si>
    <t>Painel; Avaliacao_RecyClass; Formulario_RecyClass; Requisitos_Embalagem; Aplicabilidade_Produto</t>
  </si>
  <si>
    <t>ESG</t>
  </si>
  <si>
    <t>Dupla materialidade (complemento)</t>
  </si>
  <si>
    <t>SGA-17</t>
  </si>
  <si>
    <t>Painel (filtros, matriz, gráfico, tabela dinâmica); Temas; IRO; Evidencias; Consultas</t>
  </si>
  <si>
    <t>Folha</t>
  </si>
  <si>
    <t>Tabela</t>
  </si>
  <si>
    <t>Linha_Cabecalho</t>
  </si>
  <si>
    <t>N_Linhas</t>
  </si>
  <si>
    <t>N_Colunas</t>
  </si>
  <si>
    <t>Chave_Primaria</t>
  </si>
  <si>
    <t>Leitura_pandas</t>
  </si>
  <si>
    <t>PESTEL</t>
  </si>
  <si>
    <t>tbl_pestel</t>
  </si>
  <si>
    <t>ID_PESTEL</t>
  </si>
  <si>
    <t>pd.read_excel("SGA-01_Contexto_SWOT_PESTEL.xlsx", sheet_name="PESTEL", header=0)</t>
  </si>
  <si>
    <t>SWOT</t>
  </si>
  <si>
    <t>tbl_swot</t>
  </si>
  <si>
    <t>ID_SWOT</t>
  </si>
  <si>
    <t>pd.read_excel("SGA-01_Contexto_SWOT_PESTEL.xlsx", sheet_name="SWOT", header=0)</t>
  </si>
  <si>
    <t>Matriz_TOWS</t>
  </si>
  <si>
    <t>tbl_tows</t>
  </si>
  <si>
    <t>ID_TOWS</t>
  </si>
  <si>
    <t>pd.read_excel("SGA-01_Contexto_SWOT_PESTEL.xlsx", sheet_name="Matriz_TOWS", header=0)</t>
  </si>
  <si>
    <t>Cinco_Forcas</t>
  </si>
  <si>
    <t>tbl_cinco_forcas</t>
  </si>
  <si>
    <t>ID_Forca</t>
  </si>
  <si>
    <t>pd.read_excel("SGA-01_Contexto_SWOT_PESTEL.xlsx", sheet_name="Cinco_Forcas", header=3)</t>
  </si>
  <si>
    <t>Partes_Interessadas</t>
  </si>
  <si>
    <t>tbl_partes_interessadas</t>
  </si>
  <si>
    <t>ID_PI</t>
  </si>
  <si>
    <t>pd.read_excel("SGA-01_Contexto_SWOT_PESTEL.xlsx", sheet_name="Partes_Interessadas", header=3)</t>
  </si>
  <si>
    <t>tbl_dicionario</t>
  </si>
  <si>
    <t>pd.read_excel("SGA-01_Contexto_SWOT_PESTEL.xlsx", sheet_name="Dicionario_Dados", header=0)</t>
  </si>
  <si>
    <t>Riscos</t>
  </si>
  <si>
    <t>tbRiscos</t>
  </si>
  <si>
    <t>ID</t>
  </si>
  <si>
    <t>pd.read_excel("SGA-02_Gestao_Riscos_Oportunidades.xlsx", sheet_name="Riscos", header=3)</t>
  </si>
  <si>
    <t>Oportunidades</t>
  </si>
  <si>
    <t>tbOportunidades</t>
  </si>
  <si>
    <t>pd.read_excel("SGA-02_Gestao_Riscos_Oportunidades.xlsx", sheet_name="Oportunidades", header=3)</t>
  </si>
  <si>
    <t>Planos</t>
  </si>
  <si>
    <t>tbPlanos</t>
  </si>
  <si>
    <t>Código</t>
  </si>
  <si>
    <t>pd.read_excel("SGA-02_Gestao_Riscos_Oportunidades.xlsx", sheet_name="Planos", header=5)</t>
  </si>
  <si>
    <t>KRI</t>
  </si>
  <si>
    <t>tbKRI</t>
  </si>
  <si>
    <t>ID KRI</t>
  </si>
  <si>
    <t>pd.read_excel("SGA-02_Gestao_Riscos_Oportunidades.xlsx", sheet_name="KRI", header=5)</t>
  </si>
  <si>
    <t>KRI_Coletas</t>
  </si>
  <si>
    <t>tbKRIColetas</t>
  </si>
  <si>
    <t>pd.read_excel("SGA-02_Gestao_Riscos_Oportunidades.xlsx", sheet_name="KRI_Coletas", header=3)</t>
  </si>
  <si>
    <t>BowTie</t>
  </si>
  <si>
    <t>tbBowTie</t>
  </si>
  <si>
    <t>ID do risco / oport.</t>
  </si>
  <si>
    <t>pd.read_excel("SGA-02_Gestao_Riscos_Oportunidades.xlsx", sheet_name="BowTie", header=5)</t>
  </si>
  <si>
    <t>Monitoramento</t>
  </si>
  <si>
    <t>tbMonitoramento</t>
  </si>
  <si>
    <t>Nível</t>
  </si>
  <si>
    <t>pd.read_excel("SGA-02_Gestao_Riscos_Oportunidades.xlsx", sheet_name="Monitoramento", header=3)</t>
  </si>
  <si>
    <t>Maturidade_Auditoria</t>
  </si>
  <si>
    <t>tbAuditorias</t>
  </si>
  <si>
    <t>Auditoria</t>
  </si>
  <si>
    <t>pd.read_excel("SGA-02_Gestao_Riscos_Oportunidades.xlsx", sheet_name="Maturidade_Auditoria", header=71)</t>
  </si>
  <si>
    <t>tbPlanoABR</t>
  </si>
  <si>
    <t>Nº</t>
  </si>
  <si>
    <t>pd.read_excel("SGA-02_Gestao_Riscos_Oportunidades.xlsx", sheet_name="Maturidade_Auditoria", header=115)</t>
  </si>
  <si>
    <t>Maturidade_Registro</t>
  </si>
  <si>
    <t>tbMat</t>
  </si>
  <si>
    <t>Ciclo</t>
  </si>
  <si>
    <t>pd.read_excel("SGA-02_Gestao_Riscos_Oportunidades.xlsx", sheet_name="Maturidade_Registro", header=3)</t>
  </si>
  <si>
    <t>Auditoria_Registro</t>
  </si>
  <si>
    <t>tbAud</t>
  </si>
  <si>
    <t>pd.read_excel("SGA-02_Gestao_Riscos_Oportunidades.xlsx", sheet_name="Auditoria_Registro", header=3)</t>
  </si>
  <si>
    <t>Histórico</t>
  </si>
  <si>
    <t>tbHistorico</t>
  </si>
  <si>
    <t>Data</t>
  </si>
  <si>
    <t>pd.read_excel("SGA-02_Gestao_Riscos_Oportunidades.xlsx", sheet_name="Histórico", header=3)</t>
  </si>
  <si>
    <t>Dicionário_Dados</t>
  </si>
  <si>
    <t>tbDicionario</t>
  </si>
  <si>
    <t>Aba</t>
  </si>
  <si>
    <t>pd.read_excel("SGA-02_Gestao_Riscos_Oportunidades.xlsx", sheet_name="Dicionário_Dados", header=3)</t>
  </si>
  <si>
    <t>Impactes</t>
  </si>
  <si>
    <t>tbl_impactes</t>
  </si>
  <si>
    <t>ID_Impacte</t>
  </si>
  <si>
    <t>pd.read_excel("SGA-03_Aspetos_Impactes_Ambientais.xlsx", sheet_name="Impactes", header=0)</t>
  </si>
  <si>
    <t>Aspetos_Impactes</t>
  </si>
  <si>
    <t>tbl_aspetos</t>
  </si>
  <si>
    <t>ID_Aspeto</t>
  </si>
  <si>
    <t>pd.read_excel("SGA-03_Aspetos_Impactes_Ambientais.xlsx", sheet_name="Aspetos_Impactes", header=3)</t>
  </si>
  <si>
    <t>Aspeto_Impacte</t>
  </si>
  <si>
    <t>tbl_aspeto_impacte</t>
  </si>
  <si>
    <t>pd.read_excel("SGA-03_Aspetos_Impactes_Ambientais.xlsx", sheet_name="Aspeto_Impacte", header=0)</t>
  </si>
  <si>
    <t>pd.read_excel("SGA-03_Aspetos_Impactes_Ambientais.xlsx", sheet_name="Dicionario_Dados", header=0)</t>
  </si>
  <si>
    <t>Requisitos_Legais</t>
  </si>
  <si>
    <t>tbl_legal</t>
  </si>
  <si>
    <t>ID_Legal</t>
  </si>
  <si>
    <t>pd.read_excel("SGA-04_Requisitos_Legais_Conformidade.xlsx", sheet_name="Requisitos_Legais", header=3)</t>
  </si>
  <si>
    <t>Calendario_Obrigacoes</t>
  </si>
  <si>
    <t>tbl_obrigacoes</t>
  </si>
  <si>
    <t>ID_Obrigacao</t>
  </si>
  <si>
    <t>pd.read_excel("SGA-04_Requisitos_Legais_Conformidade.xlsx", sheet_name="Calendario_Obrigacoes", header=0)</t>
  </si>
  <si>
    <t>Historico_Avaliacoes</t>
  </si>
  <si>
    <t>tbl_hist_conformidade</t>
  </si>
  <si>
    <t>pd.read_excel("SGA-04_Requisitos_Legais_Conformidade.xlsx", sheet_name="Historico_Avaliacoes", header=0)</t>
  </si>
  <si>
    <t>pd.read_excel("SGA-04_Requisitos_Legais_Conformidade.xlsx", sheet_name="Dicionario_Dados", header=0)</t>
  </si>
  <si>
    <t>Politica</t>
  </si>
  <si>
    <t>tbl_politica</t>
  </si>
  <si>
    <t>ID_Politica</t>
  </si>
  <si>
    <t>pd.read_excel("SGA-05_Objetivos_Metas_KPI.xlsx", sheet_name="Politica", header=0)</t>
  </si>
  <si>
    <t>Catalogo_KPI</t>
  </si>
  <si>
    <t>tbl_kpi</t>
  </si>
  <si>
    <t>ID_KPI</t>
  </si>
  <si>
    <t>pd.read_excel("SGA-05_Objetivos_Metas_KPI.xlsx", sheet_name="Catalogo_KPI", header=0)</t>
  </si>
  <si>
    <t>Objetivos_SMART</t>
  </si>
  <si>
    <t>tbl_objetivos</t>
  </si>
  <si>
    <t>ID_OBJ</t>
  </si>
  <si>
    <t>pd.read_excel("SGA-05_Objetivos_Metas_KPI.xlsx", sheet_name="Objetivos_SMART", header=3)</t>
  </si>
  <si>
    <t>Acompanhamento_Mensal</t>
  </si>
  <si>
    <t>tbl_acomp_objetivos</t>
  </si>
  <si>
    <t>pd.read_excel("SGA-05_Objetivos_Metas_KPI.xlsx", sheet_name="Acompanhamento_Mensal", header=0)</t>
  </si>
  <si>
    <t>pd.read_excel("SGA-05_Objetivos_Metas_KPI.xlsx", sheet_name="Dicionario_Dados", header=0)</t>
  </si>
  <si>
    <t>PAM</t>
  </si>
  <si>
    <t>tbl_pam</t>
  </si>
  <si>
    <t>ID_Acao</t>
  </si>
  <si>
    <t>pd.read_excel("SGA-06_Plano_Acoes_Melhoria_PAM.xlsx", sheet_name="PAM", header=3)</t>
  </si>
  <si>
    <t>pd.read_excel("SGA-06_Plano_Acoes_Melhoria_PAM.xlsx", sheet_name="Dicionario_Dados", header=0)</t>
  </si>
  <si>
    <t>Registo_NC</t>
  </si>
  <si>
    <t>tbl_nc</t>
  </si>
  <si>
    <t>ID_NC</t>
  </si>
  <si>
    <t>pd.read_excel("SGA-07_Nao_Conformidades_RNC.xlsx", sheet_name="Registo_NC", header=3)</t>
  </si>
  <si>
    <t>Cinco_Porques</t>
  </si>
  <si>
    <t>tbl_5porques</t>
  </si>
  <si>
    <t>pd.read_excel("SGA-07_Nao_Conformidades_RNC.xlsx", sheet_name="Cinco_Porques", header=0)</t>
  </si>
  <si>
    <t>Registo_Incidentes</t>
  </si>
  <si>
    <t>tbl_incidentes</t>
  </si>
  <si>
    <t>ID_Incidente</t>
  </si>
  <si>
    <t>pd.read_excel("SGA-07_Nao_Conformidades_RNC.xlsx", sheet_name="Registo_Incidentes", header=3)</t>
  </si>
  <si>
    <t>pd.read_excel("SGA-07_Nao_Conformidades_RNC.xlsx", sheet_name="Dicionario_Dados", header=0)</t>
  </si>
  <si>
    <t>Catalogo_Formacao</t>
  </si>
  <si>
    <t>tbl_formacoes</t>
  </si>
  <si>
    <t>ID_Formacao</t>
  </si>
  <si>
    <t>pd.read_excel("SGA-08_Competencias_Consciencializacao.xlsx", sheet_name="Catalogo_Formacao", header=0)</t>
  </si>
  <si>
    <t>Matriz_Competencias</t>
  </si>
  <si>
    <t>tbl_competencias</t>
  </si>
  <si>
    <t>ID_Competencia</t>
  </si>
  <si>
    <t>pd.read_excel("SGA-08_Competencias_Consciencializacao.xlsx", sheet_name="Matriz_Competencias", header=3)</t>
  </si>
  <si>
    <t>Registo_Formacao</t>
  </si>
  <si>
    <t>tbl_registo_formacao</t>
  </si>
  <si>
    <t>ID_Registo</t>
  </si>
  <si>
    <t>pd.read_excel("SGA-08_Competencias_Consciencializacao.xlsx", sheet_name="Registo_Formacao", header=0)</t>
  </si>
  <si>
    <t>Matriz_RACI</t>
  </si>
  <si>
    <t>tbl_raci</t>
  </si>
  <si>
    <t>ID_Processo</t>
  </si>
  <si>
    <t>pd.read_excel("SGA-08_Competencias_Consciencializacao.xlsx", sheet_name="Matriz_RACI", header=3)</t>
  </si>
  <si>
    <t>pd.read_excel("SGA-08_Competencias_Consciencializacao.xlsx", sheet_name="Dicionario_Dados", header=0)</t>
  </si>
  <si>
    <t>Matriz_Comunicacao</t>
  </si>
  <si>
    <t>tbl_comunicacao</t>
  </si>
  <si>
    <t>ID_Comunicacao</t>
  </si>
  <si>
    <t>pd.read_excel("SGA-09_Comunicacao_Controlo_Documental.xlsx", sheet_name="Matriz_Comunicacao", header=3)</t>
  </si>
  <si>
    <t>Lista_Mestra</t>
  </si>
  <si>
    <t>tbl_lista_mestra</t>
  </si>
  <si>
    <t>pd.read_excel("SGA-09_Comunicacao_Controlo_Documental.xlsx", sheet_name="Lista_Mestra", header=0)</t>
  </si>
  <si>
    <t>Elementos_Controlo</t>
  </si>
  <si>
    <t>tbl_elementos</t>
  </si>
  <si>
    <t>ID_Elemento</t>
  </si>
  <si>
    <t>pd.read_excel("SGA-09_Comunicacao_Controlo_Documental.xlsx", sheet_name="Elementos_Controlo", header=0)</t>
  </si>
  <si>
    <t>Verificacao_Documental</t>
  </si>
  <si>
    <t>tbl_verif_documental</t>
  </si>
  <si>
    <t>ID_Verificacao</t>
  </si>
  <si>
    <t>pd.read_excel("SGA-09_Comunicacao_Controlo_Documental.xlsx", sheet_name="Verificacao_Documental", header=0)</t>
  </si>
  <si>
    <t>Comunicacoes_Externas</t>
  </si>
  <si>
    <t>tbl_comunicacoes_externas</t>
  </si>
  <si>
    <t>ID_Com_Ext</t>
  </si>
  <si>
    <t>pd.read_excel("SGA-09_Comunicacao_Controlo_Documental.xlsx", sheet_name="Comunicacoes_Externas", header=3)</t>
  </si>
  <si>
    <t>pd.read_excel("SGA-09_Comunicacao_Controlo_Documental.xlsx", sheet_name="Dicionario_Dados", header=0)</t>
  </si>
  <si>
    <t>Pontos_Controlo</t>
  </si>
  <si>
    <t>tbl_pontos</t>
  </si>
  <si>
    <t>ID_Ponto</t>
  </si>
  <si>
    <t>pd.read_excel("SGA-10_Controlo_Operacional_Rondas.xlsx", sheet_name="Pontos_Controlo", header=3)</t>
  </si>
  <si>
    <t>Execucao_Rondas</t>
  </si>
  <si>
    <t>tbl_execucao_rondas</t>
  </si>
  <si>
    <t>ID_Ronda</t>
  </si>
  <si>
    <t>pd.read_excel("SGA-10_Controlo_Operacional_Rondas.xlsx", sheet_name="Execucao_Rondas", header=0)</t>
  </si>
  <si>
    <t>Manutencao_Ambiental</t>
  </si>
  <si>
    <t>tbl_manutencao_ambiental</t>
  </si>
  <si>
    <t>ID_OT</t>
  </si>
  <si>
    <t>pd.read_excel("SGA-10_Controlo_Operacional_Rondas.xlsx", sheet_name="Manutencao_Ambiental", header=3)</t>
  </si>
  <si>
    <t>pd.read_excel("SGA-10_Controlo_Operacional_Rondas.xlsx", sheet_name="Dicionario_Dados", header=0)</t>
  </si>
  <si>
    <t>Criterios</t>
  </si>
  <si>
    <t>tbl_criterios</t>
  </si>
  <si>
    <t>ID_Criterio</t>
  </si>
  <si>
    <t>pd.read_excel("SGA-11_Fornecedores_Ciclo_Vida.xlsx", sheet_name="Criterios", header=0)</t>
  </si>
  <si>
    <t>Fornecedores</t>
  </si>
  <si>
    <t>tbl_fornecedores</t>
  </si>
  <si>
    <t>ID_Fornecedor</t>
  </si>
  <si>
    <t>pd.read_excel("SGA-11_Fornecedores_Ciclo_Vida.xlsx", sheet_name="Fornecedores", header=3)</t>
  </si>
  <si>
    <t>Avaliacao_Fornecedor</t>
  </si>
  <si>
    <t>tbl_avaliacao_fornecedor</t>
  </si>
  <si>
    <t>pd.read_excel("SGA-11_Fornecedores_Ciclo_Vida.xlsx", sheet_name="Avaliacao_Fornecedor", header=0)</t>
  </si>
  <si>
    <t>Outros_Fornecedores</t>
  </si>
  <si>
    <t>tbl_outros_fornecedores</t>
  </si>
  <si>
    <t>pd.read_excel("SGA-11_Fornecedores_Ciclo_Vida.xlsx", sheet_name="Outros_Fornecedores", header=0)</t>
  </si>
  <si>
    <t>pd.read_excel("SGA-11_Fornecedores_Ciclo_Vida.xlsx", sheet_name="Dicionario_Dados", header=0)</t>
  </si>
  <si>
    <t>Cenarios</t>
  </si>
  <si>
    <t>tbl_cenarios</t>
  </si>
  <si>
    <t>ID_Cenario</t>
  </si>
  <si>
    <t>pd.read_excel("SGA-12_Emergencias_Ambientais.xlsx", sheet_name="Cenarios", header=3)</t>
  </si>
  <si>
    <t>IT_Passos</t>
  </si>
  <si>
    <t>tbl_it_passos</t>
  </si>
  <si>
    <t>ID_IT</t>
  </si>
  <si>
    <t>pd.read_excel("SGA-12_Emergencias_Ambientais.xlsx", sheet_name="IT_Passos", header=0)</t>
  </si>
  <si>
    <t>Meios_Resposta</t>
  </si>
  <si>
    <t>tbl_meios</t>
  </si>
  <si>
    <t>ID_Meio</t>
  </si>
  <si>
    <t>pd.read_excel("SGA-12_Emergencias_Ambientais.xlsx", sheet_name="Meios_Resposta", header=0)</t>
  </si>
  <si>
    <t>Simulacros</t>
  </si>
  <si>
    <t>tbl_simulacros</t>
  </si>
  <si>
    <t>ID_Simulacro</t>
  </si>
  <si>
    <t>pd.read_excel("SGA-12_Emergencias_Ambientais.xlsx", sheet_name="Simulacros", header=0)</t>
  </si>
  <si>
    <t>pd.read_excel("SGA-12_Emergencias_Ambientais.xlsx", sheet_name="Dicionario_Dados", header=0)</t>
  </si>
  <si>
    <t>Plano_Monitorizacao</t>
  </si>
  <si>
    <t>tbl_plano_monitorizacao</t>
  </si>
  <si>
    <t>ID_MED</t>
  </si>
  <si>
    <t>pd.read_excel("SGA-13_Monitorizacao_Medicao_Desempenho.xlsx", sheet_name="Plano_Monitorizacao", header=3)</t>
  </si>
  <si>
    <t>Equipamentos_Calibracao</t>
  </si>
  <si>
    <t>tbl_equipamentos</t>
  </si>
  <si>
    <t>ID_Equipamento</t>
  </si>
  <si>
    <t>pd.read_excel("SGA-13_Monitorizacao_Medicao_Desempenho.xlsx", sheet_name="Equipamentos_Calibracao", header=0)</t>
  </si>
  <si>
    <t>Parametros</t>
  </si>
  <si>
    <t>tbl_parametros</t>
  </si>
  <si>
    <t>pd.read_excel("SGA-13_Monitorizacao_Medicao_Desempenho.xlsx", sheet_name="Parametros", header=0)</t>
  </si>
  <si>
    <t>Dim_Mes</t>
  </si>
  <si>
    <t>tbl_meses</t>
  </si>
  <si>
    <t>Mes</t>
  </si>
  <si>
    <t>pd.read_excel("SGA-13_Monitorizacao_Medicao_Desempenho.xlsx", sheet_name="Dim_Mes", header=0)</t>
  </si>
  <si>
    <t>Producao_Mensal</t>
  </si>
  <si>
    <t>tbl_producao_mensal</t>
  </si>
  <si>
    <t>pd.read_excel("SGA-13_Monitorizacao_Medicao_Desempenho.xlsx", sheet_name="Producao_Mensal", header=0)</t>
  </si>
  <si>
    <t>Dados_Ambientais</t>
  </si>
  <si>
    <t>tbl_dados_ambientais</t>
  </si>
  <si>
    <t>pd.read_excel("SGA-13_Monitorizacao_Medicao_Desempenho.xlsx", sheet_name="Dados_Ambientais", header=0)</t>
  </si>
  <si>
    <t>Residuos_Mensais</t>
  </si>
  <si>
    <t>tbl_residuos</t>
  </si>
  <si>
    <t>pd.read_excel("SGA-13_Monitorizacao_Medicao_Desempenho.xlsx", sheet_name="Residuos_Mensais", header=0)</t>
  </si>
  <si>
    <t>Hipoteses_Desvio</t>
  </si>
  <si>
    <t>tbl_hipoteses</t>
  </si>
  <si>
    <t>ID_Hipotese</t>
  </si>
  <si>
    <t>pd.read_excel("SGA-13_Monitorizacao_Medicao_Desempenho.xlsx", sheet_name="Hipoteses_Desvio", header=0)</t>
  </si>
  <si>
    <t>Pesagem_Solvente</t>
  </si>
  <si>
    <t>tbl_pesagem_solvente</t>
  </si>
  <si>
    <t>pd.read_excel("SGA-13_Monitorizacao_Medicao_Desempenho.xlsx", sheet_name="Pesagem_Solvente", header=0)</t>
  </si>
  <si>
    <t>Analises_Laboratoriais</t>
  </si>
  <si>
    <t>tbl_analises</t>
  </si>
  <si>
    <t>ID_Analise</t>
  </si>
  <si>
    <t>pd.read_excel("SGA-13_Monitorizacao_Medicao_Desempenho.xlsx", sheet_name="Analises_Laboratoriais", header=3)</t>
  </si>
  <si>
    <t>pd.read_excel("SGA-13_Monitorizacao_Medicao_Desempenho.xlsx", sheet_name="Dicionario_Dados", header=0)</t>
  </si>
  <si>
    <t>Programa_Auditorias</t>
  </si>
  <si>
    <t>tbl_programa_auditorias</t>
  </si>
  <si>
    <t>ID_Auditoria</t>
  </si>
  <si>
    <t>pd.read_excel("SGA-14_Auditoria_Interna.xlsx", sheet_name="Programa_Auditorias", header=0)</t>
  </si>
  <si>
    <t>Checklist_Constatacoes</t>
  </si>
  <si>
    <t>tbl_constatacoes</t>
  </si>
  <si>
    <t>ID_Constatacao</t>
  </si>
  <si>
    <t>pd.read_excel("SGA-14_Auditoria_Interna.xlsx", sheet_name="Checklist_Constatacoes", header=3)</t>
  </si>
  <si>
    <t>pd.read_excel("SGA-14_Auditoria_Interna.xlsx", sheet_name="Dicionario_Dados", header=0)</t>
  </si>
  <si>
    <t>Participantes</t>
  </si>
  <si>
    <t>tbl_participantes</t>
  </si>
  <si>
    <t>ID_Reuniao</t>
  </si>
  <si>
    <t>pd.read_excel("SGA-15_Revisao_pela_Gestao.xlsx", sheet_name="Participantes", header=0)</t>
  </si>
  <si>
    <t>Ordem_Trabalhos</t>
  </si>
  <si>
    <t>tbl_agenda</t>
  </si>
  <si>
    <t>pd.read_excel("SGA-15_Revisao_pela_Gestao.xlsx", sheet_name="Ordem_Trabalhos", header=3)</t>
  </si>
  <si>
    <t>Ata_Decisoes</t>
  </si>
  <si>
    <t>tbl_decisoes</t>
  </si>
  <si>
    <t>ID_Decisao</t>
  </si>
  <si>
    <t>pd.read_excel("SGA-15_Revisao_pela_Gestao.xlsx", sheet_name="Ata_Decisoes", header=0)</t>
  </si>
  <si>
    <t>Conclusoes</t>
  </si>
  <si>
    <t>tbl_conclusoes</t>
  </si>
  <si>
    <t>Tema</t>
  </si>
  <si>
    <t>pd.read_excel("SGA-15_Revisao_pela_Gestao.xlsx", sheet_name="Conclusoes", header=0)</t>
  </si>
  <si>
    <t>pd.read_excel("SGA-15_Revisao_pela_Gestao.xlsx", sheet_name="Dicionario_Dados", header=0)</t>
  </si>
  <si>
    <t>Ideias_Kaizen</t>
  </si>
  <si>
    <t>tbl_kaizen</t>
  </si>
  <si>
    <t>ID_KZ</t>
  </si>
  <si>
    <t>pd.read_excel("SGA-16_Melhoria_Kaizen_EMAS.xlsx", sheet_name="Ideias_Kaizen", header=3)</t>
  </si>
  <si>
    <t>EMAS_Indicadores</t>
  </si>
  <si>
    <t>tbl_emas</t>
  </si>
  <si>
    <t>ID_EMAS</t>
  </si>
  <si>
    <t>pd.read_excel("SGA-16_Melhoria_Kaizen_EMAS.xlsx", sheet_name="EMAS_Indicadores", header=3)</t>
  </si>
  <si>
    <t>EMAS_Transparencia</t>
  </si>
  <si>
    <t>tbl_emas_transparencia</t>
  </si>
  <si>
    <t>pd.read_excel("SGA-16_Melhoria_Kaizen_EMAS.xlsx", sheet_name="EMAS_Transparencia", header=0)</t>
  </si>
  <si>
    <t>pd.read_excel("SGA-16_Melhoria_Kaizen_EMAS.xlsx", sheet_name="Dicionario_Dados", header=0)</t>
  </si>
  <si>
    <t>Temas</t>
  </si>
  <si>
    <t>tbl_dma_temas</t>
  </si>
  <si>
    <t>ID_Tema</t>
  </si>
  <si>
    <t>pd.read_excel("SGA-17_Dupla_Materialidade.xlsx", sheet_name="Temas", header=3)</t>
  </si>
  <si>
    <t>IRO</t>
  </si>
  <si>
    <t>tbl_dma_iro</t>
  </si>
  <si>
    <t>ID_IRO</t>
  </si>
  <si>
    <t>pd.read_excel("SGA-17_Dupla_Materialidade.xlsx", sheet_name="IRO", header=3)</t>
  </si>
  <si>
    <t>Evidencias</t>
  </si>
  <si>
    <t>tbl_dma_evidencias</t>
  </si>
  <si>
    <t>ID_Evidencia</t>
  </si>
  <si>
    <t>pd.read_excel("SGA-17_Dupla_Materialidade.xlsx", sheet_name="Evidencias", header=3)</t>
  </si>
  <si>
    <t>Consultas</t>
  </si>
  <si>
    <t>tbl_dma_consultas</t>
  </si>
  <si>
    <t>ID_Contributo</t>
  </si>
  <si>
    <t>pd.read_excel("SGA-17_Dupla_Materialidade.xlsx", sheet_name="Consultas", header=3)</t>
  </si>
  <si>
    <t>tbl_dma_escalas</t>
  </si>
  <si>
    <t>Criterio</t>
  </si>
  <si>
    <t>pd.read_excel("SGA-17_Dupla_Materialidade.xlsx", sheet_name="Listas", header=27)</t>
  </si>
  <si>
    <t>tbl_dma_parametros</t>
  </si>
  <si>
    <t>Parametro</t>
  </si>
  <si>
    <t>pd.read_excel("SGA-17_Dupla_Materialidade.xlsx", sheet_name="Listas", header=56)</t>
  </si>
  <si>
    <t>pd.read_excel("SGA-17_Dupla_Materialidade.xlsx", sheet_name="Dicionario_Dados", header=0)</t>
  </si>
  <si>
    <t>Alteracoes</t>
  </si>
  <si>
    <t>tbl_alteracoes</t>
  </si>
  <si>
    <t>ID_Alteracao</t>
  </si>
  <si>
    <t>pd.read_excel("SGA-18_Planeamento_Alteracoes.xlsx", sheet_name="Alteracoes", header=3)</t>
  </si>
  <si>
    <t>pd.read_excel("SGA-18_Planeamento_Alteracoes.xlsx", sheet_name="Dicionario_Dados", header=0)</t>
  </si>
  <si>
    <t>Fatores_Emissao</t>
  </si>
  <si>
    <t>tbl_fatores_emissao</t>
  </si>
  <si>
    <t>ID_FE</t>
  </si>
  <si>
    <t>pd.read_excel("SGA-19_ESG_Ambiental_GEE.xlsx", sheet_name="Fatores_Emissao", header=3)</t>
  </si>
  <si>
    <t>Inventario_GEE</t>
  </si>
  <si>
    <t>tbl_inventario_gee</t>
  </si>
  <si>
    <t>pd.read_excel("SGA-19_ESG_Ambiental_GEE.xlsx", sheet_name="Inventario_GEE", header=3)</t>
  </si>
  <si>
    <t>Metas_Clima</t>
  </si>
  <si>
    <t>tbl_metas_clima</t>
  </si>
  <si>
    <t>ID_Meta</t>
  </si>
  <si>
    <t>pd.read_excel("SGA-19_ESG_Ambiental_GEE.xlsx", sheet_name="Metas_Clima", header=3)</t>
  </si>
  <si>
    <t>Pegada_Produto</t>
  </si>
  <si>
    <t>tbl_pegada_produto</t>
  </si>
  <si>
    <t>ProductId</t>
  </si>
  <si>
    <t>pd.read_excel("SGA-19_ESG_Ambiental_GEE.xlsx", sheet_name="Pegada_Produto", header=3)</t>
  </si>
  <si>
    <t>Indicadores_ESG_E</t>
  </si>
  <si>
    <t>tbl_indicadores_esg</t>
  </si>
  <si>
    <t>ID_Indicador</t>
  </si>
  <si>
    <t>pd.read_excel("SGA-19_ESG_Ambiental_GEE.xlsx", sheet_name="Indicadores_ESG_E", header=3)</t>
  </si>
  <si>
    <t>Matriz_ESG_E</t>
  </si>
  <si>
    <t>tbl_matriz_esg</t>
  </si>
  <si>
    <t>pd.read_excel("SGA-19_ESG_Ambiental_GEE.xlsx", sheet_name="Matriz_ESG_E", header=3)</t>
  </si>
  <si>
    <t>pd.read_excel("SGA-19_ESG_Ambiental_GEE.xlsx", sheet_name="Dicionario_Dados", header=0)</t>
  </si>
  <si>
    <t>tbl_param_emb</t>
  </si>
  <si>
    <t>ID_Parametro</t>
  </si>
  <si>
    <t>pd.read_excel("SGA-20_Reciclabilidade_Embalagens.xlsx", sheet_name="Parametros", header=3)</t>
  </si>
  <si>
    <t>Metas_Art7</t>
  </si>
  <si>
    <t>tbl_metas_art7</t>
  </si>
  <si>
    <t>Categoria_Art7</t>
  </si>
  <si>
    <t>pd.read_excel("SGA-20_Reciclabilidade_Embalagens.xlsx", sheet_name="Metas_Art7", header=0)</t>
  </si>
  <si>
    <t>Materiais</t>
  </si>
  <si>
    <t>tbl_materiais</t>
  </si>
  <si>
    <t>Material</t>
  </si>
  <si>
    <t>pd.read_excel("SGA-20_Reciclabilidade_Embalagens.xlsx", sheet_name="Materiais", header=0)</t>
  </si>
  <si>
    <t>Regras_DfR</t>
  </si>
  <si>
    <t>tbl_regras_dfr</t>
  </si>
  <si>
    <t>Chave</t>
  </si>
  <si>
    <t>pd.read_excel("SGA-20_Reciclabilidade_Embalagens.xlsx", sheet_name="Regras_DfR", header=3)</t>
  </si>
  <si>
    <t>Tampas</t>
  </si>
  <si>
    <t>tbl_tampas</t>
  </si>
  <si>
    <t>CapId</t>
  </si>
  <si>
    <t>pd.read_excel("SGA-20_Reciclabilidade_Embalagens.xlsx", sheet_name="Tampas", header=0)</t>
  </si>
  <si>
    <t>Avaliacao_RecyClass</t>
  </si>
  <si>
    <t>tbl_recyclass</t>
  </si>
  <si>
    <t>ID_Avaliacao</t>
  </si>
  <si>
    <t>pd.read_excel("SGA-20_Reciclabilidade_Embalagens.xlsx", sheet_name="Avaliacao_RecyClass", header=3)</t>
  </si>
  <si>
    <t>Compat_Tampas</t>
  </si>
  <si>
    <t>tbl_compat_tampas</t>
  </si>
  <si>
    <t>pd.read_excel("SGA-20_Reciclabilidade_Embalagens.xlsx", sheet_name="Compat_Tampas", header=0)</t>
  </si>
  <si>
    <t>Familias_PPWR</t>
  </si>
  <si>
    <t>tbl_familias_ppwr</t>
  </si>
  <si>
    <t>ID_Familia</t>
  </si>
  <si>
    <t>pd.read_excel("SGA-20_Reciclabilidade_Embalagens.xlsx", sheet_name="Familias_PPWR", header=0)</t>
  </si>
  <si>
    <t>Requisitos_Embalagem</t>
  </si>
  <si>
    <t>tbl_requisitos_emb</t>
  </si>
  <si>
    <t>ID_Req</t>
  </si>
  <si>
    <t>pd.read_excel("SGA-20_Reciclabilidade_Embalagens.xlsx", sheet_name="Requisitos_Embalagem", header=3)</t>
  </si>
  <si>
    <t>Aplicabilidade_Produto</t>
  </si>
  <si>
    <t>tbl_aplicabilidade</t>
  </si>
  <si>
    <t>pd.read_excel("SGA-20_Reciclabilidade_Embalagens.xlsx", sheet_name="Aplicabilidade_Produto", header=0)</t>
  </si>
  <si>
    <t>Vendas_Pais</t>
  </si>
  <si>
    <t>tbl_vendas_embalagem</t>
  </si>
  <si>
    <t>pd.read_excel("SGA-20_Reciclabilidade_Embalagens.xlsx", sheet_name="Vendas_Pais", header=0)</t>
  </si>
  <si>
    <t>Embalagens_Expedicao</t>
  </si>
  <si>
    <t>tbl_emb_expedicao</t>
  </si>
  <si>
    <t>pd.read_excel("SGA-20_Reciclabilidade_Embalagens.xlsx", sheet_name="Embalagens_Expedicao", header=0)</t>
  </si>
  <si>
    <t>Requisitos_Pais</t>
  </si>
  <si>
    <t>tbl_requisitos_pais</t>
  </si>
  <si>
    <t>ID_Pais_Req</t>
  </si>
  <si>
    <t>pd.read_excel("SGA-20_Reciclabilidade_Embalagens.xlsx", sheet_name="Requisitos_Pais", header=0)</t>
  </si>
  <si>
    <t>Certificados_PCR</t>
  </si>
  <si>
    <t>tbl_certificados_pcr</t>
  </si>
  <si>
    <t>ID_Certificado</t>
  </si>
  <si>
    <t>pd.read_excel("SGA-20_Reciclabilidade_Embalagens.xlsx", sheet_name="Certificados_PCR", header=0)</t>
  </si>
  <si>
    <t>Alegacoes</t>
  </si>
  <si>
    <t>tbl_alegacoes</t>
  </si>
  <si>
    <t>ID_Alegacao</t>
  </si>
  <si>
    <t>pd.read_excel("SGA-20_Reciclabilidade_Embalagens.xlsx", sheet_name="Alegacoes", header=0)</t>
  </si>
  <si>
    <t>Maturidade</t>
  </si>
  <si>
    <t>tbl_maturidade_emb</t>
  </si>
  <si>
    <t>ID_Item</t>
  </si>
  <si>
    <t>pd.read_excel("SGA-20_Reciclabilidade_Embalagens.xlsx", sheet_name="Maturidade", header=0)</t>
  </si>
  <si>
    <t>pd.read_excel("SGA-20_Reciclabilidade_Embalagens.xlsx", sheet_name="Dicionario_Dados", header=0)</t>
  </si>
  <si>
    <t>Papel_REACH</t>
  </si>
  <si>
    <t>tbl_papel_reach</t>
  </si>
  <si>
    <t>ID_Papel</t>
  </si>
  <si>
    <t>pd.read_excel("SGA-21_Gestao_Produtos_Quimicos.xlsx", sheet_name="Papel_REACH", header=3)</t>
  </si>
  <si>
    <t>Inventario</t>
  </si>
  <si>
    <t>tbl_quimicos</t>
  </si>
  <si>
    <t>ID_Quimico</t>
  </si>
  <si>
    <t>pd.read_excel("SGA-21_Gestao_Produtos_Quimicos.xlsx", sheet_name="Inventario", header=3)</t>
  </si>
  <si>
    <t>Componentes</t>
  </si>
  <si>
    <t>tbl_componentes</t>
  </si>
  <si>
    <t>ID_Componente</t>
  </si>
  <si>
    <t>pd.read_excel("SGA-21_Gestao_Produtos_Quimicos.xlsx", sheet_name="Componentes", header=3)</t>
  </si>
  <si>
    <t>FDS_Verificacao</t>
  </si>
  <si>
    <t>tbl_fds</t>
  </si>
  <si>
    <t>ID_FDS</t>
  </si>
  <si>
    <t>pd.read_excel("SGA-21_Gestao_Produtos_Quimicos.xlsx", sheet_name="FDS_Verificacao", header=3)</t>
  </si>
  <si>
    <t>Cenarios_Exposicao</t>
  </si>
  <si>
    <t>tbl_ce_reach</t>
  </si>
  <si>
    <t>ID_CE</t>
  </si>
  <si>
    <t>pd.read_excel("SGA-21_Gestao_Produtos_Quimicos.xlsx", sheet_name="Cenarios_Exposicao", header=3)</t>
  </si>
  <si>
    <t>Registo_Importacao</t>
  </si>
  <si>
    <t>tbl_registo_reach</t>
  </si>
  <si>
    <t>ID_Imp</t>
  </si>
  <si>
    <t>pd.read_excel("SGA-21_Gestao_Produtos_Quimicos.xlsx", sheet_name="Registo_Importacao", header=3)</t>
  </si>
  <si>
    <t>Declaracoes_SVHC</t>
  </si>
  <si>
    <t>tbl_declaracoes</t>
  </si>
  <si>
    <t>ID_Decl</t>
  </si>
  <si>
    <t>pd.read_excel("SGA-21_Gestao_Produtos_Quimicos.xlsx", sheet_name="Declaracoes_SVHC", header=3)</t>
  </si>
  <si>
    <t>Avaliacao_Risco</t>
  </si>
  <si>
    <t>tbl_risco_quimico</t>
  </si>
  <si>
    <t>pd.read_excel("SGA-21_Gestao_Produtos_Quimicos.xlsx", sheet_name="Avaliacao_Risco", header=3)</t>
  </si>
  <si>
    <t>Medicoes_VLE</t>
  </si>
  <si>
    <t>tbl_medicoes_vle</t>
  </si>
  <si>
    <t>ID_Medicao</t>
  </si>
  <si>
    <t>pd.read_excel("SGA-21_Gestao_Produtos_Quimicos.xlsx", sheet_name="Medicoes_VLE", header=3)</t>
  </si>
  <si>
    <t>Metodologia</t>
  </si>
  <si>
    <t>tbl_m_volat</t>
  </si>
  <si>
    <t>Volatilidade</t>
  </si>
  <si>
    <t>pd.read_excel("SGA-21_Gestao_Produtos_Quimicos.xlsx", sheet_name="Metodologia", header=3)</t>
  </si>
  <si>
    <t>tbl_m_proced</t>
  </si>
  <si>
    <t>Procedimento</t>
  </si>
  <si>
    <t>tbl_m_prot</t>
  </si>
  <si>
    <t>Protecao</t>
  </si>
  <si>
    <t>tbl_m_superf</t>
  </si>
  <si>
    <t>Superficie</t>
  </si>
  <si>
    <t>pd.read_excel("SGA-21_Gestao_Produtos_Quimicos.xlsx", sheet_name="Metodologia", header=11)</t>
  </si>
  <si>
    <t>tbl_m_freq</t>
  </si>
  <si>
    <t>Frequencia</t>
  </si>
  <si>
    <t>tbl_m_classes</t>
  </si>
  <si>
    <t>Classe</t>
  </si>
  <si>
    <t>Armazenagem</t>
  </si>
  <si>
    <t>tbl_armazenagem</t>
  </si>
  <si>
    <t>ID_Local</t>
  </si>
  <si>
    <t>pd.read_excel("SGA-21_Gestao_Produtos_Quimicos.xlsx", sheet_name="Armazenagem", header=3)</t>
  </si>
  <si>
    <t>Seveso</t>
  </si>
  <si>
    <t>tbl_seveso</t>
  </si>
  <si>
    <t>Categoria</t>
  </si>
  <si>
    <t>pd.read_excel("SGA-21_Gestao_Produtos_Quimicos.xlsx", sheet_name="Seveso", header=3)</t>
  </si>
  <si>
    <t>tbl_seveso_resumo</t>
  </si>
  <si>
    <t>Grupo</t>
  </si>
  <si>
    <t>tbl_requisitos_quimicos</t>
  </si>
  <si>
    <t>pd.read_excel("SGA-21_Gestao_Produtos_Quimicos.xlsx", sheet_name="Requisitos_Legais", header=3)</t>
  </si>
  <si>
    <t>Analise_Critica</t>
  </si>
  <si>
    <t>tbl_analise_critica</t>
  </si>
  <si>
    <t>ID_AC</t>
  </si>
  <si>
    <t>pd.read_excel("SGA-21_Gestao_Produtos_Quimicos.xlsx", sheet_name="Analise_Critica", header=3)</t>
  </si>
  <si>
    <t>tbl_param_quimicos</t>
  </si>
  <si>
    <t>ID_Param</t>
  </si>
  <si>
    <t>pd.read_excel("SGA-21_Gestao_Produtos_Quimicos.xlsx", sheet_name="Parametros", header=3)</t>
  </si>
  <si>
    <t>Ref_Frases_H</t>
  </si>
  <si>
    <t>tbl_frases_h</t>
  </si>
  <si>
    <t>pd.read_excel("SGA-21_Gestao_Produtos_Quimicos.xlsx", sheet_name="Ref_Frases_H", header=3)</t>
  </si>
  <si>
    <t>Ref_SVHC_Vigiadas</t>
  </si>
  <si>
    <t>tbl_svhc_vigiadas</t>
  </si>
  <si>
    <t>Substancia</t>
  </si>
  <si>
    <t>pd.read_excel("SGA-21_Gestao_Produtos_Quimicos.xlsx", sheet_name="Ref_SVHC_Vigiadas", header=3)</t>
  </si>
  <si>
    <t>pd.read_excel("SGA-21_Gestao_Produtos_Quimicos.xlsx", sheet_name="Dicionario_Dados", header=0)</t>
  </si>
  <si>
    <t>Tabela_Origem</t>
  </si>
  <si>
    <t>Coluna</t>
  </si>
  <si>
    <t>Tabela_Destino</t>
  </si>
  <si>
    <t>N_Referencias</t>
  </si>
  <si>
    <t>N_Invalidas</t>
  </si>
  <si>
    <t>IDs_Invalidos</t>
  </si>
  <si>
    <t>Resultado</t>
  </si>
  <si>
    <t>ID_RO</t>
  </si>
  <si>
    <t>tbRiscos / tbOportunidades</t>
  </si>
  <si>
    <t>OK</t>
  </si>
  <si>
    <t>ID de origem (contexto SGA)</t>
  </si>
  <si>
    <t>tbl_swot / tbl_pestel / tbl_legal</t>
  </si>
  <si>
    <t>Cód. PAM (RG-SGA-06)</t>
  </si>
  <si>
    <t>ID_Objetivo</t>
  </si>
  <si>
    <t>ID_PAM</t>
  </si>
  <si>
    <t>ID_Monitorizacao</t>
  </si>
  <si>
    <t>IDs_Aspetos</t>
  </si>
  <si>
    <t>Origem_IDs</t>
  </si>
  <si>
    <t>tbl_aspetos / tbRiscos / tbOportunidades / tbl_legal / tbl_pestel</t>
  </si>
  <si>
    <t>Acoes_PAM</t>
  </si>
  <si>
    <t>ID_RO_Afetado</t>
  </si>
  <si>
    <t>ID_PAM_C1</t>
  </si>
  <si>
    <t>ID_PAM_C2</t>
  </si>
  <si>
    <t>ID_Aspeto_AAS</t>
  </si>
  <si>
    <t>IDs_PAM</t>
  </si>
  <si>
    <t>IDs_Contexto</t>
  </si>
  <si>
    <t>tbl_swot / tbl_pestel</t>
  </si>
  <si>
    <t>IDs_Legal</t>
  </si>
  <si>
    <t>ID_Cenario_EMG</t>
  </si>
  <si>
    <t>ID_FE_Material</t>
  </si>
  <si>
    <t>IDs_Req_Embalagem</t>
  </si>
  <si>
    <t>Familia_PPWR</t>
  </si>
  <si>
    <t>tbl_fornecedores / tbl_outros_fornecedores</t>
  </si>
  <si>
    <t>ID_Ponto_Ronda</t>
  </si>
  <si>
    <t>IDs_Risco_SGI</t>
  </si>
  <si>
    <t>Processo</t>
  </si>
  <si>
    <t>Tipo</t>
  </si>
  <si>
    <t>Maquinas_Dataset</t>
  </si>
  <si>
    <t>Fase_Ciclo_Vida</t>
  </si>
  <si>
    <t>REC</t>
  </si>
  <si>
    <t>Receção e armazenagem de matérias-primas</t>
  </si>
  <si>
    <t>Suporte</t>
  </si>
  <si>
    <t>Aquisição</t>
  </si>
  <si>
    <t>ARQ</t>
  </si>
  <si>
    <t>Armazém de produtos químicos (tintas, solventes, óleos)</t>
  </si>
  <si>
    <t>Produção</t>
  </si>
  <si>
    <t>INJ</t>
  </si>
  <si>
    <t>Injeção de tampas</t>
  </si>
  <si>
    <t>Produtivo</t>
  </si>
  <si>
    <t>IM-001 a IM-008</t>
  </si>
  <si>
    <t>SOP</t>
  </si>
  <si>
    <t>Sopro de frascos (ISBM)</t>
  </si>
  <si>
    <t>ISBM-001 a ISBM-010</t>
  </si>
  <si>
    <t>SER</t>
  </si>
  <si>
    <t>Serigrafia (decoração)</t>
  </si>
  <si>
    <t>SS-001, SS-002</t>
  </si>
  <si>
    <t>HFS</t>
  </si>
  <si>
    <t>Hot foil stamping (decoração)</t>
  </si>
  <si>
    <t>HF-001, HF-002</t>
  </si>
  <si>
    <t>MOA</t>
  </si>
  <si>
    <t>Moagem e reintegração de scrap (regrind)</t>
  </si>
  <si>
    <t>Moinhos junto às máquinas</t>
  </si>
  <si>
    <t>UTL</t>
  </si>
  <si>
    <t>Utilidades (ar comprimido, torre de arrefecimento, chiller, AVAC)</t>
  </si>
  <si>
    <t>CMP-01/02, TR-01, CH-01</t>
  </si>
  <si>
    <t>MAN</t>
  </si>
  <si>
    <t>Manutenção (mecânica e elétrica)</t>
  </si>
  <si>
    <t>Oficina</t>
  </si>
  <si>
    <t>PRS</t>
  </si>
  <si>
    <t>Parque de resíduos</t>
  </si>
  <si>
    <t>Fim de vida</t>
  </si>
  <si>
    <t>EXP</t>
  </si>
  <si>
    <t>Embalagem, armazém de produto acabado e expedição</t>
  </si>
  <si>
    <t>Distribuição</t>
  </si>
  <si>
    <t>LAB</t>
  </si>
  <si>
    <t>Laboratório de qualidade</t>
  </si>
  <si>
    <t>RD</t>
  </si>
  <si>
    <t>Design e desenvolvimento de produto (R&amp;D)</t>
  </si>
  <si>
    <t>Gestão</t>
  </si>
  <si>
    <t>Design e Conceção</t>
  </si>
  <si>
    <t>CMP</t>
  </si>
  <si>
    <t>Compras e fornecedores</t>
  </si>
  <si>
    <t>ADM</t>
  </si>
  <si>
    <t>Administrativos e gestão</t>
  </si>
  <si>
    <t>GER</t>
  </si>
  <si>
    <t>Geral (toda a instalação)</t>
  </si>
  <si>
    <t>Transversal</t>
  </si>
  <si>
    <t>ID_Funcao</t>
  </si>
  <si>
    <t>Funcao</t>
  </si>
  <si>
    <t>Area</t>
  </si>
  <si>
    <t>FUN-01</t>
  </si>
  <si>
    <t>Diretor Geral (Gestão de Topo)</t>
  </si>
  <si>
    <t>FUN-02</t>
  </si>
  <si>
    <t>Diretor Industrial</t>
  </si>
  <si>
    <t>FUN-03</t>
  </si>
  <si>
    <t>Gestor do SGA / EHS (Responsável Ambiental)</t>
  </si>
  <si>
    <t>FUN-04</t>
  </si>
  <si>
    <t>Gerente de Produção</t>
  </si>
  <si>
    <t>FUN-05</t>
  </si>
  <si>
    <t>Gerente de Manutenção</t>
  </si>
  <si>
    <t>FUN-06</t>
  </si>
  <si>
    <t>Gerente da Qualidade</t>
  </si>
  <si>
    <t>FUN-07</t>
  </si>
  <si>
    <t>Responsável de Armazém e Logística</t>
  </si>
  <si>
    <t>FUN-08</t>
  </si>
  <si>
    <t>Responsável de Compras</t>
  </si>
  <si>
    <t>FUN-09</t>
  </si>
  <si>
    <t>Responsável de R&amp;D</t>
  </si>
  <si>
    <t>FUN-10</t>
  </si>
  <si>
    <t>Responsável de Recursos Humanos</t>
  </si>
  <si>
    <t>FUN-11</t>
  </si>
  <si>
    <t>Diretor Financeiro</t>
  </si>
  <si>
    <t>FUN-12</t>
  </si>
  <si>
    <t>Operador de Serigrafia</t>
  </si>
  <si>
    <t>FUN-13</t>
  </si>
  <si>
    <t>Operador de Injeção</t>
  </si>
  <si>
    <t>FUN-14</t>
  </si>
  <si>
    <t>Operador de Sopro (ISBM)</t>
  </si>
  <si>
    <t>FUN-15</t>
  </si>
  <si>
    <t>Operador de Hot Foil</t>
  </si>
  <si>
    <t>FUN-16</t>
  </si>
  <si>
    <t>Técnico de Manutenção</t>
  </si>
  <si>
    <t>FUN-17</t>
  </si>
  <si>
    <t>Técnico de Utilidades</t>
  </si>
  <si>
    <t>FUN-18</t>
  </si>
  <si>
    <t>Operador de Armazém / Empilhador</t>
  </si>
  <si>
    <t>FUN-19</t>
  </si>
  <si>
    <t>Chefe de Turno</t>
  </si>
  <si>
    <t>FUN-20</t>
  </si>
  <si>
    <t>Auditor Interno do SGA</t>
  </si>
  <si>
    <t>FUN-21</t>
  </si>
  <si>
    <t>Representante dos Trabalhadores (SST/Ambiente)</t>
  </si>
  <si>
    <t>FUN-22</t>
  </si>
  <si>
    <t>Técnico de Qualidade/Ambiente</t>
  </si>
  <si>
    <t>Clausula</t>
  </si>
  <si>
    <t>Compreender a organização e o seu contexto (inclui condições ambientais: clima, poluição, recursos, biodiversidade, ecossistemas)</t>
  </si>
  <si>
    <t>Necessidades e expectativas das partes interessadas</t>
  </si>
  <si>
    <t>Âmbito do SGA (com perspetiva de ciclo de vida)</t>
  </si>
  <si>
    <t>Sistema de gestão ambiental</t>
  </si>
  <si>
    <t>Liderança e compromisso</t>
  </si>
  <si>
    <t>5.2</t>
  </si>
  <si>
    <t>Política ambiental</t>
  </si>
  <si>
    <t>5.3</t>
  </si>
  <si>
    <t>Funções, responsabilidades e autoridades</t>
  </si>
  <si>
    <t>6.1.1</t>
  </si>
  <si>
    <t>Ações para tratar riscos e oportunidades — Generalidades</t>
  </si>
  <si>
    <t>Aspetos ambientais (incl. situações de emergência potenciais)</t>
  </si>
  <si>
    <t>6.1.3</t>
  </si>
  <si>
    <t>Obrigações de conformidade</t>
  </si>
  <si>
    <t>6.1.4</t>
  </si>
  <si>
    <t>Riscos e oportunidades</t>
  </si>
  <si>
    <t>6.1.5</t>
  </si>
  <si>
    <t>Planeamento de ações</t>
  </si>
  <si>
    <t>Objetivos ambientais e planeamento para os atingir</t>
  </si>
  <si>
    <t>Planeamento de alterações</t>
  </si>
  <si>
    <t>7.1</t>
  </si>
  <si>
    <t>Recursos</t>
  </si>
  <si>
    <t>7.2</t>
  </si>
  <si>
    <t>Competência</t>
  </si>
  <si>
    <t>7.3</t>
  </si>
  <si>
    <t>Consciencialização</t>
  </si>
  <si>
    <t>7.4</t>
  </si>
  <si>
    <t>Comunicação</t>
  </si>
  <si>
    <t>7.5</t>
  </si>
  <si>
    <t>Informação documentada</t>
  </si>
  <si>
    <t>Planeamento e controlo operacional (incl. processos, produtos e serviços de fornecedores externos)</t>
  </si>
  <si>
    <t>Preparação e resposta a emergências</t>
  </si>
  <si>
    <t>Monitorização, medição, análise e avaliação — Generalidades</t>
  </si>
  <si>
    <t>9.1.2</t>
  </si>
  <si>
    <t>Avaliação da conformidade</t>
  </si>
  <si>
    <t>Auditoria interna</t>
  </si>
  <si>
    <t>Revisão pela gestão (9.3.1 Generalidades, 9.3.2 Entradas, 9.3.3 Resultados)</t>
  </si>
  <si>
    <t>Melhoria contínua</t>
  </si>
  <si>
    <t>Não conformidade e ação corretiva</t>
  </si>
  <si>
    <t>MATRIZ DE FONTE ÚNICA — ONDE SE REGISTA CADA ASSUNTO</t>
  </si>
  <si>
    <t>Regra: escrever só no registo dono; nos outros, apenas o ID de ligação · Revisão de redundâncias de 24/09/2026</t>
  </si>
  <si>
    <t>Assunto</t>
  </si>
  <si>
    <t>Registo_Dono</t>
  </si>
  <si>
    <t>Tabelas_Donas</t>
  </si>
  <si>
    <t>So_Referenciado_Em</t>
  </si>
  <si>
    <t>Regra_Nota</t>
  </si>
  <si>
    <t>Contexto externo e interno do SGA e do SGI (PESTEL, SWOT, TOWS, 5 forças)</t>
  </si>
  <si>
    <t>tbl_pestel; tbl_swot; tbl_tows; tbl_cinco_forcas</t>
  </si>
  <si>
    <t>RG-SGA-17 (IDs_Contexto); RG-SGA-02 (IDs R/O ligados pela coluna IDs_Risco_SGI)</t>
  </si>
  <si>
    <t>Contexto do RG-SGA-02 consolidado aqui em 24/09/2026 (backup em _backup/)</t>
  </si>
  <si>
    <t>Partes interessadas e obrigações que delas resultam</t>
  </si>
  <si>
    <t>RG-SGA-17 tbl_dma_consultas (contributos); RG-SGA-02 (lista de validação Critérios!T71)</t>
  </si>
  <si>
    <t>As consultas da DMA são registos de participação; a lista do RG-SGA-02 é só validação</t>
  </si>
  <si>
    <t>Riscos e oportunidades (e política/apetite ao risco)</t>
  </si>
  <si>
    <t>tbRiscos; tbOportunidades; Politica_Apetite</t>
  </si>
  <si>
    <t>RG-SGA-01/03/17/18 (ID_RO, IDs_Risco_SGI)</t>
  </si>
  <si>
    <t>Registo corporativo mantido à mão (editar no Excel)</t>
  </si>
  <si>
    <t>RG-SGA-04/08/10/11/12/13/17/18/21 (IDs_Aspetos)</t>
  </si>
  <si>
    <t>Requisitos legais (nível diploma) e avaliação da conformidade</t>
  </si>
  <si>
    <t>tbl_legal; tbl_hist_conformidade</t>
  </si>
  <si>
    <t>RG-SGA-20 tbl_requisitos_emb; RG-SGA-21 tbl_requisitos_quimicos (detalhe por artigo, ligado por ID_Legal)</t>
  </si>
  <si>
    <t>O estado da conformidade do diploma decide-se só no RG-SGA-04</t>
  </si>
  <si>
    <t>Calendário de obrigações legais recorrentes</t>
  </si>
  <si>
    <t>RG-SGA-21 (antes Calendario)</t>
  </si>
  <si>
    <t>Um só calendário (inclui químicos: OBR-11, OBR-19 a OBR-30)</t>
  </si>
  <si>
    <t>Requisitos de produto (embalagens: PPWR, FCM, REACH art. 33.º, SCIP)</t>
  </si>
  <si>
    <t>tbl_requisitos_emb; tbl_familias_ppwr</t>
  </si>
  <si>
    <t>RG-SGA-21 (declarações de fornecedores)</t>
  </si>
  <si>
    <t>SVHC nas embalagens decidido por família PPWR</t>
  </si>
  <si>
    <t>Requisitos de químicos usados na fábrica (REACH utilizador, CLP, SST, Seveso)</t>
  </si>
  <si>
    <t>RG-SGA-04 LEG-06, LEG-22</t>
  </si>
  <si>
    <t>Objetivos e catálogo de KPI</t>
  </si>
  <si>
    <t>tbl_objetivos; tbl_kpi</t>
  </si>
  <si>
    <t>RG-SGA-13 (ID_KPI); RG-SGA-17 (ID_KPI)</t>
  </si>
  <si>
    <t>Plano de ações (corretivas, preventivas e de melhoria)</t>
  </si>
  <si>
    <t>RG-SGA-02 (Cód. PAM); RG-SGA-03/04/07/12/13/15/16/17/20/21 (ID_PAM)</t>
  </si>
  <si>
    <t>Uma ação ambiental só existe no PAM; o RG-SGA-02 guarda o Cód. PAM (planos PAC ambientais removidos)</t>
  </si>
  <si>
    <t>Não conformidades e incidentes</t>
  </si>
  <si>
    <t>tbl_nc; tbl_incidentes</t>
  </si>
  <si>
    <t>RG-SGA-09/10/14 (ID_NC, ID_Incidente)</t>
  </si>
  <si>
    <t>Competências e formação (por colaborador)</t>
  </si>
  <si>
    <t>tbl_formacoes; tbl_registo_formacao</t>
  </si>
  <si>
    <t>RG-SGA-21 (FOR-13 a FOR-15)</t>
  </si>
  <si>
    <t>Inclui formação legal de químicos (diisocianatos, CMR, ADR)</t>
  </si>
  <si>
    <t>Documentos controlados</t>
  </si>
  <si>
    <t>SGA-00 tbl_ficheiros (catálogo técnico)</t>
  </si>
  <si>
    <t>Inspeções de rondas (incl. locais de químicos)</t>
  </si>
  <si>
    <t>tbl_pontos; tbl_execucao_rondas</t>
  </si>
  <si>
    <t>RG-SGA-21 tbl_armazenagem (ID_Ponto_Ronda)</t>
  </si>
  <si>
    <t>Fornecedores (todos, incl. químicos)</t>
  </si>
  <si>
    <t>tbl_fornecedores; tbl_outros_fornecedores</t>
  </si>
  <si>
    <t>RG-SGA-19/20/21 (ID_Fornecedor)</t>
  </si>
  <si>
    <t>Nomes noutros registos são informativos</t>
  </si>
  <si>
    <t>Meios de emergência (kits, válvula, bacia)</t>
  </si>
  <si>
    <t>RG-SGA-21 tbl_armazenagem (ID_Meio)</t>
  </si>
  <si>
    <t>Dados ambientais mensais (energia, água, resíduos, solvente) e KPI mensais</t>
  </si>
  <si>
    <t>tbl_dados_ambientais; tbl_residuos; Indicadores_Mensais</t>
  </si>
  <si>
    <t>RG-SGA-16/17/19 (valores anuais gerados)</t>
  </si>
  <si>
    <t>Fatores de emissão e inventário de GEE</t>
  </si>
  <si>
    <t>tbl_fatores_emissao; tbl_inventario_gee</t>
  </si>
  <si>
    <t>RG-SGA-13 (cópias FE_ELET/GWP_R410A, marcadas); RG-SGA-16 EMAS-06; RG-SGA-17 EVI (valores gerados)</t>
  </si>
  <si>
    <t>EMAS-06 = âmbitos 1 + 2 LB do inventário</t>
  </si>
  <si>
    <t>Inventário de produtos químicos, FDS, SVHC e risco químico</t>
  </si>
  <si>
    <t>tbl_quimicos; tbl_fds; tbl_declaracoes; tbl_risco_quimico</t>
  </si>
  <si>
    <t>RG-SGA-19 ESG-E15; RG-SGA-20 (SVHC por família)</t>
  </si>
  <si>
    <t>Antes duplicado em RG-SGA-19 tbl_substancias (removida)</t>
  </si>
  <si>
    <t>Balanço de COV (solventes)</t>
  </si>
  <si>
    <t>tbl_quimicos (Teor_COV, COV_kg_ano)</t>
  </si>
  <si>
    <t>RG-SGA-16 EMAS-06b; RG-SGA-19 ESG-E12; RG-SGA-17 EVI (valores gerados)</t>
  </si>
  <si>
    <t>Antes: 'solvente + 40% das tintas' em 3 registos</t>
  </si>
  <si>
    <t>Auditorias internas do SGA</t>
  </si>
  <si>
    <t>tbl_programa_auditorias; tbl_constatacoes</t>
  </si>
  <si>
    <t>RG-SGA-06 (ID_PAM)</t>
  </si>
  <si>
    <t>As auditorias do SGI no RG-SGA-02 usam AUD-SGI-aaaa-nn (sem colisão de IDs)</t>
  </si>
  <si>
    <t>Alterações (gestão de mudanças)</t>
  </si>
  <si>
    <t>RG-SGA-21 (aprovação de novos químicos abre alteração)</t>
  </si>
  <si>
    <t>MATRIZ DE REQUISITOS ISO 14001:2026 — DOCUMENTO, EVIDÊNCIA E ESTADO</t>
  </si>
  <si>
    <t>Verificação de 24/09/2026 (atualizada a 31/12/2026) face aos guias de transição da pasta de interpretação · Parcial = processo existe mas falta evidência ou eficácia</t>
  </si>
  <si>
    <t>ID_Requisito</t>
  </si>
  <si>
    <t>Requisito</t>
  </si>
  <si>
    <t>Novo_ou_Alterado_2026</t>
  </si>
  <si>
    <t>Informacao_Documentada</t>
  </si>
  <si>
    <t>Documento</t>
  </si>
  <si>
    <t>Evidencia_Registo_Tabelas</t>
  </si>
  <si>
    <t>Observacao</t>
  </si>
  <si>
    <t>Acao</t>
  </si>
  <si>
    <t>Pontos</t>
  </si>
  <si>
    <t>REQ-01</t>
  </si>
  <si>
    <t>Determinar questões externas e internas relevantes</t>
  </si>
  <si>
    <t>Não</t>
  </si>
  <si>
    <t>MAN-SGA-01</t>
  </si>
  <si>
    <t>RG-SGA-01 tbl_pestel, tbl_swot, tbl_tows</t>
  </si>
  <si>
    <t>Conforme</t>
  </si>
  <si>
    <t>15 fatores PESTEL e 14 SWOT com prioridade e revisão.</t>
  </si>
  <si>
    <t>REQ-02</t>
  </si>
  <si>
    <t>Incluir condições ambientais (poluição, recursos, clima, biodiversidade, ecossistemas) afetadas pela organização ou que a afetam</t>
  </si>
  <si>
    <t>Sim</t>
  </si>
  <si>
    <t>RG-SGA-01 tbl_pestel (Condicao_Ambiental_ISO2026, Direcao_Efeito)</t>
  </si>
  <si>
    <t>As 5 condições estão representadas nos dois sentidos.</t>
  </si>
  <si>
    <t>REQ-03</t>
  </si>
  <si>
    <t>Determinar se as alterações climáticas são uma questão relevante</t>
  </si>
  <si>
    <t>RG-SGA-01 PES-01/08/09; RG-SGA-02 RO-04; RG-SGA-17 DM-01 a DM-03</t>
  </si>
  <si>
    <t>Mitigação (GEE) e adaptação (calor, seca, incêndio) avaliadas.</t>
  </si>
  <si>
    <t>REQ-04</t>
  </si>
  <si>
    <t>Partes interessadas relevantes e as suas necessidades e expectativas</t>
  </si>
  <si>
    <t>PR-SGA-03</t>
  </si>
  <si>
    <t>RG-SGA-01 tbl_partes_interessadas; RG-SGA-17 tbl_dma_consultas</t>
  </si>
  <si>
    <t>15 partes; condição ambiental associada a cada expectativa.</t>
  </si>
  <si>
    <t>REQ-05</t>
  </si>
  <si>
    <t>4.2 c)</t>
  </si>
  <si>
    <t>Decidir quais necessidades e expectativas se tornam obrigações de conformidade</t>
  </si>
  <si>
    <t>RG-SGA-01 tbl_partes_interessadas (Torna_se_Obrigacao, Tipo_Obrigacao)</t>
  </si>
  <si>
    <t>Legais e voluntárias distinguidas.</t>
  </si>
  <si>
    <t>REQ-06</t>
  </si>
  <si>
    <t>Âmbito com limites, aplicabilidade e controlo/influência sobre o ciclo de vida, disponível como informação documentada</t>
  </si>
  <si>
    <t>Disponível</t>
  </si>
  <si>
    <t>MAN-SGA-01 §2</t>
  </si>
  <si>
    <t>Âmbito e alínea e) definidos no manual.</t>
  </si>
  <si>
    <t>REQ-07</t>
  </si>
  <si>
    <t>Estabelecer o SGA e os processos necessários e as suas interações</t>
  </si>
  <si>
    <t>MAN-SGA-01 §5–6</t>
  </si>
  <si>
    <t>RG-SGA-00 (índice e modelo de dados)</t>
  </si>
  <si>
    <t>REQ-08</t>
  </si>
  <si>
    <t>Liderança e compromisso da gestão de topo (responsabilização, recursos, apoio a todas as funções relevantes)</t>
  </si>
  <si>
    <t>MAN-SGA-01 §4</t>
  </si>
  <si>
    <t>RG-SGA-15 tbl_decisoes; RG-SGA-08 tbl_raci</t>
  </si>
  <si>
    <t>Decisões com recursos na revisão pela gestão.</t>
  </si>
  <si>
    <t>REQ-09</t>
  </si>
  <si>
    <t>Política ambiental adequada, com compromissos, disponível e comunicada</t>
  </si>
  <si>
    <t>POL-SGA rev. 02</t>
  </si>
  <si>
    <t>RG-SGA-05 tbl_politica; RG-SGA-09 tbl_lista_mestra</t>
  </si>
  <si>
    <t>7 compromissos incluindo biodiversidade e ciclo de vida.</t>
  </si>
  <si>
    <t>REQ-10</t>
  </si>
  <si>
    <t>Funções, responsabilidades e autoridades atribuídas e comunicadas</t>
  </si>
  <si>
    <t>RG-SGA-08 tbl_raci</t>
  </si>
  <si>
    <t>22 processos com um único aprovador (A).</t>
  </si>
  <si>
    <t>REQ-11</t>
  </si>
  <si>
    <t>Processos para 6.1.2 a 6.1.5 disponíveis como informação documentada</t>
  </si>
  <si>
    <t>PR-SGA-01; PR-SGA-02; PR-SGA-03</t>
  </si>
  <si>
    <t>REQ-12</t>
  </si>
  <si>
    <t>Aspetos ambientais e impactes com perspetiva de ciclo de vida (controlados e influenciados)</t>
  </si>
  <si>
    <t>PR-SGA-01</t>
  </si>
  <si>
    <t>RG-SGA-03 tbl_aspetos (Fase_Ciclo_Vida)</t>
  </si>
  <si>
    <t>43 aspetos nas 6 fases do ciclo de vida.</t>
  </si>
  <si>
    <t>REQ-13</t>
  </si>
  <si>
    <t>Situações de emergência potenciais determinadas, separadas das condições anormais</t>
  </si>
  <si>
    <t>PR-SGA-01; PR-SGA-05</t>
  </si>
  <si>
    <t>RG-SGA-03 tbl_aspetos (Condicao_Operacao); RG-SGA-12 tbl_cenarios; RG-SGA-07 tbl_incidentes (Condicao)</t>
  </si>
  <si>
    <t>33 normais, 6 anormais, 4 de emergência.</t>
  </si>
  <si>
    <t>REQ-14</t>
  </si>
  <si>
    <t>Critérios de significância e aspetos significativos documentados</t>
  </si>
  <si>
    <t>RG-SGA-03 (IRA, Classificacao)</t>
  </si>
  <si>
    <t>REQ-15</t>
  </si>
  <si>
    <t>Obrigações de conformidade determinadas e acessíveis</t>
  </si>
  <si>
    <t>RG-SGA-04 tbl_legal</t>
  </si>
  <si>
    <t>15 diplomas; LEG-15 (Legionella) acrescentado nesta revisão.</t>
  </si>
  <si>
    <t>REQ-16</t>
  </si>
  <si>
    <t>Determinar riscos e oportunidades (aspetos, obrigações, contexto)</t>
  </si>
  <si>
    <t>PR-SGA-02</t>
  </si>
  <si>
    <t>RG-SGA-02 tbRiscos, tbOportunidades; RG-SGA-17 tbl_dma_iro</t>
  </si>
  <si>
    <t>REQ-17</t>
  </si>
  <si>
    <t>Planear ações e integrá-las nos processos; avaliar a eficácia</t>
  </si>
  <si>
    <t>RG-SGA-06 tbl_pam; RG-SGA-02 tbPlanos</t>
  </si>
  <si>
    <t>REQ-18</t>
  </si>
  <si>
    <t>Objetivos ambientais mensuráveis e planeamento para os atingir</t>
  </si>
  <si>
    <t>RG-SGA-05 tbl_objetivos, tbl_kpi, tbl_acomp_objetivos</t>
  </si>
  <si>
    <t>6 objetivos SMART com KPI e ações.</t>
  </si>
  <si>
    <t>REQ-19</t>
  </si>
  <si>
    <t>Planeamento de alterações que afetam o SGA</t>
  </si>
  <si>
    <t>PR-SGA-06</t>
  </si>
  <si>
    <t>RG-SGA-18 tbl_alteracoes</t>
  </si>
  <si>
    <t>PR-SGA-06 e formulário com checklist ambiental em uso desde 25/11/2026; ALT-2026-01 verificada (05/11/2026); ALT-2026-09/10 já passaram pela checklist.</t>
  </si>
  <si>
    <t>PAM-26-17</t>
  </si>
  <si>
    <t>REQ-20</t>
  </si>
  <si>
    <t>Recursos, incluindo infraestrutura e manutenção com relevância ambiental</t>
  </si>
  <si>
    <t>PR-SGA-09</t>
  </si>
  <si>
    <t>RG-SGA-10 tbl_manutencao_ambiental; RG-SGA-06 tbl_pam (custos)</t>
  </si>
  <si>
    <t>REQ-21</t>
  </si>
  <si>
    <t>Competência de quem afeta o desempenho ambiental</t>
  </si>
  <si>
    <t>Disponível como evidência</t>
  </si>
  <si>
    <t>PR-SGA-07</t>
  </si>
  <si>
    <t>RG-SGA-08 tbl_competencias, tbl_registo_formacao</t>
  </si>
  <si>
    <t>REQ-22</t>
  </si>
  <si>
    <t>Consciencialização (política, aspetos, contributo, consequências)</t>
  </si>
  <si>
    <t>RG-SGA-08; RG-SGA-16 tbl_kaizen</t>
  </si>
  <si>
    <t>REQ-23</t>
  </si>
  <si>
    <t>Comunicação interna e externa planeada, rastreável; permitir contribuir para a melhoria</t>
  </si>
  <si>
    <t>RG-SGA-09 tbl_comunicacao, tbl_comunicacoes_externas</t>
  </si>
  <si>
    <t>Registo de comunicações externas acrescentado; 1 resposta fora de prazo.</t>
  </si>
  <si>
    <t>REQ-24</t>
  </si>
  <si>
    <t>Informação documentada criada, atualizada e controlada ('disponível' / 'disponível como evidência')</t>
  </si>
  <si>
    <t>PR-SGA-08</t>
  </si>
  <si>
    <t>RG-SGA-09 tbl_lista_mestra, tbl_verif_documental</t>
  </si>
  <si>
    <t>Manual e procedimentos passam a existir como documentos (Documentos_SGA_Plasticom).</t>
  </si>
  <si>
    <t>REQ-25</t>
  </si>
  <si>
    <t>Controlo operacional dos processos associados aos aspetos significativos</t>
  </si>
  <si>
    <t>PR-SGA-09; PR-SGA-04; IT-SER-03</t>
  </si>
  <si>
    <t>RG-SGA-10 tbl_pontos, tbl_execucao_rondas</t>
  </si>
  <si>
    <t>REQ-26</t>
  </si>
  <si>
    <t>Processos, produtos e serviços providos externamente controlados ou influenciados, com tipo e extensão definidos</t>
  </si>
  <si>
    <t>RG-SGA-11 tbl_fornecedores, tbl_outros_fornecedores (Tipo_Controlo, Extensao_Controlo)</t>
  </si>
  <si>
    <t>MOL-01 ainda sem verificação.</t>
  </si>
  <si>
    <t>REQ-27</t>
  </si>
  <si>
    <t>Perspetiva de ciclo de vida: requisitos na conceção e nas compras; informação sobre uso e fim de vida</t>
  </si>
  <si>
    <t>RG-SGA-03 AA-037/038/043; RG-SGA-11; RG-SGA-06 PAM-26-10; RG-SGA-20 (RecyClass, requisitos por SKU)</t>
  </si>
  <si>
    <t>Parcial</t>
  </si>
  <si>
    <t>Documentação PPWR em 17 de 22 famílias (77%) em 22/12/2026; PETG/PVC em substituição (PAM-26-22).</t>
  </si>
  <si>
    <t>PAM-26-10</t>
  </si>
  <si>
    <t>REQ-28</t>
  </si>
  <si>
    <t>Preparação e resposta a emergências, testada e alinhada com 6.1.2</t>
  </si>
  <si>
    <t>PR-SGA-05; IT-SGA-01; IT-SGA-02</t>
  </si>
  <si>
    <t>RG-SGA-12 tbl_cenarios, tbl_simulacros; RG-SGA-07 tbl_incidentes</t>
  </si>
  <si>
    <t>IT-SGA-01 rev. 01 (29/10/2026); simulacros de derrame (26/11) e de incêndio (11/12/2026) eficazes.</t>
  </si>
  <si>
    <t>PAM-26-21</t>
  </si>
  <si>
    <t>REQ-29</t>
  </si>
  <si>
    <t>Monitorização e medição com métodos, critérios e frequência definidos</t>
  </si>
  <si>
    <t>PR-SGA-10</t>
  </si>
  <si>
    <t>RG-SGA-13 tbl_plano_monitorizacao, tbl_dados_ambientais, tbl_meses, tbl_analises</t>
  </si>
  <si>
    <t>Analisadores de energia e contadores de água em serviço desde 15/12/2026 (PAM-26-02); até lá rateio documentado.</t>
  </si>
  <si>
    <t>PAM-26-02</t>
  </si>
  <si>
    <t>REQ-30</t>
  </si>
  <si>
    <t>Equipamentos de medição calibrados ou verificados</t>
  </si>
  <si>
    <t>RG-SGA-13 tbl_equipamentos</t>
  </si>
  <si>
    <t>Balança do parque verificada a 23/10/2026; balanças de piso a 18/11/2026; condutivímetro a 09/12/2026.</t>
  </si>
  <si>
    <t>PAM-26-20</t>
  </si>
  <si>
    <t>REQ-31</t>
  </si>
  <si>
    <t>Avaliar o desempenho ambiental e a eficácia do SGA</t>
  </si>
  <si>
    <t>PR-SGA-10; PR-SGA-11</t>
  </si>
  <si>
    <t>RG-SGA-05 tbl_acomp_objetivos; RG-SGA-15; RG-SGA-16 tbl_emas</t>
  </si>
  <si>
    <t>REQ-32</t>
  </si>
  <si>
    <t>Avaliar o cumprimento das obrigações de conformidade</t>
  </si>
  <si>
    <t>RG-SGA-04 tbl_legal, tbl_hist_conformidade, tbl_obrigacoes; RG-SGA-13 tbl_analises</t>
  </si>
  <si>
    <t>Processo conforme; 2 incumprimentos legais em tratamento (ruído, PPWR).</t>
  </si>
  <si>
    <t>PAM-26-03; PAM-26-10</t>
  </si>
  <si>
    <t>REQ-33</t>
  </si>
  <si>
    <t>9.2.1</t>
  </si>
  <si>
    <t>Auditorias internas a intervalos planeados</t>
  </si>
  <si>
    <t>PR-SGA-11</t>
  </si>
  <si>
    <t>RG-SGA-14 tbl_programa_auditorias, tbl_constatacoes</t>
  </si>
  <si>
    <t>REQ-34</t>
  </si>
  <si>
    <t>9.2.2</t>
  </si>
  <si>
    <t>Programa de auditoria com objetivos, critérios e âmbito para cada auditoria</t>
  </si>
  <si>
    <t>RG-SGA-14 tbl_programa_auditorias (Objetivo, Criterios, Ambito)</t>
  </si>
  <si>
    <t>Programa cobre 2026–27; falta o plano trienal que garanta todas as cláusulas e processos.</t>
  </si>
  <si>
    <t>REQ-35</t>
  </si>
  <si>
    <t>9.3.1/9.3.2</t>
  </si>
  <si>
    <t>Revisão pela gestão com as entradas definidas</t>
  </si>
  <si>
    <t>RG-SGA-15 tbl_agenda (Entrada_9_3_2)</t>
  </si>
  <si>
    <t>Entradas a) a g) cobertas.</t>
  </si>
  <si>
    <t>REQ-36</t>
  </si>
  <si>
    <t>9.3.3</t>
  </si>
  <si>
    <t>Resultados da revisão (decisões, recursos, alterações, oportunidades)</t>
  </si>
  <si>
    <t>RG-SGA-15 tbl_decisoes, tbl_conclusoes</t>
  </si>
  <si>
    <t>REQ-37</t>
  </si>
  <si>
    <t>Melhoria contínua da adequação, suficiência e eficácia do SGA</t>
  </si>
  <si>
    <t>PR-SGA-12</t>
  </si>
  <si>
    <t>RG-SGA-16 tbl_kaizen; RG-SGA-06; RG-SGA-17</t>
  </si>
  <si>
    <t>10.3 integrada na 10.1/10.2 na edição 2026.</t>
  </si>
  <si>
    <t>REQ-38</t>
  </si>
  <si>
    <t>Reagir a NC e incidentes, analisar causas, ação corretiva e verificação da eficácia</t>
  </si>
  <si>
    <t>RG-SGA-07 tbl_nc, tbl_5porques, tbl_incidentes</t>
  </si>
  <si>
    <t>Registo de incidentes e quase-incidentes acrescentado.</t>
  </si>
  <si>
    <t>PRONTIDÃO PARA A ISO 14001:2026 — RESUMO POR CLÁUSULA</t>
  </si>
  <si>
    <t>Cláusula</t>
  </si>
  <si>
    <t>Requisitos</t>
  </si>
  <si>
    <t>Lacuna</t>
  </si>
  <si>
    <t>Novos 2026</t>
  </si>
  <si>
    <t>Índice de prontidão</t>
  </si>
  <si>
    <t>4</t>
  </si>
  <si>
    <t>Contexto</t>
  </si>
  <si>
    <t>5</t>
  </si>
  <si>
    <t>Liderança</t>
  </si>
  <si>
    <t>6</t>
  </si>
  <si>
    <t>Planeamento</t>
  </si>
  <si>
    <t>7</t>
  </si>
  <si>
    <t>8</t>
  </si>
  <si>
    <t>Operação</t>
  </si>
  <si>
    <t>9</t>
  </si>
  <si>
    <t>Avaliação do desempenho</t>
  </si>
  <si>
    <t>10</t>
  </si>
  <si>
    <t>Melhoria</t>
  </si>
  <si>
    <t>Total</t>
  </si>
  <si>
    <t>Índice de prontidão = (Conforme + 0,5 × Parcial) ÷ requisitos. Os requisitos 'Parcial' têm a ação do PAM indicada na matriz. Dados simulados da fábrica fictícia Plasticom.</t>
  </si>
  <si>
    <t>MODELO DE DADOS DO SGA</t>
  </si>
  <si>
    <t>Estrutura</t>
  </si>
  <si>
    <t>Modelo em estrela: tabelas de factos (dados ambientais mensais, resíduos, rondas, formação, pesagens, avaliações de fornecedores, histórico de conformidade) ligadas a dimensões partilhadas (mês, processo, função, cláusula, aspeto, KPI) e a registos de gestão (riscos, objetivos, PAM, NC, auditorias, decisões) por IDs estáveis.</t>
  </si>
  <si>
    <t>Convenção de IDs</t>
  </si>
  <si>
    <t>SWT/PES (contexto) · RO (riscos/oportunidades) · AA (aspetos) · IMP (impactes) · LEG/OBR (legal) · OBJ/KPI/POL (objetivos) · PAM-AA-nn (ações) · NC-SGA-AA-nn (não conformidades) · COMP/FOR/RF (competências) · COM/DOC (comunicação/documentos) · RON/RND (rondas) · SUP/CRIT (fornecedores) · EMG/KIT/SIM (emergências) · MED/EQP (monitorização) · AUD/CONST (auditoria) · RG-AA-Dnn (decisões) · KZ/EMAS (melhoria).</t>
  </si>
  <si>
    <t>Ligação à fábrica</t>
  </si>
  <si>
    <t>Máquinas (IM-/ISBM-/SS-/HF-), operadores (OP-*), fornecedores (SUP-*), produtos e clientes usam os mesmos IDs do dataset em datasets/ — permite cruzar dados ambientais com produção, qualidade, OEE e manutenção.</t>
  </si>
  <si>
    <t>Casos de ML sugeridos</t>
  </si>
  <si>
    <t>1) Previsão mensal de kWh e m³ com produção, horas de marcha e temperatura (regressão / séries temporais). 2) Deteção de anomalias em KPI (ex.: desvio do solvente). 3) Classificação da probabilidade de não conformidade numa ronda (tbl_execucao_rondas.NC_Flag) por ponto, turno e mês. 4) Tempo até fecho de NC/ações (análise de sobrevivência). 5) Pontuação de risco de fornecedores.</t>
  </si>
  <si>
    <t>Leitura em lote</t>
  </si>
  <si>
    <t>for f in glob('Registos_SGA_Plasticom/SGA-*.xlsx'): usar openpyxl ws.tables para obter o intervalo de cada tabela, ou a coluna Leitura_pandas do Catalogo_Tabelas.</t>
  </si>
  <si>
    <t>Atualização</t>
  </si>
  <si>
    <t>Os ficheiros são gerados por scripts em _build/ (python build_NN_*.py) e recalculados no Excel (recalc.py). Os registos podem ser editados diretamente no Excel; as colunas calculadas atualizam-se sozinhas.</t>
  </si>
  <si>
    <t>LISTAS CONTROLADAS (domínios de validação de dados) — editar aqui para alterar opções</t>
  </si>
  <si>
    <t>DataReferencia</t>
  </si>
  <si>
    <t>EstadoReq</t>
  </si>
  <si>
    <t>SimNaoReq</t>
  </si>
  <si>
    <t>InfoDoc</t>
  </si>
  <si>
    <t>Origem</t>
  </si>
  <si>
    <t>Descricao</t>
  </si>
  <si>
    <t>Dominio_Unidade</t>
  </si>
  <si>
    <t>Obrigatorio</t>
  </si>
  <si>
    <t>tbl_ficheiros</t>
  </si>
  <si>
    <t>Texto</t>
  </si>
  <si>
    <t>Entrada</t>
  </si>
  <si>
    <t>Nome do ficheiro.</t>
  </si>
  <si>
    <t>Código do registo.</t>
  </si>
  <si>
    <t>PK</t>
  </si>
  <si>
    <t>Conteúdo.</t>
  </si>
  <si>
    <t>Atividades do curso.</t>
  </si>
  <si>
    <t>Cláusulas ISO 14001:2026.</t>
  </si>
  <si>
    <t>tbl_mapa_atividades</t>
  </si>
  <si>
    <t>Atividade do curso.</t>
  </si>
  <si>
    <t>Título.</t>
  </si>
  <si>
    <t>Ficheiro(s).</t>
  </si>
  <si>
    <t>Folha(s) a abrir.</t>
  </si>
  <si>
    <t>tbl_catalogo</t>
  </si>
  <si>
    <t>Ficheiro.</t>
  </si>
  <si>
    <t>Folha.</t>
  </si>
  <si>
    <t>Nome da tabela Excel.</t>
  </si>
  <si>
    <t>Inteiro</t>
  </si>
  <si>
    <t>Linha do cabeçalho.</t>
  </si>
  <si>
    <t>N.º de registos.</t>
  </si>
  <si>
    <t>N.º de colunas.</t>
  </si>
  <si>
    <t>Primeira coluna (chave).</t>
  </si>
  <si>
    <t>Código para ler a tabela em Python.</t>
  </si>
  <si>
    <t>tbl_integridade</t>
  </si>
  <si>
    <t>Tabela com a chave estrangeira.</t>
  </si>
  <si>
    <t>Coluna FK (pode ter vários IDs separados por ';').</t>
  </si>
  <si>
    <t>Tabela referenciada.</t>
  </si>
  <si>
    <t>N.º de referências verificadas.</t>
  </si>
  <si>
    <t>Referências sem correspondência.</t>
  </si>
  <si>
    <t>IDs em falta.</t>
  </si>
  <si>
    <t>OK / Rever.</t>
  </si>
  <si>
    <t>tbl_dim_processo</t>
  </si>
  <si>
    <t>Código.</t>
  </si>
  <si>
    <t>Processo.</t>
  </si>
  <si>
    <t>Tipo.</t>
  </si>
  <si>
    <t>Máquinas do dataset.</t>
  </si>
  <si>
    <t>Fase principal.</t>
  </si>
  <si>
    <t>tbl_dim_funcao</t>
  </si>
  <si>
    <t>ID.</t>
  </si>
  <si>
    <t>Função.</t>
  </si>
  <si>
    <t>Área.</t>
  </si>
  <si>
    <t>tbl_dim_clausula</t>
  </si>
  <si>
    <t>Cláusula.</t>
  </si>
  <si>
    <t>Título (ISO 14001:2026).</t>
  </si>
  <si>
    <t>tbl_fonte_unica</t>
  </si>
  <si>
    <t>Único ficheiro onde o assunto é registado.</t>
  </si>
  <si>
    <t>Onde aparece só por ID ou valor gerado (não se escreve lá).</t>
  </si>
  <si>
    <t>tbl_matriz_iso</t>
  </si>
  <si>
    <t>Identificador.</t>
  </si>
  <si>
    <t>Cláusula da ISO 14001:2026.</t>
  </si>
  <si>
    <t>Calculado (fórmula)</t>
  </si>
  <si>
    <t>Cláusula principal (4 a 10).</t>
  </si>
  <si>
    <t>Requisito (resumo).</t>
  </si>
  <si>
    <t>Sim se é novo ou foi alterado na edição 2026.</t>
  </si>
  <si>
    <t>Lista lst_SimNaoReq</t>
  </si>
  <si>
    <t>Exigência de informação documentada (2026: 'disponível' / 'disponível como evidência').</t>
  </si>
  <si>
    <t>Lista lst_InfoDoc</t>
  </si>
  <si>
    <t>Documento controlado (Documentos_SGA_Plasticom).</t>
  </si>
  <si>
    <t>Registo e tabelas com a evidência.</t>
  </si>
  <si>
    <t>Conforme · Parcial · Lacuna (verificação de 24/09/2026, atualizada a 31/12/2026).</t>
  </si>
  <si>
    <t>Lista lst_EstadoReq</t>
  </si>
  <si>
    <t>Observação ou lacuna.</t>
  </si>
  <si>
    <t>Ação do PAM que trata a lacuna.</t>
  </si>
  <si>
    <t>Decimal</t>
  </si>
  <si>
    <t>1 conforme · 0,5 parcial · 0 lacuna (para índice de prontidão).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</si>
</sst>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0" fontId="0" fillId="0" borderId="1" xfId="0" applyBorder="1"/>
    <xf numFmtId="9" fontId="0" fillId="0" borderId="1" xfId="0" applyNumberFormat="1" applyBorder="1"/>
    <xf numFmtId="0" fontId="5" fillId="0" borderId="1" xfId="0" applyFont="1" applyBorder="1"/>
    <xf numFmtId="9" fontId="5" fillId="0" borderId="1" xfId="0" applyNumberFormat="1" applyFont="1" applyBorder="1"/>
    <xf numFmtId="0" fontId="5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6"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ficheiros" displayName="tbl_ficheiros" ref="A4:E27">
  <autoFilter ref="A4:E27" xr:uid="{00000000-0009-0000-0100-000001000000}"/>
  <tableColumns count="5">
    <tableColumn id="1" xr3:uid="{00000000-0010-0000-0000-000001000000}" name="Ficheiro"/>
    <tableColumn id="2" xr3:uid="{00000000-0010-0000-0000-000002000000}" name="Codigo"/>
    <tableColumn id="3" xr3:uid="{00000000-0010-0000-0000-000003000000}" name="Conteudo"/>
    <tableColumn id="4" xr3:uid="{00000000-0010-0000-0000-000004000000}" name="Atividades"/>
    <tableColumn id="5" xr3:uid="{00000000-0010-0000-0000-000005000000}" name="Clausula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mapa_atividades" displayName="tbl_mapa_atividades" ref="A1:D23">
  <autoFilter ref="A1:D23" xr:uid="{00000000-0009-0000-0100-000002000000}"/>
  <tableColumns count="4">
    <tableColumn id="1" xr3:uid="{00000000-0010-0000-0100-000001000000}" name="Atividade"/>
    <tableColumn id="2" xr3:uid="{00000000-0010-0000-0100-000002000000}" name="Titulo"/>
    <tableColumn id="3" xr3:uid="{00000000-0010-0000-0100-000003000000}" name="Ficheiro"/>
    <tableColumn id="4" xr3:uid="{00000000-0010-0000-0100-000004000000}" name="Onde_V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atalogo" displayName="tbl_catalogo" ref="A1:H144">
  <autoFilter ref="A1:H144" xr:uid="{00000000-0009-0000-0100-000003000000}"/>
  <tableColumns count="8">
    <tableColumn id="1" xr3:uid="{00000000-0010-0000-0200-000001000000}" name="Ficheiro"/>
    <tableColumn id="2" xr3:uid="{00000000-0010-0000-0200-000002000000}" name="Folha"/>
    <tableColumn id="3" xr3:uid="{00000000-0010-0000-0200-000003000000}" name="Tabela"/>
    <tableColumn id="4" xr3:uid="{00000000-0010-0000-0200-000004000000}" name="Linha_Cabecalho"/>
    <tableColumn id="5" xr3:uid="{00000000-0010-0000-0200-000005000000}" name="N_Linhas"/>
    <tableColumn id="6" xr3:uid="{00000000-0010-0000-0200-000006000000}" name="N_Colunas"/>
    <tableColumn id="7" xr3:uid="{00000000-0010-0000-0200-000007000000}" name="Chave_Primaria"/>
    <tableColumn id="8" xr3:uid="{00000000-0010-0000-0200-000008000000}" name="Leitura_panda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integridade" displayName="tbl_integridade" ref="A1:G91">
  <autoFilter ref="A1:G91" xr:uid="{00000000-0009-0000-0100-000004000000}"/>
  <tableColumns count="7">
    <tableColumn id="1" xr3:uid="{00000000-0010-0000-0300-000001000000}" name="Tabela_Origem"/>
    <tableColumn id="2" xr3:uid="{00000000-0010-0000-0300-000002000000}" name="Coluna"/>
    <tableColumn id="3" xr3:uid="{00000000-0010-0000-0300-000003000000}" name="Tabela_Destino"/>
    <tableColumn id="4" xr3:uid="{00000000-0010-0000-0300-000004000000}" name="N_Referencias"/>
    <tableColumn id="5" xr3:uid="{00000000-0010-0000-0300-000005000000}" name="N_Invalidas"/>
    <tableColumn id="6" xr3:uid="{00000000-0010-0000-0300-000006000000}" name="IDs_Invalidos"/>
    <tableColumn id="7" xr3:uid="{00000000-0010-0000-0300-000007000000}" name="Resultad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m_processo" displayName="tbl_dim_processo" ref="A1:E17">
  <autoFilter ref="A1:E17" xr:uid="{00000000-0009-0000-0100-000005000000}"/>
  <tableColumns count="5">
    <tableColumn id="1" xr3:uid="{00000000-0010-0000-0400-000001000000}" name="Codigo"/>
    <tableColumn id="2" xr3:uid="{00000000-0010-0000-0400-000002000000}" name="Processo"/>
    <tableColumn id="3" xr3:uid="{00000000-0010-0000-0400-000003000000}" name="Tipo"/>
    <tableColumn id="4" xr3:uid="{00000000-0010-0000-0400-000004000000}" name="Maquinas_Dataset"/>
    <tableColumn id="5" xr3:uid="{00000000-0010-0000-0400-000005000000}" name="Fase_Ciclo_Vida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m_funcao" displayName="tbl_dim_funcao" ref="A1:C23">
  <autoFilter ref="A1:C23" xr:uid="{00000000-0009-0000-0100-000006000000}"/>
  <tableColumns count="3">
    <tableColumn id="1" xr3:uid="{00000000-0010-0000-0500-000001000000}" name="ID_Funcao"/>
    <tableColumn id="2" xr3:uid="{00000000-0010-0000-0500-000002000000}" name="Funcao"/>
    <tableColumn id="3" xr3:uid="{00000000-0010-0000-0500-000003000000}" name="Area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m_clausula" displayName="tbl_dim_clausula" ref="A1:B28">
  <autoFilter ref="A1:B28" xr:uid="{00000000-0009-0000-0100-000007000000}"/>
  <tableColumns count="2">
    <tableColumn id="1" xr3:uid="{00000000-0010-0000-0600-000001000000}" name="Clausula"/>
    <tableColumn id="2" xr3:uid="{00000000-0010-0000-0600-000002000000}" name="Titulo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fonte_unica" displayName="tbl_fonte_unica" ref="A4:E26">
  <autoFilter ref="A4:E26" xr:uid="{00000000-0009-0000-0100-000008000000}"/>
  <tableColumns count="5">
    <tableColumn id="1" xr3:uid="{00000000-0010-0000-0700-000001000000}" name="Assunto"/>
    <tableColumn id="2" xr3:uid="{00000000-0010-0000-0700-000002000000}" name="Registo_Dono"/>
    <tableColumn id="3" xr3:uid="{00000000-0010-0000-0700-000003000000}" name="Tabelas_Donas"/>
    <tableColumn id="4" xr3:uid="{00000000-0010-0000-0700-000004000000}" name="So_Referenciado_Em"/>
    <tableColumn id="5" xr3:uid="{00000000-0010-0000-0700-000005000000}" name="Regra_Nota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matriz_iso" displayName="tbl_matriz_iso" ref="A4:L42">
  <autoFilter ref="A4:L42" xr:uid="{00000000-0009-0000-0100-000009000000}"/>
  <tableColumns count="12">
    <tableColumn id="1" xr3:uid="{00000000-0010-0000-0800-000001000000}" name="ID_Requisito"/>
    <tableColumn id="2" xr3:uid="{00000000-0010-0000-0800-000002000000}" name="Clausula"/>
    <tableColumn id="3" xr3:uid="{00000000-0010-0000-0800-000003000000}" name="Grupo"/>
    <tableColumn id="4" xr3:uid="{00000000-0010-0000-0800-000004000000}" name="Requisito"/>
    <tableColumn id="5" xr3:uid="{00000000-0010-0000-0800-000005000000}" name="Novo_ou_Alterado_2026"/>
    <tableColumn id="6" xr3:uid="{00000000-0010-0000-0800-000006000000}" name="Informacao_Documentada"/>
    <tableColumn id="7" xr3:uid="{00000000-0010-0000-0800-000007000000}" name="Documento"/>
    <tableColumn id="8" xr3:uid="{00000000-0010-0000-0800-000008000000}" name="Evidencia_Registo_Tabelas"/>
    <tableColumn id="9" xr3:uid="{00000000-0010-0000-0800-000009000000}" name="Estado"/>
    <tableColumn id="10" xr3:uid="{00000000-0010-0000-0800-00000A000000}" name="Observacao"/>
    <tableColumn id="11" xr3:uid="{00000000-0010-0000-0800-00000B000000}" name="Acao"/>
    <tableColumn id="12" xr3:uid="{00000000-0010-0000-0800-00000C000000}" name="Pontos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dicionario" displayName="tbl_dicionario" ref="A1:I52">
  <autoFilter ref="A1:I52" xr:uid="{00000000-0009-0000-0100-00000A000000}"/>
  <tableColumns count="9">
    <tableColumn id="1" xr3:uid="{00000000-0010-0000-0900-000001000000}" name="Folha"/>
    <tableColumn id="2" xr3:uid="{00000000-0010-0000-0900-000002000000}" name="Tabela"/>
    <tableColumn id="3" xr3:uid="{00000000-0010-0000-0900-000003000000}" name="Coluna"/>
    <tableColumn id="4" xr3:uid="{00000000-0010-0000-0900-000004000000}" name="Tipo"/>
    <tableColumn id="5" xr3:uid="{00000000-0010-0000-0900-000005000000}" name="Origem"/>
    <tableColumn id="6" xr3:uid="{00000000-0010-0000-0900-000006000000}" name="Descricao"/>
    <tableColumn id="7" xr3:uid="{00000000-0010-0000-0900-000007000000}" name="Dominio_Unidade"/>
    <tableColumn id="8" xr3:uid="{00000000-0010-0000-0900-000008000000}" name="Obrigatorio"/>
    <tableColumn id="9" xr3:uid="{00000000-0010-0000-09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1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x14ac:dyDescent="0.3">
      <c r="A17" s="5" t="s">
        <v>23</v>
      </c>
      <c r="B17" s="6" t="s">
        <v>24</v>
      </c>
    </row>
    <row r="18" spans="1:2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8" spans="1:2" x14ac:dyDescent="0.3">
      <c r="A28" s="5" t="s">
        <v>42</v>
      </c>
      <c r="B28" s="6" t="s">
        <v>43</v>
      </c>
    </row>
    <row r="29" spans="1:2" x14ac:dyDescent="0.3">
      <c r="A29" s="5" t="s">
        <v>44</v>
      </c>
      <c r="B29" s="6" t="s">
        <v>45</v>
      </c>
    </row>
    <row r="30" spans="1:2" x14ac:dyDescent="0.3">
      <c r="A30" s="5" t="s">
        <v>46</v>
      </c>
      <c r="B30" s="6" t="s">
        <v>47</v>
      </c>
    </row>
    <row r="31" spans="1:2" x14ac:dyDescent="0.3">
      <c r="A31" s="5" t="s">
        <v>48</v>
      </c>
      <c r="B31" s="6" t="s">
        <v>49</v>
      </c>
    </row>
    <row r="32" spans="1:2" x14ac:dyDescent="0.3">
      <c r="A32" s="5" t="s">
        <v>50</v>
      </c>
      <c r="B32" s="6" t="s">
        <v>51</v>
      </c>
    </row>
    <row r="33" spans="1:2" x14ac:dyDescent="0.3">
      <c r="A33" s="5" t="s">
        <v>52</v>
      </c>
      <c r="B33" s="6" t="s">
        <v>53</v>
      </c>
    </row>
    <row r="35" spans="1:2" x14ac:dyDescent="0.3">
      <c r="A35" s="3" t="s">
        <v>54</v>
      </c>
      <c r="B35" s="4"/>
    </row>
    <row r="36" spans="1:2" ht="26.4" x14ac:dyDescent="0.3">
      <c r="A36" s="5" t="s">
        <v>55</v>
      </c>
      <c r="B36" s="6" t="s">
        <v>56</v>
      </c>
    </row>
    <row r="37" spans="1:2" x14ac:dyDescent="0.3">
      <c r="A37" s="5" t="s">
        <v>57</v>
      </c>
      <c r="B37" s="6" t="s">
        <v>58</v>
      </c>
    </row>
    <row r="38" spans="1:2" x14ac:dyDescent="0.3">
      <c r="A38" s="5" t="s">
        <v>59</v>
      </c>
      <c r="B38" s="6" t="s">
        <v>60</v>
      </c>
    </row>
    <row r="39" spans="1:2" ht="26.4" x14ac:dyDescent="0.3">
      <c r="A39" s="5" t="s">
        <v>61</v>
      </c>
      <c r="B39" s="6" t="s">
        <v>62</v>
      </c>
    </row>
    <row r="40" spans="1:2" ht="26.4" x14ac:dyDescent="0.3">
      <c r="A40" s="5" t="s">
        <v>63</v>
      </c>
      <c r="B40" s="6" t="s">
        <v>64</v>
      </c>
    </row>
    <row r="41" spans="1:2" ht="26.4" x14ac:dyDescent="0.3">
      <c r="A41" s="5" t="s">
        <v>65</v>
      </c>
      <c r="B41" s="6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2" width="11" customWidth="1"/>
    <col min="3" max="3" width="50" customWidth="1"/>
    <col min="4" max="4" width="22" customWidth="1"/>
    <col min="5" max="5" width="14" customWidth="1"/>
  </cols>
  <sheetData>
    <row r="1" spans="1:5" ht="17.399999999999999" x14ac:dyDescent="0.3">
      <c r="A1" s="1" t="s">
        <v>67</v>
      </c>
    </row>
    <row r="2" spans="1:5" x14ac:dyDescent="0.3">
      <c r="A2" s="2" t="s">
        <v>68</v>
      </c>
    </row>
    <row r="4" spans="1:5" x14ac:dyDescent="0.3">
      <c r="A4" s="8" t="s">
        <v>69</v>
      </c>
      <c r="B4" s="8" t="s">
        <v>70</v>
      </c>
      <c r="C4" s="8" t="s">
        <v>71</v>
      </c>
      <c r="D4" s="8" t="s">
        <v>72</v>
      </c>
      <c r="E4" s="8" t="s">
        <v>73</v>
      </c>
    </row>
    <row r="5" spans="1:5" ht="30" customHeight="1" x14ac:dyDescent="0.3">
      <c r="A5" s="9" t="s">
        <v>74</v>
      </c>
      <c r="B5" s="9" t="s">
        <v>75</v>
      </c>
      <c r="C5" s="9" t="s">
        <v>76</v>
      </c>
      <c r="D5" s="9" t="s">
        <v>77</v>
      </c>
      <c r="E5" s="9" t="s">
        <v>78</v>
      </c>
    </row>
    <row r="6" spans="1:5" ht="30" customHeight="1" x14ac:dyDescent="0.3">
      <c r="A6" s="9" t="s">
        <v>79</v>
      </c>
      <c r="B6" s="9" t="s">
        <v>80</v>
      </c>
      <c r="C6" s="9" t="s">
        <v>81</v>
      </c>
      <c r="D6" s="9" t="s">
        <v>82</v>
      </c>
      <c r="E6" s="9" t="s">
        <v>83</v>
      </c>
    </row>
    <row r="7" spans="1:5" ht="30" customHeight="1" x14ac:dyDescent="0.3">
      <c r="A7" s="9" t="s">
        <v>84</v>
      </c>
      <c r="B7" s="9" t="s">
        <v>85</v>
      </c>
      <c r="C7" s="9" t="s">
        <v>86</v>
      </c>
      <c r="D7" s="9" t="s">
        <v>87</v>
      </c>
      <c r="E7" s="9" t="s">
        <v>88</v>
      </c>
    </row>
    <row r="8" spans="1:5" ht="30" customHeight="1" x14ac:dyDescent="0.3">
      <c r="A8" s="9" t="s">
        <v>89</v>
      </c>
      <c r="B8" s="9" t="s">
        <v>90</v>
      </c>
      <c r="C8" s="9" t="s">
        <v>91</v>
      </c>
      <c r="D8" s="9" t="s">
        <v>92</v>
      </c>
      <c r="E8" s="9" t="s">
        <v>93</v>
      </c>
    </row>
    <row r="9" spans="1:5" ht="30" customHeight="1" x14ac:dyDescent="0.3">
      <c r="A9" s="9" t="s">
        <v>94</v>
      </c>
      <c r="B9" s="9" t="s">
        <v>95</v>
      </c>
      <c r="C9" s="9" t="s">
        <v>96</v>
      </c>
      <c r="D9" s="9" t="s">
        <v>97</v>
      </c>
      <c r="E9" s="9" t="s">
        <v>98</v>
      </c>
    </row>
    <row r="10" spans="1:5" ht="30" customHeight="1" x14ac:dyDescent="0.3">
      <c r="A10" s="9" t="s">
        <v>99</v>
      </c>
      <c r="B10" s="9" t="s">
        <v>100</v>
      </c>
      <c r="C10" s="9" t="s">
        <v>101</v>
      </c>
      <c r="D10" s="9" t="s">
        <v>102</v>
      </c>
      <c r="E10" s="9" t="s">
        <v>103</v>
      </c>
    </row>
    <row r="11" spans="1:5" ht="30" customHeight="1" x14ac:dyDescent="0.3">
      <c r="A11" s="9" t="s">
        <v>104</v>
      </c>
      <c r="B11" s="9" t="s">
        <v>105</v>
      </c>
      <c r="C11" s="9" t="s">
        <v>106</v>
      </c>
      <c r="D11" s="9" t="s">
        <v>107</v>
      </c>
      <c r="E11" s="9" t="s">
        <v>108</v>
      </c>
    </row>
    <row r="12" spans="1:5" ht="30" customHeight="1" x14ac:dyDescent="0.3">
      <c r="A12" s="9" t="s">
        <v>109</v>
      </c>
      <c r="B12" s="9" t="s">
        <v>110</v>
      </c>
      <c r="C12" s="9" t="s">
        <v>111</v>
      </c>
      <c r="D12" s="9" t="s">
        <v>112</v>
      </c>
      <c r="E12" s="9" t="s">
        <v>113</v>
      </c>
    </row>
    <row r="13" spans="1:5" ht="30" customHeight="1" x14ac:dyDescent="0.3">
      <c r="A13" s="9" t="s">
        <v>114</v>
      </c>
      <c r="B13" s="9" t="s">
        <v>115</v>
      </c>
      <c r="C13" s="9" t="s">
        <v>116</v>
      </c>
      <c r="D13" s="9" t="s">
        <v>117</v>
      </c>
      <c r="E13" s="9" t="s">
        <v>118</v>
      </c>
    </row>
    <row r="14" spans="1:5" ht="30" customHeight="1" x14ac:dyDescent="0.3">
      <c r="A14" s="9" t="s">
        <v>119</v>
      </c>
      <c r="B14" s="9" t="s">
        <v>120</v>
      </c>
      <c r="C14" s="9" t="s">
        <v>121</v>
      </c>
      <c r="D14" s="9" t="s">
        <v>122</v>
      </c>
      <c r="E14" s="9" t="s">
        <v>123</v>
      </c>
    </row>
    <row r="15" spans="1:5" ht="30" customHeight="1" x14ac:dyDescent="0.3">
      <c r="A15" s="9" t="s">
        <v>124</v>
      </c>
      <c r="B15" s="9" t="s">
        <v>125</v>
      </c>
      <c r="C15" s="9" t="s">
        <v>126</v>
      </c>
      <c r="D15" s="9" t="s">
        <v>127</v>
      </c>
      <c r="E15" s="9" t="s">
        <v>123</v>
      </c>
    </row>
    <row r="16" spans="1:5" ht="30" customHeight="1" x14ac:dyDescent="0.3">
      <c r="A16" s="9" t="s">
        <v>128</v>
      </c>
      <c r="B16" s="9" t="s">
        <v>129</v>
      </c>
      <c r="C16" s="9" t="s">
        <v>130</v>
      </c>
      <c r="D16" s="9" t="s">
        <v>131</v>
      </c>
      <c r="E16" s="9" t="s">
        <v>132</v>
      </c>
    </row>
    <row r="17" spans="1:5" ht="30" customHeight="1" x14ac:dyDescent="0.3">
      <c r="A17" s="9" t="s">
        <v>133</v>
      </c>
      <c r="B17" s="9" t="s">
        <v>134</v>
      </c>
      <c r="C17" s="9" t="s">
        <v>135</v>
      </c>
      <c r="D17" s="9" t="s">
        <v>136</v>
      </c>
      <c r="E17" s="9" t="s">
        <v>137</v>
      </c>
    </row>
    <row r="18" spans="1:5" ht="30" customHeight="1" x14ac:dyDescent="0.3">
      <c r="A18" s="9" t="s">
        <v>138</v>
      </c>
      <c r="B18" s="9" t="s">
        <v>139</v>
      </c>
      <c r="C18" s="9" t="s">
        <v>140</v>
      </c>
      <c r="D18" s="9" t="s">
        <v>141</v>
      </c>
      <c r="E18" s="9" t="s">
        <v>142</v>
      </c>
    </row>
    <row r="19" spans="1:5" ht="30" customHeight="1" x14ac:dyDescent="0.3">
      <c r="A19" s="9" t="s">
        <v>143</v>
      </c>
      <c r="B19" s="9" t="s">
        <v>144</v>
      </c>
      <c r="C19" s="9" t="s">
        <v>145</v>
      </c>
      <c r="D19" s="9" t="s">
        <v>146</v>
      </c>
      <c r="E19" s="9" t="s">
        <v>147</v>
      </c>
    </row>
    <row r="20" spans="1:5" ht="30" customHeight="1" x14ac:dyDescent="0.3">
      <c r="A20" s="9" t="s">
        <v>148</v>
      </c>
      <c r="B20" s="9" t="s">
        <v>149</v>
      </c>
      <c r="C20" s="9" t="s">
        <v>150</v>
      </c>
      <c r="D20" s="9" t="s">
        <v>151</v>
      </c>
      <c r="E20" s="9" t="s">
        <v>152</v>
      </c>
    </row>
    <row r="21" spans="1:5" ht="30" customHeight="1" x14ac:dyDescent="0.3">
      <c r="A21" s="9" t="s">
        <v>153</v>
      </c>
      <c r="B21" s="9" t="s">
        <v>154</v>
      </c>
      <c r="C21" s="9" t="s">
        <v>155</v>
      </c>
      <c r="D21" s="9" t="s">
        <v>156</v>
      </c>
      <c r="E21" s="9" t="s">
        <v>157</v>
      </c>
    </row>
    <row r="22" spans="1:5" ht="30" customHeight="1" x14ac:dyDescent="0.3">
      <c r="A22" s="9" t="s">
        <v>158</v>
      </c>
      <c r="B22" s="9" t="s">
        <v>159</v>
      </c>
      <c r="C22" s="9" t="s">
        <v>160</v>
      </c>
      <c r="D22" s="9" t="s">
        <v>161</v>
      </c>
      <c r="E22" s="9" t="s">
        <v>162</v>
      </c>
    </row>
    <row r="23" spans="1:5" ht="30" customHeight="1" x14ac:dyDescent="0.3">
      <c r="A23" s="9" t="s">
        <v>163</v>
      </c>
      <c r="B23" s="9" t="s">
        <v>164</v>
      </c>
      <c r="C23" s="9" t="s">
        <v>165</v>
      </c>
      <c r="D23" s="9" t="s">
        <v>166</v>
      </c>
      <c r="E23" s="9" t="s">
        <v>167</v>
      </c>
    </row>
    <row r="24" spans="1:5" ht="30" customHeight="1" x14ac:dyDescent="0.3">
      <c r="A24" s="9" t="s">
        <v>168</v>
      </c>
      <c r="B24" s="9" t="s">
        <v>169</v>
      </c>
      <c r="C24" s="9" t="s">
        <v>170</v>
      </c>
      <c r="D24" s="9" t="s">
        <v>171</v>
      </c>
      <c r="E24" s="9" t="s">
        <v>172</v>
      </c>
    </row>
    <row r="25" spans="1:5" ht="30" customHeight="1" x14ac:dyDescent="0.3">
      <c r="A25" s="9" t="s">
        <v>173</v>
      </c>
      <c r="B25" s="9" t="s">
        <v>174</v>
      </c>
      <c r="C25" s="9" t="s">
        <v>175</v>
      </c>
      <c r="D25" s="9" t="s">
        <v>176</v>
      </c>
      <c r="E25" s="9" t="s">
        <v>177</v>
      </c>
    </row>
    <row r="26" spans="1:5" ht="30" customHeight="1" x14ac:dyDescent="0.3">
      <c r="A26" s="9" t="s">
        <v>178</v>
      </c>
      <c r="B26" s="9" t="s">
        <v>179</v>
      </c>
      <c r="C26" s="9" t="s">
        <v>180</v>
      </c>
      <c r="D26" s="9" t="s">
        <v>161</v>
      </c>
      <c r="E26" s="9" t="s">
        <v>181</v>
      </c>
    </row>
    <row r="27" spans="1:5" ht="30" customHeight="1" x14ac:dyDescent="0.3">
      <c r="A27" s="9" t="s">
        <v>182</v>
      </c>
      <c r="B27" s="9" t="s">
        <v>183</v>
      </c>
      <c r="C27" s="9" t="s">
        <v>184</v>
      </c>
      <c r="D27" s="9" t="s">
        <v>185</v>
      </c>
      <c r="E27" s="9" t="s">
        <v>186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3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6" customWidth="1"/>
    <col min="3" max="3" width="20" customWidth="1"/>
    <col min="4" max="4" width="70" customWidth="1"/>
  </cols>
  <sheetData>
    <row r="1" spans="1:4" x14ac:dyDescent="0.3">
      <c r="A1" s="8" t="s">
        <v>187</v>
      </c>
      <c r="B1" s="8" t="s">
        <v>188</v>
      </c>
      <c r="C1" s="8" t="s">
        <v>69</v>
      </c>
      <c r="D1" s="8" t="s">
        <v>189</v>
      </c>
    </row>
    <row r="2" spans="1:4" ht="30" customHeight="1" x14ac:dyDescent="0.3">
      <c r="A2" s="9" t="s">
        <v>82</v>
      </c>
      <c r="B2" s="9" t="s">
        <v>190</v>
      </c>
      <c r="C2" s="9" t="s">
        <v>191</v>
      </c>
      <c r="D2" s="9" t="s">
        <v>192</v>
      </c>
    </row>
    <row r="3" spans="1:4" ht="30" customHeight="1" x14ac:dyDescent="0.3">
      <c r="A3" s="9" t="s">
        <v>87</v>
      </c>
      <c r="B3" s="9" t="s">
        <v>193</v>
      </c>
      <c r="C3" s="9" t="s">
        <v>194</v>
      </c>
      <c r="D3" s="9" t="s">
        <v>195</v>
      </c>
    </row>
    <row r="4" spans="1:4" ht="30" customHeight="1" x14ac:dyDescent="0.3">
      <c r="A4" s="9" t="s">
        <v>92</v>
      </c>
      <c r="B4" s="9" t="s">
        <v>196</v>
      </c>
      <c r="C4" s="9" t="s">
        <v>197</v>
      </c>
      <c r="D4" s="9" t="s">
        <v>198</v>
      </c>
    </row>
    <row r="5" spans="1:4" ht="30" customHeight="1" x14ac:dyDescent="0.3">
      <c r="A5" s="9" t="s">
        <v>97</v>
      </c>
      <c r="B5" s="9" t="s">
        <v>96</v>
      </c>
      <c r="C5" s="9" t="s">
        <v>199</v>
      </c>
      <c r="D5" s="9" t="s">
        <v>200</v>
      </c>
    </row>
    <row r="6" spans="1:4" ht="30" customHeight="1" x14ac:dyDescent="0.3">
      <c r="A6" s="9" t="s">
        <v>201</v>
      </c>
      <c r="B6" s="9" t="s">
        <v>202</v>
      </c>
      <c r="C6" s="9" t="s">
        <v>203</v>
      </c>
      <c r="D6" s="9" t="s">
        <v>204</v>
      </c>
    </row>
    <row r="7" spans="1:4" ht="30" customHeight="1" x14ac:dyDescent="0.3">
      <c r="A7" s="9" t="s">
        <v>112</v>
      </c>
      <c r="B7" s="9" t="s">
        <v>205</v>
      </c>
      <c r="C7" s="9" t="s">
        <v>206</v>
      </c>
      <c r="D7" s="9" t="s">
        <v>207</v>
      </c>
    </row>
    <row r="8" spans="1:4" ht="30" customHeight="1" x14ac:dyDescent="0.3">
      <c r="A8" s="9" t="s">
        <v>117</v>
      </c>
      <c r="B8" s="9" t="s">
        <v>208</v>
      </c>
      <c r="C8" s="9" t="s">
        <v>209</v>
      </c>
      <c r="D8" s="9" t="s">
        <v>210</v>
      </c>
    </row>
    <row r="9" spans="1:4" ht="30" customHeight="1" x14ac:dyDescent="0.3">
      <c r="A9" s="9" t="s">
        <v>122</v>
      </c>
      <c r="B9" s="9" t="s">
        <v>211</v>
      </c>
      <c r="C9" s="9" t="s">
        <v>212</v>
      </c>
      <c r="D9" s="9" t="s">
        <v>213</v>
      </c>
    </row>
    <row r="10" spans="1:4" ht="30" customHeight="1" x14ac:dyDescent="0.3">
      <c r="A10" s="9" t="s">
        <v>127</v>
      </c>
      <c r="B10" s="9" t="s">
        <v>214</v>
      </c>
      <c r="C10" s="9" t="s">
        <v>215</v>
      </c>
      <c r="D10" s="9" t="s">
        <v>216</v>
      </c>
    </row>
    <row r="11" spans="1:4" ht="30" customHeight="1" x14ac:dyDescent="0.3">
      <c r="A11" s="9" t="s">
        <v>131</v>
      </c>
      <c r="B11" s="9" t="s">
        <v>217</v>
      </c>
      <c r="C11" s="9" t="s">
        <v>218</v>
      </c>
      <c r="D11" s="9" t="s">
        <v>219</v>
      </c>
    </row>
    <row r="12" spans="1:4" ht="30" customHeight="1" x14ac:dyDescent="0.3">
      <c r="A12" s="9" t="s">
        <v>220</v>
      </c>
      <c r="B12" s="9" t="s">
        <v>221</v>
      </c>
      <c r="C12" s="9" t="s">
        <v>222</v>
      </c>
      <c r="D12" s="9" t="s">
        <v>223</v>
      </c>
    </row>
    <row r="13" spans="1:4" ht="30" customHeight="1" x14ac:dyDescent="0.3">
      <c r="A13" s="9" t="s">
        <v>224</v>
      </c>
      <c r="B13" s="9" t="s">
        <v>225</v>
      </c>
      <c r="C13" s="9" t="s">
        <v>222</v>
      </c>
      <c r="D13" s="9" t="s">
        <v>226</v>
      </c>
    </row>
    <row r="14" spans="1:4" ht="30" customHeight="1" x14ac:dyDescent="0.3">
      <c r="A14" s="9" t="s">
        <v>227</v>
      </c>
      <c r="B14" s="9" t="s">
        <v>228</v>
      </c>
      <c r="C14" s="9" t="s">
        <v>229</v>
      </c>
      <c r="D14" s="9" t="s">
        <v>230</v>
      </c>
    </row>
    <row r="15" spans="1:4" ht="30" customHeight="1" x14ac:dyDescent="0.3">
      <c r="A15" s="9" t="s">
        <v>141</v>
      </c>
      <c r="B15" s="9" t="s">
        <v>231</v>
      </c>
      <c r="C15" s="9" t="s">
        <v>232</v>
      </c>
      <c r="D15" s="9" t="s">
        <v>233</v>
      </c>
    </row>
    <row r="16" spans="1:4" ht="30" customHeight="1" x14ac:dyDescent="0.3">
      <c r="A16" s="9" t="s">
        <v>234</v>
      </c>
      <c r="B16" s="9" t="s">
        <v>235</v>
      </c>
      <c r="C16" s="9" t="s">
        <v>229</v>
      </c>
      <c r="D16" s="9" t="s">
        <v>236</v>
      </c>
    </row>
    <row r="17" spans="1:4" ht="30" customHeight="1" x14ac:dyDescent="0.3">
      <c r="A17" s="9" t="s">
        <v>146</v>
      </c>
      <c r="B17" s="9" t="s">
        <v>237</v>
      </c>
      <c r="C17" s="9" t="s">
        <v>238</v>
      </c>
      <c r="D17" s="9" t="s">
        <v>239</v>
      </c>
    </row>
    <row r="18" spans="1:4" ht="30" customHeight="1" x14ac:dyDescent="0.3">
      <c r="A18" s="9" t="s">
        <v>240</v>
      </c>
      <c r="B18" s="9" t="s">
        <v>241</v>
      </c>
      <c r="C18" s="9" t="s">
        <v>242</v>
      </c>
      <c r="D18" s="9" t="s">
        <v>243</v>
      </c>
    </row>
    <row r="19" spans="1:4" ht="30" customHeight="1" x14ac:dyDescent="0.3">
      <c r="A19" s="9" t="s">
        <v>98</v>
      </c>
      <c r="B19" s="9" t="s">
        <v>244</v>
      </c>
      <c r="C19" s="9" t="s">
        <v>245</v>
      </c>
      <c r="D19" s="9" t="s">
        <v>246</v>
      </c>
    </row>
    <row r="20" spans="1:4" ht="30" customHeight="1" x14ac:dyDescent="0.3">
      <c r="A20" s="9" t="s">
        <v>157</v>
      </c>
      <c r="B20" s="9" t="s">
        <v>247</v>
      </c>
      <c r="C20" s="9" t="s">
        <v>248</v>
      </c>
      <c r="D20" s="9" t="s">
        <v>249</v>
      </c>
    </row>
    <row r="21" spans="1:4" ht="30" customHeight="1" x14ac:dyDescent="0.3">
      <c r="A21" s="9" t="s">
        <v>250</v>
      </c>
      <c r="B21" s="9" t="s">
        <v>251</v>
      </c>
      <c r="C21" s="9" t="s">
        <v>252</v>
      </c>
      <c r="D21" s="9" t="s">
        <v>253</v>
      </c>
    </row>
    <row r="22" spans="1:4" ht="30" customHeight="1" x14ac:dyDescent="0.3">
      <c r="A22" s="9" t="s">
        <v>254</v>
      </c>
      <c r="B22" s="9" t="s">
        <v>255</v>
      </c>
      <c r="C22" s="9" t="s">
        <v>256</v>
      </c>
      <c r="D22" s="9" t="s">
        <v>257</v>
      </c>
    </row>
    <row r="23" spans="1:4" ht="30" customHeight="1" x14ac:dyDescent="0.3">
      <c r="A23" s="9" t="s">
        <v>258</v>
      </c>
      <c r="B23" s="9" t="s">
        <v>259</v>
      </c>
      <c r="C23" s="9" t="s">
        <v>260</v>
      </c>
      <c r="D23" s="9" t="s">
        <v>261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44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3" width="26" customWidth="1"/>
    <col min="4" max="4" width="9" customWidth="1"/>
    <col min="5" max="6" width="8" customWidth="1"/>
    <col min="7" max="7" width="18" customWidth="1"/>
    <col min="8" max="8" width="80" customWidth="1"/>
  </cols>
  <sheetData>
    <row r="1" spans="1:8" ht="26.4" x14ac:dyDescent="0.3">
      <c r="A1" s="8" t="s">
        <v>69</v>
      </c>
      <c r="B1" s="8" t="s">
        <v>262</v>
      </c>
      <c r="C1" s="8" t="s">
        <v>263</v>
      </c>
      <c r="D1" s="8" t="s">
        <v>264</v>
      </c>
      <c r="E1" s="8" t="s">
        <v>265</v>
      </c>
      <c r="F1" s="8" t="s">
        <v>266</v>
      </c>
      <c r="G1" s="8" t="s">
        <v>267</v>
      </c>
      <c r="H1" s="8" t="s">
        <v>268</v>
      </c>
    </row>
    <row r="2" spans="1:8" x14ac:dyDescent="0.3">
      <c r="A2" s="9" t="s">
        <v>74</v>
      </c>
      <c r="B2" s="9" t="s">
        <v>269</v>
      </c>
      <c r="C2" s="9" t="s">
        <v>270</v>
      </c>
      <c r="D2" s="10">
        <v>1</v>
      </c>
      <c r="E2" s="10">
        <v>20</v>
      </c>
      <c r="F2" s="10">
        <v>26</v>
      </c>
      <c r="G2" s="9" t="s">
        <v>271</v>
      </c>
      <c r="H2" s="9" t="s">
        <v>272</v>
      </c>
    </row>
    <row r="3" spans="1:8" x14ac:dyDescent="0.3">
      <c r="A3" s="9" t="s">
        <v>74</v>
      </c>
      <c r="B3" s="9" t="s">
        <v>273</v>
      </c>
      <c r="C3" s="9" t="s">
        <v>274</v>
      </c>
      <c r="D3" s="10">
        <v>1</v>
      </c>
      <c r="E3" s="10">
        <v>23</v>
      </c>
      <c r="F3" s="10">
        <v>18</v>
      </c>
      <c r="G3" s="9" t="s">
        <v>275</v>
      </c>
      <c r="H3" s="9" t="s">
        <v>276</v>
      </c>
    </row>
    <row r="4" spans="1:8" ht="26.4" x14ac:dyDescent="0.3">
      <c r="A4" s="9" t="s">
        <v>74</v>
      </c>
      <c r="B4" s="9" t="s">
        <v>277</v>
      </c>
      <c r="C4" s="9" t="s">
        <v>278</v>
      </c>
      <c r="D4" s="10">
        <v>1</v>
      </c>
      <c r="E4" s="10">
        <v>8</v>
      </c>
      <c r="F4" s="10">
        <v>9</v>
      </c>
      <c r="G4" s="9" t="s">
        <v>279</v>
      </c>
      <c r="H4" s="9" t="s">
        <v>280</v>
      </c>
    </row>
    <row r="5" spans="1:8" ht="26.4" x14ac:dyDescent="0.3">
      <c r="A5" s="9" t="s">
        <v>74</v>
      </c>
      <c r="B5" s="9" t="s">
        <v>281</v>
      </c>
      <c r="C5" s="9" t="s">
        <v>282</v>
      </c>
      <c r="D5" s="10">
        <v>4</v>
      </c>
      <c r="E5" s="10">
        <v>5</v>
      </c>
      <c r="F5" s="10">
        <v>9</v>
      </c>
      <c r="G5" s="9" t="s">
        <v>283</v>
      </c>
      <c r="H5" s="9" t="s">
        <v>284</v>
      </c>
    </row>
    <row r="6" spans="1:8" ht="26.4" x14ac:dyDescent="0.3">
      <c r="A6" s="9" t="s">
        <v>74</v>
      </c>
      <c r="B6" s="9" t="s">
        <v>285</v>
      </c>
      <c r="C6" s="9" t="s">
        <v>286</v>
      </c>
      <c r="D6" s="10">
        <v>4</v>
      </c>
      <c r="E6" s="10">
        <v>26</v>
      </c>
      <c r="F6" s="10">
        <v>20</v>
      </c>
      <c r="G6" s="9" t="s">
        <v>287</v>
      </c>
      <c r="H6" s="9" t="s">
        <v>288</v>
      </c>
    </row>
    <row r="7" spans="1:8" ht="26.4" x14ac:dyDescent="0.3">
      <c r="A7" s="9" t="s">
        <v>74</v>
      </c>
      <c r="B7" s="9" t="s">
        <v>52</v>
      </c>
      <c r="C7" s="9" t="s">
        <v>289</v>
      </c>
      <c r="D7" s="10">
        <v>1</v>
      </c>
      <c r="E7" s="10">
        <v>82</v>
      </c>
      <c r="F7" s="10">
        <v>9</v>
      </c>
      <c r="G7" s="9" t="s">
        <v>262</v>
      </c>
      <c r="H7" s="9" t="s">
        <v>290</v>
      </c>
    </row>
    <row r="8" spans="1:8" ht="26.4" x14ac:dyDescent="0.3">
      <c r="A8" s="9" t="s">
        <v>79</v>
      </c>
      <c r="B8" s="9" t="s">
        <v>291</v>
      </c>
      <c r="C8" s="9" t="s">
        <v>292</v>
      </c>
      <c r="D8" s="10">
        <v>4</v>
      </c>
      <c r="E8" s="10">
        <v>150</v>
      </c>
      <c r="F8" s="10">
        <v>87</v>
      </c>
      <c r="G8" s="9" t="s">
        <v>293</v>
      </c>
      <c r="H8" s="9" t="s">
        <v>294</v>
      </c>
    </row>
    <row r="9" spans="1:8" ht="26.4" x14ac:dyDescent="0.3">
      <c r="A9" s="9" t="s">
        <v>79</v>
      </c>
      <c r="B9" s="9" t="s">
        <v>295</v>
      </c>
      <c r="C9" s="9" t="s">
        <v>296</v>
      </c>
      <c r="D9" s="10">
        <v>4</v>
      </c>
      <c r="E9" s="10">
        <v>150</v>
      </c>
      <c r="F9" s="10">
        <v>72</v>
      </c>
      <c r="G9" s="9" t="s">
        <v>293</v>
      </c>
      <c r="H9" s="9" t="s">
        <v>297</v>
      </c>
    </row>
    <row r="10" spans="1:8" ht="26.4" x14ac:dyDescent="0.3">
      <c r="A10" s="9" t="s">
        <v>79</v>
      </c>
      <c r="B10" s="9" t="s">
        <v>298</v>
      </c>
      <c r="C10" s="9" t="s">
        <v>299</v>
      </c>
      <c r="D10" s="10">
        <v>6</v>
      </c>
      <c r="E10" s="10">
        <v>290</v>
      </c>
      <c r="F10" s="10">
        <v>11</v>
      </c>
      <c r="G10" s="9" t="s">
        <v>300</v>
      </c>
      <c r="H10" s="9" t="s">
        <v>301</v>
      </c>
    </row>
    <row r="11" spans="1:8" x14ac:dyDescent="0.3">
      <c r="A11" s="9" t="s">
        <v>79</v>
      </c>
      <c r="B11" s="9" t="s">
        <v>302</v>
      </c>
      <c r="C11" s="9" t="s">
        <v>303</v>
      </c>
      <c r="D11" s="10">
        <v>6</v>
      </c>
      <c r="E11" s="10">
        <v>60</v>
      </c>
      <c r="F11" s="10">
        <v>22</v>
      </c>
      <c r="G11" s="9" t="s">
        <v>304</v>
      </c>
      <c r="H11" s="9" t="s">
        <v>305</v>
      </c>
    </row>
    <row r="12" spans="1:8" ht="26.4" x14ac:dyDescent="0.3">
      <c r="A12" s="9" t="s">
        <v>79</v>
      </c>
      <c r="B12" s="9" t="s">
        <v>306</v>
      </c>
      <c r="C12" s="9" t="s">
        <v>307</v>
      </c>
      <c r="D12" s="10">
        <v>4</v>
      </c>
      <c r="E12" s="10">
        <v>162</v>
      </c>
      <c r="F12" s="10">
        <v>4</v>
      </c>
      <c r="G12" s="9" t="s">
        <v>304</v>
      </c>
      <c r="H12" s="9" t="s">
        <v>308</v>
      </c>
    </row>
    <row r="13" spans="1:8" ht="26.4" x14ac:dyDescent="0.3">
      <c r="A13" s="9" t="s">
        <v>79</v>
      </c>
      <c r="B13" s="9" t="s">
        <v>309</v>
      </c>
      <c r="C13" s="9" t="s">
        <v>310</v>
      </c>
      <c r="D13" s="10">
        <v>6</v>
      </c>
      <c r="E13" s="10">
        <v>80</v>
      </c>
      <c r="F13" s="10">
        <v>14</v>
      </c>
      <c r="G13" s="9" t="s">
        <v>311</v>
      </c>
      <c r="H13" s="9" t="s">
        <v>312</v>
      </c>
    </row>
    <row r="14" spans="1:8" ht="26.4" x14ac:dyDescent="0.3">
      <c r="A14" s="9" t="s">
        <v>79</v>
      </c>
      <c r="B14" s="9" t="s">
        <v>313</v>
      </c>
      <c r="C14" s="9" t="s">
        <v>314</v>
      </c>
      <c r="D14" s="10">
        <v>4</v>
      </c>
      <c r="E14" s="10">
        <v>60</v>
      </c>
      <c r="F14" s="10">
        <v>13</v>
      </c>
      <c r="G14" s="9" t="s">
        <v>315</v>
      </c>
      <c r="H14" s="9" t="s">
        <v>316</v>
      </c>
    </row>
    <row r="15" spans="1:8" ht="26.4" x14ac:dyDescent="0.3">
      <c r="A15" s="9" t="s">
        <v>79</v>
      </c>
      <c r="B15" s="9" t="s">
        <v>317</v>
      </c>
      <c r="C15" s="9" t="s">
        <v>318</v>
      </c>
      <c r="D15" s="10">
        <v>72</v>
      </c>
      <c r="E15" s="10">
        <v>8</v>
      </c>
      <c r="F15" s="10">
        <v>15</v>
      </c>
      <c r="G15" s="9" t="s">
        <v>319</v>
      </c>
      <c r="H15" s="9" t="s">
        <v>320</v>
      </c>
    </row>
    <row r="16" spans="1:8" ht="26.4" x14ac:dyDescent="0.3">
      <c r="A16" s="9" t="s">
        <v>79</v>
      </c>
      <c r="B16" s="9" t="s">
        <v>317</v>
      </c>
      <c r="C16" s="9" t="s">
        <v>321</v>
      </c>
      <c r="D16" s="10">
        <v>116</v>
      </c>
      <c r="E16" s="10">
        <v>20</v>
      </c>
      <c r="F16" s="10">
        <v>18</v>
      </c>
      <c r="G16" s="9" t="s">
        <v>322</v>
      </c>
      <c r="H16" s="9" t="s">
        <v>323</v>
      </c>
    </row>
    <row r="17" spans="1:8" ht="26.4" x14ac:dyDescent="0.3">
      <c r="A17" s="9" t="s">
        <v>79</v>
      </c>
      <c r="B17" s="9" t="s">
        <v>324</v>
      </c>
      <c r="C17" s="9" t="s">
        <v>325</v>
      </c>
      <c r="D17" s="10">
        <v>4</v>
      </c>
      <c r="E17" s="10">
        <v>25</v>
      </c>
      <c r="F17" s="10">
        <v>29</v>
      </c>
      <c r="G17" s="9" t="s">
        <v>326</v>
      </c>
      <c r="H17" s="9" t="s">
        <v>327</v>
      </c>
    </row>
    <row r="18" spans="1:8" ht="26.4" x14ac:dyDescent="0.3">
      <c r="A18" s="9" t="s">
        <v>79</v>
      </c>
      <c r="B18" s="9" t="s">
        <v>328</v>
      </c>
      <c r="C18" s="9" t="s">
        <v>329</v>
      </c>
      <c r="D18" s="10">
        <v>4</v>
      </c>
      <c r="E18" s="10">
        <v>66</v>
      </c>
      <c r="F18" s="10">
        <v>22</v>
      </c>
      <c r="G18" s="9" t="s">
        <v>319</v>
      </c>
      <c r="H18" s="9" t="s">
        <v>330</v>
      </c>
    </row>
    <row r="19" spans="1:8" ht="26.4" x14ac:dyDescent="0.3">
      <c r="A19" s="9" t="s">
        <v>79</v>
      </c>
      <c r="B19" s="9" t="s">
        <v>331</v>
      </c>
      <c r="C19" s="9" t="s">
        <v>332</v>
      </c>
      <c r="D19" s="10">
        <v>4</v>
      </c>
      <c r="E19" s="10">
        <v>60</v>
      </c>
      <c r="F19" s="10">
        <v>9</v>
      </c>
      <c r="G19" s="9" t="s">
        <v>333</v>
      </c>
      <c r="H19" s="9" t="s">
        <v>334</v>
      </c>
    </row>
    <row r="20" spans="1:8" ht="26.4" x14ac:dyDescent="0.3">
      <c r="A20" s="9" t="s">
        <v>79</v>
      </c>
      <c r="B20" s="9" t="s">
        <v>335</v>
      </c>
      <c r="C20" s="9" t="s">
        <v>336</v>
      </c>
      <c r="D20" s="10">
        <v>4</v>
      </c>
      <c r="E20" s="10">
        <v>316</v>
      </c>
      <c r="F20" s="10">
        <v>8</v>
      </c>
      <c r="G20" s="9" t="s">
        <v>337</v>
      </c>
      <c r="H20" s="9" t="s">
        <v>338</v>
      </c>
    </row>
    <row r="21" spans="1:8" ht="26.4" x14ac:dyDescent="0.3">
      <c r="A21" s="9" t="s">
        <v>84</v>
      </c>
      <c r="B21" s="9" t="s">
        <v>339</v>
      </c>
      <c r="C21" s="9" t="s">
        <v>340</v>
      </c>
      <c r="D21" s="10">
        <v>1</v>
      </c>
      <c r="E21" s="10">
        <v>12</v>
      </c>
      <c r="F21" s="10">
        <v>5</v>
      </c>
      <c r="G21" s="9" t="s">
        <v>341</v>
      </c>
      <c r="H21" s="9" t="s">
        <v>342</v>
      </c>
    </row>
    <row r="22" spans="1:8" ht="26.4" x14ac:dyDescent="0.3">
      <c r="A22" s="9" t="s">
        <v>84</v>
      </c>
      <c r="B22" s="9" t="s">
        <v>343</v>
      </c>
      <c r="C22" s="9" t="s">
        <v>344</v>
      </c>
      <c r="D22" s="10">
        <v>4</v>
      </c>
      <c r="E22" s="10">
        <v>43</v>
      </c>
      <c r="F22" s="10">
        <v>39</v>
      </c>
      <c r="G22" s="9" t="s">
        <v>345</v>
      </c>
      <c r="H22" s="9" t="s">
        <v>346</v>
      </c>
    </row>
    <row r="23" spans="1:8" ht="26.4" x14ac:dyDescent="0.3">
      <c r="A23" s="9" t="s">
        <v>84</v>
      </c>
      <c r="B23" s="9" t="s">
        <v>347</v>
      </c>
      <c r="C23" s="9" t="s">
        <v>348</v>
      </c>
      <c r="D23" s="10">
        <v>1</v>
      </c>
      <c r="E23" s="10">
        <v>81</v>
      </c>
      <c r="F23" s="10">
        <v>6</v>
      </c>
      <c r="G23" s="9" t="s">
        <v>345</v>
      </c>
      <c r="H23" s="9" t="s">
        <v>349</v>
      </c>
    </row>
    <row r="24" spans="1:8" ht="26.4" x14ac:dyDescent="0.3">
      <c r="A24" s="9" t="s">
        <v>84</v>
      </c>
      <c r="B24" s="9" t="s">
        <v>52</v>
      </c>
      <c r="C24" s="9" t="s">
        <v>289</v>
      </c>
      <c r="D24" s="10">
        <v>1</v>
      </c>
      <c r="E24" s="10">
        <v>50</v>
      </c>
      <c r="F24" s="10">
        <v>9</v>
      </c>
      <c r="G24" s="9" t="s">
        <v>262</v>
      </c>
      <c r="H24" s="9" t="s">
        <v>350</v>
      </c>
    </row>
    <row r="25" spans="1:8" ht="26.4" x14ac:dyDescent="0.3">
      <c r="A25" s="9" t="s">
        <v>89</v>
      </c>
      <c r="B25" s="9" t="s">
        <v>351</v>
      </c>
      <c r="C25" s="9" t="s">
        <v>352</v>
      </c>
      <c r="D25" s="10">
        <v>4</v>
      </c>
      <c r="E25" s="10">
        <v>22</v>
      </c>
      <c r="F25" s="10">
        <v>29</v>
      </c>
      <c r="G25" s="9" t="s">
        <v>353</v>
      </c>
      <c r="H25" s="9" t="s">
        <v>354</v>
      </c>
    </row>
    <row r="26" spans="1:8" ht="26.4" x14ac:dyDescent="0.3">
      <c r="A26" s="9" t="s">
        <v>89</v>
      </c>
      <c r="B26" s="9" t="s">
        <v>355</v>
      </c>
      <c r="C26" s="9" t="s">
        <v>356</v>
      </c>
      <c r="D26" s="10">
        <v>1</v>
      </c>
      <c r="E26" s="10">
        <v>30</v>
      </c>
      <c r="F26" s="10">
        <v>10</v>
      </c>
      <c r="G26" s="9" t="s">
        <v>357</v>
      </c>
      <c r="H26" s="9" t="s">
        <v>358</v>
      </c>
    </row>
    <row r="27" spans="1:8" ht="26.4" x14ac:dyDescent="0.3">
      <c r="A27" s="9" t="s">
        <v>89</v>
      </c>
      <c r="B27" s="9" t="s">
        <v>359</v>
      </c>
      <c r="C27" s="9" t="s">
        <v>360</v>
      </c>
      <c r="D27" s="10">
        <v>1</v>
      </c>
      <c r="E27" s="10">
        <v>44</v>
      </c>
      <c r="F27" s="10">
        <v>4</v>
      </c>
      <c r="G27" s="9" t="s">
        <v>353</v>
      </c>
      <c r="H27" s="9" t="s">
        <v>361</v>
      </c>
    </row>
    <row r="28" spans="1:8" ht="26.4" x14ac:dyDescent="0.3">
      <c r="A28" s="9" t="s">
        <v>89</v>
      </c>
      <c r="B28" s="9" t="s">
        <v>52</v>
      </c>
      <c r="C28" s="9" t="s">
        <v>289</v>
      </c>
      <c r="D28" s="10">
        <v>1</v>
      </c>
      <c r="E28" s="10">
        <v>43</v>
      </c>
      <c r="F28" s="10">
        <v>9</v>
      </c>
      <c r="G28" s="9" t="s">
        <v>262</v>
      </c>
      <c r="H28" s="9" t="s">
        <v>362</v>
      </c>
    </row>
    <row r="29" spans="1:8" x14ac:dyDescent="0.3">
      <c r="A29" s="9" t="s">
        <v>94</v>
      </c>
      <c r="B29" s="9" t="s">
        <v>363</v>
      </c>
      <c r="C29" s="9" t="s">
        <v>364</v>
      </c>
      <c r="D29" s="10">
        <v>1</v>
      </c>
      <c r="E29" s="10">
        <v>7</v>
      </c>
      <c r="F29" s="10">
        <v>3</v>
      </c>
      <c r="G29" s="9" t="s">
        <v>365</v>
      </c>
      <c r="H29" s="9" t="s">
        <v>366</v>
      </c>
    </row>
    <row r="30" spans="1:8" x14ac:dyDescent="0.3">
      <c r="A30" s="9" t="s">
        <v>94</v>
      </c>
      <c r="B30" s="9" t="s">
        <v>367</v>
      </c>
      <c r="C30" s="9" t="s">
        <v>368</v>
      </c>
      <c r="D30" s="10">
        <v>1</v>
      </c>
      <c r="E30" s="10">
        <v>21</v>
      </c>
      <c r="F30" s="10">
        <v>12</v>
      </c>
      <c r="G30" s="9" t="s">
        <v>369</v>
      </c>
      <c r="H30" s="9" t="s">
        <v>370</v>
      </c>
    </row>
    <row r="31" spans="1:8" ht="26.4" x14ac:dyDescent="0.3">
      <c r="A31" s="9" t="s">
        <v>94</v>
      </c>
      <c r="B31" s="9" t="s">
        <v>371</v>
      </c>
      <c r="C31" s="9" t="s">
        <v>372</v>
      </c>
      <c r="D31" s="10">
        <v>4</v>
      </c>
      <c r="E31" s="10">
        <v>7</v>
      </c>
      <c r="F31" s="10">
        <v>29</v>
      </c>
      <c r="G31" s="9" t="s">
        <v>373</v>
      </c>
      <c r="H31" s="9" t="s">
        <v>374</v>
      </c>
    </row>
    <row r="32" spans="1:8" ht="26.4" x14ac:dyDescent="0.3">
      <c r="A32" s="9" t="s">
        <v>94</v>
      </c>
      <c r="B32" s="9" t="s">
        <v>375</v>
      </c>
      <c r="C32" s="9" t="s">
        <v>376</v>
      </c>
      <c r="D32" s="10">
        <v>1</v>
      </c>
      <c r="E32" s="10">
        <v>88</v>
      </c>
      <c r="F32" s="10">
        <v>9</v>
      </c>
      <c r="G32" s="9" t="s">
        <v>373</v>
      </c>
      <c r="H32" s="9" t="s">
        <v>377</v>
      </c>
    </row>
    <row r="33" spans="1:8" ht="26.4" x14ac:dyDescent="0.3">
      <c r="A33" s="9" t="s">
        <v>94</v>
      </c>
      <c r="B33" s="9" t="s">
        <v>52</v>
      </c>
      <c r="C33" s="9" t="s">
        <v>289</v>
      </c>
      <c r="D33" s="10">
        <v>1</v>
      </c>
      <c r="E33" s="10">
        <v>53</v>
      </c>
      <c r="F33" s="10">
        <v>9</v>
      </c>
      <c r="G33" s="9" t="s">
        <v>262</v>
      </c>
      <c r="H33" s="9" t="s">
        <v>378</v>
      </c>
    </row>
    <row r="34" spans="1:8" x14ac:dyDescent="0.3">
      <c r="A34" s="9" t="s">
        <v>99</v>
      </c>
      <c r="B34" s="9" t="s">
        <v>379</v>
      </c>
      <c r="C34" s="9" t="s">
        <v>380</v>
      </c>
      <c r="D34" s="10">
        <v>4</v>
      </c>
      <c r="E34" s="10">
        <v>37</v>
      </c>
      <c r="F34" s="10">
        <v>33</v>
      </c>
      <c r="G34" s="9" t="s">
        <v>381</v>
      </c>
      <c r="H34" s="9" t="s">
        <v>382</v>
      </c>
    </row>
    <row r="35" spans="1:8" ht="26.4" x14ac:dyDescent="0.3">
      <c r="A35" s="9" t="s">
        <v>99</v>
      </c>
      <c r="B35" s="9" t="s">
        <v>52</v>
      </c>
      <c r="C35" s="9" t="s">
        <v>289</v>
      </c>
      <c r="D35" s="10">
        <v>1</v>
      </c>
      <c r="E35" s="10">
        <v>33</v>
      </c>
      <c r="F35" s="10">
        <v>9</v>
      </c>
      <c r="G35" s="9" t="s">
        <v>262</v>
      </c>
      <c r="H35" s="9" t="s">
        <v>383</v>
      </c>
    </row>
    <row r="36" spans="1:8" ht="26.4" x14ac:dyDescent="0.3">
      <c r="A36" s="9" t="s">
        <v>104</v>
      </c>
      <c r="B36" s="9" t="s">
        <v>384</v>
      </c>
      <c r="C36" s="9" t="s">
        <v>385</v>
      </c>
      <c r="D36" s="10">
        <v>4</v>
      </c>
      <c r="E36" s="10">
        <v>15</v>
      </c>
      <c r="F36" s="10">
        <v>32</v>
      </c>
      <c r="G36" s="9" t="s">
        <v>386</v>
      </c>
      <c r="H36" s="9" t="s">
        <v>387</v>
      </c>
    </row>
    <row r="37" spans="1:8" ht="26.4" x14ac:dyDescent="0.3">
      <c r="A37" s="9" t="s">
        <v>104</v>
      </c>
      <c r="B37" s="9" t="s">
        <v>388</v>
      </c>
      <c r="C37" s="9" t="s">
        <v>389</v>
      </c>
      <c r="D37" s="10">
        <v>1</v>
      </c>
      <c r="E37" s="10">
        <v>12</v>
      </c>
      <c r="F37" s="10">
        <v>7</v>
      </c>
      <c r="G37" s="9" t="s">
        <v>386</v>
      </c>
      <c r="H37" s="9" t="s">
        <v>390</v>
      </c>
    </row>
    <row r="38" spans="1:8" ht="26.4" x14ac:dyDescent="0.3">
      <c r="A38" s="9" t="s">
        <v>104</v>
      </c>
      <c r="B38" s="9" t="s">
        <v>391</v>
      </c>
      <c r="C38" s="9" t="s">
        <v>392</v>
      </c>
      <c r="D38" s="10">
        <v>4</v>
      </c>
      <c r="E38" s="10">
        <v>61</v>
      </c>
      <c r="F38" s="10">
        <v>24</v>
      </c>
      <c r="G38" s="9" t="s">
        <v>393</v>
      </c>
      <c r="H38" s="9" t="s">
        <v>394</v>
      </c>
    </row>
    <row r="39" spans="1:8" ht="26.4" x14ac:dyDescent="0.3">
      <c r="A39" s="9" t="s">
        <v>104</v>
      </c>
      <c r="B39" s="9" t="s">
        <v>52</v>
      </c>
      <c r="C39" s="9" t="s">
        <v>289</v>
      </c>
      <c r="D39" s="10">
        <v>1</v>
      </c>
      <c r="E39" s="10">
        <v>63</v>
      </c>
      <c r="F39" s="10">
        <v>9</v>
      </c>
      <c r="G39" s="9" t="s">
        <v>262</v>
      </c>
      <c r="H39" s="9" t="s">
        <v>395</v>
      </c>
    </row>
    <row r="40" spans="1:8" ht="26.4" x14ac:dyDescent="0.3">
      <c r="A40" s="9" t="s">
        <v>109</v>
      </c>
      <c r="B40" s="9" t="s">
        <v>396</v>
      </c>
      <c r="C40" s="9" t="s">
        <v>397</v>
      </c>
      <c r="D40" s="10">
        <v>1</v>
      </c>
      <c r="E40" s="10">
        <v>15</v>
      </c>
      <c r="F40" s="10">
        <v>7</v>
      </c>
      <c r="G40" s="9" t="s">
        <v>398</v>
      </c>
      <c r="H40" s="9" t="s">
        <v>399</v>
      </c>
    </row>
    <row r="41" spans="1:8" ht="26.4" x14ac:dyDescent="0.3">
      <c r="A41" s="9" t="s">
        <v>109</v>
      </c>
      <c r="B41" s="9" t="s">
        <v>400</v>
      </c>
      <c r="C41" s="9" t="s">
        <v>401</v>
      </c>
      <c r="D41" s="10">
        <v>4</v>
      </c>
      <c r="E41" s="10">
        <v>8</v>
      </c>
      <c r="F41" s="10">
        <v>18</v>
      </c>
      <c r="G41" s="9" t="s">
        <v>402</v>
      </c>
      <c r="H41" s="9" t="s">
        <v>403</v>
      </c>
    </row>
    <row r="42" spans="1:8" ht="26.4" x14ac:dyDescent="0.3">
      <c r="A42" s="9" t="s">
        <v>109</v>
      </c>
      <c r="B42" s="9" t="s">
        <v>404</v>
      </c>
      <c r="C42" s="9" t="s">
        <v>405</v>
      </c>
      <c r="D42" s="10">
        <v>1</v>
      </c>
      <c r="E42" s="10">
        <v>131</v>
      </c>
      <c r="F42" s="10">
        <v>12</v>
      </c>
      <c r="G42" s="9" t="s">
        <v>406</v>
      </c>
      <c r="H42" s="9" t="s">
        <v>407</v>
      </c>
    </row>
    <row r="43" spans="1:8" ht="26.4" x14ac:dyDescent="0.3">
      <c r="A43" s="9" t="s">
        <v>109</v>
      </c>
      <c r="B43" s="9" t="s">
        <v>408</v>
      </c>
      <c r="C43" s="9" t="s">
        <v>409</v>
      </c>
      <c r="D43" s="10">
        <v>4</v>
      </c>
      <c r="E43" s="10">
        <v>32</v>
      </c>
      <c r="F43" s="10">
        <v>18</v>
      </c>
      <c r="G43" s="9" t="s">
        <v>410</v>
      </c>
      <c r="H43" s="9" t="s">
        <v>411</v>
      </c>
    </row>
    <row r="44" spans="1:8" ht="26.4" x14ac:dyDescent="0.3">
      <c r="A44" s="9" t="s">
        <v>109</v>
      </c>
      <c r="B44" s="9" t="s">
        <v>52</v>
      </c>
      <c r="C44" s="9" t="s">
        <v>289</v>
      </c>
      <c r="D44" s="10">
        <v>1</v>
      </c>
      <c r="E44" s="10">
        <v>55</v>
      </c>
      <c r="F44" s="10">
        <v>9</v>
      </c>
      <c r="G44" s="9" t="s">
        <v>262</v>
      </c>
      <c r="H44" s="9" t="s">
        <v>412</v>
      </c>
    </row>
    <row r="45" spans="1:8" ht="26.4" x14ac:dyDescent="0.3">
      <c r="A45" s="9" t="s">
        <v>114</v>
      </c>
      <c r="B45" s="9" t="s">
        <v>413</v>
      </c>
      <c r="C45" s="9" t="s">
        <v>414</v>
      </c>
      <c r="D45" s="10">
        <v>4</v>
      </c>
      <c r="E45" s="10">
        <v>8</v>
      </c>
      <c r="F45" s="10">
        <v>19</v>
      </c>
      <c r="G45" s="9" t="s">
        <v>415</v>
      </c>
      <c r="H45" s="9" t="s">
        <v>416</v>
      </c>
    </row>
    <row r="46" spans="1:8" ht="26.4" x14ac:dyDescent="0.3">
      <c r="A46" s="9" t="s">
        <v>114</v>
      </c>
      <c r="B46" s="9" t="s">
        <v>417</v>
      </c>
      <c r="C46" s="9" t="s">
        <v>418</v>
      </c>
      <c r="D46" s="10">
        <v>1</v>
      </c>
      <c r="E46" s="10">
        <v>44</v>
      </c>
      <c r="F46" s="10">
        <v>13</v>
      </c>
      <c r="G46" s="9" t="s">
        <v>70</v>
      </c>
      <c r="H46" s="9" t="s">
        <v>419</v>
      </c>
    </row>
    <row r="47" spans="1:8" ht="26.4" x14ac:dyDescent="0.3">
      <c r="A47" s="9" t="s">
        <v>114</v>
      </c>
      <c r="B47" s="9" t="s">
        <v>420</v>
      </c>
      <c r="C47" s="9" t="s">
        <v>421</v>
      </c>
      <c r="D47" s="10">
        <v>1</v>
      </c>
      <c r="E47" s="10">
        <v>6</v>
      </c>
      <c r="F47" s="10">
        <v>4</v>
      </c>
      <c r="G47" s="9" t="s">
        <v>422</v>
      </c>
      <c r="H47" s="9" t="s">
        <v>423</v>
      </c>
    </row>
    <row r="48" spans="1:8" ht="26.4" x14ac:dyDescent="0.3">
      <c r="A48" s="9" t="s">
        <v>114</v>
      </c>
      <c r="B48" s="9" t="s">
        <v>424</v>
      </c>
      <c r="C48" s="9" t="s">
        <v>425</v>
      </c>
      <c r="D48" s="10">
        <v>1</v>
      </c>
      <c r="E48" s="10">
        <v>30</v>
      </c>
      <c r="F48" s="10">
        <v>10</v>
      </c>
      <c r="G48" s="9" t="s">
        <v>426</v>
      </c>
      <c r="H48" s="9" t="s">
        <v>427</v>
      </c>
    </row>
    <row r="49" spans="1:8" ht="26.4" x14ac:dyDescent="0.3">
      <c r="A49" s="9" t="s">
        <v>114</v>
      </c>
      <c r="B49" s="9" t="s">
        <v>428</v>
      </c>
      <c r="C49" s="9" t="s">
        <v>429</v>
      </c>
      <c r="D49" s="10">
        <v>4</v>
      </c>
      <c r="E49" s="10">
        <v>64</v>
      </c>
      <c r="F49" s="10">
        <v>17</v>
      </c>
      <c r="G49" s="9" t="s">
        <v>430</v>
      </c>
      <c r="H49" s="9" t="s">
        <v>431</v>
      </c>
    </row>
    <row r="50" spans="1:8" ht="26.4" x14ac:dyDescent="0.3">
      <c r="A50" s="9" t="s">
        <v>114</v>
      </c>
      <c r="B50" s="9" t="s">
        <v>52</v>
      </c>
      <c r="C50" s="9" t="s">
        <v>289</v>
      </c>
      <c r="D50" s="10">
        <v>1</v>
      </c>
      <c r="E50" s="10">
        <v>63</v>
      </c>
      <c r="F50" s="10">
        <v>9</v>
      </c>
      <c r="G50" s="9" t="s">
        <v>262</v>
      </c>
      <c r="H50" s="9" t="s">
        <v>432</v>
      </c>
    </row>
    <row r="51" spans="1:8" ht="26.4" x14ac:dyDescent="0.3">
      <c r="A51" s="9" t="s">
        <v>119</v>
      </c>
      <c r="B51" s="9" t="s">
        <v>433</v>
      </c>
      <c r="C51" s="9" t="s">
        <v>434</v>
      </c>
      <c r="D51" s="10">
        <v>4</v>
      </c>
      <c r="E51" s="10">
        <v>11</v>
      </c>
      <c r="F51" s="10">
        <v>15</v>
      </c>
      <c r="G51" s="9" t="s">
        <v>435</v>
      </c>
      <c r="H51" s="9" t="s">
        <v>436</v>
      </c>
    </row>
    <row r="52" spans="1:8" ht="26.4" x14ac:dyDescent="0.3">
      <c r="A52" s="9" t="s">
        <v>119</v>
      </c>
      <c r="B52" s="9" t="s">
        <v>437</v>
      </c>
      <c r="C52" s="9" t="s">
        <v>438</v>
      </c>
      <c r="D52" s="10">
        <v>1</v>
      </c>
      <c r="E52" s="10">
        <v>455</v>
      </c>
      <c r="F52" s="10">
        <v>13</v>
      </c>
      <c r="G52" s="9" t="s">
        <v>439</v>
      </c>
      <c r="H52" s="9" t="s">
        <v>440</v>
      </c>
    </row>
    <row r="53" spans="1:8" ht="26.4" x14ac:dyDescent="0.3">
      <c r="A53" s="9" t="s">
        <v>119</v>
      </c>
      <c r="B53" s="9" t="s">
        <v>441</v>
      </c>
      <c r="C53" s="9" t="s">
        <v>442</v>
      </c>
      <c r="D53" s="10">
        <v>4</v>
      </c>
      <c r="E53" s="10">
        <v>73</v>
      </c>
      <c r="F53" s="10">
        <v>17</v>
      </c>
      <c r="G53" s="9" t="s">
        <v>443</v>
      </c>
      <c r="H53" s="9" t="s">
        <v>444</v>
      </c>
    </row>
    <row r="54" spans="1:8" ht="26.4" x14ac:dyDescent="0.3">
      <c r="A54" s="9" t="s">
        <v>119</v>
      </c>
      <c r="B54" s="9" t="s">
        <v>52</v>
      </c>
      <c r="C54" s="9" t="s">
        <v>289</v>
      </c>
      <c r="D54" s="10">
        <v>1</v>
      </c>
      <c r="E54" s="10">
        <v>45</v>
      </c>
      <c r="F54" s="10">
        <v>9</v>
      </c>
      <c r="G54" s="9" t="s">
        <v>262</v>
      </c>
      <c r="H54" s="9" t="s">
        <v>445</v>
      </c>
    </row>
    <row r="55" spans="1:8" x14ac:dyDescent="0.3">
      <c r="A55" s="9" t="s">
        <v>124</v>
      </c>
      <c r="B55" s="9" t="s">
        <v>446</v>
      </c>
      <c r="C55" s="9" t="s">
        <v>447</v>
      </c>
      <c r="D55" s="10">
        <v>1</v>
      </c>
      <c r="E55" s="10">
        <v>7</v>
      </c>
      <c r="F55" s="10">
        <v>6</v>
      </c>
      <c r="G55" s="9" t="s">
        <v>448</v>
      </c>
      <c r="H55" s="9" t="s">
        <v>449</v>
      </c>
    </row>
    <row r="56" spans="1:8" ht="26.4" x14ac:dyDescent="0.3">
      <c r="A56" s="9" t="s">
        <v>124</v>
      </c>
      <c r="B56" s="9" t="s">
        <v>450</v>
      </c>
      <c r="C56" s="9" t="s">
        <v>451</v>
      </c>
      <c r="D56" s="10">
        <v>4</v>
      </c>
      <c r="E56" s="10">
        <v>10</v>
      </c>
      <c r="F56" s="10">
        <v>21</v>
      </c>
      <c r="G56" s="9" t="s">
        <v>452</v>
      </c>
      <c r="H56" s="9" t="s">
        <v>453</v>
      </c>
    </row>
    <row r="57" spans="1:8" ht="26.4" x14ac:dyDescent="0.3">
      <c r="A57" s="9" t="s">
        <v>124</v>
      </c>
      <c r="B57" s="9" t="s">
        <v>454</v>
      </c>
      <c r="C57" s="9" t="s">
        <v>455</v>
      </c>
      <c r="D57" s="10">
        <v>1</v>
      </c>
      <c r="E57" s="10">
        <v>70</v>
      </c>
      <c r="F57" s="10">
        <v>9</v>
      </c>
      <c r="G57" s="9" t="s">
        <v>452</v>
      </c>
      <c r="H57" s="9" t="s">
        <v>456</v>
      </c>
    </row>
    <row r="58" spans="1:8" ht="26.4" x14ac:dyDescent="0.3">
      <c r="A58" s="9" t="s">
        <v>124</v>
      </c>
      <c r="B58" s="9" t="s">
        <v>457</v>
      </c>
      <c r="C58" s="9" t="s">
        <v>458</v>
      </c>
      <c r="D58" s="10">
        <v>1</v>
      </c>
      <c r="E58" s="10">
        <v>26</v>
      </c>
      <c r="F58" s="10">
        <v>16</v>
      </c>
      <c r="G58" s="9" t="s">
        <v>293</v>
      </c>
      <c r="H58" s="9" t="s">
        <v>459</v>
      </c>
    </row>
    <row r="59" spans="1:8" ht="26.4" x14ac:dyDescent="0.3">
      <c r="A59" s="9" t="s">
        <v>124</v>
      </c>
      <c r="B59" s="9" t="s">
        <v>52</v>
      </c>
      <c r="C59" s="9" t="s">
        <v>289</v>
      </c>
      <c r="D59" s="10">
        <v>1</v>
      </c>
      <c r="E59" s="10">
        <v>52</v>
      </c>
      <c r="F59" s="10">
        <v>9</v>
      </c>
      <c r="G59" s="9" t="s">
        <v>262</v>
      </c>
      <c r="H59" s="9" t="s">
        <v>460</v>
      </c>
    </row>
    <row r="60" spans="1:8" x14ac:dyDescent="0.3">
      <c r="A60" s="9" t="s">
        <v>128</v>
      </c>
      <c r="B60" s="9" t="s">
        <v>461</v>
      </c>
      <c r="C60" s="9" t="s">
        <v>462</v>
      </c>
      <c r="D60" s="10">
        <v>4</v>
      </c>
      <c r="E60" s="10">
        <v>6</v>
      </c>
      <c r="F60" s="10">
        <v>19</v>
      </c>
      <c r="G60" s="9" t="s">
        <v>463</v>
      </c>
      <c r="H60" s="9" t="s">
        <v>464</v>
      </c>
    </row>
    <row r="61" spans="1:8" x14ac:dyDescent="0.3">
      <c r="A61" s="9" t="s">
        <v>128</v>
      </c>
      <c r="B61" s="9" t="s">
        <v>465</v>
      </c>
      <c r="C61" s="9" t="s">
        <v>466</v>
      </c>
      <c r="D61" s="10">
        <v>1</v>
      </c>
      <c r="E61" s="10">
        <v>11</v>
      </c>
      <c r="F61" s="10">
        <v>7</v>
      </c>
      <c r="G61" s="9" t="s">
        <v>467</v>
      </c>
      <c r="H61" s="9" t="s">
        <v>468</v>
      </c>
    </row>
    <row r="62" spans="1:8" ht="26.4" x14ac:dyDescent="0.3">
      <c r="A62" s="9" t="s">
        <v>128</v>
      </c>
      <c r="B62" s="9" t="s">
        <v>469</v>
      </c>
      <c r="C62" s="9" t="s">
        <v>470</v>
      </c>
      <c r="D62" s="10">
        <v>1</v>
      </c>
      <c r="E62" s="10">
        <v>8</v>
      </c>
      <c r="F62" s="10">
        <v>8</v>
      </c>
      <c r="G62" s="9" t="s">
        <v>471</v>
      </c>
      <c r="H62" s="9" t="s">
        <v>472</v>
      </c>
    </row>
    <row r="63" spans="1:8" x14ac:dyDescent="0.3">
      <c r="A63" s="9" t="s">
        <v>128</v>
      </c>
      <c r="B63" s="9" t="s">
        <v>473</v>
      </c>
      <c r="C63" s="9" t="s">
        <v>474</v>
      </c>
      <c r="D63" s="10">
        <v>1</v>
      </c>
      <c r="E63" s="10">
        <v>4</v>
      </c>
      <c r="F63" s="10">
        <v>10</v>
      </c>
      <c r="G63" s="9" t="s">
        <v>475</v>
      </c>
      <c r="H63" s="9" t="s">
        <v>476</v>
      </c>
    </row>
    <row r="64" spans="1:8" ht="26.4" x14ac:dyDescent="0.3">
      <c r="A64" s="9" t="s">
        <v>128</v>
      </c>
      <c r="B64" s="9" t="s">
        <v>52</v>
      </c>
      <c r="C64" s="9" t="s">
        <v>289</v>
      </c>
      <c r="D64" s="10">
        <v>1</v>
      </c>
      <c r="E64" s="10">
        <v>44</v>
      </c>
      <c r="F64" s="10">
        <v>9</v>
      </c>
      <c r="G64" s="9" t="s">
        <v>262</v>
      </c>
      <c r="H64" s="9" t="s">
        <v>477</v>
      </c>
    </row>
    <row r="65" spans="1:8" ht="26.4" x14ac:dyDescent="0.3">
      <c r="A65" s="9" t="s">
        <v>133</v>
      </c>
      <c r="B65" s="9" t="s">
        <v>478</v>
      </c>
      <c r="C65" s="9" t="s">
        <v>479</v>
      </c>
      <c r="D65" s="10">
        <v>4</v>
      </c>
      <c r="E65" s="10">
        <v>12</v>
      </c>
      <c r="F65" s="10">
        <v>12</v>
      </c>
      <c r="G65" s="9" t="s">
        <v>480</v>
      </c>
      <c r="H65" s="9" t="s">
        <v>481</v>
      </c>
    </row>
    <row r="66" spans="1:8" ht="26.4" x14ac:dyDescent="0.3">
      <c r="A66" s="9" t="s">
        <v>133</v>
      </c>
      <c r="B66" s="9" t="s">
        <v>482</v>
      </c>
      <c r="C66" s="9" t="s">
        <v>483</v>
      </c>
      <c r="D66" s="10">
        <v>1</v>
      </c>
      <c r="E66" s="10">
        <v>11</v>
      </c>
      <c r="F66" s="10">
        <v>10</v>
      </c>
      <c r="G66" s="9" t="s">
        <v>484</v>
      </c>
      <c r="H66" s="9" t="s">
        <v>485</v>
      </c>
    </row>
    <row r="67" spans="1:8" ht="26.4" x14ac:dyDescent="0.3">
      <c r="A67" s="9" t="s">
        <v>133</v>
      </c>
      <c r="B67" s="9" t="s">
        <v>486</v>
      </c>
      <c r="C67" s="9" t="s">
        <v>487</v>
      </c>
      <c r="D67" s="10">
        <v>1</v>
      </c>
      <c r="E67" s="10">
        <v>24</v>
      </c>
      <c r="F67" s="10">
        <v>4</v>
      </c>
      <c r="G67" s="9" t="s">
        <v>70</v>
      </c>
      <c r="H67" s="9" t="s">
        <v>488</v>
      </c>
    </row>
    <row r="68" spans="1:8" ht="26.4" x14ac:dyDescent="0.3">
      <c r="A68" s="9" t="s">
        <v>133</v>
      </c>
      <c r="B68" s="9" t="s">
        <v>489</v>
      </c>
      <c r="C68" s="9" t="s">
        <v>490</v>
      </c>
      <c r="D68" s="10">
        <v>1</v>
      </c>
      <c r="E68" s="10">
        <v>22</v>
      </c>
      <c r="F68" s="10">
        <v>21</v>
      </c>
      <c r="G68" s="9" t="s">
        <v>491</v>
      </c>
      <c r="H68" s="9" t="s">
        <v>492</v>
      </c>
    </row>
    <row r="69" spans="1:8" ht="26.4" x14ac:dyDescent="0.3">
      <c r="A69" s="9" t="s">
        <v>133</v>
      </c>
      <c r="B69" s="9" t="s">
        <v>493</v>
      </c>
      <c r="C69" s="9" t="s">
        <v>494</v>
      </c>
      <c r="D69" s="10">
        <v>1</v>
      </c>
      <c r="E69" s="10">
        <v>88</v>
      </c>
      <c r="F69" s="10">
        <v>8</v>
      </c>
      <c r="G69" s="9" t="s">
        <v>491</v>
      </c>
      <c r="H69" s="9" t="s">
        <v>495</v>
      </c>
    </row>
    <row r="70" spans="1:8" ht="26.4" x14ac:dyDescent="0.3">
      <c r="A70" s="9" t="s">
        <v>133</v>
      </c>
      <c r="B70" s="9" t="s">
        <v>496</v>
      </c>
      <c r="C70" s="9" t="s">
        <v>497</v>
      </c>
      <c r="D70" s="10">
        <v>1</v>
      </c>
      <c r="E70" s="10">
        <v>485</v>
      </c>
      <c r="F70" s="10">
        <v>8</v>
      </c>
      <c r="G70" s="9" t="s">
        <v>491</v>
      </c>
      <c r="H70" s="9" t="s">
        <v>498</v>
      </c>
    </row>
    <row r="71" spans="1:8" ht="26.4" x14ac:dyDescent="0.3">
      <c r="A71" s="9" t="s">
        <v>133</v>
      </c>
      <c r="B71" s="9" t="s">
        <v>499</v>
      </c>
      <c r="C71" s="9" t="s">
        <v>500</v>
      </c>
      <c r="D71" s="10">
        <v>1</v>
      </c>
      <c r="E71" s="10">
        <v>264</v>
      </c>
      <c r="F71" s="10">
        <v>8</v>
      </c>
      <c r="G71" s="9" t="s">
        <v>491</v>
      </c>
      <c r="H71" s="9" t="s">
        <v>501</v>
      </c>
    </row>
    <row r="72" spans="1:8" ht="26.4" x14ac:dyDescent="0.3">
      <c r="A72" s="9" t="s">
        <v>133</v>
      </c>
      <c r="B72" s="9" t="s">
        <v>502</v>
      </c>
      <c r="C72" s="9" t="s">
        <v>503</v>
      </c>
      <c r="D72" s="10">
        <v>1</v>
      </c>
      <c r="E72" s="10">
        <v>7</v>
      </c>
      <c r="F72" s="10">
        <v>7</v>
      </c>
      <c r="G72" s="9" t="s">
        <v>504</v>
      </c>
      <c r="H72" s="9" t="s">
        <v>505</v>
      </c>
    </row>
    <row r="73" spans="1:8" ht="26.4" x14ac:dyDescent="0.3">
      <c r="A73" s="9" t="s">
        <v>133</v>
      </c>
      <c r="B73" s="9" t="s">
        <v>506</v>
      </c>
      <c r="C73" s="9" t="s">
        <v>507</v>
      </c>
      <c r="D73" s="10">
        <v>1</v>
      </c>
      <c r="E73" s="10">
        <v>474</v>
      </c>
      <c r="F73" s="10">
        <v>6</v>
      </c>
      <c r="G73" s="9" t="s">
        <v>333</v>
      </c>
      <c r="H73" s="9" t="s">
        <v>508</v>
      </c>
    </row>
    <row r="74" spans="1:8" ht="26.4" x14ac:dyDescent="0.3">
      <c r="A74" s="9" t="s">
        <v>133</v>
      </c>
      <c r="B74" s="9" t="s">
        <v>509</v>
      </c>
      <c r="C74" s="9" t="s">
        <v>510</v>
      </c>
      <c r="D74" s="10">
        <v>4</v>
      </c>
      <c r="E74" s="10">
        <v>106</v>
      </c>
      <c r="F74" s="10">
        <v>16</v>
      </c>
      <c r="G74" s="9" t="s">
        <v>511</v>
      </c>
      <c r="H74" s="9" t="s">
        <v>512</v>
      </c>
    </row>
    <row r="75" spans="1:8" ht="26.4" x14ac:dyDescent="0.3">
      <c r="A75" s="9" t="s">
        <v>133</v>
      </c>
      <c r="B75" s="9" t="s">
        <v>52</v>
      </c>
      <c r="C75" s="9" t="s">
        <v>289</v>
      </c>
      <c r="D75" s="10">
        <v>1</v>
      </c>
      <c r="E75" s="10">
        <v>100</v>
      </c>
      <c r="F75" s="10">
        <v>9</v>
      </c>
      <c r="G75" s="9" t="s">
        <v>262</v>
      </c>
      <c r="H75" s="9" t="s">
        <v>513</v>
      </c>
    </row>
    <row r="76" spans="1:8" ht="26.4" x14ac:dyDescent="0.3">
      <c r="A76" s="9" t="s">
        <v>138</v>
      </c>
      <c r="B76" s="9" t="s">
        <v>514</v>
      </c>
      <c r="C76" s="9" t="s">
        <v>515</v>
      </c>
      <c r="D76" s="10">
        <v>1</v>
      </c>
      <c r="E76" s="10">
        <v>3</v>
      </c>
      <c r="F76" s="10">
        <v>13</v>
      </c>
      <c r="G76" s="9" t="s">
        <v>516</v>
      </c>
      <c r="H76" s="9" t="s">
        <v>517</v>
      </c>
    </row>
    <row r="77" spans="1:8" ht="26.4" x14ac:dyDescent="0.3">
      <c r="A77" s="9" t="s">
        <v>138</v>
      </c>
      <c r="B77" s="9" t="s">
        <v>518</v>
      </c>
      <c r="C77" s="9" t="s">
        <v>519</v>
      </c>
      <c r="D77" s="10">
        <v>4</v>
      </c>
      <c r="E77" s="10">
        <v>14</v>
      </c>
      <c r="F77" s="10">
        <v>16</v>
      </c>
      <c r="G77" s="9" t="s">
        <v>520</v>
      </c>
      <c r="H77" s="9" t="s">
        <v>521</v>
      </c>
    </row>
    <row r="78" spans="1:8" x14ac:dyDescent="0.3">
      <c r="A78" s="9" t="s">
        <v>138</v>
      </c>
      <c r="B78" s="9" t="s">
        <v>52</v>
      </c>
      <c r="C78" s="9" t="s">
        <v>289</v>
      </c>
      <c r="D78" s="10">
        <v>1</v>
      </c>
      <c r="E78" s="10">
        <v>29</v>
      </c>
      <c r="F78" s="10">
        <v>9</v>
      </c>
      <c r="G78" s="9" t="s">
        <v>262</v>
      </c>
      <c r="H78" s="9" t="s">
        <v>522</v>
      </c>
    </row>
    <row r="79" spans="1:8" x14ac:dyDescent="0.3">
      <c r="A79" s="9" t="s">
        <v>143</v>
      </c>
      <c r="B79" s="9" t="s">
        <v>523</v>
      </c>
      <c r="C79" s="9" t="s">
        <v>524</v>
      </c>
      <c r="D79" s="10">
        <v>1</v>
      </c>
      <c r="E79" s="10">
        <v>12</v>
      </c>
      <c r="F79" s="10">
        <v>4</v>
      </c>
      <c r="G79" s="9" t="s">
        <v>525</v>
      </c>
      <c r="H79" s="9" t="s">
        <v>526</v>
      </c>
    </row>
    <row r="80" spans="1:8" ht="26.4" x14ac:dyDescent="0.3">
      <c r="A80" s="9" t="s">
        <v>143</v>
      </c>
      <c r="B80" s="9" t="s">
        <v>527</v>
      </c>
      <c r="C80" s="9" t="s">
        <v>528</v>
      </c>
      <c r="D80" s="10">
        <v>4</v>
      </c>
      <c r="E80" s="10">
        <v>10</v>
      </c>
      <c r="F80" s="10">
        <v>9</v>
      </c>
      <c r="G80" s="9" t="s">
        <v>525</v>
      </c>
      <c r="H80" s="9" t="s">
        <v>529</v>
      </c>
    </row>
    <row r="81" spans="1:8" x14ac:dyDescent="0.3">
      <c r="A81" s="9" t="s">
        <v>143</v>
      </c>
      <c r="B81" s="9" t="s">
        <v>530</v>
      </c>
      <c r="C81" s="9" t="s">
        <v>531</v>
      </c>
      <c r="D81" s="10">
        <v>1</v>
      </c>
      <c r="E81" s="10">
        <v>5</v>
      </c>
      <c r="F81" s="10">
        <v>11</v>
      </c>
      <c r="G81" s="9" t="s">
        <v>532</v>
      </c>
      <c r="H81" s="9" t="s">
        <v>533</v>
      </c>
    </row>
    <row r="82" spans="1:8" x14ac:dyDescent="0.3">
      <c r="A82" s="9" t="s">
        <v>143</v>
      </c>
      <c r="B82" s="9" t="s">
        <v>534</v>
      </c>
      <c r="C82" s="9" t="s">
        <v>535</v>
      </c>
      <c r="D82" s="10">
        <v>1</v>
      </c>
      <c r="E82" s="10">
        <v>4</v>
      </c>
      <c r="F82" s="10">
        <v>2</v>
      </c>
      <c r="G82" s="9" t="s">
        <v>536</v>
      </c>
      <c r="H82" s="9" t="s">
        <v>537</v>
      </c>
    </row>
    <row r="83" spans="1:8" ht="26.4" x14ac:dyDescent="0.3">
      <c r="A83" s="9" t="s">
        <v>143</v>
      </c>
      <c r="B83" s="9" t="s">
        <v>52</v>
      </c>
      <c r="C83" s="9" t="s">
        <v>289</v>
      </c>
      <c r="D83" s="10">
        <v>1</v>
      </c>
      <c r="E83" s="10">
        <v>26</v>
      </c>
      <c r="F83" s="10">
        <v>9</v>
      </c>
      <c r="G83" s="9" t="s">
        <v>262</v>
      </c>
      <c r="H83" s="9" t="s">
        <v>538</v>
      </c>
    </row>
    <row r="84" spans="1:8" ht="26.4" x14ac:dyDescent="0.3">
      <c r="A84" s="9" t="s">
        <v>148</v>
      </c>
      <c r="B84" s="9" t="s">
        <v>539</v>
      </c>
      <c r="C84" s="9" t="s">
        <v>540</v>
      </c>
      <c r="D84" s="10">
        <v>4</v>
      </c>
      <c r="E84" s="10">
        <v>4</v>
      </c>
      <c r="F84" s="10">
        <v>22</v>
      </c>
      <c r="G84" s="9" t="s">
        <v>541</v>
      </c>
      <c r="H84" s="9" t="s">
        <v>542</v>
      </c>
    </row>
    <row r="85" spans="1:8" ht="26.4" x14ac:dyDescent="0.3">
      <c r="A85" s="9" t="s">
        <v>148</v>
      </c>
      <c r="B85" s="9" t="s">
        <v>543</v>
      </c>
      <c r="C85" s="9" t="s">
        <v>544</v>
      </c>
      <c r="D85" s="10">
        <v>4</v>
      </c>
      <c r="E85" s="10">
        <v>11</v>
      </c>
      <c r="F85" s="10">
        <v>11</v>
      </c>
      <c r="G85" s="9" t="s">
        <v>545</v>
      </c>
      <c r="H85" s="9" t="s">
        <v>546</v>
      </c>
    </row>
    <row r="86" spans="1:8" ht="26.4" x14ac:dyDescent="0.3">
      <c r="A86" s="9" t="s">
        <v>148</v>
      </c>
      <c r="B86" s="9" t="s">
        <v>547</v>
      </c>
      <c r="C86" s="9" t="s">
        <v>548</v>
      </c>
      <c r="D86" s="10">
        <v>1</v>
      </c>
      <c r="E86" s="10">
        <v>3</v>
      </c>
      <c r="F86" s="10">
        <v>4</v>
      </c>
      <c r="G86" s="9" t="s">
        <v>293</v>
      </c>
      <c r="H86" s="9" t="s">
        <v>549</v>
      </c>
    </row>
    <row r="87" spans="1:8" ht="26.4" x14ac:dyDescent="0.3">
      <c r="A87" s="9" t="s">
        <v>148</v>
      </c>
      <c r="B87" s="9" t="s">
        <v>52</v>
      </c>
      <c r="C87" s="9" t="s">
        <v>289</v>
      </c>
      <c r="D87" s="10">
        <v>1</v>
      </c>
      <c r="E87" s="10">
        <v>37</v>
      </c>
      <c r="F87" s="10">
        <v>9</v>
      </c>
      <c r="G87" s="9" t="s">
        <v>262</v>
      </c>
      <c r="H87" s="9" t="s">
        <v>550</v>
      </c>
    </row>
    <row r="88" spans="1:8" x14ac:dyDescent="0.3">
      <c r="A88" s="9" t="s">
        <v>178</v>
      </c>
      <c r="B88" s="9" t="s">
        <v>551</v>
      </c>
      <c r="C88" s="9" t="s">
        <v>552</v>
      </c>
      <c r="D88" s="10">
        <v>4</v>
      </c>
      <c r="E88" s="10">
        <v>36</v>
      </c>
      <c r="F88" s="10">
        <v>31</v>
      </c>
      <c r="G88" s="9" t="s">
        <v>553</v>
      </c>
      <c r="H88" s="9" t="s">
        <v>554</v>
      </c>
    </row>
    <row r="89" spans="1:8" x14ac:dyDescent="0.3">
      <c r="A89" s="9" t="s">
        <v>178</v>
      </c>
      <c r="B89" s="9" t="s">
        <v>555</v>
      </c>
      <c r="C89" s="9" t="s">
        <v>556</v>
      </c>
      <c r="D89" s="10">
        <v>4</v>
      </c>
      <c r="E89" s="10">
        <v>87</v>
      </c>
      <c r="F89" s="10">
        <v>49</v>
      </c>
      <c r="G89" s="9" t="s">
        <v>557</v>
      </c>
      <c r="H89" s="9" t="s">
        <v>558</v>
      </c>
    </row>
    <row r="90" spans="1:8" x14ac:dyDescent="0.3">
      <c r="A90" s="9" t="s">
        <v>178</v>
      </c>
      <c r="B90" s="9" t="s">
        <v>559</v>
      </c>
      <c r="C90" s="9" t="s">
        <v>560</v>
      </c>
      <c r="D90" s="10">
        <v>4</v>
      </c>
      <c r="E90" s="10">
        <v>111</v>
      </c>
      <c r="F90" s="10">
        <v>12</v>
      </c>
      <c r="G90" s="9" t="s">
        <v>561</v>
      </c>
      <c r="H90" s="9" t="s">
        <v>562</v>
      </c>
    </row>
    <row r="91" spans="1:8" x14ac:dyDescent="0.3">
      <c r="A91" s="9" t="s">
        <v>178</v>
      </c>
      <c r="B91" s="9" t="s">
        <v>563</v>
      </c>
      <c r="C91" s="9" t="s">
        <v>564</v>
      </c>
      <c r="D91" s="10">
        <v>4</v>
      </c>
      <c r="E91" s="10">
        <v>72</v>
      </c>
      <c r="F91" s="10">
        <v>11</v>
      </c>
      <c r="G91" s="9" t="s">
        <v>565</v>
      </c>
      <c r="H91" s="9" t="s">
        <v>566</v>
      </c>
    </row>
    <row r="92" spans="1:8" x14ac:dyDescent="0.3">
      <c r="A92" s="9" t="s">
        <v>178</v>
      </c>
      <c r="B92" s="9" t="s">
        <v>50</v>
      </c>
      <c r="C92" s="9" t="s">
        <v>567</v>
      </c>
      <c r="D92" s="10">
        <v>28</v>
      </c>
      <c r="E92" s="10">
        <v>25</v>
      </c>
      <c r="F92" s="10">
        <v>6</v>
      </c>
      <c r="G92" s="9" t="s">
        <v>568</v>
      </c>
      <c r="H92" s="9" t="s">
        <v>569</v>
      </c>
    </row>
    <row r="93" spans="1:8" x14ac:dyDescent="0.3">
      <c r="A93" s="9" t="s">
        <v>178</v>
      </c>
      <c r="B93" s="9" t="s">
        <v>50</v>
      </c>
      <c r="C93" s="9" t="s">
        <v>570</v>
      </c>
      <c r="D93" s="10">
        <v>57</v>
      </c>
      <c r="E93" s="10">
        <v>12</v>
      </c>
      <c r="F93" s="10">
        <v>5</v>
      </c>
      <c r="G93" s="9" t="s">
        <v>571</v>
      </c>
      <c r="H93" s="9" t="s">
        <v>572</v>
      </c>
    </row>
    <row r="94" spans="1:8" ht="26.4" x14ac:dyDescent="0.3">
      <c r="A94" s="9" t="s">
        <v>178</v>
      </c>
      <c r="B94" s="9" t="s">
        <v>52</v>
      </c>
      <c r="C94" s="9" t="s">
        <v>289</v>
      </c>
      <c r="D94" s="10">
        <v>1</v>
      </c>
      <c r="E94" s="10">
        <v>103</v>
      </c>
      <c r="F94" s="10">
        <v>9</v>
      </c>
      <c r="G94" s="9" t="s">
        <v>262</v>
      </c>
      <c r="H94" s="9" t="s">
        <v>573</v>
      </c>
    </row>
    <row r="95" spans="1:8" x14ac:dyDescent="0.3">
      <c r="A95" s="9" t="s">
        <v>153</v>
      </c>
      <c r="B95" s="9" t="s">
        <v>574</v>
      </c>
      <c r="C95" s="9" t="s">
        <v>575</v>
      </c>
      <c r="D95" s="10">
        <v>4</v>
      </c>
      <c r="E95" s="10">
        <v>53</v>
      </c>
      <c r="F95" s="10">
        <v>34</v>
      </c>
      <c r="G95" s="9" t="s">
        <v>576</v>
      </c>
      <c r="H95" s="9" t="s">
        <v>577</v>
      </c>
    </row>
    <row r="96" spans="1:8" ht="26.4" x14ac:dyDescent="0.3">
      <c r="A96" s="9" t="s">
        <v>153</v>
      </c>
      <c r="B96" s="9" t="s">
        <v>52</v>
      </c>
      <c r="C96" s="9" t="s">
        <v>289</v>
      </c>
      <c r="D96" s="10">
        <v>1</v>
      </c>
      <c r="E96" s="10">
        <v>34</v>
      </c>
      <c r="F96" s="10">
        <v>9</v>
      </c>
      <c r="G96" s="9" t="s">
        <v>262</v>
      </c>
      <c r="H96" s="9" t="s">
        <v>578</v>
      </c>
    </row>
    <row r="97" spans="1:8" ht="26.4" x14ac:dyDescent="0.3">
      <c r="A97" s="9" t="s">
        <v>158</v>
      </c>
      <c r="B97" s="9" t="s">
        <v>579</v>
      </c>
      <c r="C97" s="9" t="s">
        <v>580</v>
      </c>
      <c r="D97" s="10">
        <v>4</v>
      </c>
      <c r="E97" s="10">
        <v>39</v>
      </c>
      <c r="F97" s="10">
        <v>8</v>
      </c>
      <c r="G97" s="9" t="s">
        <v>581</v>
      </c>
      <c r="H97" s="9" t="s">
        <v>582</v>
      </c>
    </row>
    <row r="98" spans="1:8" x14ac:dyDescent="0.3">
      <c r="A98" s="9" t="s">
        <v>158</v>
      </c>
      <c r="B98" s="9" t="s">
        <v>583</v>
      </c>
      <c r="C98" s="9" t="s">
        <v>584</v>
      </c>
      <c r="D98" s="10">
        <v>4</v>
      </c>
      <c r="E98" s="10">
        <v>640</v>
      </c>
      <c r="F98" s="10">
        <v>17</v>
      </c>
      <c r="G98" s="9" t="s">
        <v>406</v>
      </c>
      <c r="H98" s="9" t="s">
        <v>585</v>
      </c>
    </row>
    <row r="99" spans="1:8" x14ac:dyDescent="0.3">
      <c r="A99" s="9" t="s">
        <v>158</v>
      </c>
      <c r="B99" s="9" t="s">
        <v>586</v>
      </c>
      <c r="C99" s="9" t="s">
        <v>587</v>
      </c>
      <c r="D99" s="10">
        <v>4</v>
      </c>
      <c r="E99" s="10">
        <v>5</v>
      </c>
      <c r="F99" s="10">
        <v>12</v>
      </c>
      <c r="G99" s="9" t="s">
        <v>588</v>
      </c>
      <c r="H99" s="9" t="s">
        <v>589</v>
      </c>
    </row>
    <row r="100" spans="1:8" ht="26.4" x14ac:dyDescent="0.3">
      <c r="A100" s="9" t="s">
        <v>158</v>
      </c>
      <c r="B100" s="9" t="s">
        <v>590</v>
      </c>
      <c r="C100" s="9" t="s">
        <v>591</v>
      </c>
      <c r="D100" s="10">
        <v>4</v>
      </c>
      <c r="E100" s="10">
        <v>149</v>
      </c>
      <c r="F100" s="10">
        <v>17</v>
      </c>
      <c r="G100" s="9" t="s">
        <v>592</v>
      </c>
      <c r="H100" s="9" t="s">
        <v>593</v>
      </c>
    </row>
    <row r="101" spans="1:8" ht="26.4" x14ac:dyDescent="0.3">
      <c r="A101" s="9" t="s">
        <v>158</v>
      </c>
      <c r="B101" s="9" t="s">
        <v>594</v>
      </c>
      <c r="C101" s="9" t="s">
        <v>595</v>
      </c>
      <c r="D101" s="10">
        <v>4</v>
      </c>
      <c r="E101" s="10">
        <v>54</v>
      </c>
      <c r="F101" s="10">
        <v>12</v>
      </c>
      <c r="G101" s="9" t="s">
        <v>596</v>
      </c>
      <c r="H101" s="9" t="s">
        <v>597</v>
      </c>
    </row>
    <row r="102" spans="1:8" x14ac:dyDescent="0.3">
      <c r="A102" s="9" t="s">
        <v>158</v>
      </c>
      <c r="B102" s="9" t="s">
        <v>598</v>
      </c>
      <c r="C102" s="9" t="s">
        <v>599</v>
      </c>
      <c r="D102" s="10">
        <v>4</v>
      </c>
      <c r="E102" s="10">
        <v>21</v>
      </c>
      <c r="F102" s="10">
        <v>8</v>
      </c>
      <c r="G102" s="9" t="s">
        <v>293</v>
      </c>
      <c r="H102" s="9" t="s">
        <v>600</v>
      </c>
    </row>
    <row r="103" spans="1:8" ht="26.4" x14ac:dyDescent="0.3">
      <c r="A103" s="9" t="s">
        <v>158</v>
      </c>
      <c r="B103" s="9" t="s">
        <v>52</v>
      </c>
      <c r="C103" s="9" t="s">
        <v>289</v>
      </c>
      <c r="D103" s="10">
        <v>1</v>
      </c>
      <c r="E103" s="10">
        <v>74</v>
      </c>
      <c r="F103" s="10">
        <v>9</v>
      </c>
      <c r="G103" s="9" t="s">
        <v>262</v>
      </c>
      <c r="H103" s="9" t="s">
        <v>601</v>
      </c>
    </row>
    <row r="104" spans="1:8" ht="26.4" x14ac:dyDescent="0.3">
      <c r="A104" s="9" t="s">
        <v>163</v>
      </c>
      <c r="B104" s="9" t="s">
        <v>486</v>
      </c>
      <c r="C104" s="9" t="s">
        <v>602</v>
      </c>
      <c r="D104" s="10">
        <v>4</v>
      </c>
      <c r="E104" s="10">
        <v>17</v>
      </c>
      <c r="F104" s="10">
        <v>5</v>
      </c>
      <c r="G104" s="9" t="s">
        <v>603</v>
      </c>
      <c r="H104" s="9" t="s">
        <v>604</v>
      </c>
    </row>
    <row r="105" spans="1:8" ht="26.4" x14ac:dyDescent="0.3">
      <c r="A105" s="9" t="s">
        <v>163</v>
      </c>
      <c r="B105" s="9" t="s">
        <v>605</v>
      </c>
      <c r="C105" s="9" t="s">
        <v>606</v>
      </c>
      <c r="D105" s="10">
        <v>1</v>
      </c>
      <c r="E105" s="10">
        <v>5</v>
      </c>
      <c r="F105" s="10">
        <v>5</v>
      </c>
      <c r="G105" s="9" t="s">
        <v>607</v>
      </c>
      <c r="H105" s="9" t="s">
        <v>608</v>
      </c>
    </row>
    <row r="106" spans="1:8" ht="26.4" x14ac:dyDescent="0.3">
      <c r="A106" s="9" t="s">
        <v>163</v>
      </c>
      <c r="B106" s="9" t="s">
        <v>609</v>
      </c>
      <c r="C106" s="9" t="s">
        <v>610</v>
      </c>
      <c r="D106" s="10">
        <v>1</v>
      </c>
      <c r="E106" s="10">
        <v>14</v>
      </c>
      <c r="F106" s="10">
        <v>10</v>
      </c>
      <c r="G106" s="9" t="s">
        <v>611</v>
      </c>
      <c r="H106" s="9" t="s">
        <v>612</v>
      </c>
    </row>
    <row r="107" spans="1:8" ht="26.4" x14ac:dyDescent="0.3">
      <c r="A107" s="9" t="s">
        <v>163</v>
      </c>
      <c r="B107" s="9" t="s">
        <v>613</v>
      </c>
      <c r="C107" s="9" t="s">
        <v>614</v>
      </c>
      <c r="D107" s="10">
        <v>4</v>
      </c>
      <c r="E107" s="10">
        <v>113</v>
      </c>
      <c r="F107" s="10">
        <v>9</v>
      </c>
      <c r="G107" s="9" t="s">
        <v>615</v>
      </c>
      <c r="H107" s="9" t="s">
        <v>616</v>
      </c>
    </row>
    <row r="108" spans="1:8" x14ac:dyDescent="0.3">
      <c r="A108" s="9" t="s">
        <v>163</v>
      </c>
      <c r="B108" s="9" t="s">
        <v>617</v>
      </c>
      <c r="C108" s="9" t="s">
        <v>618</v>
      </c>
      <c r="D108" s="10">
        <v>1</v>
      </c>
      <c r="E108" s="10">
        <v>36</v>
      </c>
      <c r="F108" s="10">
        <v>15</v>
      </c>
      <c r="G108" s="9" t="s">
        <v>619</v>
      </c>
      <c r="H108" s="9" t="s">
        <v>620</v>
      </c>
    </row>
    <row r="109" spans="1:8" ht="26.4" x14ac:dyDescent="0.3">
      <c r="A109" s="9" t="s">
        <v>163</v>
      </c>
      <c r="B109" s="9" t="s">
        <v>621</v>
      </c>
      <c r="C109" s="9" t="s">
        <v>622</v>
      </c>
      <c r="D109" s="10">
        <v>4</v>
      </c>
      <c r="E109" s="10">
        <v>113</v>
      </c>
      <c r="F109" s="10">
        <v>80</v>
      </c>
      <c r="G109" s="9" t="s">
        <v>623</v>
      </c>
      <c r="H109" s="9" t="s">
        <v>624</v>
      </c>
    </row>
    <row r="110" spans="1:8" ht="26.4" x14ac:dyDescent="0.3">
      <c r="A110" s="9" t="s">
        <v>163</v>
      </c>
      <c r="B110" s="9" t="s">
        <v>625</v>
      </c>
      <c r="C110" s="9" t="s">
        <v>626</v>
      </c>
      <c r="D110" s="10">
        <v>1</v>
      </c>
      <c r="E110" s="10">
        <v>108</v>
      </c>
      <c r="F110" s="10">
        <v>7</v>
      </c>
      <c r="G110" s="9" t="s">
        <v>619</v>
      </c>
      <c r="H110" s="9" t="s">
        <v>627</v>
      </c>
    </row>
    <row r="111" spans="1:8" ht="26.4" x14ac:dyDescent="0.3">
      <c r="A111" s="9" t="s">
        <v>163</v>
      </c>
      <c r="B111" s="9" t="s">
        <v>628</v>
      </c>
      <c r="C111" s="9" t="s">
        <v>629</v>
      </c>
      <c r="D111" s="10">
        <v>1</v>
      </c>
      <c r="E111" s="10">
        <v>22</v>
      </c>
      <c r="F111" s="10">
        <v>19</v>
      </c>
      <c r="G111" s="9" t="s">
        <v>630</v>
      </c>
      <c r="H111" s="9" t="s">
        <v>631</v>
      </c>
    </row>
    <row r="112" spans="1:8" ht="26.4" x14ac:dyDescent="0.3">
      <c r="A112" s="9" t="s">
        <v>163</v>
      </c>
      <c r="B112" s="9" t="s">
        <v>632</v>
      </c>
      <c r="C112" s="9" t="s">
        <v>633</v>
      </c>
      <c r="D112" s="10">
        <v>4</v>
      </c>
      <c r="E112" s="10">
        <v>55</v>
      </c>
      <c r="F112" s="10">
        <v>28</v>
      </c>
      <c r="G112" s="9" t="s">
        <v>634</v>
      </c>
      <c r="H112" s="9" t="s">
        <v>635</v>
      </c>
    </row>
    <row r="113" spans="1:8" ht="26.4" x14ac:dyDescent="0.3">
      <c r="A113" s="9" t="s">
        <v>163</v>
      </c>
      <c r="B113" s="9" t="s">
        <v>636</v>
      </c>
      <c r="C113" s="9" t="s">
        <v>637</v>
      </c>
      <c r="D113" s="10">
        <v>1</v>
      </c>
      <c r="E113" s="10">
        <v>2486</v>
      </c>
      <c r="F113" s="10">
        <v>10</v>
      </c>
      <c r="G113" s="9" t="s">
        <v>592</v>
      </c>
      <c r="H113" s="9" t="s">
        <v>638</v>
      </c>
    </row>
    <row r="114" spans="1:8" ht="26.4" x14ac:dyDescent="0.3">
      <c r="A114" s="9" t="s">
        <v>163</v>
      </c>
      <c r="B114" s="9" t="s">
        <v>639</v>
      </c>
      <c r="C114" s="9" t="s">
        <v>640</v>
      </c>
      <c r="D114" s="10">
        <v>1</v>
      </c>
      <c r="E114" s="10">
        <v>685</v>
      </c>
      <c r="F114" s="10">
        <v>13</v>
      </c>
      <c r="G114" s="9" t="s">
        <v>592</v>
      </c>
      <c r="H114" s="9" t="s">
        <v>641</v>
      </c>
    </row>
    <row r="115" spans="1:8" ht="26.4" x14ac:dyDescent="0.3">
      <c r="A115" s="9" t="s">
        <v>163</v>
      </c>
      <c r="B115" s="9" t="s">
        <v>642</v>
      </c>
      <c r="C115" s="9" t="s">
        <v>643</v>
      </c>
      <c r="D115" s="10">
        <v>1</v>
      </c>
      <c r="E115" s="10">
        <v>216</v>
      </c>
      <c r="F115" s="10">
        <v>8</v>
      </c>
      <c r="G115" s="9" t="s">
        <v>491</v>
      </c>
      <c r="H115" s="9" t="s">
        <v>644</v>
      </c>
    </row>
    <row r="116" spans="1:8" ht="26.4" x14ac:dyDescent="0.3">
      <c r="A116" s="9" t="s">
        <v>163</v>
      </c>
      <c r="B116" s="9" t="s">
        <v>645</v>
      </c>
      <c r="C116" s="9" t="s">
        <v>646</v>
      </c>
      <c r="D116" s="10">
        <v>1</v>
      </c>
      <c r="E116" s="10">
        <v>12</v>
      </c>
      <c r="F116" s="10">
        <v>13</v>
      </c>
      <c r="G116" s="9" t="s">
        <v>647</v>
      </c>
      <c r="H116" s="9" t="s">
        <v>648</v>
      </c>
    </row>
    <row r="117" spans="1:8" ht="26.4" x14ac:dyDescent="0.3">
      <c r="A117" s="9" t="s">
        <v>163</v>
      </c>
      <c r="B117" s="9" t="s">
        <v>649</v>
      </c>
      <c r="C117" s="9" t="s">
        <v>650</v>
      </c>
      <c r="D117" s="10">
        <v>1</v>
      </c>
      <c r="E117" s="10">
        <v>4</v>
      </c>
      <c r="F117" s="10">
        <v>14</v>
      </c>
      <c r="G117" s="9" t="s">
        <v>651</v>
      </c>
      <c r="H117" s="9" t="s">
        <v>652</v>
      </c>
    </row>
    <row r="118" spans="1:8" ht="26.4" x14ac:dyDescent="0.3">
      <c r="A118" s="9" t="s">
        <v>163</v>
      </c>
      <c r="B118" s="9" t="s">
        <v>653</v>
      </c>
      <c r="C118" s="9" t="s">
        <v>654</v>
      </c>
      <c r="D118" s="10">
        <v>1</v>
      </c>
      <c r="E118" s="10">
        <v>10</v>
      </c>
      <c r="F118" s="10">
        <v>13</v>
      </c>
      <c r="G118" s="9" t="s">
        <v>655</v>
      </c>
      <c r="H118" s="9" t="s">
        <v>656</v>
      </c>
    </row>
    <row r="119" spans="1:8" ht="26.4" x14ac:dyDescent="0.3">
      <c r="A119" s="9" t="s">
        <v>163</v>
      </c>
      <c r="B119" s="9" t="s">
        <v>657</v>
      </c>
      <c r="C119" s="9" t="s">
        <v>658</v>
      </c>
      <c r="D119" s="10">
        <v>1</v>
      </c>
      <c r="E119" s="10">
        <v>16</v>
      </c>
      <c r="F119" s="10">
        <v>5</v>
      </c>
      <c r="G119" s="9" t="s">
        <v>659</v>
      </c>
      <c r="H119" s="9" t="s">
        <v>660</v>
      </c>
    </row>
    <row r="120" spans="1:8" ht="26.4" x14ac:dyDescent="0.3">
      <c r="A120" s="9" t="s">
        <v>163</v>
      </c>
      <c r="B120" s="9" t="s">
        <v>52</v>
      </c>
      <c r="C120" s="9" t="s">
        <v>289</v>
      </c>
      <c r="D120" s="10">
        <v>1</v>
      </c>
      <c r="E120" s="10">
        <v>254</v>
      </c>
      <c r="F120" s="10">
        <v>9</v>
      </c>
      <c r="G120" s="9" t="s">
        <v>262</v>
      </c>
      <c r="H120" s="9" t="s">
        <v>661</v>
      </c>
    </row>
    <row r="121" spans="1:8" ht="26.4" x14ac:dyDescent="0.3">
      <c r="A121" s="9" t="s">
        <v>168</v>
      </c>
      <c r="B121" s="9" t="s">
        <v>662</v>
      </c>
      <c r="C121" s="9" t="s">
        <v>663</v>
      </c>
      <c r="D121" s="10">
        <v>4</v>
      </c>
      <c r="E121" s="10">
        <v>9</v>
      </c>
      <c r="F121" s="10">
        <v>6</v>
      </c>
      <c r="G121" s="9" t="s">
        <v>664</v>
      </c>
      <c r="H121" s="9" t="s">
        <v>665</v>
      </c>
    </row>
    <row r="122" spans="1:8" ht="26.4" x14ac:dyDescent="0.3">
      <c r="A122" s="9" t="s">
        <v>168</v>
      </c>
      <c r="B122" s="9" t="s">
        <v>666</v>
      </c>
      <c r="C122" s="9" t="s">
        <v>667</v>
      </c>
      <c r="D122" s="10">
        <v>4</v>
      </c>
      <c r="E122" s="10">
        <v>72</v>
      </c>
      <c r="F122" s="10">
        <v>44</v>
      </c>
      <c r="G122" s="9" t="s">
        <v>668</v>
      </c>
      <c r="H122" s="9" t="s">
        <v>669</v>
      </c>
    </row>
    <row r="123" spans="1:8" ht="26.4" x14ac:dyDescent="0.3">
      <c r="A123" s="9" t="s">
        <v>168</v>
      </c>
      <c r="B123" s="9" t="s">
        <v>670</v>
      </c>
      <c r="C123" s="9" t="s">
        <v>671</v>
      </c>
      <c r="D123" s="10">
        <v>4</v>
      </c>
      <c r="E123" s="10">
        <v>73</v>
      </c>
      <c r="F123" s="10">
        <v>12</v>
      </c>
      <c r="G123" s="9" t="s">
        <v>672</v>
      </c>
      <c r="H123" s="9" t="s">
        <v>673</v>
      </c>
    </row>
    <row r="124" spans="1:8" ht="26.4" x14ac:dyDescent="0.3">
      <c r="A124" s="9" t="s">
        <v>168</v>
      </c>
      <c r="B124" s="9" t="s">
        <v>674</v>
      </c>
      <c r="C124" s="9" t="s">
        <v>675</v>
      </c>
      <c r="D124" s="10">
        <v>4</v>
      </c>
      <c r="E124" s="10">
        <v>81</v>
      </c>
      <c r="F124" s="10">
        <v>27</v>
      </c>
      <c r="G124" s="9" t="s">
        <v>676</v>
      </c>
      <c r="H124" s="9" t="s">
        <v>677</v>
      </c>
    </row>
    <row r="125" spans="1:8" ht="26.4" x14ac:dyDescent="0.3">
      <c r="A125" s="9" t="s">
        <v>168</v>
      </c>
      <c r="B125" s="9" t="s">
        <v>678</v>
      </c>
      <c r="C125" s="9" t="s">
        <v>679</v>
      </c>
      <c r="D125" s="10">
        <v>4</v>
      </c>
      <c r="E125" s="10">
        <v>30</v>
      </c>
      <c r="F125" s="10">
        <v>19</v>
      </c>
      <c r="G125" s="9" t="s">
        <v>680</v>
      </c>
      <c r="H125" s="9" t="s">
        <v>681</v>
      </c>
    </row>
    <row r="126" spans="1:8" ht="26.4" x14ac:dyDescent="0.3">
      <c r="A126" s="9" t="s">
        <v>168</v>
      </c>
      <c r="B126" s="9" t="s">
        <v>682</v>
      </c>
      <c r="C126" s="9" t="s">
        <v>683</v>
      </c>
      <c r="D126" s="10">
        <v>4</v>
      </c>
      <c r="E126" s="10">
        <v>25</v>
      </c>
      <c r="F126" s="10">
        <v>14</v>
      </c>
      <c r="G126" s="9" t="s">
        <v>684</v>
      </c>
      <c r="H126" s="9" t="s">
        <v>685</v>
      </c>
    </row>
    <row r="127" spans="1:8" ht="26.4" x14ac:dyDescent="0.3">
      <c r="A127" s="9" t="s">
        <v>168</v>
      </c>
      <c r="B127" s="9" t="s">
        <v>686</v>
      </c>
      <c r="C127" s="9" t="s">
        <v>687</v>
      </c>
      <c r="D127" s="10">
        <v>4</v>
      </c>
      <c r="E127" s="10">
        <v>34</v>
      </c>
      <c r="F127" s="10">
        <v>14</v>
      </c>
      <c r="G127" s="9" t="s">
        <v>688</v>
      </c>
      <c r="H127" s="9" t="s">
        <v>689</v>
      </c>
    </row>
    <row r="128" spans="1:8" ht="26.4" x14ac:dyDescent="0.3">
      <c r="A128" s="9" t="s">
        <v>168</v>
      </c>
      <c r="B128" s="9" t="s">
        <v>690</v>
      </c>
      <c r="C128" s="9" t="s">
        <v>691</v>
      </c>
      <c r="D128" s="10">
        <v>4</v>
      </c>
      <c r="E128" s="10">
        <v>51</v>
      </c>
      <c r="F128" s="10">
        <v>34</v>
      </c>
      <c r="G128" s="9" t="s">
        <v>623</v>
      </c>
      <c r="H128" s="9" t="s">
        <v>692</v>
      </c>
    </row>
    <row r="129" spans="1:8" ht="26.4" x14ac:dyDescent="0.3">
      <c r="A129" s="9" t="s">
        <v>168</v>
      </c>
      <c r="B129" s="9" t="s">
        <v>693</v>
      </c>
      <c r="C129" s="9" t="s">
        <v>694</v>
      </c>
      <c r="D129" s="10">
        <v>4</v>
      </c>
      <c r="E129" s="10">
        <v>27</v>
      </c>
      <c r="F129" s="10">
        <v>15</v>
      </c>
      <c r="G129" s="9" t="s">
        <v>695</v>
      </c>
      <c r="H129" s="9" t="s">
        <v>696</v>
      </c>
    </row>
    <row r="130" spans="1:8" ht="26.4" x14ac:dyDescent="0.3">
      <c r="A130" s="9" t="s">
        <v>168</v>
      </c>
      <c r="B130" s="9" t="s">
        <v>697</v>
      </c>
      <c r="C130" s="9" t="s">
        <v>698</v>
      </c>
      <c r="D130" s="10">
        <v>4</v>
      </c>
      <c r="E130" s="10">
        <v>3</v>
      </c>
      <c r="F130" s="10">
        <v>2</v>
      </c>
      <c r="G130" s="9" t="s">
        <v>699</v>
      </c>
      <c r="H130" s="9" t="s">
        <v>700</v>
      </c>
    </row>
    <row r="131" spans="1:8" ht="26.4" x14ac:dyDescent="0.3">
      <c r="A131" s="9" t="s">
        <v>168</v>
      </c>
      <c r="B131" s="9" t="s">
        <v>697</v>
      </c>
      <c r="C131" s="9" t="s">
        <v>701</v>
      </c>
      <c r="D131" s="10">
        <v>4</v>
      </c>
      <c r="E131" s="10">
        <v>4</v>
      </c>
      <c r="F131" s="10">
        <v>2</v>
      </c>
      <c r="G131" s="9" t="s">
        <v>702</v>
      </c>
      <c r="H131" s="9" t="s">
        <v>700</v>
      </c>
    </row>
    <row r="132" spans="1:8" ht="26.4" x14ac:dyDescent="0.3">
      <c r="A132" s="9" t="s">
        <v>168</v>
      </c>
      <c r="B132" s="9" t="s">
        <v>697</v>
      </c>
      <c r="C132" s="9" t="s">
        <v>703</v>
      </c>
      <c r="D132" s="10">
        <v>4</v>
      </c>
      <c r="E132" s="10">
        <v>5</v>
      </c>
      <c r="F132" s="10">
        <v>2</v>
      </c>
      <c r="G132" s="9" t="s">
        <v>704</v>
      </c>
      <c r="H132" s="9" t="s">
        <v>700</v>
      </c>
    </row>
    <row r="133" spans="1:8" ht="26.4" x14ac:dyDescent="0.3">
      <c r="A133" s="9" t="s">
        <v>168</v>
      </c>
      <c r="B133" s="9" t="s">
        <v>697</v>
      </c>
      <c r="C133" s="9" t="s">
        <v>705</v>
      </c>
      <c r="D133" s="10">
        <v>12</v>
      </c>
      <c r="E133" s="10">
        <v>5</v>
      </c>
      <c r="F133" s="10">
        <v>2</v>
      </c>
      <c r="G133" s="9" t="s">
        <v>706</v>
      </c>
      <c r="H133" s="9" t="s">
        <v>707</v>
      </c>
    </row>
    <row r="134" spans="1:8" ht="26.4" x14ac:dyDescent="0.3">
      <c r="A134" s="9" t="s">
        <v>168</v>
      </c>
      <c r="B134" s="9" t="s">
        <v>697</v>
      </c>
      <c r="C134" s="9" t="s">
        <v>708</v>
      </c>
      <c r="D134" s="10">
        <v>12</v>
      </c>
      <c r="E134" s="10">
        <v>4</v>
      </c>
      <c r="F134" s="10">
        <v>2</v>
      </c>
      <c r="G134" s="9" t="s">
        <v>709</v>
      </c>
      <c r="H134" s="9" t="s">
        <v>707</v>
      </c>
    </row>
    <row r="135" spans="1:8" ht="26.4" x14ac:dyDescent="0.3">
      <c r="A135" s="9" t="s">
        <v>168</v>
      </c>
      <c r="B135" s="9" t="s">
        <v>697</v>
      </c>
      <c r="C135" s="9" t="s">
        <v>710</v>
      </c>
      <c r="D135" s="10">
        <v>12</v>
      </c>
      <c r="E135" s="10">
        <v>5</v>
      </c>
      <c r="F135" s="10">
        <v>3</v>
      </c>
      <c r="G135" s="9" t="s">
        <v>711</v>
      </c>
      <c r="H135" s="9" t="s">
        <v>707</v>
      </c>
    </row>
    <row r="136" spans="1:8" ht="26.4" x14ac:dyDescent="0.3">
      <c r="A136" s="9" t="s">
        <v>168</v>
      </c>
      <c r="B136" s="9" t="s">
        <v>712</v>
      </c>
      <c r="C136" s="9" t="s">
        <v>713</v>
      </c>
      <c r="D136" s="10">
        <v>4</v>
      </c>
      <c r="E136" s="10">
        <v>22</v>
      </c>
      <c r="F136" s="10">
        <v>14</v>
      </c>
      <c r="G136" s="9" t="s">
        <v>714</v>
      </c>
      <c r="H136" s="9" t="s">
        <v>715</v>
      </c>
    </row>
    <row r="137" spans="1:8" x14ac:dyDescent="0.3">
      <c r="A137" s="9" t="s">
        <v>168</v>
      </c>
      <c r="B137" s="9" t="s">
        <v>716</v>
      </c>
      <c r="C137" s="9" t="s">
        <v>717</v>
      </c>
      <c r="D137" s="10">
        <v>4</v>
      </c>
      <c r="E137" s="10">
        <v>20</v>
      </c>
      <c r="F137" s="10">
        <v>8</v>
      </c>
      <c r="G137" s="9" t="s">
        <v>718</v>
      </c>
      <c r="H137" s="9" t="s">
        <v>719</v>
      </c>
    </row>
    <row r="138" spans="1:8" x14ac:dyDescent="0.3">
      <c r="A138" s="9" t="s">
        <v>168</v>
      </c>
      <c r="B138" s="9" t="s">
        <v>716</v>
      </c>
      <c r="C138" s="9" t="s">
        <v>720</v>
      </c>
      <c r="D138" s="10">
        <v>4</v>
      </c>
      <c r="E138" s="10">
        <v>3</v>
      </c>
      <c r="F138" s="10">
        <v>4</v>
      </c>
      <c r="G138" s="9" t="s">
        <v>721</v>
      </c>
      <c r="H138" s="9" t="s">
        <v>719</v>
      </c>
    </row>
    <row r="139" spans="1:8" ht="26.4" x14ac:dyDescent="0.3">
      <c r="A139" s="9" t="s">
        <v>168</v>
      </c>
      <c r="B139" s="9" t="s">
        <v>351</v>
      </c>
      <c r="C139" s="9" t="s">
        <v>722</v>
      </c>
      <c r="D139" s="10">
        <v>4</v>
      </c>
      <c r="E139" s="10">
        <v>46</v>
      </c>
      <c r="F139" s="10">
        <v>16</v>
      </c>
      <c r="G139" s="9" t="s">
        <v>634</v>
      </c>
      <c r="H139" s="9" t="s">
        <v>723</v>
      </c>
    </row>
    <row r="140" spans="1:8" ht="26.4" x14ac:dyDescent="0.3">
      <c r="A140" s="9" t="s">
        <v>168</v>
      </c>
      <c r="B140" s="9" t="s">
        <v>724</v>
      </c>
      <c r="C140" s="9" t="s">
        <v>725</v>
      </c>
      <c r="D140" s="10">
        <v>4</v>
      </c>
      <c r="E140" s="10">
        <v>21</v>
      </c>
      <c r="F140" s="10">
        <v>6</v>
      </c>
      <c r="G140" s="9" t="s">
        <v>726</v>
      </c>
      <c r="H140" s="9" t="s">
        <v>727</v>
      </c>
    </row>
    <row r="141" spans="1:8" ht="26.4" x14ac:dyDescent="0.3">
      <c r="A141" s="9" t="s">
        <v>168</v>
      </c>
      <c r="B141" s="9" t="s">
        <v>486</v>
      </c>
      <c r="C141" s="9" t="s">
        <v>728</v>
      </c>
      <c r="D141" s="10">
        <v>4</v>
      </c>
      <c r="E141" s="10">
        <v>7</v>
      </c>
      <c r="F141" s="10">
        <v>5</v>
      </c>
      <c r="G141" s="9" t="s">
        <v>729</v>
      </c>
      <c r="H141" s="9" t="s">
        <v>730</v>
      </c>
    </row>
    <row r="142" spans="1:8" ht="26.4" x14ac:dyDescent="0.3">
      <c r="A142" s="9" t="s">
        <v>168</v>
      </c>
      <c r="B142" s="9" t="s">
        <v>731</v>
      </c>
      <c r="C142" s="9" t="s">
        <v>732</v>
      </c>
      <c r="D142" s="10">
        <v>4</v>
      </c>
      <c r="E142" s="10">
        <v>92</v>
      </c>
      <c r="F142" s="10">
        <v>7</v>
      </c>
      <c r="G142" s="9" t="s">
        <v>70</v>
      </c>
      <c r="H142" s="9" t="s">
        <v>733</v>
      </c>
    </row>
    <row r="143" spans="1:8" ht="26.4" x14ac:dyDescent="0.3">
      <c r="A143" s="9" t="s">
        <v>168</v>
      </c>
      <c r="B143" s="9" t="s">
        <v>734</v>
      </c>
      <c r="C143" s="9" t="s">
        <v>735</v>
      </c>
      <c r="D143" s="10">
        <v>4</v>
      </c>
      <c r="E143" s="10">
        <v>24</v>
      </c>
      <c r="F143" s="10">
        <v>5</v>
      </c>
      <c r="G143" s="9" t="s">
        <v>736</v>
      </c>
      <c r="H143" s="9" t="s">
        <v>737</v>
      </c>
    </row>
    <row r="144" spans="1:8" ht="26.4" x14ac:dyDescent="0.3">
      <c r="A144" s="9" t="s">
        <v>168</v>
      </c>
      <c r="B144" s="9" t="s">
        <v>52</v>
      </c>
      <c r="C144" s="9" t="s">
        <v>289</v>
      </c>
      <c r="D144" s="10">
        <v>1</v>
      </c>
      <c r="E144" s="10">
        <v>248</v>
      </c>
      <c r="F144" s="10">
        <v>9</v>
      </c>
      <c r="G144" s="9" t="s">
        <v>262</v>
      </c>
      <c r="H144" s="9" t="s">
        <v>738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91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18" customWidth="1"/>
    <col min="3" max="3" width="40" customWidth="1"/>
    <col min="4" max="4" width="10" customWidth="1"/>
    <col min="5" max="5" width="9" customWidth="1"/>
    <col min="6" max="6" width="40" customWidth="1"/>
    <col min="7" max="7" width="9" customWidth="1"/>
  </cols>
  <sheetData>
    <row r="1" spans="1:7" ht="26.4" x14ac:dyDescent="0.3">
      <c r="A1" s="8" t="s">
        <v>739</v>
      </c>
      <c r="B1" s="8" t="s">
        <v>740</v>
      </c>
      <c r="C1" s="8" t="s">
        <v>741</v>
      </c>
      <c r="D1" s="8" t="s">
        <v>742</v>
      </c>
      <c r="E1" s="8" t="s">
        <v>743</v>
      </c>
      <c r="F1" s="8" t="s">
        <v>744</v>
      </c>
      <c r="G1" s="8" t="s">
        <v>745</v>
      </c>
    </row>
    <row r="2" spans="1:7" x14ac:dyDescent="0.3">
      <c r="A2" s="9" t="s">
        <v>274</v>
      </c>
      <c r="B2" s="9" t="s">
        <v>746</v>
      </c>
      <c r="C2" s="9" t="s">
        <v>747</v>
      </c>
      <c r="D2" s="10">
        <v>16</v>
      </c>
      <c r="E2" s="10">
        <v>0</v>
      </c>
      <c r="F2" s="9"/>
      <c r="G2" s="9" t="s">
        <v>748</v>
      </c>
    </row>
    <row r="3" spans="1:7" x14ac:dyDescent="0.3">
      <c r="A3" s="9" t="s">
        <v>270</v>
      </c>
      <c r="B3" s="9" t="s">
        <v>746</v>
      </c>
      <c r="C3" s="9" t="s">
        <v>747</v>
      </c>
      <c r="D3" s="10">
        <v>16</v>
      </c>
      <c r="E3" s="10">
        <v>0</v>
      </c>
      <c r="F3" s="9"/>
      <c r="G3" s="9" t="s">
        <v>748</v>
      </c>
    </row>
    <row r="4" spans="1:7" x14ac:dyDescent="0.3">
      <c r="A4" s="9" t="s">
        <v>270</v>
      </c>
      <c r="B4" s="9" t="s">
        <v>275</v>
      </c>
      <c r="C4" s="9" t="s">
        <v>274</v>
      </c>
      <c r="D4" s="10">
        <v>18</v>
      </c>
      <c r="E4" s="10">
        <v>0</v>
      </c>
      <c r="F4" s="9"/>
      <c r="G4" s="9" t="s">
        <v>748</v>
      </c>
    </row>
    <row r="5" spans="1:7" ht="26.4" x14ac:dyDescent="0.3">
      <c r="A5" s="9" t="s">
        <v>292</v>
      </c>
      <c r="B5" s="9" t="s">
        <v>749</v>
      </c>
      <c r="C5" s="9" t="s">
        <v>750</v>
      </c>
      <c r="D5" s="10">
        <v>8</v>
      </c>
      <c r="E5" s="10">
        <v>0</v>
      </c>
      <c r="F5" s="9"/>
      <c r="G5" s="9" t="s">
        <v>748</v>
      </c>
    </row>
    <row r="6" spans="1:7" ht="26.4" x14ac:dyDescent="0.3">
      <c r="A6" s="9" t="s">
        <v>292</v>
      </c>
      <c r="B6" s="9" t="s">
        <v>751</v>
      </c>
      <c r="C6" s="9" t="s">
        <v>380</v>
      </c>
      <c r="D6" s="10">
        <v>19</v>
      </c>
      <c r="E6" s="10">
        <v>0</v>
      </c>
      <c r="F6" s="9"/>
      <c r="G6" s="9" t="s">
        <v>748</v>
      </c>
    </row>
    <row r="7" spans="1:7" ht="26.4" x14ac:dyDescent="0.3">
      <c r="A7" s="9" t="s">
        <v>296</v>
      </c>
      <c r="B7" s="9" t="s">
        <v>749</v>
      </c>
      <c r="C7" s="9" t="s">
        <v>750</v>
      </c>
      <c r="D7" s="10">
        <v>4</v>
      </c>
      <c r="E7" s="10">
        <v>0</v>
      </c>
      <c r="F7" s="9"/>
      <c r="G7" s="9" t="s">
        <v>748</v>
      </c>
    </row>
    <row r="8" spans="1:7" ht="26.4" x14ac:dyDescent="0.3">
      <c r="A8" s="9" t="s">
        <v>296</v>
      </c>
      <c r="B8" s="9" t="s">
        <v>751</v>
      </c>
      <c r="C8" s="9" t="s">
        <v>380</v>
      </c>
      <c r="D8" s="10">
        <v>5</v>
      </c>
      <c r="E8" s="10">
        <v>0</v>
      </c>
      <c r="F8" s="9"/>
      <c r="G8" s="9" t="s">
        <v>748</v>
      </c>
    </row>
    <row r="9" spans="1:7" x14ac:dyDescent="0.3">
      <c r="A9" s="9" t="s">
        <v>344</v>
      </c>
      <c r="B9" s="9" t="s">
        <v>353</v>
      </c>
      <c r="C9" s="9" t="s">
        <v>352</v>
      </c>
      <c r="D9" s="10">
        <v>29</v>
      </c>
      <c r="E9" s="10">
        <v>0</v>
      </c>
      <c r="F9" s="9"/>
      <c r="G9" s="9" t="s">
        <v>748</v>
      </c>
    </row>
    <row r="10" spans="1:7" x14ac:dyDescent="0.3">
      <c r="A10" s="9" t="s">
        <v>344</v>
      </c>
      <c r="B10" s="9" t="s">
        <v>746</v>
      </c>
      <c r="C10" s="9" t="s">
        <v>747</v>
      </c>
      <c r="D10" s="10">
        <v>22</v>
      </c>
      <c r="E10" s="10">
        <v>0</v>
      </c>
      <c r="F10" s="9"/>
      <c r="G10" s="9" t="s">
        <v>748</v>
      </c>
    </row>
    <row r="11" spans="1:7" x14ac:dyDescent="0.3">
      <c r="A11" s="9" t="s">
        <v>344</v>
      </c>
      <c r="B11" s="9" t="s">
        <v>752</v>
      </c>
      <c r="C11" s="9" t="s">
        <v>372</v>
      </c>
      <c r="D11" s="10">
        <v>18</v>
      </c>
      <c r="E11" s="10">
        <v>0</v>
      </c>
      <c r="F11" s="9"/>
      <c r="G11" s="9" t="s">
        <v>748</v>
      </c>
    </row>
    <row r="12" spans="1:7" x14ac:dyDescent="0.3">
      <c r="A12" s="9" t="s">
        <v>344</v>
      </c>
      <c r="B12" s="9" t="s">
        <v>753</v>
      </c>
      <c r="C12" s="9" t="s">
        <v>380</v>
      </c>
      <c r="D12" s="10">
        <v>13</v>
      </c>
      <c r="E12" s="10">
        <v>0</v>
      </c>
      <c r="F12" s="9"/>
      <c r="G12" s="9" t="s">
        <v>748</v>
      </c>
    </row>
    <row r="13" spans="1:7" x14ac:dyDescent="0.3">
      <c r="A13" s="9" t="s">
        <v>344</v>
      </c>
      <c r="B13" s="9" t="s">
        <v>754</v>
      </c>
      <c r="C13" s="9" t="s">
        <v>479</v>
      </c>
      <c r="D13" s="10">
        <v>27</v>
      </c>
      <c r="E13" s="10">
        <v>0</v>
      </c>
      <c r="F13" s="9"/>
      <c r="G13" s="9" t="s">
        <v>748</v>
      </c>
    </row>
    <row r="14" spans="1:7" x14ac:dyDescent="0.3">
      <c r="A14" s="9" t="s">
        <v>352</v>
      </c>
      <c r="B14" s="9" t="s">
        <v>753</v>
      </c>
      <c r="C14" s="9" t="s">
        <v>380</v>
      </c>
      <c r="D14" s="10">
        <v>8</v>
      </c>
      <c r="E14" s="10">
        <v>0</v>
      </c>
      <c r="F14" s="9"/>
      <c r="G14" s="9" t="s">
        <v>748</v>
      </c>
    </row>
    <row r="15" spans="1:7" x14ac:dyDescent="0.3">
      <c r="A15" s="9" t="s">
        <v>352</v>
      </c>
      <c r="B15" s="9" t="s">
        <v>755</v>
      </c>
      <c r="C15" s="9" t="s">
        <v>344</v>
      </c>
      <c r="D15" s="10">
        <v>35</v>
      </c>
      <c r="E15" s="10">
        <v>0</v>
      </c>
      <c r="F15" s="9"/>
      <c r="G15" s="9" t="s">
        <v>748</v>
      </c>
    </row>
    <row r="16" spans="1:7" ht="26.4" x14ac:dyDescent="0.3">
      <c r="A16" s="9" t="s">
        <v>372</v>
      </c>
      <c r="B16" s="9" t="s">
        <v>756</v>
      </c>
      <c r="C16" s="9" t="s">
        <v>757</v>
      </c>
      <c r="D16" s="10">
        <v>26</v>
      </c>
      <c r="E16" s="10">
        <v>0</v>
      </c>
      <c r="F16" s="9"/>
      <c r="G16" s="9" t="s">
        <v>748</v>
      </c>
    </row>
    <row r="17" spans="1:7" x14ac:dyDescent="0.3">
      <c r="A17" s="9" t="s">
        <v>372</v>
      </c>
      <c r="B17" s="9" t="s">
        <v>758</v>
      </c>
      <c r="C17" s="9" t="s">
        <v>380</v>
      </c>
      <c r="D17" s="10">
        <v>13</v>
      </c>
      <c r="E17" s="10">
        <v>0</v>
      </c>
      <c r="F17" s="9"/>
      <c r="G17" s="9" t="s">
        <v>748</v>
      </c>
    </row>
    <row r="18" spans="1:7" x14ac:dyDescent="0.3">
      <c r="A18" s="9" t="s">
        <v>368</v>
      </c>
      <c r="B18" s="9" t="s">
        <v>480</v>
      </c>
      <c r="C18" s="9" t="s">
        <v>479</v>
      </c>
      <c r="D18" s="10">
        <v>13</v>
      </c>
      <c r="E18" s="10">
        <v>0</v>
      </c>
      <c r="F18" s="9"/>
      <c r="G18" s="9" t="s">
        <v>748</v>
      </c>
    </row>
    <row r="19" spans="1:7" x14ac:dyDescent="0.3">
      <c r="A19" s="9" t="s">
        <v>380</v>
      </c>
      <c r="B19" s="9" t="s">
        <v>759</v>
      </c>
      <c r="C19" s="9" t="s">
        <v>747</v>
      </c>
      <c r="D19" s="10">
        <v>27</v>
      </c>
      <c r="E19" s="10">
        <v>0</v>
      </c>
      <c r="F19" s="9"/>
      <c r="G19" s="9" t="s">
        <v>748</v>
      </c>
    </row>
    <row r="20" spans="1:7" x14ac:dyDescent="0.3">
      <c r="A20" s="9" t="s">
        <v>385</v>
      </c>
      <c r="B20" s="9" t="s">
        <v>760</v>
      </c>
      <c r="C20" s="9" t="s">
        <v>380</v>
      </c>
      <c r="D20" s="10">
        <v>2</v>
      </c>
      <c r="E20" s="10">
        <v>0</v>
      </c>
      <c r="F20" s="9"/>
      <c r="G20" s="9" t="s">
        <v>748</v>
      </c>
    </row>
    <row r="21" spans="1:7" x14ac:dyDescent="0.3">
      <c r="A21" s="9" t="s">
        <v>385</v>
      </c>
      <c r="B21" s="9" t="s">
        <v>761</v>
      </c>
      <c r="C21" s="9" t="s">
        <v>380</v>
      </c>
      <c r="D21" s="10">
        <v>10</v>
      </c>
      <c r="E21" s="10">
        <v>0</v>
      </c>
      <c r="F21" s="9"/>
      <c r="G21" s="9" t="s">
        <v>748</v>
      </c>
    </row>
    <row r="22" spans="1:7" x14ac:dyDescent="0.3">
      <c r="A22" s="9" t="s">
        <v>401</v>
      </c>
      <c r="B22" s="9" t="s">
        <v>762</v>
      </c>
      <c r="C22" s="9" t="s">
        <v>344</v>
      </c>
      <c r="D22" s="10">
        <v>7</v>
      </c>
      <c r="E22" s="10">
        <v>0</v>
      </c>
      <c r="F22" s="9"/>
      <c r="G22" s="9" t="s">
        <v>748</v>
      </c>
    </row>
    <row r="23" spans="1:7" x14ac:dyDescent="0.3">
      <c r="A23" s="9" t="s">
        <v>434</v>
      </c>
      <c r="B23" s="9" t="s">
        <v>345</v>
      </c>
      <c r="C23" s="9" t="s">
        <v>344</v>
      </c>
      <c r="D23" s="10">
        <v>11</v>
      </c>
      <c r="E23" s="10">
        <v>0</v>
      </c>
      <c r="F23" s="9"/>
      <c r="G23" s="9" t="s">
        <v>748</v>
      </c>
    </row>
    <row r="24" spans="1:7" x14ac:dyDescent="0.3">
      <c r="A24" s="9" t="s">
        <v>438</v>
      </c>
      <c r="B24" s="9" t="s">
        <v>386</v>
      </c>
      <c r="C24" s="9" t="s">
        <v>385</v>
      </c>
      <c r="D24" s="10">
        <v>1</v>
      </c>
      <c r="E24" s="10">
        <v>0</v>
      </c>
      <c r="F24" s="9"/>
      <c r="G24" s="9" t="s">
        <v>748</v>
      </c>
    </row>
    <row r="25" spans="1:7" x14ac:dyDescent="0.3">
      <c r="A25" s="9" t="s">
        <v>462</v>
      </c>
      <c r="B25" s="9" t="s">
        <v>755</v>
      </c>
      <c r="C25" s="9" t="s">
        <v>344</v>
      </c>
      <c r="D25" s="10">
        <v>8</v>
      </c>
      <c r="E25" s="10">
        <v>0</v>
      </c>
      <c r="F25" s="9"/>
      <c r="G25" s="9" t="s">
        <v>748</v>
      </c>
    </row>
    <row r="26" spans="1:7" x14ac:dyDescent="0.3">
      <c r="A26" s="9" t="s">
        <v>474</v>
      </c>
      <c r="B26" s="9" t="s">
        <v>753</v>
      </c>
      <c r="C26" s="9" t="s">
        <v>380</v>
      </c>
      <c r="D26" s="10">
        <v>4</v>
      </c>
      <c r="E26" s="10">
        <v>0</v>
      </c>
      <c r="F26" s="9"/>
      <c r="G26" s="9" t="s">
        <v>748</v>
      </c>
    </row>
    <row r="27" spans="1:7" x14ac:dyDescent="0.3">
      <c r="A27" s="9" t="s">
        <v>479</v>
      </c>
      <c r="B27" s="9" t="s">
        <v>755</v>
      </c>
      <c r="C27" s="9" t="s">
        <v>344</v>
      </c>
      <c r="D27" s="10">
        <v>20</v>
      </c>
      <c r="E27" s="10">
        <v>0</v>
      </c>
      <c r="F27" s="9"/>
      <c r="G27" s="9" t="s">
        <v>748</v>
      </c>
    </row>
    <row r="28" spans="1:7" x14ac:dyDescent="0.3">
      <c r="A28" s="9" t="s">
        <v>503</v>
      </c>
      <c r="B28" s="9" t="s">
        <v>753</v>
      </c>
      <c r="C28" s="9" t="s">
        <v>380</v>
      </c>
      <c r="D28" s="10">
        <v>3</v>
      </c>
      <c r="E28" s="10">
        <v>0</v>
      </c>
      <c r="F28" s="9"/>
      <c r="G28" s="9" t="s">
        <v>748</v>
      </c>
    </row>
    <row r="29" spans="1:7" x14ac:dyDescent="0.3">
      <c r="A29" s="9" t="s">
        <v>519</v>
      </c>
      <c r="B29" s="9" t="s">
        <v>386</v>
      </c>
      <c r="C29" s="9" t="s">
        <v>385</v>
      </c>
      <c r="D29" s="10">
        <v>7</v>
      </c>
      <c r="E29" s="10">
        <v>0</v>
      </c>
      <c r="F29" s="9"/>
      <c r="G29" s="9" t="s">
        <v>748</v>
      </c>
    </row>
    <row r="30" spans="1:7" x14ac:dyDescent="0.3">
      <c r="A30" s="9" t="s">
        <v>519</v>
      </c>
      <c r="B30" s="9" t="s">
        <v>753</v>
      </c>
      <c r="C30" s="9" t="s">
        <v>380</v>
      </c>
      <c r="D30" s="10">
        <v>10</v>
      </c>
      <c r="E30" s="10">
        <v>0</v>
      </c>
      <c r="F30" s="9"/>
      <c r="G30" s="9" t="s">
        <v>748</v>
      </c>
    </row>
    <row r="31" spans="1:7" x14ac:dyDescent="0.3">
      <c r="A31" s="9" t="s">
        <v>531</v>
      </c>
      <c r="B31" s="9" t="s">
        <v>763</v>
      </c>
      <c r="C31" s="9" t="s">
        <v>380</v>
      </c>
      <c r="D31" s="10">
        <v>7</v>
      </c>
      <c r="E31" s="10">
        <v>0</v>
      </c>
      <c r="F31" s="9"/>
      <c r="G31" s="9" t="s">
        <v>748</v>
      </c>
    </row>
    <row r="32" spans="1:7" x14ac:dyDescent="0.3">
      <c r="A32" s="9" t="s">
        <v>540</v>
      </c>
      <c r="B32" s="9" t="s">
        <v>753</v>
      </c>
      <c r="C32" s="9" t="s">
        <v>380</v>
      </c>
      <c r="D32" s="10">
        <v>4</v>
      </c>
      <c r="E32" s="10">
        <v>0</v>
      </c>
      <c r="F32" s="9"/>
      <c r="G32" s="9" t="s">
        <v>748</v>
      </c>
    </row>
    <row r="33" spans="1:7" x14ac:dyDescent="0.3">
      <c r="A33" s="9" t="s">
        <v>556</v>
      </c>
      <c r="B33" s="9" t="s">
        <v>553</v>
      </c>
      <c r="C33" s="9" t="s">
        <v>552</v>
      </c>
      <c r="D33" s="10">
        <v>57</v>
      </c>
      <c r="E33" s="10">
        <v>0</v>
      </c>
      <c r="F33" s="9"/>
      <c r="G33" s="9" t="s">
        <v>748</v>
      </c>
    </row>
    <row r="34" spans="1:7" x14ac:dyDescent="0.3">
      <c r="A34" s="9" t="s">
        <v>556</v>
      </c>
      <c r="B34" s="9" t="s">
        <v>764</v>
      </c>
      <c r="C34" s="9" t="s">
        <v>765</v>
      </c>
      <c r="D34" s="10">
        <v>43</v>
      </c>
      <c r="E34" s="10">
        <v>0</v>
      </c>
      <c r="F34" s="9"/>
      <c r="G34" s="9" t="s">
        <v>748</v>
      </c>
    </row>
    <row r="35" spans="1:7" x14ac:dyDescent="0.3">
      <c r="A35" s="9" t="s">
        <v>556</v>
      </c>
      <c r="B35" s="9" t="s">
        <v>746</v>
      </c>
      <c r="C35" s="9" t="s">
        <v>747</v>
      </c>
      <c r="D35" s="10">
        <v>18</v>
      </c>
      <c r="E35" s="10">
        <v>0</v>
      </c>
      <c r="F35" s="9"/>
      <c r="G35" s="9" t="s">
        <v>748</v>
      </c>
    </row>
    <row r="36" spans="1:7" x14ac:dyDescent="0.3">
      <c r="A36" s="9" t="s">
        <v>556</v>
      </c>
      <c r="B36" s="9" t="s">
        <v>755</v>
      </c>
      <c r="C36" s="9" t="s">
        <v>344</v>
      </c>
      <c r="D36" s="10">
        <v>49</v>
      </c>
      <c r="E36" s="10">
        <v>0</v>
      </c>
      <c r="F36" s="9"/>
      <c r="G36" s="9" t="s">
        <v>748</v>
      </c>
    </row>
    <row r="37" spans="1:7" x14ac:dyDescent="0.3">
      <c r="A37" s="9" t="s">
        <v>556</v>
      </c>
      <c r="B37" s="9" t="s">
        <v>353</v>
      </c>
      <c r="C37" s="9" t="s">
        <v>352</v>
      </c>
      <c r="D37" s="10">
        <v>27</v>
      </c>
      <c r="E37" s="10">
        <v>0</v>
      </c>
      <c r="F37" s="9"/>
      <c r="G37" s="9" t="s">
        <v>748</v>
      </c>
    </row>
    <row r="38" spans="1:7" x14ac:dyDescent="0.3">
      <c r="A38" s="9" t="s">
        <v>556</v>
      </c>
      <c r="B38" s="9" t="s">
        <v>373</v>
      </c>
      <c r="C38" s="9" t="s">
        <v>372</v>
      </c>
      <c r="D38" s="10">
        <v>12</v>
      </c>
      <c r="E38" s="10">
        <v>0</v>
      </c>
      <c r="F38" s="9"/>
      <c r="G38" s="9" t="s">
        <v>748</v>
      </c>
    </row>
    <row r="39" spans="1:7" x14ac:dyDescent="0.3">
      <c r="A39" s="9" t="s">
        <v>556</v>
      </c>
      <c r="B39" s="9" t="s">
        <v>369</v>
      </c>
      <c r="C39" s="9" t="s">
        <v>368</v>
      </c>
      <c r="D39" s="10">
        <v>17</v>
      </c>
      <c r="E39" s="10">
        <v>0</v>
      </c>
      <c r="F39" s="9"/>
      <c r="G39" s="9" t="s">
        <v>748</v>
      </c>
    </row>
    <row r="40" spans="1:7" x14ac:dyDescent="0.3">
      <c r="A40" s="9" t="s">
        <v>556</v>
      </c>
      <c r="B40" s="9" t="s">
        <v>753</v>
      </c>
      <c r="C40" s="9" t="s">
        <v>380</v>
      </c>
      <c r="D40" s="10">
        <v>20</v>
      </c>
      <c r="E40" s="10">
        <v>0</v>
      </c>
      <c r="F40" s="9"/>
      <c r="G40" s="9" t="s">
        <v>748</v>
      </c>
    </row>
    <row r="41" spans="1:7" x14ac:dyDescent="0.3">
      <c r="A41" s="9" t="s">
        <v>560</v>
      </c>
      <c r="B41" s="9" t="s">
        <v>557</v>
      </c>
      <c r="C41" s="9" t="s">
        <v>556</v>
      </c>
      <c r="D41" s="10">
        <v>71</v>
      </c>
      <c r="E41" s="10">
        <v>0</v>
      </c>
      <c r="F41" s="9"/>
      <c r="G41" s="9" t="s">
        <v>748</v>
      </c>
    </row>
    <row r="42" spans="1:7" x14ac:dyDescent="0.3">
      <c r="A42" s="9" t="s">
        <v>564</v>
      </c>
      <c r="B42" s="9" t="s">
        <v>553</v>
      </c>
      <c r="C42" s="9" t="s">
        <v>552</v>
      </c>
      <c r="D42" s="10">
        <v>32</v>
      </c>
      <c r="E42" s="10">
        <v>0</v>
      </c>
      <c r="F42" s="9"/>
      <c r="G42" s="9" t="s">
        <v>748</v>
      </c>
    </row>
    <row r="43" spans="1:7" x14ac:dyDescent="0.3">
      <c r="A43" s="9" t="s">
        <v>286</v>
      </c>
      <c r="B43" s="9" t="s">
        <v>766</v>
      </c>
      <c r="C43" s="9" t="s">
        <v>352</v>
      </c>
      <c r="D43" s="10">
        <v>18</v>
      </c>
      <c r="E43" s="10">
        <v>0</v>
      </c>
      <c r="F43" s="9"/>
      <c r="G43" s="9" t="s">
        <v>748</v>
      </c>
    </row>
    <row r="44" spans="1:7" x14ac:dyDescent="0.3">
      <c r="A44" s="9" t="s">
        <v>286</v>
      </c>
      <c r="B44" s="9" t="s">
        <v>746</v>
      </c>
      <c r="C44" s="9" t="s">
        <v>747</v>
      </c>
      <c r="D44" s="10">
        <v>13</v>
      </c>
      <c r="E44" s="10">
        <v>0</v>
      </c>
      <c r="F44" s="9"/>
      <c r="G44" s="9" t="s">
        <v>748</v>
      </c>
    </row>
    <row r="45" spans="1:7" x14ac:dyDescent="0.3">
      <c r="A45" s="9" t="s">
        <v>392</v>
      </c>
      <c r="B45" s="9" t="s">
        <v>386</v>
      </c>
      <c r="C45" s="9" t="s">
        <v>385</v>
      </c>
      <c r="D45" s="10">
        <v>6</v>
      </c>
      <c r="E45" s="10">
        <v>0</v>
      </c>
      <c r="F45" s="9"/>
      <c r="G45" s="9" t="s">
        <v>748</v>
      </c>
    </row>
    <row r="46" spans="1:7" x14ac:dyDescent="0.3">
      <c r="A46" s="9" t="s">
        <v>392</v>
      </c>
      <c r="B46" s="9" t="s">
        <v>345</v>
      </c>
      <c r="C46" s="9" t="s">
        <v>344</v>
      </c>
      <c r="D46" s="10">
        <v>21</v>
      </c>
      <c r="E46" s="10">
        <v>0</v>
      </c>
      <c r="F46" s="9"/>
      <c r="G46" s="9" t="s">
        <v>748</v>
      </c>
    </row>
    <row r="47" spans="1:7" x14ac:dyDescent="0.3">
      <c r="A47" s="9" t="s">
        <v>392</v>
      </c>
      <c r="B47" s="9" t="s">
        <v>767</v>
      </c>
      <c r="C47" s="9" t="s">
        <v>462</v>
      </c>
      <c r="D47" s="10">
        <v>16</v>
      </c>
      <c r="E47" s="10">
        <v>0</v>
      </c>
      <c r="F47" s="9"/>
      <c r="G47" s="9" t="s">
        <v>748</v>
      </c>
    </row>
    <row r="48" spans="1:7" ht="26.4" x14ac:dyDescent="0.3">
      <c r="A48" s="9" t="s">
        <v>429</v>
      </c>
      <c r="B48" s="9" t="s">
        <v>393</v>
      </c>
      <c r="C48" s="9" t="s">
        <v>392</v>
      </c>
      <c r="D48" s="10">
        <v>9</v>
      </c>
      <c r="E48" s="10">
        <v>0</v>
      </c>
      <c r="F48" s="9"/>
      <c r="G48" s="9" t="s">
        <v>748</v>
      </c>
    </row>
    <row r="49" spans="1:7" ht="26.4" x14ac:dyDescent="0.3">
      <c r="A49" s="9" t="s">
        <v>429</v>
      </c>
      <c r="B49" s="9" t="s">
        <v>386</v>
      </c>
      <c r="C49" s="9" t="s">
        <v>385</v>
      </c>
      <c r="D49" s="10">
        <v>4</v>
      </c>
      <c r="E49" s="10">
        <v>0</v>
      </c>
      <c r="F49" s="9"/>
      <c r="G49" s="9" t="s">
        <v>748</v>
      </c>
    </row>
    <row r="50" spans="1:7" ht="26.4" x14ac:dyDescent="0.3">
      <c r="A50" s="9" t="s">
        <v>429</v>
      </c>
      <c r="B50" s="9" t="s">
        <v>753</v>
      </c>
      <c r="C50" s="9" t="s">
        <v>380</v>
      </c>
      <c r="D50" s="10">
        <v>7</v>
      </c>
      <c r="E50" s="10">
        <v>0</v>
      </c>
      <c r="F50" s="9"/>
      <c r="G50" s="9" t="s">
        <v>748</v>
      </c>
    </row>
    <row r="51" spans="1:7" ht="26.4" x14ac:dyDescent="0.3">
      <c r="A51" s="9" t="s">
        <v>442</v>
      </c>
      <c r="B51" s="9" t="s">
        <v>353</v>
      </c>
      <c r="C51" s="9" t="s">
        <v>352</v>
      </c>
      <c r="D51" s="10">
        <v>29</v>
      </c>
      <c r="E51" s="10">
        <v>0</v>
      </c>
      <c r="F51" s="9"/>
      <c r="G51" s="9" t="s">
        <v>748</v>
      </c>
    </row>
    <row r="52" spans="1:7" ht="26.4" x14ac:dyDescent="0.3">
      <c r="A52" s="9" t="s">
        <v>442</v>
      </c>
      <c r="B52" s="9" t="s">
        <v>393</v>
      </c>
      <c r="C52" s="9" t="s">
        <v>392</v>
      </c>
      <c r="D52" s="10">
        <v>6</v>
      </c>
      <c r="E52" s="10">
        <v>0</v>
      </c>
      <c r="F52" s="9"/>
      <c r="G52" s="9" t="s">
        <v>748</v>
      </c>
    </row>
    <row r="53" spans="1:7" x14ac:dyDescent="0.3">
      <c r="A53" s="9" t="s">
        <v>451</v>
      </c>
      <c r="B53" s="9" t="s">
        <v>755</v>
      </c>
      <c r="C53" s="9" t="s">
        <v>344</v>
      </c>
      <c r="D53" s="10">
        <v>17</v>
      </c>
      <c r="E53" s="10">
        <v>0</v>
      </c>
      <c r="F53" s="9"/>
      <c r="G53" s="9" t="s">
        <v>748</v>
      </c>
    </row>
    <row r="54" spans="1:7" x14ac:dyDescent="0.3">
      <c r="A54" s="9" t="s">
        <v>458</v>
      </c>
      <c r="B54" s="9" t="s">
        <v>755</v>
      </c>
      <c r="C54" s="9" t="s">
        <v>344</v>
      </c>
      <c r="D54" s="10">
        <v>26</v>
      </c>
      <c r="E54" s="10">
        <v>0</v>
      </c>
      <c r="F54" s="9"/>
      <c r="G54" s="9" t="s">
        <v>748</v>
      </c>
    </row>
    <row r="55" spans="1:7" x14ac:dyDescent="0.3">
      <c r="A55" s="9" t="s">
        <v>510</v>
      </c>
      <c r="B55" s="9" t="s">
        <v>353</v>
      </c>
      <c r="C55" s="9" t="s">
        <v>352</v>
      </c>
      <c r="D55" s="10">
        <v>46</v>
      </c>
      <c r="E55" s="10">
        <v>0</v>
      </c>
      <c r="F55" s="9"/>
      <c r="G55" s="9" t="s">
        <v>748</v>
      </c>
    </row>
    <row r="56" spans="1:7" x14ac:dyDescent="0.3">
      <c r="A56" s="9" t="s">
        <v>575</v>
      </c>
      <c r="B56" s="9" t="s">
        <v>755</v>
      </c>
      <c r="C56" s="9" t="s">
        <v>344</v>
      </c>
      <c r="D56" s="10">
        <v>19</v>
      </c>
      <c r="E56" s="10">
        <v>0</v>
      </c>
      <c r="F56" s="9"/>
      <c r="G56" s="9" t="s">
        <v>748</v>
      </c>
    </row>
    <row r="57" spans="1:7" x14ac:dyDescent="0.3">
      <c r="A57" s="9" t="s">
        <v>575</v>
      </c>
      <c r="B57" s="9" t="s">
        <v>353</v>
      </c>
      <c r="C57" s="9" t="s">
        <v>352</v>
      </c>
      <c r="D57" s="10">
        <v>16</v>
      </c>
      <c r="E57" s="10">
        <v>0</v>
      </c>
      <c r="F57" s="9"/>
      <c r="G57" s="9" t="s">
        <v>748</v>
      </c>
    </row>
    <row r="58" spans="1:7" x14ac:dyDescent="0.3">
      <c r="A58" s="9" t="s">
        <v>575</v>
      </c>
      <c r="B58" s="9" t="s">
        <v>746</v>
      </c>
      <c r="C58" s="9" t="s">
        <v>747</v>
      </c>
      <c r="D58" s="10">
        <v>9</v>
      </c>
      <c r="E58" s="10">
        <v>0</v>
      </c>
      <c r="F58" s="9"/>
      <c r="G58" s="9" t="s">
        <v>748</v>
      </c>
    </row>
    <row r="59" spans="1:7" x14ac:dyDescent="0.3">
      <c r="A59" s="9" t="s">
        <v>584</v>
      </c>
      <c r="B59" s="9" t="s">
        <v>581</v>
      </c>
      <c r="C59" s="9" t="s">
        <v>580</v>
      </c>
      <c r="D59" s="10">
        <v>440</v>
      </c>
      <c r="E59" s="10">
        <v>0</v>
      </c>
      <c r="F59" s="9"/>
      <c r="G59" s="9" t="s">
        <v>748</v>
      </c>
    </row>
    <row r="60" spans="1:7" x14ac:dyDescent="0.3">
      <c r="A60" s="9" t="s">
        <v>591</v>
      </c>
      <c r="B60" s="9" t="s">
        <v>768</v>
      </c>
      <c r="C60" s="9" t="s">
        <v>580</v>
      </c>
      <c r="D60" s="10">
        <v>149</v>
      </c>
      <c r="E60" s="10">
        <v>0</v>
      </c>
      <c r="F60" s="9"/>
      <c r="G60" s="9" t="s">
        <v>748</v>
      </c>
    </row>
    <row r="61" spans="1:7" ht="26.4" x14ac:dyDescent="0.3">
      <c r="A61" s="9" t="s">
        <v>352</v>
      </c>
      <c r="B61" s="9" t="s">
        <v>769</v>
      </c>
      <c r="C61" s="9" t="s">
        <v>633</v>
      </c>
      <c r="D61" s="10">
        <v>49</v>
      </c>
      <c r="E61" s="10">
        <v>0</v>
      </c>
      <c r="F61" s="9"/>
      <c r="G61" s="9" t="s">
        <v>748</v>
      </c>
    </row>
    <row r="62" spans="1:7" x14ac:dyDescent="0.3">
      <c r="A62" s="9" t="s">
        <v>633</v>
      </c>
      <c r="B62" s="9" t="s">
        <v>353</v>
      </c>
      <c r="C62" s="9" t="s">
        <v>352</v>
      </c>
      <c r="D62" s="10">
        <v>50</v>
      </c>
      <c r="E62" s="10">
        <v>0</v>
      </c>
      <c r="F62" s="9"/>
      <c r="G62" s="9" t="s">
        <v>748</v>
      </c>
    </row>
    <row r="63" spans="1:7" x14ac:dyDescent="0.3">
      <c r="A63" s="9" t="s">
        <v>633</v>
      </c>
      <c r="B63" s="9" t="s">
        <v>753</v>
      </c>
      <c r="C63" s="9" t="s">
        <v>380</v>
      </c>
      <c r="D63" s="10">
        <v>21</v>
      </c>
      <c r="E63" s="10">
        <v>0</v>
      </c>
      <c r="F63" s="9"/>
      <c r="G63" s="9" t="s">
        <v>748</v>
      </c>
    </row>
    <row r="64" spans="1:7" x14ac:dyDescent="0.3">
      <c r="A64" s="9" t="s">
        <v>637</v>
      </c>
      <c r="B64" s="9" t="s">
        <v>634</v>
      </c>
      <c r="C64" s="9" t="s">
        <v>633</v>
      </c>
      <c r="D64" s="10">
        <v>2486</v>
      </c>
      <c r="E64" s="10">
        <v>0</v>
      </c>
      <c r="F64" s="9"/>
      <c r="G64" s="9" t="s">
        <v>748</v>
      </c>
    </row>
    <row r="65" spans="1:7" x14ac:dyDescent="0.3">
      <c r="A65" s="9" t="s">
        <v>622</v>
      </c>
      <c r="B65" s="9" t="s">
        <v>770</v>
      </c>
      <c r="C65" s="9" t="s">
        <v>629</v>
      </c>
      <c r="D65" s="10">
        <v>113</v>
      </c>
      <c r="E65" s="10">
        <v>0</v>
      </c>
      <c r="F65" s="9"/>
      <c r="G65" s="9" t="s">
        <v>748</v>
      </c>
    </row>
    <row r="66" spans="1:7" x14ac:dyDescent="0.3">
      <c r="A66" s="9" t="s">
        <v>618</v>
      </c>
      <c r="B66" s="9" t="s">
        <v>770</v>
      </c>
      <c r="C66" s="9" t="s">
        <v>629</v>
      </c>
      <c r="D66" s="10">
        <v>36</v>
      </c>
      <c r="E66" s="10">
        <v>0</v>
      </c>
      <c r="F66" s="9"/>
      <c r="G66" s="9" t="s">
        <v>748</v>
      </c>
    </row>
    <row r="67" spans="1:7" x14ac:dyDescent="0.3">
      <c r="A67" s="9" t="s">
        <v>629</v>
      </c>
      <c r="B67" s="9" t="s">
        <v>753</v>
      </c>
      <c r="C67" s="9" t="s">
        <v>380</v>
      </c>
      <c r="D67" s="10">
        <v>22</v>
      </c>
      <c r="E67" s="10">
        <v>0</v>
      </c>
      <c r="F67" s="9"/>
      <c r="G67" s="9" t="s">
        <v>748</v>
      </c>
    </row>
    <row r="68" spans="1:7" x14ac:dyDescent="0.3">
      <c r="A68" s="9" t="s">
        <v>654</v>
      </c>
      <c r="B68" s="9" t="s">
        <v>753</v>
      </c>
      <c r="C68" s="9" t="s">
        <v>380</v>
      </c>
      <c r="D68" s="10">
        <v>6</v>
      </c>
      <c r="E68" s="10">
        <v>0</v>
      </c>
      <c r="F68" s="9"/>
      <c r="G68" s="9" t="s">
        <v>748</v>
      </c>
    </row>
    <row r="69" spans="1:7" x14ac:dyDescent="0.3">
      <c r="A69" s="9" t="s">
        <v>658</v>
      </c>
      <c r="B69" s="9" t="s">
        <v>753</v>
      </c>
      <c r="C69" s="9" t="s">
        <v>380</v>
      </c>
      <c r="D69" s="10">
        <v>3</v>
      </c>
      <c r="E69" s="10">
        <v>0</v>
      </c>
      <c r="F69" s="9"/>
      <c r="G69" s="9" t="s">
        <v>748</v>
      </c>
    </row>
    <row r="70" spans="1:7" x14ac:dyDescent="0.3">
      <c r="A70" s="9" t="s">
        <v>650</v>
      </c>
      <c r="B70" s="9" t="s">
        <v>452</v>
      </c>
      <c r="C70" s="9" t="s">
        <v>451</v>
      </c>
      <c r="D70" s="10">
        <v>4</v>
      </c>
      <c r="E70" s="10">
        <v>0</v>
      </c>
      <c r="F70" s="9"/>
      <c r="G70" s="9" t="s">
        <v>748</v>
      </c>
    </row>
    <row r="71" spans="1:7" x14ac:dyDescent="0.3">
      <c r="A71" s="9" t="s">
        <v>610</v>
      </c>
      <c r="B71" s="9" t="s">
        <v>452</v>
      </c>
      <c r="C71" s="9" t="s">
        <v>451</v>
      </c>
      <c r="D71" s="10">
        <v>14</v>
      </c>
      <c r="E71" s="10">
        <v>0</v>
      </c>
      <c r="F71" s="9"/>
      <c r="G71" s="9" t="s">
        <v>748</v>
      </c>
    </row>
    <row r="72" spans="1:7" x14ac:dyDescent="0.3">
      <c r="A72" s="9" t="s">
        <v>667</v>
      </c>
      <c r="B72" s="9" t="s">
        <v>452</v>
      </c>
      <c r="C72" s="9" t="s">
        <v>771</v>
      </c>
      <c r="D72" s="10">
        <v>42</v>
      </c>
      <c r="E72" s="10">
        <v>0</v>
      </c>
      <c r="F72" s="9"/>
      <c r="G72" s="9" t="s">
        <v>748</v>
      </c>
    </row>
    <row r="73" spans="1:7" x14ac:dyDescent="0.3">
      <c r="A73" s="9" t="s">
        <v>667</v>
      </c>
      <c r="B73" s="9" t="s">
        <v>755</v>
      </c>
      <c r="C73" s="9" t="s">
        <v>344</v>
      </c>
      <c r="D73" s="10">
        <v>56</v>
      </c>
      <c r="E73" s="10">
        <v>0</v>
      </c>
      <c r="F73" s="9"/>
      <c r="G73" s="9" t="s">
        <v>748</v>
      </c>
    </row>
    <row r="74" spans="1:7" x14ac:dyDescent="0.3">
      <c r="A74" s="9" t="s">
        <v>683</v>
      </c>
      <c r="B74" s="9" t="s">
        <v>452</v>
      </c>
      <c r="C74" s="9" t="s">
        <v>451</v>
      </c>
      <c r="D74" s="10">
        <v>10</v>
      </c>
      <c r="E74" s="10">
        <v>0</v>
      </c>
      <c r="F74" s="9"/>
      <c r="G74" s="9" t="s">
        <v>748</v>
      </c>
    </row>
    <row r="75" spans="1:7" x14ac:dyDescent="0.3">
      <c r="A75" s="9" t="s">
        <v>687</v>
      </c>
      <c r="B75" s="9" t="s">
        <v>452</v>
      </c>
      <c r="C75" s="9" t="s">
        <v>771</v>
      </c>
      <c r="D75" s="10">
        <v>14</v>
      </c>
      <c r="E75" s="10">
        <v>0</v>
      </c>
      <c r="F75" s="9"/>
      <c r="G75" s="9" t="s">
        <v>748</v>
      </c>
    </row>
    <row r="76" spans="1:7" x14ac:dyDescent="0.3">
      <c r="A76" s="9" t="s">
        <v>722</v>
      </c>
      <c r="B76" s="9" t="s">
        <v>353</v>
      </c>
      <c r="C76" s="9" t="s">
        <v>352</v>
      </c>
      <c r="D76" s="10">
        <v>24</v>
      </c>
      <c r="E76" s="10">
        <v>0</v>
      </c>
      <c r="F76" s="9"/>
      <c r="G76" s="9" t="s">
        <v>748</v>
      </c>
    </row>
    <row r="77" spans="1:7" x14ac:dyDescent="0.3">
      <c r="A77" s="9" t="s">
        <v>722</v>
      </c>
      <c r="B77" s="9" t="s">
        <v>763</v>
      </c>
      <c r="C77" s="9" t="s">
        <v>380</v>
      </c>
      <c r="D77" s="10">
        <v>16</v>
      </c>
      <c r="E77" s="10">
        <v>0</v>
      </c>
      <c r="F77" s="9"/>
      <c r="G77" s="9" t="s">
        <v>748</v>
      </c>
    </row>
    <row r="78" spans="1:7" x14ac:dyDescent="0.3">
      <c r="A78" s="9" t="s">
        <v>713</v>
      </c>
      <c r="B78" s="9" t="s">
        <v>471</v>
      </c>
      <c r="C78" s="9" t="s">
        <v>470</v>
      </c>
      <c r="D78" s="10">
        <v>9</v>
      </c>
      <c r="E78" s="10">
        <v>0</v>
      </c>
      <c r="F78" s="9"/>
      <c r="G78" s="9" t="s">
        <v>748</v>
      </c>
    </row>
    <row r="79" spans="1:7" x14ac:dyDescent="0.3">
      <c r="A79" s="9" t="s">
        <v>713</v>
      </c>
      <c r="B79" s="9" t="s">
        <v>772</v>
      </c>
      <c r="C79" s="9" t="s">
        <v>434</v>
      </c>
      <c r="D79" s="10">
        <v>10</v>
      </c>
      <c r="E79" s="10">
        <v>0</v>
      </c>
      <c r="F79" s="9"/>
      <c r="G79" s="9" t="s">
        <v>748</v>
      </c>
    </row>
    <row r="80" spans="1:7" x14ac:dyDescent="0.3">
      <c r="A80" s="9" t="s">
        <v>356</v>
      </c>
      <c r="B80" s="9" t="s">
        <v>353</v>
      </c>
      <c r="C80" s="9" t="s">
        <v>352</v>
      </c>
      <c r="D80" s="10">
        <v>30</v>
      </c>
      <c r="E80" s="10">
        <v>0</v>
      </c>
      <c r="F80" s="9"/>
      <c r="G80" s="9" t="s">
        <v>748</v>
      </c>
    </row>
    <row r="81" spans="1:7" x14ac:dyDescent="0.3">
      <c r="A81" s="9" t="s">
        <v>405</v>
      </c>
      <c r="B81" s="9" t="s">
        <v>398</v>
      </c>
      <c r="C81" s="9" t="s">
        <v>397</v>
      </c>
      <c r="D81" s="10">
        <v>131</v>
      </c>
      <c r="E81" s="10">
        <v>0</v>
      </c>
      <c r="F81" s="9"/>
      <c r="G81" s="9" t="s">
        <v>748</v>
      </c>
    </row>
    <row r="82" spans="1:7" x14ac:dyDescent="0.3">
      <c r="A82" s="9" t="s">
        <v>270</v>
      </c>
      <c r="B82" s="9" t="s">
        <v>773</v>
      </c>
      <c r="C82" s="9" t="s">
        <v>747</v>
      </c>
      <c r="D82" s="10">
        <v>21</v>
      </c>
      <c r="E82" s="10">
        <v>0</v>
      </c>
      <c r="F82" s="9"/>
      <c r="G82" s="9" t="s">
        <v>748</v>
      </c>
    </row>
    <row r="83" spans="1:7" x14ac:dyDescent="0.3">
      <c r="A83" s="9" t="s">
        <v>274</v>
      </c>
      <c r="B83" s="9" t="s">
        <v>773</v>
      </c>
      <c r="C83" s="9" t="s">
        <v>747</v>
      </c>
      <c r="D83" s="10">
        <v>36</v>
      </c>
      <c r="E83" s="10">
        <v>0</v>
      </c>
      <c r="F83" s="9"/>
      <c r="G83" s="9" t="s">
        <v>748</v>
      </c>
    </row>
    <row r="84" spans="1:7" x14ac:dyDescent="0.3">
      <c r="A84" s="9" t="s">
        <v>278</v>
      </c>
      <c r="B84" s="9" t="s">
        <v>773</v>
      </c>
      <c r="C84" s="9" t="s">
        <v>747</v>
      </c>
      <c r="D84" s="10">
        <v>15</v>
      </c>
      <c r="E84" s="10">
        <v>0</v>
      </c>
      <c r="F84" s="9"/>
      <c r="G84" s="9" t="s">
        <v>748</v>
      </c>
    </row>
    <row r="85" spans="1:7" x14ac:dyDescent="0.3">
      <c r="A85" s="9" t="s">
        <v>282</v>
      </c>
      <c r="B85" s="9" t="s">
        <v>773</v>
      </c>
      <c r="C85" s="9" t="s">
        <v>747</v>
      </c>
      <c r="D85" s="10">
        <v>9</v>
      </c>
      <c r="E85" s="10">
        <v>0</v>
      </c>
      <c r="F85" s="9"/>
      <c r="G85" s="9" t="s">
        <v>748</v>
      </c>
    </row>
    <row r="86" spans="1:7" x14ac:dyDescent="0.3">
      <c r="A86" s="9" t="s">
        <v>286</v>
      </c>
      <c r="B86" s="9" t="s">
        <v>773</v>
      </c>
      <c r="C86" s="9" t="s">
        <v>747</v>
      </c>
      <c r="D86" s="10">
        <v>34</v>
      </c>
      <c r="E86" s="10">
        <v>0</v>
      </c>
      <c r="F86" s="9"/>
      <c r="G86" s="9" t="s">
        <v>748</v>
      </c>
    </row>
    <row r="87" spans="1:7" x14ac:dyDescent="0.3">
      <c r="A87" s="9" t="s">
        <v>671</v>
      </c>
      <c r="B87" s="9" t="s">
        <v>668</v>
      </c>
      <c r="C87" s="9" t="s">
        <v>667</v>
      </c>
      <c r="D87" s="10">
        <v>33</v>
      </c>
      <c r="E87" s="10">
        <v>0</v>
      </c>
      <c r="F87" s="9"/>
      <c r="G87" s="9" t="s">
        <v>748</v>
      </c>
    </row>
    <row r="88" spans="1:7" x14ac:dyDescent="0.3">
      <c r="A88" s="9" t="s">
        <v>675</v>
      </c>
      <c r="B88" s="9" t="s">
        <v>668</v>
      </c>
      <c r="C88" s="9" t="s">
        <v>667</v>
      </c>
      <c r="D88" s="10">
        <v>41</v>
      </c>
      <c r="E88" s="10">
        <v>0</v>
      </c>
      <c r="F88" s="9"/>
      <c r="G88" s="9" t="s">
        <v>748</v>
      </c>
    </row>
    <row r="89" spans="1:7" x14ac:dyDescent="0.3">
      <c r="A89" s="9" t="s">
        <v>679</v>
      </c>
      <c r="B89" s="9" t="s">
        <v>668</v>
      </c>
      <c r="C89" s="9" t="s">
        <v>667</v>
      </c>
      <c r="D89" s="10">
        <v>10</v>
      </c>
      <c r="E89" s="10">
        <v>0</v>
      </c>
      <c r="F89" s="9"/>
      <c r="G89" s="9" t="s">
        <v>748</v>
      </c>
    </row>
    <row r="90" spans="1:7" x14ac:dyDescent="0.3">
      <c r="A90" s="9" t="s">
        <v>691</v>
      </c>
      <c r="B90" s="9" t="s">
        <v>668</v>
      </c>
      <c r="C90" s="9" t="s">
        <v>667</v>
      </c>
      <c r="D90" s="10">
        <v>20</v>
      </c>
      <c r="E90" s="10">
        <v>0</v>
      </c>
      <c r="F90" s="9"/>
      <c r="G90" s="9" t="s">
        <v>748</v>
      </c>
    </row>
    <row r="91" spans="1:7" x14ac:dyDescent="0.3">
      <c r="A91" s="9" t="s">
        <v>691</v>
      </c>
      <c r="B91" s="9" t="s">
        <v>695</v>
      </c>
      <c r="C91" s="9" t="s">
        <v>694</v>
      </c>
      <c r="D91" s="10">
        <v>8</v>
      </c>
      <c r="E91" s="10">
        <v>0</v>
      </c>
      <c r="F91" s="9"/>
      <c r="G91" s="9" t="s">
        <v>748</v>
      </c>
    </row>
  </sheetData>
  <conditionalFormatting sqref="G2:G291">
    <cfRule type="expression" dxfId="5" priority="1">
      <formula>ISNUMBER(SEARCH("Rever",G2))</formula>
    </cfRule>
    <cfRule type="expression" dxfId="4" priority="2">
      <formula>ISNUMBER(SEARCH("OK",G2))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56" customWidth="1"/>
    <col min="3" max="3" width="12" customWidth="1"/>
    <col min="4" max="4" width="26" customWidth="1"/>
    <col min="5" max="5" width="18" customWidth="1"/>
  </cols>
  <sheetData>
    <row r="1" spans="1:5" x14ac:dyDescent="0.3">
      <c r="A1" s="8" t="s">
        <v>70</v>
      </c>
      <c r="B1" s="8" t="s">
        <v>774</v>
      </c>
      <c r="C1" s="8" t="s">
        <v>775</v>
      </c>
      <c r="D1" s="8" t="s">
        <v>776</v>
      </c>
      <c r="E1" s="8" t="s">
        <v>777</v>
      </c>
    </row>
    <row r="2" spans="1:5" x14ac:dyDescent="0.3">
      <c r="A2" s="9" t="s">
        <v>778</v>
      </c>
      <c r="B2" s="9" t="s">
        <v>779</v>
      </c>
      <c r="C2" s="9" t="s">
        <v>780</v>
      </c>
      <c r="D2" s="9" t="s">
        <v>186</v>
      </c>
      <c r="E2" s="9" t="s">
        <v>781</v>
      </c>
    </row>
    <row r="3" spans="1:5" x14ac:dyDescent="0.3">
      <c r="A3" s="9" t="s">
        <v>782</v>
      </c>
      <c r="B3" s="9" t="s">
        <v>783</v>
      </c>
      <c r="C3" s="9" t="s">
        <v>780</v>
      </c>
      <c r="D3" s="9" t="s">
        <v>186</v>
      </c>
      <c r="E3" s="9" t="s">
        <v>784</v>
      </c>
    </row>
    <row r="4" spans="1:5" x14ac:dyDescent="0.3">
      <c r="A4" s="9" t="s">
        <v>785</v>
      </c>
      <c r="B4" s="9" t="s">
        <v>786</v>
      </c>
      <c r="C4" s="9" t="s">
        <v>787</v>
      </c>
      <c r="D4" s="9" t="s">
        <v>788</v>
      </c>
      <c r="E4" s="9" t="s">
        <v>784</v>
      </c>
    </row>
    <row r="5" spans="1:5" x14ac:dyDescent="0.3">
      <c r="A5" s="9" t="s">
        <v>789</v>
      </c>
      <c r="B5" s="9" t="s">
        <v>790</v>
      </c>
      <c r="C5" s="9" t="s">
        <v>787</v>
      </c>
      <c r="D5" s="9" t="s">
        <v>791</v>
      </c>
      <c r="E5" s="9" t="s">
        <v>784</v>
      </c>
    </row>
    <row r="6" spans="1:5" x14ac:dyDescent="0.3">
      <c r="A6" s="9" t="s">
        <v>792</v>
      </c>
      <c r="B6" s="9" t="s">
        <v>793</v>
      </c>
      <c r="C6" s="9" t="s">
        <v>787</v>
      </c>
      <c r="D6" s="9" t="s">
        <v>794</v>
      </c>
      <c r="E6" s="9" t="s">
        <v>784</v>
      </c>
    </row>
    <row r="7" spans="1:5" x14ac:dyDescent="0.3">
      <c r="A7" s="9" t="s">
        <v>795</v>
      </c>
      <c r="B7" s="9" t="s">
        <v>796</v>
      </c>
      <c r="C7" s="9" t="s">
        <v>787</v>
      </c>
      <c r="D7" s="9" t="s">
        <v>797</v>
      </c>
      <c r="E7" s="9" t="s">
        <v>784</v>
      </c>
    </row>
    <row r="8" spans="1:5" x14ac:dyDescent="0.3">
      <c r="A8" s="9" t="s">
        <v>798</v>
      </c>
      <c r="B8" s="9" t="s">
        <v>799</v>
      </c>
      <c r="C8" s="9" t="s">
        <v>780</v>
      </c>
      <c r="D8" s="9" t="s">
        <v>800</v>
      </c>
      <c r="E8" s="9" t="s">
        <v>784</v>
      </c>
    </row>
    <row r="9" spans="1:5" x14ac:dyDescent="0.3">
      <c r="A9" s="9" t="s">
        <v>801</v>
      </c>
      <c r="B9" s="9" t="s">
        <v>802</v>
      </c>
      <c r="C9" s="9" t="s">
        <v>780</v>
      </c>
      <c r="D9" s="9" t="s">
        <v>803</v>
      </c>
      <c r="E9" s="9" t="s">
        <v>784</v>
      </c>
    </row>
    <row r="10" spans="1:5" x14ac:dyDescent="0.3">
      <c r="A10" s="9" t="s">
        <v>804</v>
      </c>
      <c r="B10" s="9" t="s">
        <v>805</v>
      </c>
      <c r="C10" s="9" t="s">
        <v>780</v>
      </c>
      <c r="D10" s="9" t="s">
        <v>806</v>
      </c>
      <c r="E10" s="9" t="s">
        <v>784</v>
      </c>
    </row>
    <row r="11" spans="1:5" x14ac:dyDescent="0.3">
      <c r="A11" s="9" t="s">
        <v>807</v>
      </c>
      <c r="B11" s="9" t="s">
        <v>808</v>
      </c>
      <c r="C11" s="9" t="s">
        <v>780</v>
      </c>
      <c r="D11" s="9" t="s">
        <v>186</v>
      </c>
      <c r="E11" s="9" t="s">
        <v>809</v>
      </c>
    </row>
    <row r="12" spans="1:5" x14ac:dyDescent="0.3">
      <c r="A12" s="9" t="s">
        <v>810</v>
      </c>
      <c r="B12" s="9" t="s">
        <v>811</v>
      </c>
      <c r="C12" s="9" t="s">
        <v>780</v>
      </c>
      <c r="D12" s="9" t="s">
        <v>186</v>
      </c>
      <c r="E12" s="9" t="s">
        <v>812</v>
      </c>
    </row>
    <row r="13" spans="1:5" x14ac:dyDescent="0.3">
      <c r="A13" s="9" t="s">
        <v>813</v>
      </c>
      <c r="B13" s="9" t="s">
        <v>814</v>
      </c>
      <c r="C13" s="9" t="s">
        <v>780</v>
      </c>
      <c r="D13" s="9" t="s">
        <v>186</v>
      </c>
      <c r="E13" s="9" t="s">
        <v>784</v>
      </c>
    </row>
    <row r="14" spans="1:5" x14ac:dyDescent="0.3">
      <c r="A14" s="9" t="s">
        <v>815</v>
      </c>
      <c r="B14" s="9" t="s">
        <v>816</v>
      </c>
      <c r="C14" s="9" t="s">
        <v>817</v>
      </c>
      <c r="D14" s="9" t="s">
        <v>186</v>
      </c>
      <c r="E14" s="9" t="s">
        <v>818</v>
      </c>
    </row>
    <row r="15" spans="1:5" x14ac:dyDescent="0.3">
      <c r="A15" s="9" t="s">
        <v>819</v>
      </c>
      <c r="B15" s="9" t="s">
        <v>820</v>
      </c>
      <c r="C15" s="9" t="s">
        <v>817</v>
      </c>
      <c r="D15" s="9" t="s">
        <v>186</v>
      </c>
      <c r="E15" s="9" t="s">
        <v>781</v>
      </c>
    </row>
    <row r="16" spans="1:5" x14ac:dyDescent="0.3">
      <c r="A16" s="9" t="s">
        <v>821</v>
      </c>
      <c r="B16" s="9" t="s">
        <v>822</v>
      </c>
      <c r="C16" s="9" t="s">
        <v>817</v>
      </c>
      <c r="D16" s="9" t="s">
        <v>186</v>
      </c>
      <c r="E16" s="9" t="s">
        <v>784</v>
      </c>
    </row>
    <row r="17" spans="1:5" x14ac:dyDescent="0.3">
      <c r="A17" s="9" t="s">
        <v>823</v>
      </c>
      <c r="B17" s="9" t="s">
        <v>824</v>
      </c>
      <c r="C17" s="9" t="s">
        <v>825</v>
      </c>
      <c r="D17" s="9" t="s">
        <v>186</v>
      </c>
      <c r="E17" s="9" t="s">
        <v>784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23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46" customWidth="1"/>
    <col min="3" max="3" width="8" customWidth="1"/>
  </cols>
  <sheetData>
    <row r="1" spans="1:3" ht="26.4" x14ac:dyDescent="0.3">
      <c r="A1" s="8" t="s">
        <v>826</v>
      </c>
      <c r="B1" s="8" t="s">
        <v>827</v>
      </c>
      <c r="C1" s="8" t="s">
        <v>828</v>
      </c>
    </row>
    <row r="2" spans="1:3" x14ac:dyDescent="0.3">
      <c r="A2" s="9" t="s">
        <v>829</v>
      </c>
      <c r="B2" s="9" t="s">
        <v>830</v>
      </c>
      <c r="C2" s="9" t="s">
        <v>821</v>
      </c>
    </row>
    <row r="3" spans="1:3" x14ac:dyDescent="0.3">
      <c r="A3" s="9" t="s">
        <v>831</v>
      </c>
      <c r="B3" s="9" t="s">
        <v>832</v>
      </c>
      <c r="C3" s="9" t="s">
        <v>821</v>
      </c>
    </row>
    <row r="4" spans="1:3" x14ac:dyDescent="0.3">
      <c r="A4" s="9" t="s">
        <v>833</v>
      </c>
      <c r="B4" s="9" t="s">
        <v>834</v>
      </c>
      <c r="C4" s="9" t="s">
        <v>821</v>
      </c>
    </row>
    <row r="5" spans="1:3" x14ac:dyDescent="0.3">
      <c r="A5" s="9" t="s">
        <v>835</v>
      </c>
      <c r="B5" s="9" t="s">
        <v>836</v>
      </c>
      <c r="C5" s="9" t="s">
        <v>821</v>
      </c>
    </row>
    <row r="6" spans="1:3" x14ac:dyDescent="0.3">
      <c r="A6" s="9" t="s">
        <v>837</v>
      </c>
      <c r="B6" s="9" t="s">
        <v>838</v>
      </c>
      <c r="C6" s="9" t="s">
        <v>804</v>
      </c>
    </row>
    <row r="7" spans="1:3" x14ac:dyDescent="0.3">
      <c r="A7" s="9" t="s">
        <v>839</v>
      </c>
      <c r="B7" s="9" t="s">
        <v>840</v>
      </c>
      <c r="C7" s="9" t="s">
        <v>813</v>
      </c>
    </row>
    <row r="8" spans="1:3" x14ac:dyDescent="0.3">
      <c r="A8" s="9" t="s">
        <v>841</v>
      </c>
      <c r="B8" s="9" t="s">
        <v>842</v>
      </c>
      <c r="C8" s="9" t="s">
        <v>810</v>
      </c>
    </row>
    <row r="9" spans="1:3" x14ac:dyDescent="0.3">
      <c r="A9" s="9" t="s">
        <v>843</v>
      </c>
      <c r="B9" s="9" t="s">
        <v>844</v>
      </c>
      <c r="C9" s="9" t="s">
        <v>819</v>
      </c>
    </row>
    <row r="10" spans="1:3" x14ac:dyDescent="0.3">
      <c r="A10" s="9" t="s">
        <v>845</v>
      </c>
      <c r="B10" s="9" t="s">
        <v>846</v>
      </c>
      <c r="C10" s="9" t="s">
        <v>815</v>
      </c>
    </row>
    <row r="11" spans="1:3" x14ac:dyDescent="0.3">
      <c r="A11" s="9" t="s">
        <v>847</v>
      </c>
      <c r="B11" s="9" t="s">
        <v>848</v>
      </c>
      <c r="C11" s="9" t="s">
        <v>821</v>
      </c>
    </row>
    <row r="12" spans="1:3" x14ac:dyDescent="0.3">
      <c r="A12" s="9" t="s">
        <v>849</v>
      </c>
      <c r="B12" s="9" t="s">
        <v>850</v>
      </c>
      <c r="C12" s="9" t="s">
        <v>821</v>
      </c>
    </row>
    <row r="13" spans="1:3" x14ac:dyDescent="0.3">
      <c r="A13" s="9" t="s">
        <v>851</v>
      </c>
      <c r="B13" s="9" t="s">
        <v>852</v>
      </c>
      <c r="C13" s="9" t="s">
        <v>792</v>
      </c>
    </row>
    <row r="14" spans="1:3" x14ac:dyDescent="0.3">
      <c r="A14" s="9" t="s">
        <v>853</v>
      </c>
      <c r="B14" s="9" t="s">
        <v>854</v>
      </c>
      <c r="C14" s="9" t="s">
        <v>785</v>
      </c>
    </row>
    <row r="15" spans="1:3" x14ac:dyDescent="0.3">
      <c r="A15" s="9" t="s">
        <v>855</v>
      </c>
      <c r="B15" s="9" t="s">
        <v>856</v>
      </c>
      <c r="C15" s="9" t="s">
        <v>789</v>
      </c>
    </row>
    <row r="16" spans="1:3" x14ac:dyDescent="0.3">
      <c r="A16" s="9" t="s">
        <v>857</v>
      </c>
      <c r="B16" s="9" t="s">
        <v>858</v>
      </c>
      <c r="C16" s="9" t="s">
        <v>795</v>
      </c>
    </row>
    <row r="17" spans="1:3" x14ac:dyDescent="0.3">
      <c r="A17" s="9" t="s">
        <v>859</v>
      </c>
      <c r="B17" s="9" t="s">
        <v>860</v>
      </c>
      <c r="C17" s="9" t="s">
        <v>804</v>
      </c>
    </row>
    <row r="18" spans="1:3" x14ac:dyDescent="0.3">
      <c r="A18" s="9" t="s">
        <v>861</v>
      </c>
      <c r="B18" s="9" t="s">
        <v>862</v>
      </c>
      <c r="C18" s="9" t="s">
        <v>801</v>
      </c>
    </row>
    <row r="19" spans="1:3" x14ac:dyDescent="0.3">
      <c r="A19" s="9" t="s">
        <v>863</v>
      </c>
      <c r="B19" s="9" t="s">
        <v>864</v>
      </c>
      <c r="C19" s="9" t="s">
        <v>778</v>
      </c>
    </row>
    <row r="20" spans="1:3" x14ac:dyDescent="0.3">
      <c r="A20" s="9" t="s">
        <v>865</v>
      </c>
      <c r="B20" s="9" t="s">
        <v>866</v>
      </c>
      <c r="C20" s="9" t="s">
        <v>823</v>
      </c>
    </row>
    <row r="21" spans="1:3" x14ac:dyDescent="0.3">
      <c r="A21" s="9" t="s">
        <v>867</v>
      </c>
      <c r="B21" s="9" t="s">
        <v>868</v>
      </c>
      <c r="C21" s="9" t="s">
        <v>821</v>
      </c>
    </row>
    <row r="22" spans="1:3" x14ac:dyDescent="0.3">
      <c r="A22" s="9" t="s">
        <v>869</v>
      </c>
      <c r="B22" s="9" t="s">
        <v>870</v>
      </c>
      <c r="C22" s="9" t="s">
        <v>823</v>
      </c>
    </row>
    <row r="23" spans="1:3" x14ac:dyDescent="0.3">
      <c r="A23" s="9" t="s">
        <v>871</v>
      </c>
      <c r="B23" s="9" t="s">
        <v>872</v>
      </c>
      <c r="C23" s="9" t="s">
        <v>813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28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00" customWidth="1"/>
  </cols>
  <sheetData>
    <row r="1" spans="1:2" x14ac:dyDescent="0.3">
      <c r="A1" s="8" t="s">
        <v>873</v>
      </c>
      <c r="B1" s="8" t="s">
        <v>188</v>
      </c>
    </row>
    <row r="2" spans="1:2" ht="26.4" x14ac:dyDescent="0.3">
      <c r="A2" s="9" t="s">
        <v>112</v>
      </c>
      <c r="B2" s="9" t="s">
        <v>874</v>
      </c>
    </row>
    <row r="3" spans="1:2" x14ac:dyDescent="0.3">
      <c r="A3" s="9" t="s">
        <v>117</v>
      </c>
      <c r="B3" s="9" t="s">
        <v>875</v>
      </c>
    </row>
    <row r="4" spans="1:2" x14ac:dyDescent="0.3">
      <c r="A4" s="9" t="s">
        <v>122</v>
      </c>
      <c r="B4" s="9" t="s">
        <v>876</v>
      </c>
    </row>
    <row r="5" spans="1:2" x14ac:dyDescent="0.3">
      <c r="A5" s="9" t="s">
        <v>127</v>
      </c>
      <c r="B5" s="9" t="s">
        <v>877</v>
      </c>
    </row>
    <row r="6" spans="1:2" x14ac:dyDescent="0.3">
      <c r="A6" s="9" t="s">
        <v>220</v>
      </c>
      <c r="B6" s="9" t="s">
        <v>878</v>
      </c>
    </row>
    <row r="7" spans="1:2" x14ac:dyDescent="0.3">
      <c r="A7" s="9" t="s">
        <v>879</v>
      </c>
      <c r="B7" s="9" t="s">
        <v>880</v>
      </c>
    </row>
    <row r="8" spans="1:2" x14ac:dyDescent="0.3">
      <c r="A8" s="9" t="s">
        <v>881</v>
      </c>
      <c r="B8" s="9" t="s">
        <v>882</v>
      </c>
    </row>
    <row r="9" spans="1:2" x14ac:dyDescent="0.3">
      <c r="A9" s="9" t="s">
        <v>883</v>
      </c>
      <c r="B9" s="9" t="s">
        <v>884</v>
      </c>
    </row>
    <row r="10" spans="1:2" x14ac:dyDescent="0.3">
      <c r="A10" s="9" t="s">
        <v>88</v>
      </c>
      <c r="B10" s="9" t="s">
        <v>885</v>
      </c>
    </row>
    <row r="11" spans="1:2" x14ac:dyDescent="0.3">
      <c r="A11" s="9" t="s">
        <v>886</v>
      </c>
      <c r="B11" s="9" t="s">
        <v>887</v>
      </c>
    </row>
    <row r="12" spans="1:2" x14ac:dyDescent="0.3">
      <c r="A12" s="9" t="s">
        <v>888</v>
      </c>
      <c r="B12" s="9" t="s">
        <v>889</v>
      </c>
    </row>
    <row r="13" spans="1:2" x14ac:dyDescent="0.3">
      <c r="A13" s="9" t="s">
        <v>890</v>
      </c>
      <c r="B13" s="9" t="s">
        <v>891</v>
      </c>
    </row>
    <row r="14" spans="1:2" x14ac:dyDescent="0.3">
      <c r="A14" s="9" t="s">
        <v>98</v>
      </c>
      <c r="B14" s="9" t="s">
        <v>892</v>
      </c>
    </row>
    <row r="15" spans="1:2" x14ac:dyDescent="0.3">
      <c r="A15" s="9" t="s">
        <v>157</v>
      </c>
      <c r="B15" s="9" t="s">
        <v>893</v>
      </c>
    </row>
    <row r="16" spans="1:2" x14ac:dyDescent="0.3">
      <c r="A16" s="9" t="s">
        <v>894</v>
      </c>
      <c r="B16" s="9" t="s">
        <v>895</v>
      </c>
    </row>
    <row r="17" spans="1:2" x14ac:dyDescent="0.3">
      <c r="A17" s="9" t="s">
        <v>896</v>
      </c>
      <c r="B17" s="9" t="s">
        <v>897</v>
      </c>
    </row>
    <row r="18" spans="1:2" x14ac:dyDescent="0.3">
      <c r="A18" s="9" t="s">
        <v>898</v>
      </c>
      <c r="B18" s="9" t="s">
        <v>899</v>
      </c>
    </row>
    <row r="19" spans="1:2" x14ac:dyDescent="0.3">
      <c r="A19" s="9" t="s">
        <v>900</v>
      </c>
      <c r="B19" s="9" t="s">
        <v>901</v>
      </c>
    </row>
    <row r="20" spans="1:2" x14ac:dyDescent="0.3">
      <c r="A20" s="9" t="s">
        <v>902</v>
      </c>
      <c r="B20" s="9" t="s">
        <v>903</v>
      </c>
    </row>
    <row r="21" spans="1:2" x14ac:dyDescent="0.3">
      <c r="A21" s="9" t="s">
        <v>123</v>
      </c>
      <c r="B21" s="9" t="s">
        <v>904</v>
      </c>
    </row>
    <row r="22" spans="1:2" x14ac:dyDescent="0.3">
      <c r="A22" s="9" t="s">
        <v>132</v>
      </c>
      <c r="B22" s="9" t="s">
        <v>905</v>
      </c>
    </row>
    <row r="23" spans="1:2" x14ac:dyDescent="0.3">
      <c r="A23" s="9" t="s">
        <v>137</v>
      </c>
      <c r="B23" s="9" t="s">
        <v>906</v>
      </c>
    </row>
    <row r="24" spans="1:2" x14ac:dyDescent="0.3">
      <c r="A24" s="9" t="s">
        <v>907</v>
      </c>
      <c r="B24" s="9" t="s">
        <v>908</v>
      </c>
    </row>
    <row r="25" spans="1:2" x14ac:dyDescent="0.3">
      <c r="A25" s="9" t="s">
        <v>142</v>
      </c>
      <c r="B25" s="9" t="s">
        <v>909</v>
      </c>
    </row>
    <row r="26" spans="1:2" x14ac:dyDescent="0.3">
      <c r="A26" s="9" t="s">
        <v>147</v>
      </c>
      <c r="B26" s="9" t="s">
        <v>910</v>
      </c>
    </row>
    <row r="27" spans="1:2" x14ac:dyDescent="0.3">
      <c r="A27" s="9" t="s">
        <v>152</v>
      </c>
      <c r="B27" s="9" t="s">
        <v>911</v>
      </c>
    </row>
    <row r="28" spans="1:2" x14ac:dyDescent="0.3">
      <c r="A28" s="9" t="s">
        <v>108</v>
      </c>
      <c r="B28" s="9" t="s">
        <v>912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2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4" customWidth="1"/>
    <col min="2" max="2" width="11" customWidth="1"/>
    <col min="3" max="3" width="36" customWidth="1"/>
    <col min="4" max="4" width="50" customWidth="1"/>
    <col min="5" max="5" width="46" customWidth="1"/>
  </cols>
  <sheetData>
    <row r="1" spans="1:5" ht="17.399999999999999" x14ac:dyDescent="0.3">
      <c r="A1" s="1" t="s">
        <v>913</v>
      </c>
    </row>
    <row r="2" spans="1:5" x14ac:dyDescent="0.3">
      <c r="A2" s="2" t="s">
        <v>914</v>
      </c>
    </row>
    <row r="4" spans="1:5" ht="26.4" x14ac:dyDescent="0.3">
      <c r="A4" s="8" t="s">
        <v>915</v>
      </c>
      <c r="B4" s="8" t="s">
        <v>916</v>
      </c>
      <c r="C4" s="8" t="s">
        <v>917</v>
      </c>
      <c r="D4" s="8" t="s">
        <v>918</v>
      </c>
      <c r="E4" s="8" t="s">
        <v>919</v>
      </c>
    </row>
    <row r="5" spans="1:5" ht="36" customHeight="1" x14ac:dyDescent="0.3">
      <c r="A5" s="9" t="s">
        <v>920</v>
      </c>
      <c r="B5" s="9" t="s">
        <v>75</v>
      </c>
      <c r="C5" s="9" t="s">
        <v>921</v>
      </c>
      <c r="D5" s="9" t="s">
        <v>922</v>
      </c>
      <c r="E5" s="9" t="s">
        <v>923</v>
      </c>
    </row>
    <row r="6" spans="1:5" ht="36" customHeight="1" x14ac:dyDescent="0.3">
      <c r="A6" s="9" t="s">
        <v>924</v>
      </c>
      <c r="B6" s="9" t="s">
        <v>75</v>
      </c>
      <c r="C6" s="9" t="s">
        <v>286</v>
      </c>
      <c r="D6" s="9" t="s">
        <v>925</v>
      </c>
      <c r="E6" s="9" t="s">
        <v>926</v>
      </c>
    </row>
    <row r="7" spans="1:5" ht="36" customHeight="1" x14ac:dyDescent="0.3">
      <c r="A7" s="9" t="s">
        <v>927</v>
      </c>
      <c r="B7" s="9" t="s">
        <v>80</v>
      </c>
      <c r="C7" s="9" t="s">
        <v>928</v>
      </c>
      <c r="D7" s="9" t="s">
        <v>929</v>
      </c>
      <c r="E7" s="9" t="s">
        <v>930</v>
      </c>
    </row>
    <row r="8" spans="1:5" ht="36" customHeight="1" x14ac:dyDescent="0.3">
      <c r="A8" s="9" t="s">
        <v>193</v>
      </c>
      <c r="B8" s="9" t="s">
        <v>85</v>
      </c>
      <c r="C8" s="9" t="s">
        <v>344</v>
      </c>
      <c r="D8" s="9" t="s">
        <v>931</v>
      </c>
      <c r="E8" s="9"/>
    </row>
    <row r="9" spans="1:5" ht="36" customHeight="1" x14ac:dyDescent="0.3">
      <c r="A9" s="9" t="s">
        <v>932</v>
      </c>
      <c r="B9" s="9" t="s">
        <v>90</v>
      </c>
      <c r="C9" s="9" t="s">
        <v>933</v>
      </c>
      <c r="D9" s="9" t="s">
        <v>934</v>
      </c>
      <c r="E9" s="9" t="s">
        <v>935</v>
      </c>
    </row>
    <row r="10" spans="1:5" ht="36" customHeight="1" x14ac:dyDescent="0.3">
      <c r="A10" s="9" t="s">
        <v>936</v>
      </c>
      <c r="B10" s="9" t="s">
        <v>90</v>
      </c>
      <c r="C10" s="9" t="s">
        <v>356</v>
      </c>
      <c r="D10" s="9" t="s">
        <v>937</v>
      </c>
      <c r="E10" s="9" t="s">
        <v>938</v>
      </c>
    </row>
    <row r="11" spans="1:5" ht="36" customHeight="1" x14ac:dyDescent="0.3">
      <c r="A11" s="9" t="s">
        <v>939</v>
      </c>
      <c r="B11" s="9" t="s">
        <v>164</v>
      </c>
      <c r="C11" s="9" t="s">
        <v>940</v>
      </c>
      <c r="D11" s="9" t="s">
        <v>941</v>
      </c>
      <c r="E11" s="9" t="s">
        <v>942</v>
      </c>
    </row>
    <row r="12" spans="1:5" ht="36" customHeight="1" x14ac:dyDescent="0.3">
      <c r="A12" s="9" t="s">
        <v>943</v>
      </c>
      <c r="B12" s="9" t="s">
        <v>169</v>
      </c>
      <c r="C12" s="9" t="s">
        <v>722</v>
      </c>
      <c r="D12" s="9" t="s">
        <v>944</v>
      </c>
      <c r="E12" s="9"/>
    </row>
    <row r="13" spans="1:5" ht="36" customHeight="1" x14ac:dyDescent="0.3">
      <c r="A13" s="9" t="s">
        <v>945</v>
      </c>
      <c r="B13" s="9" t="s">
        <v>95</v>
      </c>
      <c r="C13" s="9" t="s">
        <v>946</v>
      </c>
      <c r="D13" s="9" t="s">
        <v>947</v>
      </c>
      <c r="E13" s="9"/>
    </row>
    <row r="14" spans="1:5" ht="36" customHeight="1" x14ac:dyDescent="0.3">
      <c r="A14" s="9" t="s">
        <v>948</v>
      </c>
      <c r="B14" s="9" t="s">
        <v>100</v>
      </c>
      <c r="C14" s="9" t="s">
        <v>380</v>
      </c>
      <c r="D14" s="9" t="s">
        <v>949</v>
      </c>
      <c r="E14" s="9" t="s">
        <v>950</v>
      </c>
    </row>
    <row r="15" spans="1:5" ht="36" customHeight="1" x14ac:dyDescent="0.3">
      <c r="A15" s="9" t="s">
        <v>951</v>
      </c>
      <c r="B15" s="9" t="s">
        <v>105</v>
      </c>
      <c r="C15" s="9" t="s">
        <v>952</v>
      </c>
      <c r="D15" s="9" t="s">
        <v>953</v>
      </c>
      <c r="E15" s="9"/>
    </row>
    <row r="16" spans="1:5" ht="36" customHeight="1" x14ac:dyDescent="0.3">
      <c r="A16" s="9" t="s">
        <v>954</v>
      </c>
      <c r="B16" s="9" t="s">
        <v>110</v>
      </c>
      <c r="C16" s="9" t="s">
        <v>955</v>
      </c>
      <c r="D16" s="9" t="s">
        <v>956</v>
      </c>
      <c r="E16" s="9" t="s">
        <v>957</v>
      </c>
    </row>
    <row r="17" spans="1:5" ht="36" customHeight="1" x14ac:dyDescent="0.3">
      <c r="A17" s="9" t="s">
        <v>958</v>
      </c>
      <c r="B17" s="9" t="s">
        <v>115</v>
      </c>
      <c r="C17" s="9" t="s">
        <v>418</v>
      </c>
      <c r="D17" s="9" t="s">
        <v>959</v>
      </c>
      <c r="E17" s="9"/>
    </row>
    <row r="18" spans="1:5" ht="36" customHeight="1" x14ac:dyDescent="0.3">
      <c r="A18" s="9" t="s">
        <v>960</v>
      </c>
      <c r="B18" s="9" t="s">
        <v>120</v>
      </c>
      <c r="C18" s="9" t="s">
        <v>961</v>
      </c>
      <c r="D18" s="9" t="s">
        <v>962</v>
      </c>
      <c r="E18" s="9"/>
    </row>
    <row r="19" spans="1:5" ht="36" customHeight="1" x14ac:dyDescent="0.3">
      <c r="A19" s="9" t="s">
        <v>963</v>
      </c>
      <c r="B19" s="9" t="s">
        <v>125</v>
      </c>
      <c r="C19" s="9" t="s">
        <v>964</v>
      </c>
      <c r="D19" s="9" t="s">
        <v>965</v>
      </c>
      <c r="E19" s="9" t="s">
        <v>966</v>
      </c>
    </row>
    <row r="20" spans="1:5" ht="36" customHeight="1" x14ac:dyDescent="0.3">
      <c r="A20" s="9" t="s">
        <v>967</v>
      </c>
      <c r="B20" s="9" t="s">
        <v>129</v>
      </c>
      <c r="C20" s="9" t="s">
        <v>470</v>
      </c>
      <c r="D20" s="9" t="s">
        <v>968</v>
      </c>
      <c r="E20" s="9"/>
    </row>
    <row r="21" spans="1:5" ht="36" customHeight="1" x14ac:dyDescent="0.3">
      <c r="A21" s="9" t="s">
        <v>969</v>
      </c>
      <c r="B21" s="9" t="s">
        <v>134</v>
      </c>
      <c r="C21" s="9" t="s">
        <v>970</v>
      </c>
      <c r="D21" s="9" t="s">
        <v>971</v>
      </c>
      <c r="E21" s="9"/>
    </row>
    <row r="22" spans="1:5" ht="36" customHeight="1" x14ac:dyDescent="0.3">
      <c r="A22" s="9" t="s">
        <v>972</v>
      </c>
      <c r="B22" s="9" t="s">
        <v>159</v>
      </c>
      <c r="C22" s="9" t="s">
        <v>973</v>
      </c>
      <c r="D22" s="9" t="s">
        <v>974</v>
      </c>
      <c r="E22" s="9" t="s">
        <v>975</v>
      </c>
    </row>
    <row r="23" spans="1:5" ht="36" customHeight="1" x14ac:dyDescent="0.3">
      <c r="A23" s="9" t="s">
        <v>976</v>
      </c>
      <c r="B23" s="9" t="s">
        <v>169</v>
      </c>
      <c r="C23" s="9" t="s">
        <v>977</v>
      </c>
      <c r="D23" s="9" t="s">
        <v>978</v>
      </c>
      <c r="E23" s="9" t="s">
        <v>979</v>
      </c>
    </row>
    <row r="24" spans="1:5" ht="36" customHeight="1" x14ac:dyDescent="0.3">
      <c r="A24" s="9" t="s">
        <v>980</v>
      </c>
      <c r="B24" s="9" t="s">
        <v>169</v>
      </c>
      <c r="C24" s="9" t="s">
        <v>981</v>
      </c>
      <c r="D24" s="9" t="s">
        <v>982</v>
      </c>
      <c r="E24" s="9" t="s">
        <v>983</v>
      </c>
    </row>
    <row r="25" spans="1:5" ht="36" customHeight="1" x14ac:dyDescent="0.3">
      <c r="A25" s="9" t="s">
        <v>984</v>
      </c>
      <c r="B25" s="9" t="s">
        <v>139</v>
      </c>
      <c r="C25" s="9" t="s">
        <v>985</v>
      </c>
      <c r="D25" s="9" t="s">
        <v>986</v>
      </c>
      <c r="E25" s="9" t="s">
        <v>987</v>
      </c>
    </row>
    <row r="26" spans="1:5" ht="36" customHeight="1" x14ac:dyDescent="0.3">
      <c r="A26" s="9" t="s">
        <v>988</v>
      </c>
      <c r="B26" s="9" t="s">
        <v>154</v>
      </c>
      <c r="C26" s="9" t="s">
        <v>575</v>
      </c>
      <c r="D26" s="9" t="s">
        <v>989</v>
      </c>
      <c r="E26" s="9"/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42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9" customWidth="1"/>
    <col min="3" max="3" width="7" customWidth="1"/>
    <col min="4" max="4" width="50" customWidth="1"/>
    <col min="5" max="5" width="9" customWidth="1"/>
    <col min="6" max="6" width="16" customWidth="1"/>
    <col min="7" max="7" width="26" customWidth="1"/>
    <col min="8" max="8" width="46" customWidth="1"/>
    <col min="9" max="9" width="9" customWidth="1"/>
    <col min="10" max="10" width="44" customWidth="1"/>
    <col min="11" max="11" width="16" customWidth="1"/>
    <col min="12" max="12" width="7" customWidth="1"/>
  </cols>
  <sheetData>
    <row r="1" spans="1:12" ht="17.399999999999999" x14ac:dyDescent="0.3">
      <c r="A1" s="1" t="s">
        <v>990</v>
      </c>
    </row>
    <row r="2" spans="1:12" x14ac:dyDescent="0.3">
      <c r="A2" s="2" t="s">
        <v>991</v>
      </c>
    </row>
    <row r="4" spans="1:12" ht="39.6" x14ac:dyDescent="0.3">
      <c r="A4" s="8" t="s">
        <v>992</v>
      </c>
      <c r="B4" s="8" t="s">
        <v>873</v>
      </c>
      <c r="C4" s="11" t="s">
        <v>721</v>
      </c>
      <c r="D4" s="8" t="s">
        <v>993</v>
      </c>
      <c r="E4" s="8" t="s">
        <v>994</v>
      </c>
      <c r="F4" s="8" t="s">
        <v>995</v>
      </c>
      <c r="G4" s="8" t="s">
        <v>996</v>
      </c>
      <c r="H4" s="8" t="s">
        <v>997</v>
      </c>
      <c r="I4" s="8" t="s">
        <v>14</v>
      </c>
      <c r="J4" s="8" t="s">
        <v>998</v>
      </c>
      <c r="K4" s="8" t="s">
        <v>999</v>
      </c>
      <c r="L4" s="11" t="s">
        <v>1000</v>
      </c>
    </row>
    <row r="5" spans="1:12" ht="36" customHeight="1" x14ac:dyDescent="0.3">
      <c r="A5" s="9" t="s">
        <v>1001</v>
      </c>
      <c r="B5" s="9" t="s">
        <v>112</v>
      </c>
      <c r="C5" s="12" t="str">
        <f t="shared" ref="C5:C42" si="0">IF(B5="","",LEFT(B5,1))</f>
        <v>4</v>
      </c>
      <c r="D5" s="9" t="s">
        <v>1002</v>
      </c>
      <c r="E5" s="9" t="s">
        <v>1003</v>
      </c>
      <c r="F5" s="9" t="s">
        <v>186</v>
      </c>
      <c r="G5" s="9" t="s">
        <v>1004</v>
      </c>
      <c r="H5" s="9" t="s">
        <v>1005</v>
      </c>
      <c r="I5" s="9" t="s">
        <v>1006</v>
      </c>
      <c r="J5" s="9" t="s">
        <v>1007</v>
      </c>
      <c r="K5" s="9"/>
      <c r="L5" s="13">
        <f t="shared" ref="L5:L42" si="1">IF(I5="","",IF(I5="Conforme",1,IF(I5="Parcial",0.5,0)))</f>
        <v>1</v>
      </c>
    </row>
    <row r="6" spans="1:12" ht="36" customHeight="1" x14ac:dyDescent="0.3">
      <c r="A6" s="9" t="s">
        <v>1008</v>
      </c>
      <c r="B6" s="9" t="s">
        <v>112</v>
      </c>
      <c r="C6" s="12" t="str">
        <f t="shared" si="0"/>
        <v>4</v>
      </c>
      <c r="D6" s="9" t="s">
        <v>1009</v>
      </c>
      <c r="E6" s="9" t="s">
        <v>1010</v>
      </c>
      <c r="F6" s="9" t="s">
        <v>186</v>
      </c>
      <c r="G6" s="9" t="s">
        <v>1004</v>
      </c>
      <c r="H6" s="9" t="s">
        <v>1011</v>
      </c>
      <c r="I6" s="9" t="s">
        <v>1006</v>
      </c>
      <c r="J6" s="9" t="s">
        <v>1012</v>
      </c>
      <c r="K6" s="9"/>
      <c r="L6" s="13">
        <f t="shared" si="1"/>
        <v>1</v>
      </c>
    </row>
    <row r="7" spans="1:12" ht="36" customHeight="1" x14ac:dyDescent="0.3">
      <c r="A7" s="9" t="s">
        <v>1013</v>
      </c>
      <c r="B7" s="9" t="s">
        <v>112</v>
      </c>
      <c r="C7" s="12" t="str">
        <f t="shared" si="0"/>
        <v>4</v>
      </c>
      <c r="D7" s="9" t="s">
        <v>1014</v>
      </c>
      <c r="E7" s="9" t="s">
        <v>1010</v>
      </c>
      <c r="F7" s="9" t="s">
        <v>186</v>
      </c>
      <c r="G7" s="9" t="s">
        <v>1004</v>
      </c>
      <c r="H7" s="9" t="s">
        <v>1015</v>
      </c>
      <c r="I7" s="9" t="s">
        <v>1006</v>
      </c>
      <c r="J7" s="9" t="s">
        <v>1016</v>
      </c>
      <c r="K7" s="9"/>
      <c r="L7" s="13">
        <f t="shared" si="1"/>
        <v>1</v>
      </c>
    </row>
    <row r="8" spans="1:12" ht="36" customHeight="1" x14ac:dyDescent="0.3">
      <c r="A8" s="9" t="s">
        <v>1017</v>
      </c>
      <c r="B8" s="9" t="s">
        <v>117</v>
      </c>
      <c r="C8" s="12" t="str">
        <f t="shared" si="0"/>
        <v>4</v>
      </c>
      <c r="D8" s="9" t="s">
        <v>1018</v>
      </c>
      <c r="E8" s="9" t="s">
        <v>1010</v>
      </c>
      <c r="F8" s="9" t="s">
        <v>186</v>
      </c>
      <c r="G8" s="9" t="s">
        <v>1019</v>
      </c>
      <c r="H8" s="9" t="s">
        <v>1020</v>
      </c>
      <c r="I8" s="9" t="s">
        <v>1006</v>
      </c>
      <c r="J8" s="9" t="s">
        <v>1021</v>
      </c>
      <c r="K8" s="9"/>
      <c r="L8" s="13">
        <f t="shared" si="1"/>
        <v>1</v>
      </c>
    </row>
    <row r="9" spans="1:12" ht="36" customHeight="1" x14ac:dyDescent="0.3">
      <c r="A9" s="9" t="s">
        <v>1022</v>
      </c>
      <c r="B9" s="9" t="s">
        <v>1023</v>
      </c>
      <c r="C9" s="12" t="str">
        <f t="shared" si="0"/>
        <v>4</v>
      </c>
      <c r="D9" s="9" t="s">
        <v>1024</v>
      </c>
      <c r="E9" s="9" t="s">
        <v>1010</v>
      </c>
      <c r="F9" s="9" t="s">
        <v>186</v>
      </c>
      <c r="G9" s="9" t="s">
        <v>1019</v>
      </c>
      <c r="H9" s="9" t="s">
        <v>1025</v>
      </c>
      <c r="I9" s="9" t="s">
        <v>1006</v>
      </c>
      <c r="J9" s="9" t="s">
        <v>1026</v>
      </c>
      <c r="K9" s="9"/>
      <c r="L9" s="13">
        <f t="shared" si="1"/>
        <v>1</v>
      </c>
    </row>
    <row r="10" spans="1:12" ht="36" customHeight="1" x14ac:dyDescent="0.3">
      <c r="A10" s="9" t="s">
        <v>1027</v>
      </c>
      <c r="B10" s="9" t="s">
        <v>122</v>
      </c>
      <c r="C10" s="12" t="str">
        <f t="shared" si="0"/>
        <v>4</v>
      </c>
      <c r="D10" s="9" t="s">
        <v>1028</v>
      </c>
      <c r="E10" s="9" t="s">
        <v>1010</v>
      </c>
      <c r="F10" s="9" t="s">
        <v>1029</v>
      </c>
      <c r="G10" s="9" t="s">
        <v>1030</v>
      </c>
      <c r="H10" s="9" t="s">
        <v>4</v>
      </c>
      <c r="I10" s="9" t="s">
        <v>1006</v>
      </c>
      <c r="J10" s="9" t="s">
        <v>1031</v>
      </c>
      <c r="K10" s="9"/>
      <c r="L10" s="13">
        <f t="shared" si="1"/>
        <v>1</v>
      </c>
    </row>
    <row r="11" spans="1:12" ht="36" customHeight="1" x14ac:dyDescent="0.3">
      <c r="A11" s="9" t="s">
        <v>1032</v>
      </c>
      <c r="B11" s="9" t="s">
        <v>127</v>
      </c>
      <c r="C11" s="12" t="str">
        <f t="shared" si="0"/>
        <v>4</v>
      </c>
      <c r="D11" s="9" t="s">
        <v>1033</v>
      </c>
      <c r="E11" s="9" t="s">
        <v>1003</v>
      </c>
      <c r="F11" s="9" t="s">
        <v>186</v>
      </c>
      <c r="G11" s="9" t="s">
        <v>1034</v>
      </c>
      <c r="H11" s="9" t="s">
        <v>1035</v>
      </c>
      <c r="I11" s="9" t="s">
        <v>1006</v>
      </c>
      <c r="J11" s="9"/>
      <c r="K11" s="9"/>
      <c r="L11" s="13">
        <f t="shared" si="1"/>
        <v>1</v>
      </c>
    </row>
    <row r="12" spans="1:12" ht="36" customHeight="1" x14ac:dyDescent="0.3">
      <c r="A12" s="9" t="s">
        <v>1036</v>
      </c>
      <c r="B12" s="9" t="s">
        <v>220</v>
      </c>
      <c r="C12" s="12" t="str">
        <f t="shared" si="0"/>
        <v>5</v>
      </c>
      <c r="D12" s="9" t="s">
        <v>1037</v>
      </c>
      <c r="E12" s="9" t="s">
        <v>1010</v>
      </c>
      <c r="F12" s="9" t="s">
        <v>186</v>
      </c>
      <c r="G12" s="9" t="s">
        <v>1038</v>
      </c>
      <c r="H12" s="9" t="s">
        <v>1039</v>
      </c>
      <c r="I12" s="9" t="s">
        <v>1006</v>
      </c>
      <c r="J12" s="9" t="s">
        <v>1040</v>
      </c>
      <c r="K12" s="9"/>
      <c r="L12" s="13">
        <f t="shared" si="1"/>
        <v>1</v>
      </c>
    </row>
    <row r="13" spans="1:12" ht="36" customHeight="1" x14ac:dyDescent="0.3">
      <c r="A13" s="9" t="s">
        <v>1041</v>
      </c>
      <c r="B13" s="9" t="s">
        <v>879</v>
      </c>
      <c r="C13" s="12" t="str">
        <f t="shared" si="0"/>
        <v>5</v>
      </c>
      <c r="D13" s="9" t="s">
        <v>1042</v>
      </c>
      <c r="E13" s="9" t="s">
        <v>1010</v>
      </c>
      <c r="F13" s="9" t="s">
        <v>1029</v>
      </c>
      <c r="G13" s="9" t="s">
        <v>1043</v>
      </c>
      <c r="H13" s="9" t="s">
        <v>1044</v>
      </c>
      <c r="I13" s="9" t="s">
        <v>1006</v>
      </c>
      <c r="J13" s="9" t="s">
        <v>1045</v>
      </c>
      <c r="K13" s="9"/>
      <c r="L13" s="13">
        <f t="shared" si="1"/>
        <v>1</v>
      </c>
    </row>
    <row r="14" spans="1:12" ht="36" customHeight="1" x14ac:dyDescent="0.3">
      <c r="A14" s="9" t="s">
        <v>1046</v>
      </c>
      <c r="B14" s="9" t="s">
        <v>881</v>
      </c>
      <c r="C14" s="12" t="str">
        <f t="shared" si="0"/>
        <v>5</v>
      </c>
      <c r="D14" s="9" t="s">
        <v>1047</v>
      </c>
      <c r="E14" s="9" t="s">
        <v>1003</v>
      </c>
      <c r="F14" s="9" t="s">
        <v>186</v>
      </c>
      <c r="G14" s="9" t="s">
        <v>1038</v>
      </c>
      <c r="H14" s="9" t="s">
        <v>1048</v>
      </c>
      <c r="I14" s="9" t="s">
        <v>1006</v>
      </c>
      <c r="J14" s="9" t="s">
        <v>1049</v>
      </c>
      <c r="K14" s="9"/>
      <c r="L14" s="13">
        <f t="shared" si="1"/>
        <v>1</v>
      </c>
    </row>
    <row r="15" spans="1:12" ht="36" customHeight="1" x14ac:dyDescent="0.3">
      <c r="A15" s="9" t="s">
        <v>1050</v>
      </c>
      <c r="B15" s="9" t="s">
        <v>883</v>
      </c>
      <c r="C15" s="12" t="str">
        <f t="shared" si="0"/>
        <v>6</v>
      </c>
      <c r="D15" s="9" t="s">
        <v>1051</v>
      </c>
      <c r="E15" s="9" t="s">
        <v>1010</v>
      </c>
      <c r="F15" s="9" t="s">
        <v>1029</v>
      </c>
      <c r="G15" s="9" t="s">
        <v>1052</v>
      </c>
      <c r="H15" s="9" t="s">
        <v>186</v>
      </c>
      <c r="I15" s="9" t="s">
        <v>1006</v>
      </c>
      <c r="J15" s="9"/>
      <c r="K15" s="9"/>
      <c r="L15" s="13">
        <f t="shared" si="1"/>
        <v>1</v>
      </c>
    </row>
    <row r="16" spans="1:12" ht="36" customHeight="1" x14ac:dyDescent="0.3">
      <c r="A16" s="9" t="s">
        <v>1053</v>
      </c>
      <c r="B16" s="9" t="s">
        <v>88</v>
      </c>
      <c r="C16" s="12" t="str">
        <f t="shared" si="0"/>
        <v>6</v>
      </c>
      <c r="D16" s="9" t="s">
        <v>1054</v>
      </c>
      <c r="E16" s="9" t="s">
        <v>1010</v>
      </c>
      <c r="F16" s="9" t="s">
        <v>1029</v>
      </c>
      <c r="G16" s="9" t="s">
        <v>1055</v>
      </c>
      <c r="H16" s="9" t="s">
        <v>1056</v>
      </c>
      <c r="I16" s="9" t="s">
        <v>1006</v>
      </c>
      <c r="J16" s="9" t="s">
        <v>1057</v>
      </c>
      <c r="K16" s="9"/>
      <c r="L16" s="13">
        <f t="shared" si="1"/>
        <v>1</v>
      </c>
    </row>
    <row r="17" spans="1:12" ht="36" customHeight="1" x14ac:dyDescent="0.3">
      <c r="A17" s="9" t="s">
        <v>1058</v>
      </c>
      <c r="B17" s="9" t="s">
        <v>88</v>
      </c>
      <c r="C17" s="12" t="str">
        <f t="shared" si="0"/>
        <v>6</v>
      </c>
      <c r="D17" s="9" t="s">
        <v>1059</v>
      </c>
      <c r="E17" s="9" t="s">
        <v>1010</v>
      </c>
      <c r="F17" s="9" t="s">
        <v>1029</v>
      </c>
      <c r="G17" s="9" t="s">
        <v>1060</v>
      </c>
      <c r="H17" s="9" t="s">
        <v>1061</v>
      </c>
      <c r="I17" s="9" t="s">
        <v>1006</v>
      </c>
      <c r="J17" s="9" t="s">
        <v>1062</v>
      </c>
      <c r="K17" s="9"/>
      <c r="L17" s="13">
        <f t="shared" si="1"/>
        <v>1</v>
      </c>
    </row>
    <row r="18" spans="1:12" ht="36" customHeight="1" x14ac:dyDescent="0.3">
      <c r="A18" s="9" t="s">
        <v>1063</v>
      </c>
      <c r="B18" s="9" t="s">
        <v>88</v>
      </c>
      <c r="C18" s="12" t="str">
        <f t="shared" si="0"/>
        <v>6</v>
      </c>
      <c r="D18" s="9" t="s">
        <v>1064</v>
      </c>
      <c r="E18" s="9" t="s">
        <v>1003</v>
      </c>
      <c r="F18" s="9" t="s">
        <v>1029</v>
      </c>
      <c r="G18" s="9" t="s">
        <v>1055</v>
      </c>
      <c r="H18" s="9" t="s">
        <v>1065</v>
      </c>
      <c r="I18" s="9" t="s">
        <v>1006</v>
      </c>
      <c r="J18" s="9"/>
      <c r="K18" s="9"/>
      <c r="L18" s="13">
        <f t="shared" si="1"/>
        <v>1</v>
      </c>
    </row>
    <row r="19" spans="1:12" ht="36" customHeight="1" x14ac:dyDescent="0.3">
      <c r="A19" s="9" t="s">
        <v>1066</v>
      </c>
      <c r="B19" s="9" t="s">
        <v>886</v>
      </c>
      <c r="C19" s="12" t="str">
        <f t="shared" si="0"/>
        <v>6</v>
      </c>
      <c r="D19" s="9" t="s">
        <v>1067</v>
      </c>
      <c r="E19" s="9" t="s">
        <v>1003</v>
      </c>
      <c r="F19" s="9" t="s">
        <v>1029</v>
      </c>
      <c r="G19" s="9" t="s">
        <v>1019</v>
      </c>
      <c r="H19" s="9" t="s">
        <v>1068</v>
      </c>
      <c r="I19" s="9" t="s">
        <v>1006</v>
      </c>
      <c r="J19" s="9" t="s">
        <v>1069</v>
      </c>
      <c r="K19" s="9"/>
      <c r="L19" s="13">
        <f t="shared" si="1"/>
        <v>1</v>
      </c>
    </row>
    <row r="20" spans="1:12" ht="36" customHeight="1" x14ac:dyDescent="0.3">
      <c r="A20" s="9" t="s">
        <v>1070</v>
      </c>
      <c r="B20" s="9" t="s">
        <v>888</v>
      </c>
      <c r="C20" s="12" t="str">
        <f t="shared" si="0"/>
        <v>6</v>
      </c>
      <c r="D20" s="9" t="s">
        <v>1071</v>
      </c>
      <c r="E20" s="9" t="s">
        <v>1010</v>
      </c>
      <c r="F20" s="9" t="s">
        <v>1029</v>
      </c>
      <c r="G20" s="9" t="s">
        <v>1072</v>
      </c>
      <c r="H20" s="9" t="s">
        <v>1073</v>
      </c>
      <c r="I20" s="9" t="s">
        <v>1006</v>
      </c>
      <c r="J20" s="9"/>
      <c r="K20" s="9"/>
      <c r="L20" s="13">
        <f t="shared" si="1"/>
        <v>1</v>
      </c>
    </row>
    <row r="21" spans="1:12" ht="36" customHeight="1" x14ac:dyDescent="0.3">
      <c r="A21" s="9" t="s">
        <v>1074</v>
      </c>
      <c r="B21" s="9" t="s">
        <v>890</v>
      </c>
      <c r="C21" s="12" t="str">
        <f t="shared" si="0"/>
        <v>6</v>
      </c>
      <c r="D21" s="9" t="s">
        <v>1075</v>
      </c>
      <c r="E21" s="9" t="s">
        <v>1010</v>
      </c>
      <c r="F21" s="9" t="s">
        <v>186</v>
      </c>
      <c r="G21" s="9" t="s">
        <v>1072</v>
      </c>
      <c r="H21" s="9" t="s">
        <v>1076</v>
      </c>
      <c r="I21" s="9" t="s">
        <v>1006</v>
      </c>
      <c r="J21" s="9"/>
      <c r="K21" s="9"/>
      <c r="L21" s="13">
        <f t="shared" si="1"/>
        <v>1</v>
      </c>
    </row>
    <row r="22" spans="1:12" ht="36" customHeight="1" x14ac:dyDescent="0.3">
      <c r="A22" s="9" t="s">
        <v>1077</v>
      </c>
      <c r="B22" s="9" t="s">
        <v>98</v>
      </c>
      <c r="C22" s="12" t="str">
        <f t="shared" si="0"/>
        <v>6</v>
      </c>
      <c r="D22" s="9" t="s">
        <v>1078</v>
      </c>
      <c r="E22" s="9" t="s">
        <v>1003</v>
      </c>
      <c r="F22" s="9" t="s">
        <v>1029</v>
      </c>
      <c r="G22" s="9" t="s">
        <v>1072</v>
      </c>
      <c r="H22" s="9" t="s">
        <v>1079</v>
      </c>
      <c r="I22" s="9" t="s">
        <v>1006</v>
      </c>
      <c r="J22" s="9" t="s">
        <v>1080</v>
      </c>
      <c r="K22" s="9"/>
      <c r="L22" s="13">
        <f t="shared" si="1"/>
        <v>1</v>
      </c>
    </row>
    <row r="23" spans="1:12" ht="36" customHeight="1" x14ac:dyDescent="0.3">
      <c r="A23" s="9" t="s">
        <v>1081</v>
      </c>
      <c r="B23" s="9" t="s">
        <v>157</v>
      </c>
      <c r="C23" s="12" t="str">
        <f t="shared" si="0"/>
        <v>6</v>
      </c>
      <c r="D23" s="9" t="s">
        <v>1082</v>
      </c>
      <c r="E23" s="9" t="s">
        <v>1010</v>
      </c>
      <c r="F23" s="9" t="s">
        <v>186</v>
      </c>
      <c r="G23" s="9" t="s">
        <v>1083</v>
      </c>
      <c r="H23" s="9" t="s">
        <v>1084</v>
      </c>
      <c r="I23" s="9" t="s">
        <v>1006</v>
      </c>
      <c r="J23" s="9" t="s">
        <v>1085</v>
      </c>
      <c r="K23" s="9" t="s">
        <v>1086</v>
      </c>
      <c r="L23" s="13">
        <f t="shared" si="1"/>
        <v>1</v>
      </c>
    </row>
    <row r="24" spans="1:12" ht="36" customHeight="1" x14ac:dyDescent="0.3">
      <c r="A24" s="9" t="s">
        <v>1087</v>
      </c>
      <c r="B24" s="9" t="s">
        <v>894</v>
      </c>
      <c r="C24" s="12" t="str">
        <f t="shared" si="0"/>
        <v>7</v>
      </c>
      <c r="D24" s="9" t="s">
        <v>1088</v>
      </c>
      <c r="E24" s="9" t="s">
        <v>1003</v>
      </c>
      <c r="F24" s="9" t="s">
        <v>186</v>
      </c>
      <c r="G24" s="9" t="s">
        <v>1089</v>
      </c>
      <c r="H24" s="9" t="s">
        <v>1090</v>
      </c>
      <c r="I24" s="9" t="s">
        <v>1006</v>
      </c>
      <c r="J24" s="9"/>
      <c r="K24" s="9"/>
      <c r="L24" s="13">
        <f t="shared" si="1"/>
        <v>1</v>
      </c>
    </row>
    <row r="25" spans="1:12" ht="36" customHeight="1" x14ac:dyDescent="0.3">
      <c r="A25" s="9" t="s">
        <v>1091</v>
      </c>
      <c r="B25" s="9" t="s">
        <v>896</v>
      </c>
      <c r="C25" s="12" t="str">
        <f t="shared" si="0"/>
        <v>7</v>
      </c>
      <c r="D25" s="9" t="s">
        <v>1092</v>
      </c>
      <c r="E25" s="9" t="s">
        <v>1003</v>
      </c>
      <c r="F25" s="9" t="s">
        <v>1093</v>
      </c>
      <c r="G25" s="9" t="s">
        <v>1094</v>
      </c>
      <c r="H25" s="9" t="s">
        <v>1095</v>
      </c>
      <c r="I25" s="9" t="s">
        <v>1006</v>
      </c>
      <c r="J25" s="9"/>
      <c r="K25" s="9"/>
      <c r="L25" s="13">
        <f t="shared" si="1"/>
        <v>1</v>
      </c>
    </row>
    <row r="26" spans="1:12" ht="36" customHeight="1" x14ac:dyDescent="0.3">
      <c r="A26" s="9" t="s">
        <v>1096</v>
      </c>
      <c r="B26" s="9" t="s">
        <v>898</v>
      </c>
      <c r="C26" s="12" t="str">
        <f t="shared" si="0"/>
        <v>7</v>
      </c>
      <c r="D26" s="9" t="s">
        <v>1097</v>
      </c>
      <c r="E26" s="9" t="s">
        <v>1003</v>
      </c>
      <c r="F26" s="9" t="s">
        <v>186</v>
      </c>
      <c r="G26" s="9" t="s">
        <v>1094</v>
      </c>
      <c r="H26" s="9" t="s">
        <v>1098</v>
      </c>
      <c r="I26" s="9" t="s">
        <v>1006</v>
      </c>
      <c r="J26" s="9"/>
      <c r="K26" s="9"/>
      <c r="L26" s="13">
        <f t="shared" si="1"/>
        <v>1</v>
      </c>
    </row>
    <row r="27" spans="1:12" ht="36" customHeight="1" x14ac:dyDescent="0.3">
      <c r="A27" s="9" t="s">
        <v>1099</v>
      </c>
      <c r="B27" s="9" t="s">
        <v>900</v>
      </c>
      <c r="C27" s="12" t="str">
        <f t="shared" si="0"/>
        <v>7</v>
      </c>
      <c r="D27" s="9" t="s">
        <v>1100</v>
      </c>
      <c r="E27" s="9" t="s">
        <v>1010</v>
      </c>
      <c r="F27" s="9" t="s">
        <v>1093</v>
      </c>
      <c r="G27" s="9" t="s">
        <v>1094</v>
      </c>
      <c r="H27" s="9" t="s">
        <v>1101</v>
      </c>
      <c r="I27" s="9" t="s">
        <v>1006</v>
      </c>
      <c r="J27" s="9" t="s">
        <v>1102</v>
      </c>
      <c r="K27" s="9"/>
      <c r="L27" s="13">
        <f t="shared" si="1"/>
        <v>1</v>
      </c>
    </row>
    <row r="28" spans="1:12" ht="36" customHeight="1" x14ac:dyDescent="0.3">
      <c r="A28" s="9" t="s">
        <v>1103</v>
      </c>
      <c r="B28" s="9" t="s">
        <v>902</v>
      </c>
      <c r="C28" s="12" t="str">
        <f t="shared" si="0"/>
        <v>7</v>
      </c>
      <c r="D28" s="9" t="s">
        <v>1104</v>
      </c>
      <c r="E28" s="9" t="s">
        <v>1010</v>
      </c>
      <c r="F28" s="9" t="s">
        <v>1029</v>
      </c>
      <c r="G28" s="9" t="s">
        <v>1105</v>
      </c>
      <c r="H28" s="9" t="s">
        <v>1106</v>
      </c>
      <c r="I28" s="9" t="s">
        <v>1006</v>
      </c>
      <c r="J28" s="9" t="s">
        <v>1107</v>
      </c>
      <c r="K28" s="9"/>
      <c r="L28" s="13">
        <f t="shared" si="1"/>
        <v>1</v>
      </c>
    </row>
    <row r="29" spans="1:12" ht="36" customHeight="1" x14ac:dyDescent="0.3">
      <c r="A29" s="9" t="s">
        <v>1108</v>
      </c>
      <c r="B29" s="9" t="s">
        <v>123</v>
      </c>
      <c r="C29" s="12" t="str">
        <f t="shared" si="0"/>
        <v>8</v>
      </c>
      <c r="D29" s="9" t="s">
        <v>1109</v>
      </c>
      <c r="E29" s="9" t="s">
        <v>1003</v>
      </c>
      <c r="F29" s="9" t="s">
        <v>1029</v>
      </c>
      <c r="G29" s="9" t="s">
        <v>1110</v>
      </c>
      <c r="H29" s="9" t="s">
        <v>1111</v>
      </c>
      <c r="I29" s="9" t="s">
        <v>1006</v>
      </c>
      <c r="J29" s="9"/>
      <c r="K29" s="9"/>
      <c r="L29" s="13">
        <f t="shared" si="1"/>
        <v>1</v>
      </c>
    </row>
    <row r="30" spans="1:12" ht="36" customHeight="1" x14ac:dyDescent="0.3">
      <c r="A30" s="9" t="s">
        <v>1112</v>
      </c>
      <c r="B30" s="9" t="s">
        <v>123</v>
      </c>
      <c r="C30" s="12" t="str">
        <f t="shared" si="0"/>
        <v>8</v>
      </c>
      <c r="D30" s="9" t="s">
        <v>1113</v>
      </c>
      <c r="E30" s="9" t="s">
        <v>1010</v>
      </c>
      <c r="F30" s="9" t="s">
        <v>1029</v>
      </c>
      <c r="G30" s="9" t="s">
        <v>1089</v>
      </c>
      <c r="H30" s="9" t="s">
        <v>1114</v>
      </c>
      <c r="I30" s="9" t="s">
        <v>1006</v>
      </c>
      <c r="J30" s="9" t="s">
        <v>1115</v>
      </c>
      <c r="K30" s="9"/>
      <c r="L30" s="13">
        <f t="shared" si="1"/>
        <v>1</v>
      </c>
    </row>
    <row r="31" spans="1:12" ht="36" customHeight="1" x14ac:dyDescent="0.3">
      <c r="A31" s="9" t="s">
        <v>1116</v>
      </c>
      <c r="B31" s="9" t="s">
        <v>123</v>
      </c>
      <c r="C31" s="12" t="str">
        <f t="shared" si="0"/>
        <v>8</v>
      </c>
      <c r="D31" s="9" t="s">
        <v>1117</v>
      </c>
      <c r="E31" s="9" t="s">
        <v>1010</v>
      </c>
      <c r="F31" s="9" t="s">
        <v>186</v>
      </c>
      <c r="G31" s="9" t="s">
        <v>1089</v>
      </c>
      <c r="H31" s="9" t="s">
        <v>1118</v>
      </c>
      <c r="I31" s="9" t="s">
        <v>1119</v>
      </c>
      <c r="J31" s="9" t="s">
        <v>1120</v>
      </c>
      <c r="K31" s="9" t="s">
        <v>1121</v>
      </c>
      <c r="L31" s="13">
        <f t="shared" si="1"/>
        <v>0.5</v>
      </c>
    </row>
    <row r="32" spans="1:12" ht="36" customHeight="1" x14ac:dyDescent="0.3">
      <c r="A32" s="9" t="s">
        <v>1122</v>
      </c>
      <c r="B32" s="9" t="s">
        <v>132</v>
      </c>
      <c r="C32" s="12" t="str">
        <f t="shared" si="0"/>
        <v>8</v>
      </c>
      <c r="D32" s="9" t="s">
        <v>1123</v>
      </c>
      <c r="E32" s="9" t="s">
        <v>1010</v>
      </c>
      <c r="F32" s="9" t="s">
        <v>1029</v>
      </c>
      <c r="G32" s="9" t="s">
        <v>1124</v>
      </c>
      <c r="H32" s="9" t="s">
        <v>1125</v>
      </c>
      <c r="I32" s="9" t="s">
        <v>1006</v>
      </c>
      <c r="J32" s="9" t="s">
        <v>1126</v>
      </c>
      <c r="K32" s="9" t="s">
        <v>1127</v>
      </c>
      <c r="L32" s="13">
        <f t="shared" si="1"/>
        <v>1</v>
      </c>
    </row>
    <row r="33" spans="1:12" ht="36" customHeight="1" x14ac:dyDescent="0.3">
      <c r="A33" s="9" t="s">
        <v>1128</v>
      </c>
      <c r="B33" s="9" t="s">
        <v>137</v>
      </c>
      <c r="C33" s="12" t="str">
        <f t="shared" si="0"/>
        <v>9</v>
      </c>
      <c r="D33" s="9" t="s">
        <v>1129</v>
      </c>
      <c r="E33" s="9" t="s">
        <v>1003</v>
      </c>
      <c r="F33" s="9" t="s">
        <v>1093</v>
      </c>
      <c r="G33" s="9" t="s">
        <v>1130</v>
      </c>
      <c r="H33" s="9" t="s">
        <v>1131</v>
      </c>
      <c r="I33" s="9" t="s">
        <v>1006</v>
      </c>
      <c r="J33" s="9" t="s">
        <v>1132</v>
      </c>
      <c r="K33" s="9" t="s">
        <v>1133</v>
      </c>
      <c r="L33" s="13">
        <f t="shared" si="1"/>
        <v>1</v>
      </c>
    </row>
    <row r="34" spans="1:12" ht="36" customHeight="1" x14ac:dyDescent="0.3">
      <c r="A34" s="9" t="s">
        <v>1134</v>
      </c>
      <c r="B34" s="9" t="s">
        <v>137</v>
      </c>
      <c r="C34" s="12" t="str">
        <f t="shared" si="0"/>
        <v>9</v>
      </c>
      <c r="D34" s="9" t="s">
        <v>1135</v>
      </c>
      <c r="E34" s="9" t="s">
        <v>1003</v>
      </c>
      <c r="F34" s="9" t="s">
        <v>1093</v>
      </c>
      <c r="G34" s="9" t="s">
        <v>1130</v>
      </c>
      <c r="H34" s="9" t="s">
        <v>1136</v>
      </c>
      <c r="I34" s="9" t="s">
        <v>1006</v>
      </c>
      <c r="J34" s="9" t="s">
        <v>1137</v>
      </c>
      <c r="K34" s="9" t="s">
        <v>1138</v>
      </c>
      <c r="L34" s="13">
        <f t="shared" si="1"/>
        <v>1</v>
      </c>
    </row>
    <row r="35" spans="1:12" ht="36" customHeight="1" x14ac:dyDescent="0.3">
      <c r="A35" s="9" t="s">
        <v>1139</v>
      </c>
      <c r="B35" s="9" t="s">
        <v>137</v>
      </c>
      <c r="C35" s="12" t="str">
        <f t="shared" si="0"/>
        <v>9</v>
      </c>
      <c r="D35" s="9" t="s">
        <v>1140</v>
      </c>
      <c r="E35" s="9" t="s">
        <v>1010</v>
      </c>
      <c r="F35" s="9" t="s">
        <v>1093</v>
      </c>
      <c r="G35" s="9" t="s">
        <v>1141</v>
      </c>
      <c r="H35" s="9" t="s">
        <v>1142</v>
      </c>
      <c r="I35" s="9" t="s">
        <v>1006</v>
      </c>
      <c r="J35" s="9"/>
      <c r="K35" s="9"/>
      <c r="L35" s="13">
        <f t="shared" si="1"/>
        <v>1</v>
      </c>
    </row>
    <row r="36" spans="1:12" ht="36" customHeight="1" x14ac:dyDescent="0.3">
      <c r="A36" s="9" t="s">
        <v>1143</v>
      </c>
      <c r="B36" s="9" t="s">
        <v>907</v>
      </c>
      <c r="C36" s="12" t="str">
        <f t="shared" si="0"/>
        <v>9</v>
      </c>
      <c r="D36" s="9" t="s">
        <v>1144</v>
      </c>
      <c r="E36" s="9" t="s">
        <v>1003</v>
      </c>
      <c r="F36" s="9" t="s">
        <v>1093</v>
      </c>
      <c r="G36" s="9" t="s">
        <v>1019</v>
      </c>
      <c r="H36" s="9" t="s">
        <v>1145</v>
      </c>
      <c r="I36" s="9" t="s">
        <v>1006</v>
      </c>
      <c r="J36" s="9" t="s">
        <v>1146</v>
      </c>
      <c r="K36" s="9" t="s">
        <v>1147</v>
      </c>
      <c r="L36" s="13">
        <f t="shared" si="1"/>
        <v>1</v>
      </c>
    </row>
    <row r="37" spans="1:12" ht="36" customHeight="1" x14ac:dyDescent="0.3">
      <c r="A37" s="9" t="s">
        <v>1148</v>
      </c>
      <c r="B37" s="9" t="s">
        <v>1149</v>
      </c>
      <c r="C37" s="12" t="str">
        <f t="shared" si="0"/>
        <v>9</v>
      </c>
      <c r="D37" s="9" t="s">
        <v>1150</v>
      </c>
      <c r="E37" s="9" t="s">
        <v>1003</v>
      </c>
      <c r="F37" s="9" t="s">
        <v>1093</v>
      </c>
      <c r="G37" s="9" t="s">
        <v>1151</v>
      </c>
      <c r="H37" s="9" t="s">
        <v>1152</v>
      </c>
      <c r="I37" s="9" t="s">
        <v>1006</v>
      </c>
      <c r="J37" s="9"/>
      <c r="K37" s="9"/>
      <c r="L37" s="13">
        <f t="shared" si="1"/>
        <v>1</v>
      </c>
    </row>
    <row r="38" spans="1:12" ht="36" customHeight="1" x14ac:dyDescent="0.3">
      <c r="A38" s="9" t="s">
        <v>1153</v>
      </c>
      <c r="B38" s="9" t="s">
        <v>1154</v>
      </c>
      <c r="C38" s="12" t="str">
        <f t="shared" si="0"/>
        <v>9</v>
      </c>
      <c r="D38" s="9" t="s">
        <v>1155</v>
      </c>
      <c r="E38" s="9" t="s">
        <v>1010</v>
      </c>
      <c r="F38" s="9" t="s">
        <v>1093</v>
      </c>
      <c r="G38" s="9" t="s">
        <v>1151</v>
      </c>
      <c r="H38" s="9" t="s">
        <v>1156</v>
      </c>
      <c r="I38" s="9" t="s">
        <v>1119</v>
      </c>
      <c r="J38" s="9" t="s">
        <v>1157</v>
      </c>
      <c r="K38" s="9"/>
      <c r="L38" s="13">
        <f t="shared" si="1"/>
        <v>0.5</v>
      </c>
    </row>
    <row r="39" spans="1:12" ht="36" customHeight="1" x14ac:dyDescent="0.3">
      <c r="A39" s="9" t="s">
        <v>1158</v>
      </c>
      <c r="B39" s="9" t="s">
        <v>1159</v>
      </c>
      <c r="C39" s="12" t="str">
        <f t="shared" si="0"/>
        <v>9</v>
      </c>
      <c r="D39" s="9" t="s">
        <v>1160</v>
      </c>
      <c r="E39" s="9" t="s">
        <v>1010</v>
      </c>
      <c r="F39" s="9" t="s">
        <v>1093</v>
      </c>
      <c r="G39" s="9" t="s">
        <v>1151</v>
      </c>
      <c r="H39" s="9" t="s">
        <v>1161</v>
      </c>
      <c r="I39" s="9" t="s">
        <v>1006</v>
      </c>
      <c r="J39" s="9" t="s">
        <v>1162</v>
      </c>
      <c r="K39" s="9"/>
      <c r="L39" s="13">
        <f t="shared" si="1"/>
        <v>1</v>
      </c>
    </row>
    <row r="40" spans="1:12" ht="36" customHeight="1" x14ac:dyDescent="0.3">
      <c r="A40" s="9" t="s">
        <v>1163</v>
      </c>
      <c r="B40" s="9" t="s">
        <v>1164</v>
      </c>
      <c r="C40" s="12" t="str">
        <f t="shared" si="0"/>
        <v>9</v>
      </c>
      <c r="D40" s="9" t="s">
        <v>1165</v>
      </c>
      <c r="E40" s="9" t="s">
        <v>1010</v>
      </c>
      <c r="F40" s="9" t="s">
        <v>1093</v>
      </c>
      <c r="G40" s="9" t="s">
        <v>1151</v>
      </c>
      <c r="H40" s="9" t="s">
        <v>1166</v>
      </c>
      <c r="I40" s="9" t="s">
        <v>1006</v>
      </c>
      <c r="J40" s="9"/>
      <c r="K40" s="9"/>
      <c r="L40" s="13">
        <f t="shared" si="1"/>
        <v>1</v>
      </c>
    </row>
    <row r="41" spans="1:12" ht="36" customHeight="1" x14ac:dyDescent="0.3">
      <c r="A41" s="9" t="s">
        <v>1167</v>
      </c>
      <c r="B41" s="9" t="s">
        <v>152</v>
      </c>
      <c r="C41" s="12" t="str">
        <f t="shared" si="0"/>
        <v>1</v>
      </c>
      <c r="D41" s="9" t="s">
        <v>1168</v>
      </c>
      <c r="E41" s="9" t="s">
        <v>1010</v>
      </c>
      <c r="F41" s="9" t="s">
        <v>186</v>
      </c>
      <c r="G41" s="9" t="s">
        <v>1169</v>
      </c>
      <c r="H41" s="9" t="s">
        <v>1170</v>
      </c>
      <c r="I41" s="9" t="s">
        <v>1006</v>
      </c>
      <c r="J41" s="9" t="s">
        <v>1171</v>
      </c>
      <c r="K41" s="9"/>
      <c r="L41" s="13">
        <f t="shared" si="1"/>
        <v>1</v>
      </c>
    </row>
    <row r="42" spans="1:12" ht="36" customHeight="1" x14ac:dyDescent="0.3">
      <c r="A42" s="9" t="s">
        <v>1172</v>
      </c>
      <c r="B42" s="9" t="s">
        <v>108</v>
      </c>
      <c r="C42" s="12" t="str">
        <f t="shared" si="0"/>
        <v>1</v>
      </c>
      <c r="D42" s="9" t="s">
        <v>1173</v>
      </c>
      <c r="E42" s="9" t="s">
        <v>1010</v>
      </c>
      <c r="F42" s="9" t="s">
        <v>1093</v>
      </c>
      <c r="G42" s="9" t="s">
        <v>1169</v>
      </c>
      <c r="H42" s="9" t="s">
        <v>1174</v>
      </c>
      <c r="I42" s="9" t="s">
        <v>1006</v>
      </c>
      <c r="J42" s="9" t="s">
        <v>1175</v>
      </c>
      <c r="K42" s="9"/>
      <c r="L42" s="13">
        <f t="shared" si="1"/>
        <v>1</v>
      </c>
    </row>
  </sheetData>
  <conditionalFormatting sqref="E5:E242">
    <cfRule type="expression" dxfId="3" priority="4">
      <formula>ISNUMBER(SEARCH("Sim",E5))</formula>
    </cfRule>
  </conditionalFormatting>
  <conditionalFormatting sqref="I5:I242">
    <cfRule type="expression" dxfId="2" priority="1">
      <formula>ISNUMBER(SEARCH("Conforme",I5))</formula>
    </cfRule>
    <cfRule type="expression" dxfId="1" priority="2">
      <formula>ISNUMBER(SEARCH("Parcial",I5))</formula>
    </cfRule>
    <cfRule type="expression" dxfId="0" priority="3">
      <formula>ISNUMBER(SEARCH("Lacuna",I5))</formula>
    </cfRule>
  </conditionalFormatting>
  <dataValidations count="3">
    <dataValidation type="list" allowBlank="1" showErrorMessage="1" errorTitle="Valor inválido" error="Valor fora da lista controlada (ver folha Listas)." sqref="E5:E242" xr:uid="{00000000-0002-0000-0900-000000000000}">
      <formula1>lst_SimNaoReq</formula1>
    </dataValidation>
    <dataValidation type="list" allowBlank="1" showErrorMessage="1" errorTitle="Valor inválido" error="Valor fora da lista controlada (ver folha Listas)." sqref="F5:F242" xr:uid="{00000000-0002-0000-0900-000001000000}">
      <formula1>lst_InfoDoc</formula1>
    </dataValidation>
    <dataValidation type="list" allowBlank="1" showErrorMessage="1" errorTitle="Valor inválido" error="Valor fora da lista controlada (ver folha Listas)." sqref="I5:I242" xr:uid="{00000000-0002-0000-0900-000002000000}">
      <formula1>lst_EstadoReq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"/>
  <sheetViews>
    <sheetView showGridLines="0" workbookViewId="0"/>
  </sheetViews>
  <sheetFormatPr defaultRowHeight="14.4" x14ac:dyDescent="0.3"/>
  <cols>
    <col min="1" max="1" width="10" customWidth="1"/>
    <col min="2" max="2" width="30" customWidth="1"/>
    <col min="3" max="3" width="11" customWidth="1"/>
    <col min="4" max="6" width="10" customWidth="1"/>
    <col min="7" max="7" width="11" customWidth="1"/>
    <col min="8" max="8" width="14" customWidth="1"/>
  </cols>
  <sheetData>
    <row r="1" spans="1:8" ht="17.399999999999999" x14ac:dyDescent="0.3">
      <c r="A1" s="1" t="s">
        <v>1176</v>
      </c>
    </row>
    <row r="3" spans="1:8" ht="26.4" x14ac:dyDescent="0.3">
      <c r="A3" s="8" t="s">
        <v>1177</v>
      </c>
      <c r="B3" s="8" t="s">
        <v>536</v>
      </c>
      <c r="C3" s="8" t="s">
        <v>1178</v>
      </c>
      <c r="D3" s="8" t="s">
        <v>1006</v>
      </c>
      <c r="E3" s="8" t="s">
        <v>1119</v>
      </c>
      <c r="F3" s="8" t="s">
        <v>1179</v>
      </c>
      <c r="G3" s="8" t="s">
        <v>1180</v>
      </c>
      <c r="H3" s="8" t="s">
        <v>1181</v>
      </c>
    </row>
    <row r="4" spans="1:8" x14ac:dyDescent="0.3">
      <c r="A4" s="14" t="s">
        <v>1182</v>
      </c>
      <c r="B4" s="14" t="s">
        <v>1183</v>
      </c>
      <c r="C4" s="14">
        <f>COUNTIFS(tbl_matriz_iso[Grupo],"4",tbl_matriz_iso[Clausula],"4*")</f>
        <v>7</v>
      </c>
      <c r="D4" s="14">
        <f>COUNTIFS(tbl_matriz_iso[Grupo],"4",tbl_matriz_iso[Clausula],"4*",tbl_matriz_iso[Estado],"Conforme")</f>
        <v>7</v>
      </c>
      <c r="E4" s="14">
        <f>COUNTIFS(tbl_matriz_iso[Grupo],"4",tbl_matriz_iso[Clausula],"4*",tbl_matriz_iso[Estado],"Parcial")</f>
        <v>0</v>
      </c>
      <c r="F4" s="14">
        <f>COUNTIFS(tbl_matriz_iso[Grupo],"4",tbl_matriz_iso[Clausula],"4*",tbl_matriz_iso[Estado],"Lacuna")</f>
        <v>0</v>
      </c>
      <c r="G4" s="14">
        <f>COUNTIFS(tbl_matriz_iso[Grupo],"4",tbl_matriz_iso[Clausula],"4*",tbl_matriz_iso[Novo_ou_Alterado_2026],"Sim")</f>
        <v>5</v>
      </c>
      <c r="H4" s="15">
        <f>IFERROR(SUMIFS(tbl_matriz_iso[Pontos],tbl_matriz_iso[Grupo],"4",tbl_matriz_iso[Clausula],"4*")/C4,"")</f>
        <v>1</v>
      </c>
    </row>
    <row r="5" spans="1:8" x14ac:dyDescent="0.3">
      <c r="A5" s="14" t="s">
        <v>1184</v>
      </c>
      <c r="B5" s="14" t="s">
        <v>1185</v>
      </c>
      <c r="C5" s="14">
        <f>COUNTIFS(tbl_matriz_iso[Grupo],"5",tbl_matriz_iso[Clausula],"5*")</f>
        <v>3</v>
      </c>
      <c r="D5" s="14">
        <f>COUNTIFS(tbl_matriz_iso[Grupo],"5",tbl_matriz_iso[Clausula],"5*",tbl_matriz_iso[Estado],"Conforme")</f>
        <v>3</v>
      </c>
      <c r="E5" s="14">
        <f>COUNTIFS(tbl_matriz_iso[Grupo],"5",tbl_matriz_iso[Clausula],"5*",tbl_matriz_iso[Estado],"Parcial")</f>
        <v>0</v>
      </c>
      <c r="F5" s="14">
        <f>COUNTIFS(tbl_matriz_iso[Grupo],"5",tbl_matriz_iso[Clausula],"5*",tbl_matriz_iso[Estado],"Lacuna")</f>
        <v>0</v>
      </c>
      <c r="G5" s="14">
        <f>COUNTIFS(tbl_matriz_iso[Grupo],"5",tbl_matriz_iso[Clausula],"5*",tbl_matriz_iso[Novo_ou_Alterado_2026],"Sim")</f>
        <v>2</v>
      </c>
      <c r="H5" s="15">
        <f>IFERROR(SUMIFS(tbl_matriz_iso[Pontos],tbl_matriz_iso[Grupo],"5",tbl_matriz_iso[Clausula],"5*")/C5,"")</f>
        <v>1</v>
      </c>
    </row>
    <row r="6" spans="1:8" x14ac:dyDescent="0.3">
      <c r="A6" s="14" t="s">
        <v>1186</v>
      </c>
      <c r="B6" s="14" t="s">
        <v>1187</v>
      </c>
      <c r="C6" s="14">
        <f>COUNTIFS(tbl_matriz_iso[Grupo],"6",tbl_matriz_iso[Clausula],"6*")</f>
        <v>9</v>
      </c>
      <c r="D6" s="14">
        <f>COUNTIFS(tbl_matriz_iso[Grupo],"6",tbl_matriz_iso[Clausula],"6*",tbl_matriz_iso[Estado],"Conforme")</f>
        <v>9</v>
      </c>
      <c r="E6" s="14">
        <f>COUNTIFS(tbl_matriz_iso[Grupo],"6",tbl_matriz_iso[Clausula],"6*",tbl_matriz_iso[Estado],"Parcial")</f>
        <v>0</v>
      </c>
      <c r="F6" s="14">
        <f>COUNTIFS(tbl_matriz_iso[Grupo],"6",tbl_matriz_iso[Clausula],"6*",tbl_matriz_iso[Estado],"Lacuna")</f>
        <v>0</v>
      </c>
      <c r="G6" s="14">
        <f>COUNTIFS(tbl_matriz_iso[Grupo],"6",tbl_matriz_iso[Clausula],"6*",tbl_matriz_iso[Novo_ou_Alterado_2026],"Sim")</f>
        <v>6</v>
      </c>
      <c r="H6" s="15">
        <f>IFERROR(SUMIFS(tbl_matriz_iso[Pontos],tbl_matriz_iso[Grupo],"6",tbl_matriz_iso[Clausula],"6*")/C6,"")</f>
        <v>1</v>
      </c>
    </row>
    <row r="7" spans="1:8" x14ac:dyDescent="0.3">
      <c r="A7" s="14" t="s">
        <v>1188</v>
      </c>
      <c r="B7" s="14" t="s">
        <v>780</v>
      </c>
      <c r="C7" s="14">
        <f>COUNTIFS(tbl_matriz_iso[Grupo],"7",tbl_matriz_iso[Clausula],"7*")</f>
        <v>5</v>
      </c>
      <c r="D7" s="14">
        <f>COUNTIFS(tbl_matriz_iso[Grupo],"7",tbl_matriz_iso[Clausula],"7*",tbl_matriz_iso[Estado],"Conforme")</f>
        <v>5</v>
      </c>
      <c r="E7" s="14">
        <f>COUNTIFS(tbl_matriz_iso[Grupo],"7",tbl_matriz_iso[Clausula],"7*",tbl_matriz_iso[Estado],"Parcial")</f>
        <v>0</v>
      </c>
      <c r="F7" s="14">
        <f>COUNTIFS(tbl_matriz_iso[Grupo],"7",tbl_matriz_iso[Clausula],"7*",tbl_matriz_iso[Estado],"Lacuna")</f>
        <v>0</v>
      </c>
      <c r="G7" s="14">
        <f>COUNTIFS(tbl_matriz_iso[Grupo],"7",tbl_matriz_iso[Clausula],"7*",tbl_matriz_iso[Novo_ou_Alterado_2026],"Sim")</f>
        <v>2</v>
      </c>
      <c r="H7" s="15">
        <f>IFERROR(SUMIFS(tbl_matriz_iso[Pontos],tbl_matriz_iso[Grupo],"7",tbl_matriz_iso[Clausula],"7*")/C7,"")</f>
        <v>1</v>
      </c>
    </row>
    <row r="8" spans="1:8" x14ac:dyDescent="0.3">
      <c r="A8" s="14" t="s">
        <v>1189</v>
      </c>
      <c r="B8" s="14" t="s">
        <v>1190</v>
      </c>
      <c r="C8" s="14">
        <f>COUNTIFS(tbl_matriz_iso[Grupo],"8",tbl_matriz_iso[Clausula],"8*")</f>
        <v>4</v>
      </c>
      <c r="D8" s="14">
        <f>COUNTIFS(tbl_matriz_iso[Grupo],"8",tbl_matriz_iso[Clausula],"8*",tbl_matriz_iso[Estado],"Conforme")</f>
        <v>3</v>
      </c>
      <c r="E8" s="14">
        <f>COUNTIFS(tbl_matriz_iso[Grupo],"8",tbl_matriz_iso[Clausula],"8*",tbl_matriz_iso[Estado],"Parcial")</f>
        <v>1</v>
      </c>
      <c r="F8" s="14">
        <f>COUNTIFS(tbl_matriz_iso[Grupo],"8",tbl_matriz_iso[Clausula],"8*",tbl_matriz_iso[Estado],"Lacuna")</f>
        <v>0</v>
      </c>
      <c r="G8" s="14">
        <f>COUNTIFS(tbl_matriz_iso[Grupo],"8",tbl_matriz_iso[Clausula],"8*",tbl_matriz_iso[Novo_ou_Alterado_2026],"Sim")</f>
        <v>3</v>
      </c>
      <c r="H8" s="15">
        <f>IFERROR(SUMIFS(tbl_matriz_iso[Pontos],tbl_matriz_iso[Grupo],"8",tbl_matriz_iso[Clausula],"8*")/C8,"")</f>
        <v>0.875</v>
      </c>
    </row>
    <row r="9" spans="1:8" x14ac:dyDescent="0.3">
      <c r="A9" s="14" t="s">
        <v>1191</v>
      </c>
      <c r="B9" s="14" t="s">
        <v>1192</v>
      </c>
      <c r="C9" s="14">
        <f>COUNTIFS(tbl_matriz_iso[Grupo],"9",tbl_matriz_iso[Clausula],"9*")</f>
        <v>8</v>
      </c>
      <c r="D9" s="14">
        <f>COUNTIFS(tbl_matriz_iso[Grupo],"9",tbl_matriz_iso[Clausula],"9*",tbl_matriz_iso[Estado],"Conforme")</f>
        <v>7</v>
      </c>
      <c r="E9" s="14">
        <f>COUNTIFS(tbl_matriz_iso[Grupo],"9",tbl_matriz_iso[Clausula],"9*",tbl_matriz_iso[Estado],"Parcial")</f>
        <v>1</v>
      </c>
      <c r="F9" s="14">
        <f>COUNTIFS(tbl_matriz_iso[Grupo],"9",tbl_matriz_iso[Clausula],"9*",tbl_matriz_iso[Estado],"Lacuna")</f>
        <v>0</v>
      </c>
      <c r="G9" s="14">
        <f>COUNTIFS(tbl_matriz_iso[Grupo],"9",tbl_matriz_iso[Clausula],"9*",tbl_matriz_iso[Novo_ou_Alterado_2026],"Sim")</f>
        <v>4</v>
      </c>
      <c r="H9" s="15">
        <f>IFERROR(SUMIFS(tbl_matriz_iso[Pontos],tbl_matriz_iso[Grupo],"9",tbl_matriz_iso[Clausula],"9*")/C9,"")</f>
        <v>0.9375</v>
      </c>
    </row>
    <row r="10" spans="1:8" x14ac:dyDescent="0.3">
      <c r="A10" s="14" t="s">
        <v>1193</v>
      </c>
      <c r="B10" s="14" t="s">
        <v>1194</v>
      </c>
      <c r="C10" s="14">
        <f>COUNTIFS(tbl_matriz_iso[Grupo],"1",tbl_matriz_iso[Clausula],"10*")</f>
        <v>2</v>
      </c>
      <c r="D10" s="14">
        <f>COUNTIFS(tbl_matriz_iso[Grupo],"1",tbl_matriz_iso[Clausula],"10*",tbl_matriz_iso[Estado],"Conforme")</f>
        <v>2</v>
      </c>
      <c r="E10" s="14">
        <f>COUNTIFS(tbl_matriz_iso[Grupo],"1",tbl_matriz_iso[Clausula],"10*",tbl_matriz_iso[Estado],"Parcial")</f>
        <v>0</v>
      </c>
      <c r="F10" s="14">
        <f>COUNTIFS(tbl_matriz_iso[Grupo],"1",tbl_matriz_iso[Clausula],"10*",tbl_matriz_iso[Estado],"Lacuna")</f>
        <v>0</v>
      </c>
      <c r="G10" s="14">
        <f>COUNTIFS(tbl_matriz_iso[Grupo],"1",tbl_matriz_iso[Clausula],"10*",tbl_matriz_iso[Novo_ou_Alterado_2026],"Sim")</f>
        <v>2</v>
      </c>
      <c r="H10" s="15">
        <f>IFERROR(SUMIFS(tbl_matriz_iso[Pontos],tbl_matriz_iso[Grupo],"1",tbl_matriz_iso[Clausula],"10*")/C10,"")</f>
        <v>1</v>
      </c>
    </row>
    <row r="11" spans="1:8" x14ac:dyDescent="0.3">
      <c r="A11" s="16" t="s">
        <v>1195</v>
      </c>
      <c r="B11" s="14"/>
      <c r="C11" s="16">
        <f>SUM(C4:C10)</f>
        <v>38</v>
      </c>
      <c r="D11" s="16">
        <f>SUM(D4:D10)</f>
        <v>36</v>
      </c>
      <c r="E11" s="16">
        <f>SUM(E4:E10)</f>
        <v>2</v>
      </c>
      <c r="F11" s="16">
        <f>SUM(F4:F10)</f>
        <v>0</v>
      </c>
      <c r="G11" s="16">
        <f>SUM(G4:G10)</f>
        <v>24</v>
      </c>
      <c r="H11" s="17">
        <f>IFERROR(SUM(tbl_matriz_iso[Pontos])/C11,"")</f>
        <v>0.97368421052631582</v>
      </c>
    </row>
    <row r="13" spans="1:8" x14ac:dyDescent="0.3">
      <c r="A13" s="2" t="s">
        <v>1196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showGridLines="0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1197</v>
      </c>
    </row>
    <row r="3" spans="1:2" ht="60" customHeight="1" x14ac:dyDescent="0.3">
      <c r="A3" s="18" t="s">
        <v>1198</v>
      </c>
      <c r="B3" s="23" t="s">
        <v>1199</v>
      </c>
    </row>
    <row r="4" spans="1:2" ht="60" customHeight="1" x14ac:dyDescent="0.3">
      <c r="A4" s="18" t="s">
        <v>1200</v>
      </c>
      <c r="B4" s="23" t="s">
        <v>1201</v>
      </c>
    </row>
    <row r="5" spans="1:2" ht="60" customHeight="1" x14ac:dyDescent="0.3">
      <c r="A5" s="18" t="s">
        <v>1202</v>
      </c>
      <c r="B5" s="23" t="s">
        <v>1203</v>
      </c>
    </row>
    <row r="6" spans="1:2" ht="60" customHeight="1" x14ac:dyDescent="0.3">
      <c r="A6" s="18" t="s">
        <v>1204</v>
      </c>
      <c r="B6" s="23" t="s">
        <v>1205</v>
      </c>
    </row>
    <row r="7" spans="1:2" ht="60" customHeight="1" x14ac:dyDescent="0.3">
      <c r="A7" s="18" t="s">
        <v>1206</v>
      </c>
      <c r="B7" s="23" t="s">
        <v>1207</v>
      </c>
    </row>
    <row r="8" spans="1:2" ht="60" customHeight="1" x14ac:dyDescent="0.3">
      <c r="A8" s="18" t="s">
        <v>1208</v>
      </c>
      <c r="B8" s="23" t="s">
        <v>1209</v>
      </c>
    </row>
  </sheetData>
  <mergeCells count="6">
    <mergeCell ref="B8"/>
    <mergeCell ref="B4"/>
    <mergeCell ref="B7"/>
    <mergeCell ref="B6"/>
    <mergeCell ref="B3"/>
    <mergeCell ref="B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3" width="16" customWidth="1"/>
    <col min="4" max="4" width="27" customWidth="1"/>
  </cols>
  <sheetData>
    <row r="1" spans="1:4" x14ac:dyDescent="0.3">
      <c r="A1" s="20" t="s">
        <v>1210</v>
      </c>
    </row>
    <row r="2" spans="1:4" x14ac:dyDescent="0.3">
      <c r="A2" s="21" t="s">
        <v>1211</v>
      </c>
      <c r="B2" s="21" t="s">
        <v>1212</v>
      </c>
      <c r="C2" s="21" t="s">
        <v>1213</v>
      </c>
      <c r="D2" s="21" t="s">
        <v>1214</v>
      </c>
    </row>
    <row r="3" spans="1:4" x14ac:dyDescent="0.3">
      <c r="A3" s="22">
        <v>46387</v>
      </c>
      <c r="B3" s="6" t="s">
        <v>1006</v>
      </c>
      <c r="C3" s="6" t="s">
        <v>1010</v>
      </c>
      <c r="D3" s="6" t="s">
        <v>1029</v>
      </c>
    </row>
    <row r="4" spans="1:4" x14ac:dyDescent="0.3">
      <c r="B4" s="6" t="s">
        <v>1119</v>
      </c>
      <c r="C4" s="6" t="s">
        <v>1003</v>
      </c>
      <c r="D4" s="6" t="s">
        <v>1093</v>
      </c>
    </row>
    <row r="5" spans="1:4" x14ac:dyDescent="0.3">
      <c r="B5" s="6" t="s">
        <v>1179</v>
      </c>
      <c r="D5" s="6" t="s">
        <v>186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262</v>
      </c>
      <c r="B1" s="8" t="s">
        <v>263</v>
      </c>
      <c r="C1" s="8" t="s">
        <v>740</v>
      </c>
      <c r="D1" s="8" t="s">
        <v>775</v>
      </c>
      <c r="E1" s="8" t="s">
        <v>1215</v>
      </c>
      <c r="F1" s="8" t="s">
        <v>1216</v>
      </c>
      <c r="G1" s="8" t="s">
        <v>1217</v>
      </c>
      <c r="H1" s="8" t="s">
        <v>1218</v>
      </c>
      <c r="I1" s="8" t="s">
        <v>615</v>
      </c>
    </row>
    <row r="2" spans="1:9" x14ac:dyDescent="0.3">
      <c r="A2" s="19" t="s">
        <v>28</v>
      </c>
      <c r="B2" s="19" t="s">
        <v>1219</v>
      </c>
      <c r="C2" s="19" t="s">
        <v>69</v>
      </c>
      <c r="D2" s="19" t="s">
        <v>1220</v>
      </c>
      <c r="E2" s="19" t="s">
        <v>1221</v>
      </c>
      <c r="F2" s="19" t="s">
        <v>1222</v>
      </c>
      <c r="G2" s="19"/>
      <c r="H2" s="19" t="s">
        <v>1010</v>
      </c>
      <c r="I2" s="19"/>
    </row>
    <row r="3" spans="1:9" x14ac:dyDescent="0.3">
      <c r="A3" s="19" t="s">
        <v>28</v>
      </c>
      <c r="B3" s="19" t="s">
        <v>1219</v>
      </c>
      <c r="C3" s="19" t="s">
        <v>70</v>
      </c>
      <c r="D3" s="19" t="s">
        <v>1220</v>
      </c>
      <c r="E3" s="19" t="s">
        <v>1221</v>
      </c>
      <c r="F3" s="19" t="s">
        <v>1223</v>
      </c>
      <c r="G3" s="19"/>
      <c r="H3" s="19" t="s">
        <v>1010</v>
      </c>
      <c r="I3" s="19" t="s">
        <v>1224</v>
      </c>
    </row>
    <row r="4" spans="1:9" x14ac:dyDescent="0.3">
      <c r="A4" s="19" t="s">
        <v>28</v>
      </c>
      <c r="B4" s="19" t="s">
        <v>1219</v>
      </c>
      <c r="C4" s="19" t="s">
        <v>71</v>
      </c>
      <c r="D4" s="19" t="s">
        <v>1220</v>
      </c>
      <c r="E4" s="19" t="s">
        <v>1221</v>
      </c>
      <c r="F4" s="19" t="s">
        <v>1225</v>
      </c>
      <c r="G4" s="19"/>
      <c r="H4" s="19" t="s">
        <v>1010</v>
      </c>
      <c r="I4" s="19"/>
    </row>
    <row r="5" spans="1:9" x14ac:dyDescent="0.3">
      <c r="A5" s="19" t="s">
        <v>28</v>
      </c>
      <c r="B5" s="19" t="s">
        <v>1219</v>
      </c>
      <c r="C5" s="19" t="s">
        <v>72</v>
      </c>
      <c r="D5" s="19" t="s">
        <v>1220</v>
      </c>
      <c r="E5" s="19" t="s">
        <v>1221</v>
      </c>
      <c r="F5" s="19" t="s">
        <v>1226</v>
      </c>
      <c r="G5" s="19"/>
      <c r="H5" s="19" t="s">
        <v>1010</v>
      </c>
      <c r="I5" s="19"/>
    </row>
    <row r="6" spans="1:9" x14ac:dyDescent="0.3">
      <c r="A6" s="19" t="s">
        <v>28</v>
      </c>
      <c r="B6" s="19" t="s">
        <v>1219</v>
      </c>
      <c r="C6" s="19" t="s">
        <v>73</v>
      </c>
      <c r="D6" s="19" t="s">
        <v>1220</v>
      </c>
      <c r="E6" s="19" t="s">
        <v>1221</v>
      </c>
      <c r="F6" s="19" t="s">
        <v>1227</v>
      </c>
      <c r="G6" s="19"/>
      <c r="H6" s="19" t="s">
        <v>1010</v>
      </c>
      <c r="I6" s="19"/>
    </row>
    <row r="7" spans="1:9" x14ac:dyDescent="0.3">
      <c r="A7" s="19" t="s">
        <v>30</v>
      </c>
      <c r="B7" s="19" t="s">
        <v>1228</v>
      </c>
      <c r="C7" s="19" t="s">
        <v>187</v>
      </c>
      <c r="D7" s="19" t="s">
        <v>1220</v>
      </c>
      <c r="E7" s="19" t="s">
        <v>1221</v>
      </c>
      <c r="F7" s="19" t="s">
        <v>1229</v>
      </c>
      <c r="G7" s="19"/>
      <c r="H7" s="19" t="s">
        <v>1010</v>
      </c>
      <c r="I7" s="19" t="s">
        <v>1224</v>
      </c>
    </row>
    <row r="8" spans="1:9" x14ac:dyDescent="0.3">
      <c r="A8" s="19" t="s">
        <v>30</v>
      </c>
      <c r="B8" s="19" t="s">
        <v>1228</v>
      </c>
      <c r="C8" s="19" t="s">
        <v>188</v>
      </c>
      <c r="D8" s="19" t="s">
        <v>1220</v>
      </c>
      <c r="E8" s="19" t="s">
        <v>1221</v>
      </c>
      <c r="F8" s="19" t="s">
        <v>1230</v>
      </c>
      <c r="G8" s="19"/>
      <c r="H8" s="19" t="s">
        <v>1010</v>
      </c>
      <c r="I8" s="19"/>
    </row>
    <row r="9" spans="1:9" x14ac:dyDescent="0.3">
      <c r="A9" s="19" t="s">
        <v>30</v>
      </c>
      <c r="B9" s="19" t="s">
        <v>1228</v>
      </c>
      <c r="C9" s="19" t="s">
        <v>69</v>
      </c>
      <c r="D9" s="19" t="s">
        <v>1220</v>
      </c>
      <c r="E9" s="19" t="s">
        <v>1221</v>
      </c>
      <c r="F9" s="19" t="s">
        <v>1231</v>
      </c>
      <c r="G9" s="19"/>
      <c r="H9" s="19" t="s">
        <v>1010</v>
      </c>
      <c r="I9" s="19"/>
    </row>
    <row r="10" spans="1:9" x14ac:dyDescent="0.3">
      <c r="A10" s="19" t="s">
        <v>30</v>
      </c>
      <c r="B10" s="19" t="s">
        <v>1228</v>
      </c>
      <c r="C10" s="19" t="s">
        <v>189</v>
      </c>
      <c r="D10" s="19" t="s">
        <v>1220</v>
      </c>
      <c r="E10" s="19" t="s">
        <v>1221</v>
      </c>
      <c r="F10" s="19" t="s">
        <v>1232</v>
      </c>
      <c r="G10" s="19"/>
      <c r="H10" s="19" t="s">
        <v>1010</v>
      </c>
      <c r="I10" s="19"/>
    </row>
    <row r="11" spans="1:9" x14ac:dyDescent="0.3">
      <c r="A11" s="19" t="s">
        <v>32</v>
      </c>
      <c r="B11" s="19" t="s">
        <v>1233</v>
      </c>
      <c r="C11" s="19" t="s">
        <v>69</v>
      </c>
      <c r="D11" s="19" t="s">
        <v>1220</v>
      </c>
      <c r="E11" s="19" t="s">
        <v>1221</v>
      </c>
      <c r="F11" s="19" t="s">
        <v>1234</v>
      </c>
      <c r="G11" s="19"/>
      <c r="H11" s="19" t="s">
        <v>1010</v>
      </c>
      <c r="I11" s="19"/>
    </row>
    <row r="12" spans="1:9" x14ac:dyDescent="0.3">
      <c r="A12" s="19" t="s">
        <v>32</v>
      </c>
      <c r="B12" s="19" t="s">
        <v>1233</v>
      </c>
      <c r="C12" s="19" t="s">
        <v>262</v>
      </c>
      <c r="D12" s="19" t="s">
        <v>1220</v>
      </c>
      <c r="E12" s="19" t="s">
        <v>1221</v>
      </c>
      <c r="F12" s="19" t="s">
        <v>1235</v>
      </c>
      <c r="G12" s="19"/>
      <c r="H12" s="19" t="s">
        <v>1010</v>
      </c>
      <c r="I12" s="19"/>
    </row>
    <row r="13" spans="1:9" x14ac:dyDescent="0.3">
      <c r="A13" s="19" t="s">
        <v>32</v>
      </c>
      <c r="B13" s="19" t="s">
        <v>1233</v>
      </c>
      <c r="C13" s="19" t="s">
        <v>263</v>
      </c>
      <c r="D13" s="19" t="s">
        <v>1220</v>
      </c>
      <c r="E13" s="19" t="s">
        <v>1221</v>
      </c>
      <c r="F13" s="19" t="s">
        <v>1236</v>
      </c>
      <c r="G13" s="19"/>
      <c r="H13" s="19" t="s">
        <v>1010</v>
      </c>
      <c r="I13" s="19" t="s">
        <v>1224</v>
      </c>
    </row>
    <row r="14" spans="1:9" x14ac:dyDescent="0.3">
      <c r="A14" s="19" t="s">
        <v>32</v>
      </c>
      <c r="B14" s="19" t="s">
        <v>1233</v>
      </c>
      <c r="C14" s="19" t="s">
        <v>264</v>
      </c>
      <c r="D14" s="19" t="s">
        <v>1237</v>
      </c>
      <c r="E14" s="19" t="s">
        <v>1221</v>
      </c>
      <c r="F14" s="19" t="s">
        <v>1238</v>
      </c>
      <c r="G14" s="19"/>
      <c r="H14" s="19" t="s">
        <v>1010</v>
      </c>
      <c r="I14" s="19"/>
    </row>
    <row r="15" spans="1:9" x14ac:dyDescent="0.3">
      <c r="A15" s="19" t="s">
        <v>32</v>
      </c>
      <c r="B15" s="19" t="s">
        <v>1233</v>
      </c>
      <c r="C15" s="19" t="s">
        <v>265</v>
      </c>
      <c r="D15" s="19" t="s">
        <v>1237</v>
      </c>
      <c r="E15" s="19" t="s">
        <v>1221</v>
      </c>
      <c r="F15" s="19" t="s">
        <v>1239</v>
      </c>
      <c r="G15" s="19"/>
      <c r="H15" s="19" t="s">
        <v>1010</v>
      </c>
      <c r="I15" s="19"/>
    </row>
    <row r="16" spans="1:9" x14ac:dyDescent="0.3">
      <c r="A16" s="19" t="s">
        <v>32</v>
      </c>
      <c r="B16" s="19" t="s">
        <v>1233</v>
      </c>
      <c r="C16" s="19" t="s">
        <v>266</v>
      </c>
      <c r="D16" s="19" t="s">
        <v>1237</v>
      </c>
      <c r="E16" s="19" t="s">
        <v>1221</v>
      </c>
      <c r="F16" s="19" t="s">
        <v>1240</v>
      </c>
      <c r="G16" s="19"/>
      <c r="H16" s="19" t="s">
        <v>1010</v>
      </c>
      <c r="I16" s="19"/>
    </row>
    <row r="17" spans="1:9" x14ac:dyDescent="0.3">
      <c r="A17" s="19" t="s">
        <v>32</v>
      </c>
      <c r="B17" s="19" t="s">
        <v>1233</v>
      </c>
      <c r="C17" s="19" t="s">
        <v>267</v>
      </c>
      <c r="D17" s="19" t="s">
        <v>1220</v>
      </c>
      <c r="E17" s="19" t="s">
        <v>1221</v>
      </c>
      <c r="F17" s="19" t="s">
        <v>1241</v>
      </c>
      <c r="G17" s="19"/>
      <c r="H17" s="19" t="s">
        <v>1010</v>
      </c>
      <c r="I17" s="19"/>
    </row>
    <row r="18" spans="1:9" x14ac:dyDescent="0.3">
      <c r="A18" s="19" t="s">
        <v>32</v>
      </c>
      <c r="B18" s="19" t="s">
        <v>1233</v>
      </c>
      <c r="C18" s="19" t="s">
        <v>268</v>
      </c>
      <c r="D18" s="19" t="s">
        <v>1220</v>
      </c>
      <c r="E18" s="19" t="s">
        <v>1221</v>
      </c>
      <c r="F18" s="19" t="s">
        <v>1242</v>
      </c>
      <c r="G18" s="19"/>
      <c r="H18" s="19" t="s">
        <v>1010</v>
      </c>
      <c r="I18" s="19"/>
    </row>
    <row r="19" spans="1:9" x14ac:dyDescent="0.3">
      <c r="A19" s="19" t="s">
        <v>34</v>
      </c>
      <c r="B19" s="19" t="s">
        <v>1243</v>
      </c>
      <c r="C19" s="19" t="s">
        <v>739</v>
      </c>
      <c r="D19" s="19" t="s">
        <v>1220</v>
      </c>
      <c r="E19" s="19" t="s">
        <v>1221</v>
      </c>
      <c r="F19" s="19" t="s">
        <v>1244</v>
      </c>
      <c r="G19" s="19"/>
      <c r="H19" s="19" t="s">
        <v>1010</v>
      </c>
      <c r="I19" s="19"/>
    </row>
    <row r="20" spans="1:9" x14ac:dyDescent="0.3">
      <c r="A20" s="19" t="s">
        <v>34</v>
      </c>
      <c r="B20" s="19" t="s">
        <v>1243</v>
      </c>
      <c r="C20" s="19" t="s">
        <v>740</v>
      </c>
      <c r="D20" s="19" t="s">
        <v>1220</v>
      </c>
      <c r="E20" s="19" t="s">
        <v>1221</v>
      </c>
      <c r="F20" s="19" t="s">
        <v>1245</v>
      </c>
      <c r="G20" s="19"/>
      <c r="H20" s="19" t="s">
        <v>1010</v>
      </c>
      <c r="I20" s="19"/>
    </row>
    <row r="21" spans="1:9" x14ac:dyDescent="0.3">
      <c r="A21" s="19" t="s">
        <v>34</v>
      </c>
      <c r="B21" s="19" t="s">
        <v>1243</v>
      </c>
      <c r="C21" s="19" t="s">
        <v>741</v>
      </c>
      <c r="D21" s="19" t="s">
        <v>1220</v>
      </c>
      <c r="E21" s="19" t="s">
        <v>1221</v>
      </c>
      <c r="F21" s="19" t="s">
        <v>1246</v>
      </c>
      <c r="G21" s="19"/>
      <c r="H21" s="19" t="s">
        <v>1010</v>
      </c>
      <c r="I21" s="19"/>
    </row>
    <row r="22" spans="1:9" x14ac:dyDescent="0.3">
      <c r="A22" s="19" t="s">
        <v>34</v>
      </c>
      <c r="B22" s="19" t="s">
        <v>1243</v>
      </c>
      <c r="C22" s="19" t="s">
        <v>742</v>
      </c>
      <c r="D22" s="19" t="s">
        <v>1237</v>
      </c>
      <c r="E22" s="19" t="s">
        <v>1221</v>
      </c>
      <c r="F22" s="19" t="s">
        <v>1247</v>
      </c>
      <c r="G22" s="19"/>
      <c r="H22" s="19" t="s">
        <v>1010</v>
      </c>
      <c r="I22" s="19"/>
    </row>
    <row r="23" spans="1:9" x14ac:dyDescent="0.3">
      <c r="A23" s="19" t="s">
        <v>34</v>
      </c>
      <c r="B23" s="19" t="s">
        <v>1243</v>
      </c>
      <c r="C23" s="19" t="s">
        <v>743</v>
      </c>
      <c r="D23" s="19" t="s">
        <v>1237</v>
      </c>
      <c r="E23" s="19" t="s">
        <v>1221</v>
      </c>
      <c r="F23" s="19" t="s">
        <v>1248</v>
      </c>
      <c r="G23" s="19"/>
      <c r="H23" s="19" t="s">
        <v>1010</v>
      </c>
      <c r="I23" s="19"/>
    </row>
    <row r="24" spans="1:9" x14ac:dyDescent="0.3">
      <c r="A24" s="19" t="s">
        <v>34</v>
      </c>
      <c r="B24" s="19" t="s">
        <v>1243</v>
      </c>
      <c r="C24" s="19" t="s">
        <v>744</v>
      </c>
      <c r="D24" s="19" t="s">
        <v>1220</v>
      </c>
      <c r="E24" s="19" t="s">
        <v>1221</v>
      </c>
      <c r="F24" s="19" t="s">
        <v>1249</v>
      </c>
      <c r="G24" s="19"/>
      <c r="H24" s="19" t="s">
        <v>1003</v>
      </c>
      <c r="I24" s="19"/>
    </row>
    <row r="25" spans="1:9" x14ac:dyDescent="0.3">
      <c r="A25" s="19" t="s">
        <v>34</v>
      </c>
      <c r="B25" s="19" t="s">
        <v>1243</v>
      </c>
      <c r="C25" s="19" t="s">
        <v>745</v>
      </c>
      <c r="D25" s="19" t="s">
        <v>1220</v>
      </c>
      <c r="E25" s="19" t="s">
        <v>1221</v>
      </c>
      <c r="F25" s="19" t="s">
        <v>1250</v>
      </c>
      <c r="G25" s="19"/>
      <c r="H25" s="19" t="s">
        <v>1010</v>
      </c>
      <c r="I25" s="19"/>
    </row>
    <row r="26" spans="1:9" x14ac:dyDescent="0.3">
      <c r="A26" s="19" t="s">
        <v>36</v>
      </c>
      <c r="B26" s="19" t="s">
        <v>1251</v>
      </c>
      <c r="C26" s="19" t="s">
        <v>70</v>
      </c>
      <c r="D26" s="19" t="s">
        <v>1220</v>
      </c>
      <c r="E26" s="19" t="s">
        <v>1221</v>
      </c>
      <c r="F26" s="19" t="s">
        <v>1252</v>
      </c>
      <c r="G26" s="19"/>
      <c r="H26" s="19" t="s">
        <v>1010</v>
      </c>
      <c r="I26" s="19" t="s">
        <v>1224</v>
      </c>
    </row>
    <row r="27" spans="1:9" x14ac:dyDescent="0.3">
      <c r="A27" s="19" t="s">
        <v>36</v>
      </c>
      <c r="B27" s="19" t="s">
        <v>1251</v>
      </c>
      <c r="C27" s="19" t="s">
        <v>774</v>
      </c>
      <c r="D27" s="19" t="s">
        <v>1220</v>
      </c>
      <c r="E27" s="19" t="s">
        <v>1221</v>
      </c>
      <c r="F27" s="19" t="s">
        <v>1253</v>
      </c>
      <c r="G27" s="19"/>
      <c r="H27" s="19" t="s">
        <v>1010</v>
      </c>
      <c r="I27" s="19"/>
    </row>
    <row r="28" spans="1:9" x14ac:dyDescent="0.3">
      <c r="A28" s="19" t="s">
        <v>36</v>
      </c>
      <c r="B28" s="19" t="s">
        <v>1251</v>
      </c>
      <c r="C28" s="19" t="s">
        <v>775</v>
      </c>
      <c r="D28" s="19" t="s">
        <v>1220</v>
      </c>
      <c r="E28" s="19" t="s">
        <v>1221</v>
      </c>
      <c r="F28" s="19" t="s">
        <v>1254</v>
      </c>
      <c r="G28" s="19"/>
      <c r="H28" s="19" t="s">
        <v>1010</v>
      </c>
      <c r="I28" s="19"/>
    </row>
    <row r="29" spans="1:9" x14ac:dyDescent="0.3">
      <c r="A29" s="19" t="s">
        <v>36</v>
      </c>
      <c r="B29" s="19" t="s">
        <v>1251</v>
      </c>
      <c r="C29" s="19" t="s">
        <v>776</v>
      </c>
      <c r="D29" s="19" t="s">
        <v>1220</v>
      </c>
      <c r="E29" s="19" t="s">
        <v>1221</v>
      </c>
      <c r="F29" s="19" t="s">
        <v>1255</v>
      </c>
      <c r="G29" s="19"/>
      <c r="H29" s="19" t="s">
        <v>1010</v>
      </c>
      <c r="I29" s="19"/>
    </row>
    <row r="30" spans="1:9" x14ac:dyDescent="0.3">
      <c r="A30" s="19" t="s">
        <v>36</v>
      </c>
      <c r="B30" s="19" t="s">
        <v>1251</v>
      </c>
      <c r="C30" s="19" t="s">
        <v>777</v>
      </c>
      <c r="D30" s="19" t="s">
        <v>1220</v>
      </c>
      <c r="E30" s="19" t="s">
        <v>1221</v>
      </c>
      <c r="F30" s="19" t="s">
        <v>1256</v>
      </c>
      <c r="G30" s="19"/>
      <c r="H30" s="19" t="s">
        <v>1010</v>
      </c>
      <c r="I30" s="19"/>
    </row>
    <row r="31" spans="1:9" x14ac:dyDescent="0.3">
      <c r="A31" s="19" t="s">
        <v>38</v>
      </c>
      <c r="B31" s="19" t="s">
        <v>1257</v>
      </c>
      <c r="C31" s="19" t="s">
        <v>826</v>
      </c>
      <c r="D31" s="19" t="s">
        <v>1220</v>
      </c>
      <c r="E31" s="19" t="s">
        <v>1221</v>
      </c>
      <c r="F31" s="19" t="s">
        <v>1258</v>
      </c>
      <c r="G31" s="19"/>
      <c r="H31" s="19" t="s">
        <v>1010</v>
      </c>
      <c r="I31" s="19" t="s">
        <v>1224</v>
      </c>
    </row>
    <row r="32" spans="1:9" x14ac:dyDescent="0.3">
      <c r="A32" s="19" t="s">
        <v>38</v>
      </c>
      <c r="B32" s="19" t="s">
        <v>1257</v>
      </c>
      <c r="C32" s="19" t="s">
        <v>827</v>
      </c>
      <c r="D32" s="19" t="s">
        <v>1220</v>
      </c>
      <c r="E32" s="19" t="s">
        <v>1221</v>
      </c>
      <c r="F32" s="19" t="s">
        <v>1259</v>
      </c>
      <c r="G32" s="19"/>
      <c r="H32" s="19" t="s">
        <v>1010</v>
      </c>
      <c r="I32" s="19"/>
    </row>
    <row r="33" spans="1:9" x14ac:dyDescent="0.3">
      <c r="A33" s="19" t="s">
        <v>38</v>
      </c>
      <c r="B33" s="19" t="s">
        <v>1257</v>
      </c>
      <c r="C33" s="19" t="s">
        <v>828</v>
      </c>
      <c r="D33" s="19" t="s">
        <v>1220</v>
      </c>
      <c r="E33" s="19" t="s">
        <v>1221</v>
      </c>
      <c r="F33" s="19" t="s">
        <v>1260</v>
      </c>
      <c r="G33" s="19"/>
      <c r="H33" s="19" t="s">
        <v>1010</v>
      </c>
      <c r="I33" s="19"/>
    </row>
    <row r="34" spans="1:9" ht="26.4" x14ac:dyDescent="0.3">
      <c r="A34" s="19" t="s">
        <v>40</v>
      </c>
      <c r="B34" s="19" t="s">
        <v>1261</v>
      </c>
      <c r="C34" s="19" t="s">
        <v>873</v>
      </c>
      <c r="D34" s="19" t="s">
        <v>1220</v>
      </c>
      <c r="E34" s="19" t="s">
        <v>1221</v>
      </c>
      <c r="F34" s="19" t="s">
        <v>1262</v>
      </c>
      <c r="G34" s="19"/>
      <c r="H34" s="19" t="s">
        <v>1010</v>
      </c>
      <c r="I34" s="19" t="s">
        <v>1224</v>
      </c>
    </row>
    <row r="35" spans="1:9" ht="26.4" x14ac:dyDescent="0.3">
      <c r="A35" s="19" t="s">
        <v>40</v>
      </c>
      <c r="B35" s="19" t="s">
        <v>1261</v>
      </c>
      <c r="C35" s="19" t="s">
        <v>188</v>
      </c>
      <c r="D35" s="19" t="s">
        <v>1220</v>
      </c>
      <c r="E35" s="19" t="s">
        <v>1221</v>
      </c>
      <c r="F35" s="19" t="s">
        <v>1263</v>
      </c>
      <c r="G35" s="19"/>
      <c r="H35" s="19" t="s">
        <v>1010</v>
      </c>
      <c r="I35" s="19"/>
    </row>
    <row r="36" spans="1:9" x14ac:dyDescent="0.3">
      <c r="A36" s="19" t="s">
        <v>42</v>
      </c>
      <c r="B36" s="19" t="s">
        <v>1264</v>
      </c>
      <c r="C36" s="19" t="s">
        <v>915</v>
      </c>
      <c r="D36" s="19" t="s">
        <v>1220</v>
      </c>
      <c r="E36" s="19" t="s">
        <v>1221</v>
      </c>
      <c r="F36" s="19"/>
      <c r="G36" s="19"/>
      <c r="H36" s="19" t="s">
        <v>1010</v>
      </c>
      <c r="I36" s="19" t="s">
        <v>1224</v>
      </c>
    </row>
    <row r="37" spans="1:9" x14ac:dyDescent="0.3">
      <c r="A37" s="19" t="s">
        <v>42</v>
      </c>
      <c r="B37" s="19" t="s">
        <v>1264</v>
      </c>
      <c r="C37" s="19" t="s">
        <v>916</v>
      </c>
      <c r="D37" s="19" t="s">
        <v>1220</v>
      </c>
      <c r="E37" s="19" t="s">
        <v>1221</v>
      </c>
      <c r="F37" s="19" t="s">
        <v>1265</v>
      </c>
      <c r="G37" s="19"/>
      <c r="H37" s="19" t="s">
        <v>1010</v>
      </c>
      <c r="I37" s="19"/>
    </row>
    <row r="38" spans="1:9" x14ac:dyDescent="0.3">
      <c r="A38" s="19" t="s">
        <v>42</v>
      </c>
      <c r="B38" s="19" t="s">
        <v>1264</v>
      </c>
      <c r="C38" s="19" t="s">
        <v>917</v>
      </c>
      <c r="D38" s="19" t="s">
        <v>1220</v>
      </c>
      <c r="E38" s="19" t="s">
        <v>1221</v>
      </c>
      <c r="F38" s="19"/>
      <c r="G38" s="19"/>
      <c r="H38" s="19" t="s">
        <v>1010</v>
      </c>
      <c r="I38" s="19"/>
    </row>
    <row r="39" spans="1:9" x14ac:dyDescent="0.3">
      <c r="A39" s="19" t="s">
        <v>42</v>
      </c>
      <c r="B39" s="19" t="s">
        <v>1264</v>
      </c>
      <c r="C39" s="19" t="s">
        <v>918</v>
      </c>
      <c r="D39" s="19" t="s">
        <v>1220</v>
      </c>
      <c r="E39" s="19" t="s">
        <v>1221</v>
      </c>
      <c r="F39" s="19" t="s">
        <v>1266</v>
      </c>
      <c r="G39" s="19"/>
      <c r="H39" s="19" t="s">
        <v>1010</v>
      </c>
      <c r="I39" s="19"/>
    </row>
    <row r="40" spans="1:9" x14ac:dyDescent="0.3">
      <c r="A40" s="19" t="s">
        <v>42</v>
      </c>
      <c r="B40" s="19" t="s">
        <v>1264</v>
      </c>
      <c r="C40" s="19" t="s">
        <v>919</v>
      </c>
      <c r="D40" s="19" t="s">
        <v>1220</v>
      </c>
      <c r="E40" s="19" t="s">
        <v>1221</v>
      </c>
      <c r="F40" s="19"/>
      <c r="G40" s="19"/>
      <c r="H40" s="19" t="s">
        <v>1003</v>
      </c>
      <c r="I40" s="19"/>
    </row>
    <row r="41" spans="1:9" x14ac:dyDescent="0.3">
      <c r="A41" s="19" t="s">
        <v>44</v>
      </c>
      <c r="B41" s="19" t="s">
        <v>1267</v>
      </c>
      <c r="C41" s="19" t="s">
        <v>992</v>
      </c>
      <c r="D41" s="19" t="s">
        <v>1220</v>
      </c>
      <c r="E41" s="19" t="s">
        <v>1221</v>
      </c>
      <c r="F41" s="19" t="s">
        <v>1268</v>
      </c>
      <c r="G41" s="19"/>
      <c r="H41" s="19" t="s">
        <v>1010</v>
      </c>
      <c r="I41" s="19" t="s">
        <v>1224</v>
      </c>
    </row>
    <row r="42" spans="1:9" x14ac:dyDescent="0.3">
      <c r="A42" s="19" t="s">
        <v>44</v>
      </c>
      <c r="B42" s="19" t="s">
        <v>1267</v>
      </c>
      <c r="C42" s="19" t="s">
        <v>873</v>
      </c>
      <c r="D42" s="19" t="s">
        <v>1220</v>
      </c>
      <c r="E42" s="19" t="s">
        <v>1221</v>
      </c>
      <c r="F42" s="19" t="s">
        <v>1269</v>
      </c>
      <c r="G42" s="19"/>
      <c r="H42" s="19" t="s">
        <v>1010</v>
      </c>
      <c r="I42" s="19"/>
    </row>
    <row r="43" spans="1:9" x14ac:dyDescent="0.3">
      <c r="A43" s="19" t="s">
        <v>44</v>
      </c>
      <c r="B43" s="19" t="s">
        <v>1267</v>
      </c>
      <c r="C43" s="19" t="s">
        <v>721</v>
      </c>
      <c r="D43" s="19" t="s">
        <v>1220</v>
      </c>
      <c r="E43" s="19" t="s">
        <v>1270</v>
      </c>
      <c r="F43" s="19" t="s">
        <v>1271</v>
      </c>
      <c r="G43" s="19"/>
      <c r="H43" s="19" t="s">
        <v>1010</v>
      </c>
      <c r="I43" s="19"/>
    </row>
    <row r="44" spans="1:9" x14ac:dyDescent="0.3">
      <c r="A44" s="19" t="s">
        <v>44</v>
      </c>
      <c r="B44" s="19" t="s">
        <v>1267</v>
      </c>
      <c r="C44" s="19" t="s">
        <v>993</v>
      </c>
      <c r="D44" s="19" t="s">
        <v>1220</v>
      </c>
      <c r="E44" s="19" t="s">
        <v>1221</v>
      </c>
      <c r="F44" s="19" t="s">
        <v>1272</v>
      </c>
      <c r="G44" s="19"/>
      <c r="H44" s="19" t="s">
        <v>1010</v>
      </c>
      <c r="I44" s="19"/>
    </row>
    <row r="45" spans="1:9" x14ac:dyDescent="0.3">
      <c r="A45" s="19" t="s">
        <v>44</v>
      </c>
      <c r="B45" s="19" t="s">
        <v>1267</v>
      </c>
      <c r="C45" s="19" t="s">
        <v>994</v>
      </c>
      <c r="D45" s="19" t="s">
        <v>1220</v>
      </c>
      <c r="E45" s="19" t="s">
        <v>1221</v>
      </c>
      <c r="F45" s="19" t="s">
        <v>1273</v>
      </c>
      <c r="G45" s="19" t="s">
        <v>1274</v>
      </c>
      <c r="H45" s="19" t="s">
        <v>1010</v>
      </c>
      <c r="I45" s="19"/>
    </row>
    <row r="46" spans="1:9" ht="26.4" x14ac:dyDescent="0.3">
      <c r="A46" s="19" t="s">
        <v>44</v>
      </c>
      <c r="B46" s="19" t="s">
        <v>1267</v>
      </c>
      <c r="C46" s="19" t="s">
        <v>995</v>
      </c>
      <c r="D46" s="19" t="s">
        <v>1220</v>
      </c>
      <c r="E46" s="19" t="s">
        <v>1221</v>
      </c>
      <c r="F46" s="19" t="s">
        <v>1275</v>
      </c>
      <c r="G46" s="19" t="s">
        <v>1276</v>
      </c>
      <c r="H46" s="19" t="s">
        <v>1010</v>
      </c>
      <c r="I46" s="19"/>
    </row>
    <row r="47" spans="1:9" x14ac:dyDescent="0.3">
      <c r="A47" s="19" t="s">
        <v>44</v>
      </c>
      <c r="B47" s="19" t="s">
        <v>1267</v>
      </c>
      <c r="C47" s="19" t="s">
        <v>996</v>
      </c>
      <c r="D47" s="19" t="s">
        <v>1220</v>
      </c>
      <c r="E47" s="19" t="s">
        <v>1221</v>
      </c>
      <c r="F47" s="19" t="s">
        <v>1277</v>
      </c>
      <c r="G47" s="19"/>
      <c r="H47" s="19" t="s">
        <v>1010</v>
      </c>
      <c r="I47" s="19"/>
    </row>
    <row r="48" spans="1:9" x14ac:dyDescent="0.3">
      <c r="A48" s="19" t="s">
        <v>44</v>
      </c>
      <c r="B48" s="19" t="s">
        <v>1267</v>
      </c>
      <c r="C48" s="19" t="s">
        <v>997</v>
      </c>
      <c r="D48" s="19" t="s">
        <v>1220</v>
      </c>
      <c r="E48" s="19" t="s">
        <v>1221</v>
      </c>
      <c r="F48" s="19" t="s">
        <v>1278</v>
      </c>
      <c r="G48" s="19"/>
      <c r="H48" s="19" t="s">
        <v>1010</v>
      </c>
      <c r="I48" s="19"/>
    </row>
    <row r="49" spans="1:9" x14ac:dyDescent="0.3">
      <c r="A49" s="19" t="s">
        <v>44</v>
      </c>
      <c r="B49" s="19" t="s">
        <v>1267</v>
      </c>
      <c r="C49" s="19" t="s">
        <v>14</v>
      </c>
      <c r="D49" s="19" t="s">
        <v>1220</v>
      </c>
      <c r="E49" s="19" t="s">
        <v>1221</v>
      </c>
      <c r="F49" s="19" t="s">
        <v>1279</v>
      </c>
      <c r="G49" s="19" t="s">
        <v>1280</v>
      </c>
      <c r="H49" s="19" t="s">
        <v>1010</v>
      </c>
      <c r="I49" s="19"/>
    </row>
    <row r="50" spans="1:9" x14ac:dyDescent="0.3">
      <c r="A50" s="19" t="s">
        <v>44</v>
      </c>
      <c r="B50" s="19" t="s">
        <v>1267</v>
      </c>
      <c r="C50" s="19" t="s">
        <v>998</v>
      </c>
      <c r="D50" s="19" t="s">
        <v>1220</v>
      </c>
      <c r="E50" s="19" t="s">
        <v>1221</v>
      </c>
      <c r="F50" s="19" t="s">
        <v>1281</v>
      </c>
      <c r="G50" s="19"/>
      <c r="H50" s="19" t="s">
        <v>1003</v>
      </c>
      <c r="I50" s="19"/>
    </row>
    <row r="51" spans="1:9" x14ac:dyDescent="0.3">
      <c r="A51" s="19" t="s">
        <v>44</v>
      </c>
      <c r="B51" s="19" t="s">
        <v>1267</v>
      </c>
      <c r="C51" s="19" t="s">
        <v>999</v>
      </c>
      <c r="D51" s="19" t="s">
        <v>1220</v>
      </c>
      <c r="E51" s="19" t="s">
        <v>1221</v>
      </c>
      <c r="F51" s="19" t="s">
        <v>1282</v>
      </c>
      <c r="G51" s="19"/>
      <c r="H51" s="19" t="s">
        <v>1003</v>
      </c>
      <c r="I51" s="19"/>
    </row>
    <row r="52" spans="1:9" x14ac:dyDescent="0.3">
      <c r="A52" s="19" t="s">
        <v>44</v>
      </c>
      <c r="B52" s="19" t="s">
        <v>1267</v>
      </c>
      <c r="C52" s="19" t="s">
        <v>1000</v>
      </c>
      <c r="D52" s="19" t="s">
        <v>1283</v>
      </c>
      <c r="E52" s="19" t="s">
        <v>1270</v>
      </c>
      <c r="F52" s="19" t="s">
        <v>1284</v>
      </c>
      <c r="G52" s="19"/>
      <c r="H52" s="19" t="s">
        <v>1010</v>
      </c>
      <c r="I52" s="1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14</vt:i4>
      </vt:variant>
      <vt:variant>
        <vt:lpstr>Intervalos com Nome</vt:lpstr>
      </vt:variant>
      <vt:variant>
        <vt:i4>14</vt:i4>
      </vt:variant>
    </vt:vector>
  </HeadingPairs>
  <TitlesOfParts>
    <vt:vector size="28" baseType="lpstr">
      <vt:lpstr>00_LEIA-ME</vt:lpstr>
      <vt:lpstr>Ficheiros</vt:lpstr>
      <vt:lpstr>Mapa_Atividades</vt:lpstr>
      <vt:lpstr>Catalogo_Tabelas</vt:lpstr>
      <vt:lpstr>Integridade_Referencial</vt:lpstr>
      <vt:lpstr>Dim_Processo</vt:lpstr>
      <vt:lpstr>Dim_Funcao</vt:lpstr>
      <vt:lpstr>Dim_Clausula_ISO14001_2026</vt:lpstr>
      <vt:lpstr>Matriz_Fonte_Unica</vt:lpstr>
      <vt:lpstr>Matriz_ISO14001_2026</vt:lpstr>
      <vt:lpstr>Resumo_Prontidao</vt:lpstr>
      <vt:lpstr>Modelo_Dados</vt:lpstr>
      <vt:lpstr>Listas</vt:lpstr>
      <vt:lpstr>Dicionario_Dados</vt:lpstr>
      <vt:lpstr>DataRef</vt:lpstr>
      <vt:lpstr>lst_DataReferencia</vt:lpstr>
      <vt:lpstr>lst_EstadoReq</vt:lpstr>
      <vt:lpstr>lst_InfoDoc</vt:lpstr>
      <vt:lpstr>lst_SimNaoReq</vt:lpstr>
      <vt:lpstr>Catalogo_Tabelas!Títulos_de_Impressão</vt:lpstr>
      <vt:lpstr>Dim_Clausula_ISO14001_2026!Títulos_de_Impressão</vt:lpstr>
      <vt:lpstr>Dim_Funcao!Títulos_de_Impressão</vt:lpstr>
      <vt:lpstr>Dim_Processo!Títulos_de_Impressão</vt:lpstr>
      <vt:lpstr>Ficheiros!Títulos_de_Impressão</vt:lpstr>
      <vt:lpstr>Integridade_Referencial!Títulos_de_Impressão</vt:lpstr>
      <vt:lpstr>Mapa_Atividades!Títulos_de_Impressão</vt:lpstr>
      <vt:lpstr>Matriz_Fonte_Unica!Títulos_de_Impressão</vt:lpstr>
      <vt:lpstr>Matriz_ISO14001_2026!Títulos_de_Impressão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RG-SGA-00 Índice do SGA e Modelo de Dados</dc:title>
  <dc:subject>SGA NP EN ISO 14001:2026 — Plasticom</dc:subject>
  <dc:creator>Gestor(a) do SGA / EHS</dc:creator>
  <cp:lastModifiedBy>Aline Meireles</cp:lastModifiedBy>
  <dcterms:created xsi:type="dcterms:W3CDTF">2026-09-30T09:58:31Z</dcterms:created>
  <dcterms:modified xsi:type="dcterms:W3CDTF">2026-09-30T09:58:42Z</dcterms:modified>
</cp:coreProperties>
</file>