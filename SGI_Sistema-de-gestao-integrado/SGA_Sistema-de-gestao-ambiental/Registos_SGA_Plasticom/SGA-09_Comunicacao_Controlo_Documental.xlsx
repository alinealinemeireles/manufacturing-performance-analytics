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4BAA1A99-B649-47E0-B53A-66866DA643E0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Matriz_Comunicacao" sheetId="2" r:id="rId2"/>
    <sheet name="Lista_Mestra" sheetId="3" r:id="rId3"/>
    <sheet name="Elementos_Controlo" sheetId="4" r:id="rId4"/>
    <sheet name="Verificacao_Documental" sheetId="5" r:id="rId5"/>
    <sheet name="Resumo_Atividade_4_2" sheetId="6" r:id="rId6"/>
    <sheet name="Comunicacoes_Externas" sheetId="7" r:id="rId7"/>
    <sheet name="Listas" sheetId="8" r:id="rId8"/>
    <sheet name="Dicionario_Dados" sheetId="9" r:id="rId9"/>
  </sheets>
  <definedNames>
    <definedName name="DataRef">Listas!$A$3</definedName>
    <definedName name="lst_CE_Estado">Listas!$K$3:$K$5</definedName>
    <definedName name="lst_CE_Sentido">Listas!$I$3:$I$4</definedName>
    <definedName name="lst_CE_Tipo">Listas!$J$3:$J$9</definedName>
    <definedName name="lst_DataReferencia">Listas!$A$3:$A$3</definedName>
    <definedName name="lst_EstadoDoc">Listas!$E$3:$E$5</definedName>
    <definedName name="lst_Funcao">Listas!$C$3:$C$24</definedName>
    <definedName name="lst_OKNOK">Listas!$F$3:$F$4</definedName>
    <definedName name="lst_Processo">Listas!$H$3:$H$18</definedName>
    <definedName name="lst_SimNao">Listas!$G$3:$G$4</definedName>
    <definedName name="lst_Tipo">Listas!$B$3:$B$4</definedName>
    <definedName name="lst_TipoDoc">Listas!$D$3:$D$8</definedName>
    <definedName name="_xlnm.Print_Titles" localSheetId="6">Comunicacoes_Externas!$4:$4</definedName>
    <definedName name="_xlnm.Print_Titles" localSheetId="3">Elementos_Controlo!$1:$1</definedName>
    <definedName name="_xlnm.Print_Titles" localSheetId="2">Lista_Mestra!$1:$1</definedName>
    <definedName name="_xlnm.Print_Titles" localSheetId="1">Matriz_Comunicacao!$4:$4</definedName>
    <definedName name="_xlnm.Print_Titles" localSheetId="4">Verificacao_Documental!$1:$1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8" i="7" l="1"/>
  <c r="P68" i="7"/>
  <c r="Q67" i="7"/>
  <c r="P67" i="7"/>
  <c r="Q66" i="7"/>
  <c r="P66" i="7"/>
  <c r="Q65" i="7"/>
  <c r="P65" i="7"/>
  <c r="Q64" i="7"/>
  <c r="P64" i="7"/>
  <c r="Q63" i="7"/>
  <c r="P63" i="7"/>
  <c r="Q62" i="7"/>
  <c r="P62" i="7"/>
  <c r="Q61" i="7"/>
  <c r="P61" i="7"/>
  <c r="Q60" i="7"/>
  <c r="P60" i="7"/>
  <c r="Q59" i="7"/>
  <c r="P59" i="7"/>
  <c r="Q58" i="7"/>
  <c r="P58" i="7"/>
  <c r="Q57" i="7"/>
  <c r="P57" i="7"/>
  <c r="Q56" i="7"/>
  <c r="P56" i="7"/>
  <c r="Q55" i="7"/>
  <c r="P55" i="7"/>
  <c r="Q54" i="7"/>
  <c r="P54" i="7"/>
  <c r="Q53" i="7"/>
  <c r="P53" i="7"/>
  <c r="Q52" i="7"/>
  <c r="P52" i="7"/>
  <c r="Q51" i="7"/>
  <c r="P51" i="7"/>
  <c r="Q50" i="7"/>
  <c r="P50" i="7"/>
  <c r="Q49" i="7"/>
  <c r="P49" i="7"/>
  <c r="Q48" i="7"/>
  <c r="P48" i="7"/>
  <c r="Q47" i="7"/>
  <c r="P47" i="7"/>
  <c r="Q46" i="7"/>
  <c r="P46" i="7"/>
  <c r="Q45" i="7"/>
  <c r="P45" i="7"/>
  <c r="Q44" i="7"/>
  <c r="P44" i="7"/>
  <c r="Q43" i="7"/>
  <c r="P43" i="7"/>
  <c r="Q42" i="7"/>
  <c r="P42" i="7"/>
  <c r="Q41" i="7"/>
  <c r="P41" i="7"/>
  <c r="Q40" i="7"/>
  <c r="P40" i="7"/>
  <c r="Q39" i="7"/>
  <c r="P39" i="7"/>
  <c r="Q38" i="7"/>
  <c r="P38" i="7"/>
  <c r="Q37" i="7"/>
  <c r="P37" i="7"/>
  <c r="Q36" i="7"/>
  <c r="P36" i="7"/>
  <c r="Q35" i="7"/>
  <c r="P35" i="7"/>
  <c r="Q34" i="7"/>
  <c r="P34" i="7"/>
  <c r="Q33" i="7"/>
  <c r="P33" i="7"/>
  <c r="Q32" i="7"/>
  <c r="P32" i="7"/>
  <c r="Q31" i="7"/>
  <c r="P31" i="7"/>
  <c r="Q30" i="7"/>
  <c r="P30" i="7"/>
  <c r="Q29" i="7"/>
  <c r="P29" i="7"/>
  <c r="Q28" i="7"/>
  <c r="P28" i="7"/>
  <c r="Q27" i="7"/>
  <c r="P27" i="7"/>
  <c r="Q26" i="7"/>
  <c r="P26" i="7"/>
  <c r="Q25" i="7"/>
  <c r="P25" i="7"/>
  <c r="Q24" i="7"/>
  <c r="P24" i="7"/>
  <c r="Q23" i="7"/>
  <c r="P23" i="7"/>
  <c r="Q22" i="7"/>
  <c r="P22" i="7"/>
  <c r="Q21" i="7"/>
  <c r="P21" i="7"/>
  <c r="Q20" i="7"/>
  <c r="P20" i="7"/>
  <c r="Q19" i="7"/>
  <c r="P19" i="7"/>
  <c r="Q18" i="7"/>
  <c r="P18" i="7"/>
  <c r="Q17" i="7"/>
  <c r="P17" i="7"/>
  <c r="Q16" i="7"/>
  <c r="P16" i="7"/>
  <c r="Q15" i="7"/>
  <c r="P15" i="7"/>
  <c r="Q14" i="7"/>
  <c r="P14" i="7"/>
  <c r="Q13" i="7"/>
  <c r="P13" i="7"/>
  <c r="Q12" i="7"/>
  <c r="P12" i="7"/>
  <c r="Q11" i="7"/>
  <c r="P11" i="7"/>
  <c r="Q10" i="7"/>
  <c r="P10" i="7"/>
  <c r="Q9" i="7"/>
  <c r="P9" i="7"/>
  <c r="Q8" i="7"/>
  <c r="P8" i="7"/>
  <c r="Q7" i="7"/>
  <c r="P7" i="7"/>
  <c r="Q6" i="7"/>
  <c r="P6" i="7"/>
  <c r="Q5" i="7"/>
  <c r="P5" i="7"/>
  <c r="B18" i="6"/>
  <c r="A18" i="6"/>
  <c r="B17" i="6"/>
  <c r="A17" i="6"/>
  <c r="B16" i="6"/>
  <c r="A16" i="6"/>
  <c r="B12" i="6"/>
  <c r="B11" i="6"/>
  <c r="B10" i="6"/>
  <c r="B9" i="6"/>
  <c r="B8" i="6"/>
  <c r="B7" i="6"/>
  <c r="B6" i="6"/>
  <c r="B5" i="6"/>
  <c r="B4" i="6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s="1"/>
  <c r="F2" i="5"/>
  <c r="G2" i="5" s="1"/>
  <c r="L45" i="3"/>
  <c r="M45" i="3" s="1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L3" i="3"/>
  <c r="M3" i="3" s="1"/>
  <c r="M2" i="3"/>
  <c r="L2" i="3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B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Identificador.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Interna ou externa.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Cenário de comunicação.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O quê? (mensagem)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 quem? (público)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Quando? (momento)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Como? (canal)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Porquê? (objetivo da comunicação)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Quem comunica.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Requisito ISO.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Como se recolhe feedback/participação (7.4, 2026).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Registo que prova a comunicação.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Data prevista.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Data realizada.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N.º de destinatários previsto.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N.º de destinatários atingidos.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Alcance real ÷ previsto.
[calculado]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Estado calculado.
[calculado]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Cenário da Atividade 4.2.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Código do documento.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Título.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Versão/revisão.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Data de aprovação.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Quem aprovou.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Em vigor / Em revisão / Obsoleto.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Versão substituída.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Onde está disponível.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Onde é usado.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Requisito ISO.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Revisão a cada 24 meses.
[calculado]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Alerta automático.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Elemento de controlo.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O que verificar no documento.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Um dos 3 elementos indicados na Atividade 4.2.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Porque garante que o documento está válido para uso.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Verificação no terreno.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Documento verificado.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Ponto de uso.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Versão encontrada no local.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Versão em vigor segundo a lista mestra.
[calculado]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A versão no local é a em vigor?
[calculado]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Elemento verificado.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OK / NOK.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Descrição do desvio.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Identificador (COM-EXT-AAAA-nn).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Data de receção ou envio.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Recebida ou enviada.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Parte interessada (tbl_partes_interessadas do RG-SGA-01).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Canal.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Assunto.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Tipo de comunicação.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Tema ambiental.</t>
        </r>
      </text>
    </comment>
    <comment ref="I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Incidente associado.</t>
        </r>
      </text>
    </comment>
    <comment ref="J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Prazo de resposta (vazio se não aplicável).</t>
        </r>
      </text>
    </comment>
    <comment ref="K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Data da resposta ou do envio.</t>
        </r>
      </text>
    </comment>
    <comment ref="L4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M4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NC associada.</t>
        </r>
      </text>
    </comment>
    <comment ref="N4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Ação do PAM.</t>
        </r>
      </text>
    </comment>
    <comment ref="O4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P4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Dias até à resposta (comunicações recebidas).
[calculado]</t>
        </r>
      </text>
    </comment>
    <comment ref="Q4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Cumprimento do prazo.
[calculado]</t>
        </r>
      </text>
    </comment>
  </commentList>
</comments>
</file>

<file path=xl/sharedStrings.xml><?xml version="1.0" encoding="utf-8"?>
<sst xmlns="http://schemas.openxmlformats.org/spreadsheetml/2006/main" count="1641" uniqueCount="658">
  <si>
    <t>RG-SGA-09 — Comunicação Ambiental e Controlo da Informação Documentada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</si>
  <si>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</si>
  <si>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</si>
  <si>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</si>
  <si>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RG-SGA-09</t>
  </si>
  <si>
    <t>Título</t>
  </si>
  <si>
    <t>Comunicação Ambiental e Controlo da Informação Documentada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</si>
  <si>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</si>
  <si>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</si>
  <si>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</si>
  <si>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</si>
  <si>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</si>
  <si>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</si>
  <si>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</si>
  <si>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</si>
  <si>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</si>
  <si>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</si>
  <si>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</si>
  <si>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</si>
  <si>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</si>
  <si>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</si>
  <si>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</si>
  <si>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Planear as comunicações internas e externas pela regra dos 4 Q (O quê, A quem, Quando, Como) e medir o alcance; manter a lista mestra de documentos com estado (em vigor, obsoleto, em revisão) e registar verificações documentais no terreno com os elementos obrigatórios de controlo.</t>
  </si>
  <si>
    <t>Atividades do curso</t>
  </si>
  <si>
    <t>Atividade 4.2 — Planeamento da Comunicação (4 Q's, cenário COM-01: divulgar a nova Política Ambiental) e Controlo Documental (3 elementos obrigatórios). A reflexão 'Documento obsoleto vs em vigor' está no documento Word.</t>
  </si>
  <si>
    <t>Requisitos ISO 14001:2026</t>
  </si>
  <si>
    <t>7.4 Comunicação (ISO 14001:2026: permitir que os trabalhadores contribuam para a melhoria contínua); 7.5 Informação documentada (disponível / retida)</t>
  </si>
  <si>
    <t>ESTRUTURA DO FICHEIRO</t>
  </si>
  <si>
    <t>Matriz_Comunicacao</t>
  </si>
  <si>
    <t>Matriz de comunicação (regra dos 4 Q + porquê, responsável, evidência e alcance).</t>
  </si>
  <si>
    <t>Lista_Mestra</t>
  </si>
  <si>
    <t>Lista mestra de documentos e registos do SGA (estado, versão, aprovação, revisão).</t>
  </si>
  <si>
    <t>Elementos_Controlo</t>
  </si>
  <si>
    <t>Elementos obrigatórios de controlo documental (checklist).</t>
  </si>
  <si>
    <t>Verificacao_Documental</t>
  </si>
  <si>
    <t>Resultados de verificações documentais no terreno (formato longo: documento × elemento).</t>
  </si>
  <si>
    <t>Resumo_Atividade_4_2</t>
  </si>
  <si>
    <t>Ficha da Atividade 4.2: os 4 Q do cenário COM-01 e os 3 elementos obrigatórios de controlo documental (calculado).</t>
  </si>
  <si>
    <t>Comunicacoes_Externas</t>
  </si>
  <si>
    <t>Registo de comunicações externas recebidas e enviadas (reclamações, pedidos, relatórios legais, questionários ESG) — 7.4.3.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</si>
  <si>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</si>
  <si>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</si>
  <si>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</si>
  <si>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</si>
  <si>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</si>
  <si>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</si>
  <si>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</si>
  <si>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</si>
  <si>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</si>
  <si>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</si>
  <si>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</si>
  <si>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</si>
  <si>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</si>
  <si>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</si>
  <si>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</si>
  <si>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</si>
  <si>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</si>
  <si>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</si>
  <si>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RG-SGA-16 Kaizen</t>
  </si>
  <si>
    <t>COM-08 alimenta a caixa de sugestões.</t>
  </si>
  <si>
    <t>RG-SGA-07 NC</t>
  </si>
  <si>
    <t>Verificações NOK podem originar NC.</t>
  </si>
  <si>
    <t>MATRIZ DE COMUNICAÇÃO AMBIENTAL — REGRA DOS 4 Q</t>
  </si>
  <si>
    <t>O quê? · A quem? · Quando? · Como? — mais Porquê, Responsável, Evidência e Alcance (calculado)</t>
  </si>
  <si>
    <t>ID_Comunicacao</t>
  </si>
  <si>
    <t>Tipo</t>
  </si>
  <si>
    <t>Cenario</t>
  </si>
  <si>
    <t>O_Que_Mensagem</t>
  </si>
  <si>
    <t>A_Quem_Publico</t>
  </si>
  <si>
    <t>Quando_Momento</t>
  </si>
  <si>
    <t>Como_Canal</t>
  </si>
  <si>
    <t>Porque_Objetivo</t>
  </si>
  <si>
    <t>Responsavel</t>
  </si>
  <si>
    <t>Clausula</t>
  </si>
  <si>
    <t>Participacao_Feedback</t>
  </si>
  <si>
    <t>Evidencia</t>
  </si>
  <si>
    <t>Data_Prevista</t>
  </si>
  <si>
    <t>Data_Realizada</t>
  </si>
  <si>
    <t>Alcance_Previsto</t>
  </si>
  <si>
    <t>Alcance_Real</t>
  </si>
  <si>
    <t>Taxa_Alcance</t>
  </si>
  <si>
    <t>Selecionado_Atv_4_2</t>
  </si>
  <si>
    <t>COM-01</t>
  </si>
  <si>
    <t>Interna</t>
  </si>
  <si>
    <t>Divulgar a nova Política Ambiental (rev. 02, 2026)</t>
  </si>
  <si>
    <t>O que muda na Política Ambiental rev. 02: 7 compromissos (incluindo perdas de granulado, biodiversidade e ciclo de vida) e o que cada trabalhador pode fazer no seu posto.</t>
  </si>
  <si>
    <t>Todos os trabalhadores dos 3 turnos, temporários e prestadores de serviços residentes (≈ 160 pessoas).</t>
  </si>
  <si>
    <t>Na semana seguinte à aprovação (22–26/06/2026); depois no acolhimento de cada novo trabalhador e sempre que a política for revista.</t>
  </si>
  <si>
    <t>Sessões de 10 min no início de cada turno (toolbox), cartaz A3 em cada área e na cantina, publicação no ecrã da entrada e intranet, e cópia no manual de acolhimento.</t>
  </si>
  <si>
    <t>Garantir que todos conhecem a política e o seu papel (7.3) e recolher ideias de melhoria (7.4, ISO 14001:2026).</t>
  </si>
  <si>
    <t>Gestor do SGA / EHS (Responsável Ambiental)</t>
  </si>
  <si>
    <t>5.2; 7.3; 7.4</t>
  </si>
  <si>
    <t>Caixa de sugestões e QR code no cartaz para ideias Kaizen; 3 perguntas de compreensão no fim da sessão.</t>
  </si>
  <si>
    <t>Folhas de presença por turno; fotografias dos cartazes; resultados do questionário.</t>
  </si>
  <si>
    <t>Sim</t>
  </si>
  <si>
    <t>COM-02</t>
  </si>
  <si>
    <t>Resultados ambientais mensais</t>
  </si>
  <si>
    <t>KPI de energia, água, scrap, resíduos e solvente; ações do PAM em atraso.</t>
  </si>
  <si>
    <t>Gerência, chefias de produção, qualidade, manutenção e SGA.</t>
  </si>
  <si>
    <t>Reunião mensal de desempenho (2.ª terça-feira).</t>
  </si>
  <si>
    <t>Painel Power BI e ata da reunião.</t>
  </si>
  <si>
    <t>Decidir com base em dados (9.1.1).</t>
  </si>
  <si>
    <t>7.4; 9.1.1</t>
  </si>
  <si>
    <t>Decisões e responsáveis registados em ata.</t>
  </si>
  <si>
    <t>Atas mensais.</t>
  </si>
  <si>
    <t>Não</t>
  </si>
  <si>
    <t>COM-03</t>
  </si>
  <si>
    <t>Alerta de desvio (solvente +15%)</t>
  </si>
  <si>
    <t>Desvio do consumo de solvente, práticas corretas e pedido de colaboração.</t>
  </si>
  <si>
    <t>Operadores e chefe de serigrafia (3 turnos).</t>
  </si>
  <si>
    <t>Imediatamente após a deteção do desvio.</t>
  </si>
  <si>
    <t>Toolbox de 10 min no posto e aviso no quadro da serigrafia.</t>
  </si>
  <si>
    <t>Conter o desvio (PAM-26-07) e envolver os operadores na investigação.</t>
  </si>
  <si>
    <t>7.4; 10.2</t>
  </si>
  <si>
    <t>Operadores indicaram 3 causas prováveis (registadas no RG-SGA-13).</t>
  </si>
  <si>
    <t>Folha de presença; registo das sugestões.</t>
  </si>
  <si>
    <t>COM-04</t>
  </si>
  <si>
    <t>Externa</t>
  </si>
  <si>
    <t>Requisitos ambientais a fornecedores críticos</t>
  </si>
  <si>
    <t>Critérios ambientais de compra (certificação do conteúdo reciclado, ISO 14001, Operation Clean Sweep).</t>
  </si>
  <si>
    <t>10 fornecedores de resina e masterbatch.</t>
  </si>
  <si>
    <t>Na homologação e na revisão anual.</t>
  </si>
  <si>
    <t>Carta de requisitos + questionário ESG online.</t>
  </si>
  <si>
    <t>Controlar/influenciar processos e produtos fornecidos externamente (8.1, ISO 14001:2026).</t>
  </si>
  <si>
    <t>Responsável de Compras</t>
  </si>
  <si>
    <t>7.4; 8.1</t>
  </si>
  <si>
    <t>Respostas ao questionário (RG-SGA-11).</t>
  </si>
  <si>
    <t>Questionários respondidos.</t>
  </si>
  <si>
    <t>COM-05</t>
  </si>
  <si>
    <t>Resposta a reclamação da vizinhança (ruído)</t>
  </si>
  <si>
    <t>Receção da reclamação, medidas em curso e prazo da avaliação acústica.</t>
  </si>
  <si>
    <t>Reclamante e Junta de Freguesia.</t>
  </si>
  <si>
    <t>Resposta em ≤ 5 dias úteis; fecho após o relatório acústico.</t>
  </si>
  <si>
    <t>Carta/e-mail e contacto telefónico.</t>
  </si>
  <si>
    <t>Manter a relação com a comunidade (4.2) e demonstrar tratamento.</t>
  </si>
  <si>
    <t>7.4; 9.1.2</t>
  </si>
  <si>
    <t>Pedido de feedback ao reclamante após a resposta.</t>
  </si>
  <si>
    <t>Registo de reclamação REC-2026-03.</t>
  </si>
  <si>
    <t>COM-06</t>
  </si>
  <si>
    <t>Reporte a autoridades</t>
  </si>
  <si>
    <t>MIRR anual, controlo de fugas de gases fluorados, relatório SGCIE.</t>
  </si>
  <si>
    <t>APA / DGEG.</t>
  </si>
  <si>
    <t>Nos prazos legais (calendário RG-SGA-04).</t>
  </si>
  <si>
    <t>Plataformas SILiAmb e SGCIE.</t>
  </si>
  <si>
    <t>Cumprir obrigações de conformidade.</t>
  </si>
  <si>
    <t>6.1.3; 7.4</t>
  </si>
  <si>
    <t>—</t>
  </si>
  <si>
    <t>Comprovativos de submissão.</t>
  </si>
  <si>
    <t>COM-07</t>
  </si>
  <si>
    <t>Emergência ambiental com impacte externo</t>
  </si>
  <si>
    <t>Tipo de ocorrência, medidas tomadas e riscos para o exterior.</t>
  </si>
  <si>
    <t>112 / bombeiros, entidade gestora de águas residuais, APA e vizinhos.</t>
  </si>
  <si>
    <t>Imediatamente (≤ 1 h) após ativação do plano de emergência.</t>
  </si>
  <si>
    <t>Telefone (lista de contactos da IT-SGA-01) e comunicado escrito posterior.</t>
  </si>
  <si>
    <t>Limitar consequências (8.2).</t>
  </si>
  <si>
    <t>Diretor Industrial</t>
  </si>
  <si>
    <t>7.4; 8.2</t>
  </si>
  <si>
    <t>Relatório pós-emergência.</t>
  </si>
  <si>
    <t>Registo de comunicações do incidente.</t>
  </si>
  <si>
    <t>COM-08</t>
  </si>
  <si>
    <t>Caixa de sugestões ambientais (Kaizen)</t>
  </si>
  <si>
    <t>Convite a propor pequenas melhorias ambientais com poupança.</t>
  </si>
  <si>
    <t>Todos os trabalhadores.</t>
  </si>
  <si>
    <t>Permanente; revisão mensal das ideias.</t>
  </si>
  <si>
    <t>Caixa física + QR code; reconhecimento mensal da melhor ideia.</t>
  </si>
  <si>
    <t>Permitir que os trabalhadores contribuam para a melhoria contínua (7.4, ISO 14001:2026).</t>
  </si>
  <si>
    <t>Gerente de Produção</t>
  </si>
  <si>
    <t>7.4; 10.1</t>
  </si>
  <si>
    <t>Ideias registadas no RG-SGA-16.</t>
  </si>
  <si>
    <t>Registo de ideias KZ.</t>
  </si>
  <si>
    <t>Codigo</t>
  </si>
  <si>
    <t>Titulo</t>
  </si>
  <si>
    <t>Versao</t>
  </si>
  <si>
    <t>Data_Aprovacao</t>
  </si>
  <si>
    <t>Aprovador</t>
  </si>
  <si>
    <t>Substitui</t>
  </si>
  <si>
    <t>Localizacao</t>
  </si>
  <si>
    <t>Ponto_de_Uso</t>
  </si>
  <si>
    <t>Proxima_Revisao</t>
  </si>
  <si>
    <t>Alerta</t>
  </si>
  <si>
    <t>POL-SGA</t>
  </si>
  <si>
    <t>Política Ambiental</t>
  </si>
  <si>
    <t>Política</t>
  </si>
  <si>
    <t>Obsoleto</t>
  </si>
  <si>
    <t>Arquivo SGA (carimbo 'OBSOLETO')</t>
  </si>
  <si>
    <t>Retirada dos quadros em 26/06/2026</t>
  </si>
  <si>
    <t>5.2</t>
  </si>
  <si>
    <t>02</t>
  </si>
  <si>
    <t>rev. 01</t>
  </si>
  <si>
    <t>Intranet; cartazes em todas as áreas</t>
  </si>
  <si>
    <t>Todas as áreas</t>
  </si>
  <si>
    <t>PR-SGA-01</t>
  </si>
  <si>
    <t>Identificação e avaliação de aspetos ambientais (base PR.G.01.01)</t>
  </si>
  <si>
    <t>Procedimento</t>
  </si>
  <si>
    <t>rev. 00</t>
  </si>
  <si>
    <t>Intranet SGA</t>
  </si>
  <si>
    <t>SGA; chefias</t>
  </si>
  <si>
    <t>6.1.2</t>
  </si>
  <si>
    <t>PR-SGA-02</t>
  </si>
  <si>
    <t>Gestão de riscos e oportunidades (base PG-SGI-006)</t>
  </si>
  <si>
    <t>00</t>
  </si>
  <si>
    <t>6.1.4; 6.1.5</t>
  </si>
  <si>
    <t>PR-SGA-03</t>
  </si>
  <si>
    <t>Obrigações de conformidade e avaliação da conformidade</t>
  </si>
  <si>
    <t>SGA</t>
  </si>
  <si>
    <t>6.1.3; 9.1.2</t>
  </si>
  <si>
    <t>PR-SGA-04</t>
  </si>
  <si>
    <t>Gestão de resíduos</t>
  </si>
  <si>
    <t>Intranet; parque de resíduos</t>
  </si>
  <si>
    <t>Armazém; produção</t>
  </si>
  <si>
    <t>8.1</t>
  </si>
  <si>
    <t>PR-SGA-05</t>
  </si>
  <si>
    <t>Preparação e resposta a emergências</t>
  </si>
  <si>
    <t>Em revisão</t>
  </si>
  <si>
    <t>8.2</t>
  </si>
  <si>
    <t>MAN-SGA-01</t>
  </si>
  <si>
    <t>Manual do SGA — âmbito, estrutura e correspondência com a ISO 14001:2026</t>
  </si>
  <si>
    <t>Manual</t>
  </si>
  <si>
    <t>Documentos_SGA_Plasticom</t>
  </si>
  <si>
    <t>SGA; chefias; partes interessadas (âmbito)</t>
  </si>
  <si>
    <t>4.3; 4.4</t>
  </si>
  <si>
    <t>PR-SGA-06</t>
  </si>
  <si>
    <t>Planeamento de alterações (gestão de mudanças)</t>
  </si>
  <si>
    <t>6.3</t>
  </si>
  <si>
    <t>PR-SGA-07</t>
  </si>
  <si>
    <t>Competência, consciencialização e comunicação</t>
  </si>
  <si>
    <t>RH; chefias; SGA</t>
  </si>
  <si>
    <t>7.2; 7.3; 7.4</t>
  </si>
  <si>
    <t>PR-SGA-08</t>
  </si>
  <si>
    <t>Controlo da informação documentada</t>
  </si>
  <si>
    <t>7.5</t>
  </si>
  <si>
    <t>PR-SGA-09</t>
  </si>
  <si>
    <t>Controlo operacional e processos externos</t>
  </si>
  <si>
    <t>Produção; utilidades; compras</t>
  </si>
  <si>
    <t>PR-SGA-10</t>
  </si>
  <si>
    <t>Monitorização, medição, análise, avaliação e calibração</t>
  </si>
  <si>
    <t>SGA; manutenção</t>
  </si>
  <si>
    <t>9.1.1</t>
  </si>
  <si>
    <t>PR-SGA-11</t>
  </si>
  <si>
    <t>Auditoria interna e revisão pela gestão</t>
  </si>
  <si>
    <t>SGA; gerência</t>
  </si>
  <si>
    <t>9.2; 9.3</t>
  </si>
  <si>
    <t>PR-SGA-12</t>
  </si>
  <si>
    <t>Incidentes, não conformidades, ação corretiva e melhoria contínua</t>
  </si>
  <si>
    <t>10.1; 10.2</t>
  </si>
  <si>
    <t>PR-SGA-13</t>
  </si>
  <si>
    <t>Inventário de GEE e indicadores ESG ambientais</t>
  </si>
  <si>
    <t>SGA; finanças; compras</t>
  </si>
  <si>
    <t>9.1.1; 6.2</t>
  </si>
  <si>
    <t>PR-SGA-14</t>
  </si>
  <si>
    <t>Alegações ambientais e declarações de produto</t>
  </si>
  <si>
    <t>R&amp;D; comercial</t>
  </si>
  <si>
    <t>PR-SGA-15</t>
  </si>
  <si>
    <t>Conceção para reciclagem e conformidade de embalagens (PPWR, RecyClass)</t>
  </si>
  <si>
    <t>R&amp;D; qualidade; compras; comercial</t>
  </si>
  <si>
    <t>8.1; 6.1.3</t>
  </si>
  <si>
    <t>PR-SGA-16</t>
  </si>
  <si>
    <t>Gestão de produtos químicos — REACH, CLP, SVHC e risco químico</t>
  </si>
  <si>
    <t>Engenharia; produção; manutenção; compras; armazém; R&amp;D</t>
  </si>
  <si>
    <t>6.1.3; 8.1; 9.1.2</t>
  </si>
  <si>
    <t>PL-SGA-01</t>
  </si>
  <si>
    <t>Plano de transição climática 2026–2030</t>
  </si>
  <si>
    <t>Plano</t>
  </si>
  <si>
    <t>Gerência</t>
  </si>
  <si>
    <t>6.2; 4.1</t>
  </si>
  <si>
    <t>IT-SGA-01</t>
  </si>
  <si>
    <t>Resposta a derrames de produtos químicos</t>
  </si>
  <si>
    <t>Instrução de trabalho</t>
  </si>
  <si>
    <t>Gestor do SGA</t>
  </si>
  <si>
    <t>Junto a cada kit de derrame</t>
  </si>
  <si>
    <t>Armazém; serigrafia; injeção; manutenção</t>
  </si>
  <si>
    <t>IT-SGA-02</t>
  </si>
  <si>
    <t>Resposta a incêndio com retenção das águas de combate</t>
  </si>
  <si>
    <t>Portaria; armazém de MP</t>
  </si>
  <si>
    <t>Chefes de turno; portaria</t>
  </si>
  <si>
    <t>IT-SER-03</t>
  </si>
  <si>
    <t>Limpeza de ecrãs e rodos na serigrafia</t>
  </si>
  <si>
    <t>Posto SS-001 e SS-002</t>
  </si>
  <si>
    <t>Serigrafia</t>
  </si>
  <si>
    <t>RG-SGA-01</t>
  </si>
  <si>
    <t>Contexto — PESTEL, SWOT, partes interessadas, 5 forças e TOWS (SGA e SGI)</t>
  </si>
  <si>
    <t>Registo</t>
  </si>
  <si>
    <t>Registos_SGA_Plasticom</t>
  </si>
  <si>
    <t>4.1</t>
  </si>
  <si>
    <t>RG-SGA-02</t>
  </si>
  <si>
    <t>Riscos e oportunidades — registo corporativo (política, apetite, riscos, planos SGI, KRI, BowTie, auditorias SGI)</t>
  </si>
  <si>
    <t>03</t>
  </si>
  <si>
    <t>6.1.4</t>
  </si>
  <si>
    <t>RG-SGA-03</t>
  </si>
  <si>
    <t>Matriz de aspetos e impactes (Mod.G.07.00)</t>
  </si>
  <si>
    <t>RG-SGA-04</t>
  </si>
  <si>
    <t>Requisitos legais e conformidade (Mod.G.06.02)</t>
  </si>
  <si>
    <t>RG-SGA-05</t>
  </si>
  <si>
    <t>Objetivos, metas e KPI</t>
  </si>
  <si>
    <t>6.2</t>
  </si>
  <si>
    <t>RG-SGA-06</t>
  </si>
  <si>
    <t>Plano de Ações de Melhoria (Mod.G.10.00)</t>
  </si>
  <si>
    <t>6.1.5; 10</t>
  </si>
  <si>
    <t>RG-SGA-07</t>
  </si>
  <si>
    <t>Não conformidades e incidentes (RNC)</t>
  </si>
  <si>
    <t>10.2</t>
  </si>
  <si>
    <t>RG-SGA-08</t>
  </si>
  <si>
    <t>Matriz de competências</t>
  </si>
  <si>
    <t>SGA; RH</t>
  </si>
  <si>
    <t>7.2; 7.3</t>
  </si>
  <si>
    <t>Comunicação e controlo documental</t>
  </si>
  <si>
    <t>7.4; 7.5</t>
  </si>
  <si>
    <t>RG-SGA-10</t>
  </si>
  <si>
    <t>Controlo operacional — rondas ambientais</t>
  </si>
  <si>
    <t>SGA; produção</t>
  </si>
  <si>
    <t>RG-SGA-11</t>
  </si>
  <si>
    <t>Fornecedores e ciclo de vida</t>
  </si>
  <si>
    <t>Compras</t>
  </si>
  <si>
    <t>RG-SGA-12</t>
  </si>
  <si>
    <t>Emergências ambientais</t>
  </si>
  <si>
    <t>RG-SGA-13</t>
  </si>
  <si>
    <t>Monitorização, medição e desempenho</t>
  </si>
  <si>
    <t>RG-SGA-14</t>
  </si>
  <si>
    <t>Auditoria interna</t>
  </si>
  <si>
    <t>9.2</t>
  </si>
  <si>
    <t>RG-SGA-15</t>
  </si>
  <si>
    <t>Revisão pela gestão</t>
  </si>
  <si>
    <t>9.3</t>
  </si>
  <si>
    <t>RG-SGA-16</t>
  </si>
  <si>
    <t>Melhoria contínua — Kaizen e EMAS</t>
  </si>
  <si>
    <t>10.1</t>
  </si>
  <si>
    <t>RG-SGA-17</t>
  </si>
  <si>
    <t>Análise de dupla materialidade</t>
  </si>
  <si>
    <t>4.1; 4.2; 6.1</t>
  </si>
  <si>
    <t>RG-SGA-18</t>
  </si>
  <si>
    <t>Planeamento de alterações</t>
  </si>
  <si>
    <t>RG-SGA-19</t>
  </si>
  <si>
    <t>ESG ambiental — calculadora de GEE, metas, pegada e indicadores</t>
  </si>
  <si>
    <t>SGA; gerência; comercial</t>
  </si>
  <si>
    <t>RG-SGA-21</t>
  </si>
  <si>
    <t>Gestão de produtos químicos (REACH, CLP, SVHC e risco químico)</t>
  </si>
  <si>
    <t>Engenharia; produção; manutenção; compras; armazém</t>
  </si>
  <si>
    <t>RG-SGA-20</t>
  </si>
  <si>
    <t>Reciclabilidade e conformidade de embalagens (RecyClass / PPWR)</t>
  </si>
  <si>
    <t>8.1; 6.1.3; 7.4</t>
  </si>
  <si>
    <t>ID_Elemento</t>
  </si>
  <si>
    <t>Elemento</t>
  </si>
  <si>
    <t>Obrigatorio_Atv_4_2</t>
  </si>
  <si>
    <t>Porque</t>
  </si>
  <si>
    <t>EL-01</t>
  </si>
  <si>
    <t>Identificação: título e código únicos</t>
  </si>
  <si>
    <t>Garante que se sabe exatamente que documento é e que não é confundido com outro.</t>
  </si>
  <si>
    <t>EL-02</t>
  </si>
  <si>
    <t>Estado de revisão: n.º de versão/revisão e data de emissão</t>
  </si>
  <si>
    <t>Permite confirmar que é a versão mais recente (comparar com a lista mestra).</t>
  </si>
  <si>
    <t>EL-03</t>
  </si>
  <si>
    <t>Aprovação: quem aprovou e quando (assinatura/validação eletrónica)</t>
  </si>
  <si>
    <t>Só documentos aprovados por pessoa autorizada podem ser usados.</t>
  </si>
  <si>
    <t>EL-04</t>
  </si>
  <si>
    <t>Indicação 'Em vigor' e distribuição controlada no ponto de uso</t>
  </si>
  <si>
    <t>A cópia no posto deve ser a da lista mestra; cópias impressas não controladas marcadas como tal.</t>
  </si>
  <si>
    <t>EL-05</t>
  </si>
  <si>
    <t>Legibilidade, formato e meio adequados</t>
  </si>
  <si>
    <t>Documento legível e utilizável no local.</t>
  </si>
  <si>
    <t>EL-06</t>
  </si>
  <si>
    <t>Proteção e retenção (obsoletos retirados ou identificados)</t>
  </si>
  <si>
    <t>Versões antigas retiradas dos pontos de uso ou carimbadas 'OBSOLETO'.</t>
  </si>
  <si>
    <t>ID_Verificacao</t>
  </si>
  <si>
    <t>Data</t>
  </si>
  <si>
    <t>Codigo_Documento</t>
  </si>
  <si>
    <t>Local</t>
  </si>
  <si>
    <t>Versao_Encontrada</t>
  </si>
  <si>
    <t>Versao_Em_Vigor</t>
  </si>
  <si>
    <t>Versao_Correta</t>
  </si>
  <si>
    <t>Resultado</t>
  </si>
  <si>
    <t>Observacao</t>
  </si>
  <si>
    <t>VD-01</t>
  </si>
  <si>
    <t>Parque de resíduos</t>
  </si>
  <si>
    <t>OK</t>
  </si>
  <si>
    <t>VD-02</t>
  </si>
  <si>
    <t>Kit KIT-03 (injeção/serigrafia)</t>
  </si>
  <si>
    <t>NOK</t>
  </si>
  <si>
    <t>Folha plastificada ilegível (manchas); conteúdo sem etapa pós-uso (ver NC-SGA-26-03).</t>
  </si>
  <si>
    <t>VD-03</t>
  </si>
  <si>
    <t>Posto SS-001</t>
  </si>
  <si>
    <t>Versão 00 (obsoleta) no posto; a lista mestra indica rev. 01 em vigor. Retirada e substituída.</t>
  </si>
  <si>
    <t>VD-04</t>
  </si>
  <si>
    <t>Cantina</t>
  </si>
  <si>
    <t>VD-05</t>
  </si>
  <si>
    <t>Portaria</t>
  </si>
  <si>
    <t>Cópia impressa sem assinatura de aprovação.</t>
  </si>
  <si>
    <t>ATIVIDADE 4.2 — COMUNICAÇÃO (4 Q) E CONTROLO DOCUMENTAL</t>
  </si>
  <si>
    <t>1. COMUNICAÇÃO</t>
  </si>
  <si>
    <t>Cenário</t>
  </si>
  <si>
    <t>O Quê? (mensagem)</t>
  </si>
  <si>
    <t>A Quem? (público)</t>
  </si>
  <si>
    <t>Quando? (momento)</t>
  </si>
  <si>
    <t>Como? (canal)</t>
  </si>
  <si>
    <t>Porquê? (objetivo)</t>
  </si>
  <si>
    <t>Responsável</t>
  </si>
  <si>
    <t>Participação / feedback</t>
  </si>
  <si>
    <t>Evidência</t>
  </si>
  <si>
    <t>Alcance atingido</t>
  </si>
  <si>
    <t>2. CONTROLO DOCUMENTAL — 3 elementos obrigatórios (ex.: Procedimento de Resíduos PR-SGA-04)</t>
  </si>
  <si>
    <t>REGISTO DE COMUNICAÇÕES EXTERNAS (7.4.3)</t>
  </si>
  <si>
    <t>Complementa a Matriz_Comunicacao (plano): aqui fica cada comunicação real, com prazo e resposta · Reclamações ligam a incidentes e NC</t>
  </si>
  <si>
    <t>ID_Com_Ext</t>
  </si>
  <si>
    <t>Sentido</t>
  </si>
  <si>
    <t>Parte_Interessada</t>
  </si>
  <si>
    <t>Canal</t>
  </si>
  <si>
    <t>Assunto</t>
  </si>
  <si>
    <t>Tema</t>
  </si>
  <si>
    <t>ID_Incidente</t>
  </si>
  <si>
    <t>Prazo_Resposta</t>
  </si>
  <si>
    <t>Data_Resposta_Envio</t>
  </si>
  <si>
    <t>ID_NC</t>
  </si>
  <si>
    <t>ID_PAM</t>
  </si>
  <si>
    <t>Dias_Resposta</t>
  </si>
  <si>
    <t>No_Prazo</t>
  </si>
  <si>
    <t>COM-EXT-2025-01</t>
  </si>
  <si>
    <t>Enviada</t>
  </si>
  <si>
    <t>APA / CCDR Centro</t>
  </si>
  <si>
    <t>SILiAmb</t>
  </si>
  <si>
    <t>Submissão do MIRR 2024</t>
  </si>
  <si>
    <t>Relatório legal</t>
  </si>
  <si>
    <t>Resíduos</t>
  </si>
  <si>
    <t>Diretor Geral (Gestão de Topo)</t>
  </si>
  <si>
    <t>Fechada</t>
  </si>
  <si>
    <t>COM-EXT-2025-02</t>
  </si>
  <si>
    <t>Recebida</t>
  </si>
  <si>
    <t>Clientes de cosmética (marcas UE)</t>
  </si>
  <si>
    <t>E-mail</t>
  </si>
  <si>
    <t>Questionário EcoVadis (marca A)</t>
  </si>
  <si>
    <t>Questionário ESG</t>
  </si>
  <si>
    <t>Clima; circularidade</t>
  </si>
  <si>
    <t>COM-EXT-2025-03</t>
  </si>
  <si>
    <t>Comunidade / vizinhança</t>
  </si>
  <si>
    <t>Telefone</t>
  </si>
  <si>
    <t>Reclamação de odor a solvente</t>
  </si>
  <si>
    <t>Reclamação</t>
  </si>
  <si>
    <t>Ar</t>
  </si>
  <si>
    <t>INC-2025-04</t>
  </si>
  <si>
    <t>COM-EXT-2025-04</t>
  </si>
  <si>
    <t>Carta</t>
  </si>
  <si>
    <t>Resposta ao reclamante com medidas tomadas</t>
  </si>
  <si>
    <t>Resposta</t>
  </si>
  <si>
    <t>COM-EXT-2025-05</t>
  </si>
  <si>
    <t>Entidade gestora de água e saneamento</t>
  </si>
  <si>
    <t>E-mail + telefone</t>
  </si>
  <si>
    <t>Notificação de descarga anómala de biocida</t>
  </si>
  <si>
    <t>Notificação</t>
  </si>
  <si>
    <t>Água</t>
  </si>
  <si>
    <t>INC-2025-06</t>
  </si>
  <si>
    <t>Gerente de Manutenção</t>
  </si>
  <si>
    <t>COM-EXT-2025-06</t>
  </si>
  <si>
    <t>Ofício</t>
  </si>
  <si>
    <t>Pedido de boletim analítico extraordinário</t>
  </si>
  <si>
    <t>Pedido de informação</t>
  </si>
  <si>
    <t>COM-EXT-2025-07</t>
  </si>
  <si>
    <t>Portal CDP</t>
  </si>
  <si>
    <t>Questionário CDP Supply Chain (marca B)</t>
  </si>
  <si>
    <t>Clima</t>
  </si>
  <si>
    <t>COM-EXT-2025-08</t>
  </si>
  <si>
    <t>Plataforma F-gas</t>
  </si>
  <si>
    <t>Comunicação de fuga e reparação do CH-01</t>
  </si>
  <si>
    <t>INC-2025-07</t>
  </si>
  <si>
    <t>NC-SGA-25-03</t>
  </si>
  <si>
    <t>COM-EXT-2026-01</t>
  </si>
  <si>
    <t>Câmara Municipal da Marinha Grande</t>
  </si>
  <si>
    <t>SIR / ePortugal</t>
  </si>
  <si>
    <t>Comunicação da substituição dos compressores (LEG-02)</t>
  </si>
  <si>
    <t>Licenciamento</t>
  </si>
  <si>
    <t>COM-EXT-2026-02</t>
  </si>
  <si>
    <t>Submissão do MIRR 2025</t>
  </si>
  <si>
    <t>COM-EXT-2026-03</t>
  </si>
  <si>
    <t>Resultados da monitorização da chaminé FP1</t>
  </si>
  <si>
    <t>COM-EXT-2026-04</t>
  </si>
  <si>
    <t>Clientes alimentar e farmacêutico</t>
  </si>
  <si>
    <t>Pedido de declaração de ausência de PFAS e de conformidade para contacto alimentar</t>
  </si>
  <si>
    <t>Substâncias</t>
  </si>
  <si>
    <t>Gerente da Qualidade</t>
  </si>
  <si>
    <t>COM-EXT-2026-05</t>
  </si>
  <si>
    <t>Pedido de declarações PPWR para 7 famílias</t>
  </si>
  <si>
    <t>Embalagens</t>
  </si>
  <si>
    <t>Responsável de R&amp;D</t>
  </si>
  <si>
    <t>PAM-26-10</t>
  </si>
  <si>
    <t>COM-EXT-2026-06</t>
  </si>
  <si>
    <t>Questionário EcoVadis (marca C)</t>
  </si>
  <si>
    <t>COM-EXT-2026-07</t>
  </si>
  <si>
    <t>Seguradora / banco</t>
  </si>
  <si>
    <t>Visita</t>
  </si>
  <si>
    <t>Visita de risco da seguradora: plano de retenção das águas de combate</t>
  </si>
  <si>
    <t>Emergência</t>
  </si>
  <si>
    <t>COM-EXT-2026-08</t>
  </si>
  <si>
    <t>Formulário do site</t>
  </si>
  <si>
    <t>Reclamação de ruído noturno (compressores)</t>
  </si>
  <si>
    <t>Ruído</t>
  </si>
  <si>
    <t>INC-2026-06</t>
  </si>
  <si>
    <t>NC-SGA-26-01</t>
  </si>
  <si>
    <t>PAM-26-03</t>
  </si>
  <si>
    <t>Respondida</t>
  </si>
  <si>
    <t>COM-EXT-2026-09</t>
  </si>
  <si>
    <t>Segunda reclamação de ruído noturno</t>
  </si>
  <si>
    <t>INC-2026-07</t>
  </si>
  <si>
    <t>COM-EXT-2026-10</t>
  </si>
  <si>
    <t>Carta + reunião</t>
  </si>
  <si>
    <t>Resposta: avaliação acústica acreditada contratada e prazo das medidas</t>
  </si>
  <si>
    <t>COM-EXT-2026-11</t>
  </si>
  <si>
    <t>Newsletter</t>
  </si>
  <si>
    <t>Informação sobre a aplicação do PPWR e o plano da Plasticom</t>
  </si>
  <si>
    <t>Informação voluntária</t>
  </si>
  <si>
    <t>COM-EXT-2026-12</t>
  </si>
  <si>
    <t>Associação setorial (plásticos)</t>
  </si>
  <si>
    <t>Pedido do relatório anual Operation Clean Sweep</t>
  </si>
  <si>
    <t>Granulado</t>
  </si>
  <si>
    <t>PAM-26-11</t>
  </si>
  <si>
    <t>COM-EXT-2026-13</t>
  </si>
  <si>
    <t>Campanha de fiscalização de e-GAR/MIRR: pedido de listagem de guias de 2026</t>
  </si>
  <si>
    <t>Responsável de Armazém e Logística</t>
  </si>
  <si>
    <t>COM-EXT-2026-14</t>
  </si>
  <si>
    <t>Informação: avaliação acústica conforme e medidas implementadas nos compressores</t>
  </si>
  <si>
    <t>COM-EXT-2026-15</t>
  </si>
  <si>
    <t>Questionário CDP Supply Chain 2026 (marca B)</t>
  </si>
  <si>
    <t>COM-EXT-2026-16</t>
  </si>
  <si>
    <t>Resultado da fiscalização de e-GAR/MIRR: sem desconformidades</t>
  </si>
  <si>
    <t>LISTAS CONTROLADAS (domínios de validação de dados) — editar aqui para alterar opções</t>
  </si>
  <si>
    <t>DataReferencia</t>
  </si>
  <si>
    <t>Funcao</t>
  </si>
  <si>
    <t>TipoDoc</t>
  </si>
  <si>
    <t>EstadoDoc</t>
  </si>
  <si>
    <t>OKNOK</t>
  </si>
  <si>
    <t>SimNao</t>
  </si>
  <si>
    <t>Processo</t>
  </si>
  <si>
    <t>CE_Sentido</t>
  </si>
  <si>
    <t>CE_Tipo</t>
  </si>
  <si>
    <t>CE_Estado</t>
  </si>
  <si>
    <t>REC</t>
  </si>
  <si>
    <t>Aberta</t>
  </si>
  <si>
    <t>ARQ</t>
  </si>
  <si>
    <t>INJ</t>
  </si>
  <si>
    <t>SOP</t>
  </si>
  <si>
    <t>SER</t>
  </si>
  <si>
    <t>Modelo</t>
  </si>
  <si>
    <t>HFS</t>
  </si>
  <si>
    <t>MOA</t>
  </si>
  <si>
    <t>UTL</t>
  </si>
  <si>
    <t>MAN</t>
  </si>
  <si>
    <t>Responsável de Recursos Humanos</t>
  </si>
  <si>
    <t>PRS</t>
  </si>
  <si>
    <t>Diretor Financeiro</t>
  </si>
  <si>
    <t>EXP</t>
  </si>
  <si>
    <t>Operador de Serigrafia</t>
  </si>
  <si>
    <t>LAB</t>
  </si>
  <si>
    <t>Operador de Injeção</t>
  </si>
  <si>
    <t>RD</t>
  </si>
  <si>
    <t>Operador de Sopro (ISBM)</t>
  </si>
  <si>
    <t>CMP</t>
  </si>
  <si>
    <t>Operador de Hot Foil</t>
  </si>
  <si>
    <t>ADM</t>
  </si>
  <si>
    <t>Técnico de Manutenção</t>
  </si>
  <si>
    <t>GER</t>
  </si>
  <si>
    <t>Técnico de Utilidades</t>
  </si>
  <si>
    <t>Operador de Armazém / Empilhador</t>
  </si>
  <si>
    <t>Chefe de Turno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</si>
  <si>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</si>
  <si>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</si>
  <si>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</si>
  <si>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</si>
  <si>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</si>
  <si>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</si>
  <si>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Origem</t>
  </si>
  <si>
    <t>Descricao</t>
  </si>
  <si>
    <t>Dominio_Unidade</t>
  </si>
  <si>
    <t>Obrigatorio</t>
  </si>
  <si>
    <t>Chave</t>
  </si>
  <si>
    <t>tbl_comunicacao</t>
  </si>
  <si>
    <t>Texto</t>
  </si>
  <si>
    <t>Entrada</t>
  </si>
  <si>
    <t>Identificador.</t>
  </si>
  <si>
    <t>PK</t>
  </si>
  <si>
    <t>Interna ou externa.</t>
  </si>
  <si>
    <t>Lista lst_Tipo</t>
  </si>
  <si>
    <t>Cenário de comunicação.</t>
  </si>
  <si>
    <t>O quê? (mensagem)</t>
  </si>
  <si>
    <t>A quem? (público)</t>
  </si>
  <si>
    <t>Porquê? (objetivo da comunicação)</t>
  </si>
  <si>
    <t>Quem comunica.</t>
  </si>
  <si>
    <t>Lista lst_Funcao</t>
  </si>
  <si>
    <t>Requisito ISO.</t>
  </si>
  <si>
    <t>Como se recolhe feedback/participação (7.4, 2026).</t>
  </si>
  <si>
    <t>Registo que prova a comunicação.</t>
  </si>
  <si>
    <t>Data (aaaa-mm-dd)</t>
  </si>
  <si>
    <t>Data prevista.</t>
  </si>
  <si>
    <t>Data realizada.</t>
  </si>
  <si>
    <t>Inteiro</t>
  </si>
  <si>
    <t>N.º de destinatários previsto.</t>
  </si>
  <si>
    <t>N.º de destinatários atingidos.</t>
  </si>
  <si>
    <t>Percentagem (fração 0-1)</t>
  </si>
  <si>
    <t>Calculado (fórmula)</t>
  </si>
  <si>
    <t>Alcance real ÷ previsto.</t>
  </si>
  <si>
    <t>Estado calculado.</t>
  </si>
  <si>
    <t>Cenário da Atividade 4.2.</t>
  </si>
  <si>
    <t>Lista lst_SimNao</t>
  </si>
  <si>
    <t>tbl_lista_mestra</t>
  </si>
  <si>
    <t>Código do documento.</t>
  </si>
  <si>
    <t>PK (com Versao)</t>
  </si>
  <si>
    <t>Título.</t>
  </si>
  <si>
    <t>Tipo.</t>
  </si>
  <si>
    <t>Lista lst_TipoDoc</t>
  </si>
  <si>
    <t>Versão/revisão.</t>
  </si>
  <si>
    <t>Data de aprovação.</t>
  </si>
  <si>
    <t>Quem aprovou.</t>
  </si>
  <si>
    <t>Em vigor / Em revisão / Obsoleto.</t>
  </si>
  <si>
    <t>Lista lst_EstadoDoc</t>
  </si>
  <si>
    <t>Versão substituída.</t>
  </si>
  <si>
    <t>Onde está disponível.</t>
  </si>
  <si>
    <t>Onde é usado.</t>
  </si>
  <si>
    <t>Revisão a cada 24 meses.</t>
  </si>
  <si>
    <t>Alerta automático.</t>
  </si>
  <si>
    <t>tbl_elementos</t>
  </si>
  <si>
    <t>Elemento de controlo.</t>
  </si>
  <si>
    <t>O que verificar no documento.</t>
  </si>
  <si>
    <t>Um dos 3 elementos indicados na Atividade 4.2.</t>
  </si>
  <si>
    <t>Porque garante que o documento está válido para uso.</t>
  </si>
  <si>
    <t>tbl_verif_documental</t>
  </si>
  <si>
    <t>Verificação no terreno.</t>
  </si>
  <si>
    <t>PK (com ID_Elemento)</t>
  </si>
  <si>
    <t>Data.</t>
  </si>
  <si>
    <t>Documento verificado.</t>
  </si>
  <si>
    <t>FK → tbl_lista_mestra</t>
  </si>
  <si>
    <t>Ponto de uso.</t>
  </si>
  <si>
    <t>Versão encontrada no local.</t>
  </si>
  <si>
    <t>Versão em vigor segundo a lista mestra.</t>
  </si>
  <si>
    <t>A versão no local é a em vigor?</t>
  </si>
  <si>
    <t>Elemento verificado.</t>
  </si>
  <si>
    <t>FK → tbl_elementos</t>
  </si>
  <si>
    <t>OK / NOK.</t>
  </si>
  <si>
    <t>Lista lst_OKNOK</t>
  </si>
  <si>
    <t>Descrição do desvio.</t>
  </si>
  <si>
    <t>tbl_comunicacoes_externas</t>
  </si>
  <si>
    <t>Identificador (COM-EXT-AAAA-nn).</t>
  </si>
  <si>
    <t>Data de receção ou envio.</t>
  </si>
  <si>
    <t>Recebida ou enviada.</t>
  </si>
  <si>
    <t>Lista lst_CE_Sentido</t>
  </si>
  <si>
    <t>Parte interessada (tbl_partes_interessadas do RG-SGA-01).</t>
  </si>
  <si>
    <t>Canal.</t>
  </si>
  <si>
    <t>Assunto.</t>
  </si>
  <si>
    <t>Tipo de comunicação.</t>
  </si>
  <si>
    <t>Lista lst_CE_Tipo</t>
  </si>
  <si>
    <t>Tema ambiental.</t>
  </si>
  <si>
    <t>Incidente associado.</t>
  </si>
  <si>
    <t>FK → tbl_incidentes</t>
  </si>
  <si>
    <t>Prazo de resposta (vazio se não aplicável).</t>
  </si>
  <si>
    <t>Data da resposta ou do envio.</t>
  </si>
  <si>
    <t>Responsável.</t>
  </si>
  <si>
    <t>NC associada.</t>
  </si>
  <si>
    <t>FK → tbl_nc</t>
  </si>
  <si>
    <t>Ação do PAM.</t>
  </si>
  <si>
    <t>FK → tbl_pam</t>
  </si>
  <si>
    <t>Estado.</t>
  </si>
  <si>
    <t>Lista lst_CE_Estado</t>
  </si>
  <si>
    <t>Dias até à resposta (comunicações recebidas).</t>
  </si>
  <si>
    <t>Cumprimento do prazo.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</si>
</sst>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5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22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municacao" displayName="tbl_comunicacao" ref="A4:S12">
  <autoFilter ref="A4:S12" xr:uid="{00000000-0009-0000-0100-000001000000}"/>
  <tableColumns count="19">
    <tableColumn id="1" xr3:uid="{00000000-0010-0000-0000-000001000000}" name="ID_Comunicacao"/>
    <tableColumn id="2" xr3:uid="{00000000-0010-0000-0000-000002000000}" name="Tipo"/>
    <tableColumn id="3" xr3:uid="{00000000-0010-0000-0000-000003000000}" name="Cenario"/>
    <tableColumn id="4" xr3:uid="{00000000-0010-0000-0000-000004000000}" name="O_Que_Mensagem"/>
    <tableColumn id="5" xr3:uid="{00000000-0010-0000-0000-000005000000}" name="A_Quem_Publico"/>
    <tableColumn id="6" xr3:uid="{00000000-0010-0000-0000-000006000000}" name="Quando_Momento"/>
    <tableColumn id="7" xr3:uid="{00000000-0010-0000-0000-000007000000}" name="Como_Canal"/>
    <tableColumn id="8" xr3:uid="{00000000-0010-0000-0000-000008000000}" name="Porque_Objetivo"/>
    <tableColumn id="9" xr3:uid="{00000000-0010-0000-0000-000009000000}" name="Responsavel"/>
    <tableColumn id="10" xr3:uid="{00000000-0010-0000-0000-00000A000000}" name="Clausula"/>
    <tableColumn id="11" xr3:uid="{00000000-0010-0000-0000-00000B000000}" name="Participacao_Feedback"/>
    <tableColumn id="12" xr3:uid="{00000000-0010-0000-0000-00000C000000}" name="Evidencia"/>
    <tableColumn id="13" xr3:uid="{00000000-0010-0000-0000-00000D000000}" name="Data_Prevista"/>
    <tableColumn id="14" xr3:uid="{00000000-0010-0000-0000-00000E000000}" name="Data_Realizada"/>
    <tableColumn id="15" xr3:uid="{00000000-0010-0000-0000-00000F000000}" name="Alcance_Previsto"/>
    <tableColumn id="16" xr3:uid="{00000000-0010-0000-0000-000010000000}" name="Alcance_Real"/>
    <tableColumn id="17" xr3:uid="{00000000-0010-0000-0000-000011000000}" name="Taxa_Alcance"/>
    <tableColumn id="18" xr3:uid="{00000000-0010-0000-0000-000012000000}" name="Estado"/>
    <tableColumn id="19" xr3:uid="{00000000-0010-0000-0000-000013000000}" name="Selecionado_Atv_4_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lista_mestra" displayName="tbl_lista_mestra" ref="A1:M45">
  <autoFilter ref="A1:M45" xr:uid="{00000000-0009-0000-0100-000002000000}"/>
  <tableColumns count="13">
    <tableColumn id="1" xr3:uid="{00000000-0010-0000-0100-000001000000}" name="Codigo"/>
    <tableColumn id="2" xr3:uid="{00000000-0010-0000-0100-000002000000}" name="Titulo"/>
    <tableColumn id="3" xr3:uid="{00000000-0010-0000-0100-000003000000}" name="Tipo"/>
    <tableColumn id="4" xr3:uid="{00000000-0010-0000-0100-000004000000}" name="Versao"/>
    <tableColumn id="5" xr3:uid="{00000000-0010-0000-0100-000005000000}" name="Data_Aprovacao"/>
    <tableColumn id="6" xr3:uid="{00000000-0010-0000-0100-000006000000}" name="Aprovador"/>
    <tableColumn id="7" xr3:uid="{00000000-0010-0000-0100-000007000000}" name="Estado"/>
    <tableColumn id="8" xr3:uid="{00000000-0010-0000-0100-000008000000}" name="Substitui"/>
    <tableColumn id="9" xr3:uid="{00000000-0010-0000-0100-000009000000}" name="Localizacao"/>
    <tableColumn id="10" xr3:uid="{00000000-0010-0000-0100-00000A000000}" name="Ponto_de_Uso"/>
    <tableColumn id="11" xr3:uid="{00000000-0010-0000-0100-00000B000000}" name="Clausula"/>
    <tableColumn id="12" xr3:uid="{00000000-0010-0000-0100-00000C000000}" name="Proxima_Revisao"/>
    <tableColumn id="13" xr3:uid="{00000000-0010-0000-0100-00000D000000}" name="Alert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elementos" displayName="tbl_elementos" ref="A1:D7">
  <autoFilter ref="A1:D7" xr:uid="{00000000-0009-0000-0100-000003000000}"/>
  <tableColumns count="4">
    <tableColumn id="1" xr3:uid="{00000000-0010-0000-0200-000001000000}" name="ID_Elemento"/>
    <tableColumn id="2" xr3:uid="{00000000-0010-0000-0200-000002000000}" name="Elemento"/>
    <tableColumn id="3" xr3:uid="{00000000-0010-0000-0200-000003000000}" name="Obrigatorio_Atv_4_2"/>
    <tableColumn id="4" xr3:uid="{00000000-0010-0000-0200-000004000000}" name="Porqu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verif_documental" displayName="tbl_verif_documental" ref="A1:J31">
  <autoFilter ref="A1:J31" xr:uid="{00000000-0009-0000-0100-000004000000}"/>
  <tableColumns count="10">
    <tableColumn id="1" xr3:uid="{00000000-0010-0000-0300-000001000000}" name="ID_Verificacao"/>
    <tableColumn id="2" xr3:uid="{00000000-0010-0000-0300-000002000000}" name="Data"/>
    <tableColumn id="3" xr3:uid="{00000000-0010-0000-0300-000003000000}" name="Codigo_Documento"/>
    <tableColumn id="4" xr3:uid="{00000000-0010-0000-0300-000004000000}" name="Local"/>
    <tableColumn id="5" xr3:uid="{00000000-0010-0000-0300-000005000000}" name="Versao_Encontrada"/>
    <tableColumn id="6" xr3:uid="{00000000-0010-0000-0300-000006000000}" name="Versao_Em_Vigor"/>
    <tableColumn id="7" xr3:uid="{00000000-0010-0000-0300-000007000000}" name="Versao_Correta"/>
    <tableColumn id="8" xr3:uid="{00000000-0010-0000-0300-000008000000}" name="ID_Elemento"/>
    <tableColumn id="9" xr3:uid="{00000000-0010-0000-0300-000009000000}" name="Resultado"/>
    <tableColumn id="10" xr3:uid="{00000000-0010-0000-0300-00000A000000}" name="Observaca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omunicacoes_externas" displayName="tbl_comunicacoes_externas" ref="A4:Q68">
  <autoFilter ref="A4:Q68" xr:uid="{00000000-0009-0000-0100-000005000000}"/>
  <tableColumns count="17">
    <tableColumn id="1" xr3:uid="{00000000-0010-0000-0400-000001000000}" name="ID_Com_Ext"/>
    <tableColumn id="2" xr3:uid="{00000000-0010-0000-0400-000002000000}" name="Data"/>
    <tableColumn id="3" xr3:uid="{00000000-0010-0000-0400-000003000000}" name="Sentido"/>
    <tableColumn id="4" xr3:uid="{00000000-0010-0000-0400-000004000000}" name="Parte_Interessada"/>
    <tableColumn id="5" xr3:uid="{00000000-0010-0000-0400-000005000000}" name="Canal"/>
    <tableColumn id="6" xr3:uid="{00000000-0010-0000-0400-000006000000}" name="Assunto"/>
    <tableColumn id="7" xr3:uid="{00000000-0010-0000-0400-000007000000}" name="Tipo"/>
    <tableColumn id="8" xr3:uid="{00000000-0010-0000-0400-000008000000}" name="Tema"/>
    <tableColumn id="9" xr3:uid="{00000000-0010-0000-0400-000009000000}" name="ID_Incidente"/>
    <tableColumn id="10" xr3:uid="{00000000-0010-0000-0400-00000A000000}" name="Prazo_Resposta"/>
    <tableColumn id="11" xr3:uid="{00000000-0010-0000-0400-00000B000000}" name="Data_Resposta_Envio"/>
    <tableColumn id="12" xr3:uid="{00000000-0010-0000-0400-00000C000000}" name="Responsavel"/>
    <tableColumn id="13" xr3:uid="{00000000-0010-0000-0400-00000D000000}" name="ID_NC"/>
    <tableColumn id="14" xr3:uid="{00000000-0010-0000-0400-00000E000000}" name="ID_PAM"/>
    <tableColumn id="15" xr3:uid="{00000000-0010-0000-0400-00000F000000}" name="Estado"/>
    <tableColumn id="16" xr3:uid="{00000000-0010-0000-0400-000010000000}" name="Dias_Resposta"/>
    <tableColumn id="17" xr3:uid="{00000000-0010-0000-0400-000011000000}" name="No_Praz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cionario" displayName="tbl_dicionario" ref="A1:I64">
  <autoFilter ref="A1:I64" xr:uid="{00000000-0009-0000-0100-000006000000}"/>
  <tableColumns count="9">
    <tableColumn id="1" xr3:uid="{00000000-0010-0000-0500-000001000000}" name="Folha"/>
    <tableColumn id="2" xr3:uid="{00000000-0010-0000-0500-000002000000}" name="Tabela"/>
    <tableColumn id="3" xr3:uid="{00000000-0010-0000-0500-000003000000}" name="Coluna"/>
    <tableColumn id="4" xr3:uid="{00000000-0010-0000-0500-000004000000}" name="Tipo"/>
    <tableColumn id="5" xr3:uid="{00000000-0010-0000-0500-000005000000}" name="Origem"/>
    <tableColumn id="6" xr3:uid="{00000000-0010-0000-0500-000006000000}" name="Descricao"/>
    <tableColumn id="7" xr3:uid="{00000000-0010-0000-0500-000007000000}" name="Dominio_Unidade"/>
    <tableColumn id="8" xr3:uid="{00000000-0010-0000-0500-000008000000}" name="Obrigatorio"/>
    <tableColumn id="9" xr3:uid="{00000000-0010-0000-05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0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8" spans="1:2" x14ac:dyDescent="0.3">
      <c r="A28" s="5" t="s">
        <v>42</v>
      </c>
      <c r="B28" s="6" t="s">
        <v>43</v>
      </c>
    </row>
    <row r="30" spans="1:2" x14ac:dyDescent="0.3">
      <c r="A30" s="3" t="s">
        <v>44</v>
      </c>
      <c r="B30" s="4"/>
    </row>
    <row r="31" spans="1:2" ht="26.4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6" spans="1:2" ht="26.4" x14ac:dyDescent="0.3">
      <c r="A36" s="5" t="s">
        <v>55</v>
      </c>
      <c r="B36" s="6" t="s">
        <v>56</v>
      </c>
    </row>
    <row r="38" spans="1:2" x14ac:dyDescent="0.3">
      <c r="A38" s="3" t="s">
        <v>57</v>
      </c>
      <c r="B38" s="4"/>
    </row>
    <row r="39" spans="1:2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2"/>
  <sheetViews>
    <sheetView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9" customWidth="1"/>
    <col min="3" max="3" width="30" customWidth="1"/>
    <col min="4" max="4" width="48" customWidth="1"/>
    <col min="5" max="6" width="34" customWidth="1"/>
    <col min="7" max="7" width="40" customWidth="1"/>
    <col min="8" max="8" width="36" customWidth="1"/>
    <col min="9" max="9" width="24" customWidth="1"/>
    <col min="10" max="10" width="10" customWidth="1"/>
    <col min="11" max="11" width="36" customWidth="1"/>
    <col min="12" max="12" width="30" customWidth="1"/>
    <col min="13" max="14" width="11" customWidth="1"/>
    <col min="15" max="17" width="9" customWidth="1"/>
    <col min="18" max="18" width="12" customWidth="1"/>
    <col min="19" max="19" width="10" customWidth="1"/>
  </cols>
  <sheetData>
    <row r="1" spans="1:19" ht="17.399999999999999" x14ac:dyDescent="0.3">
      <c r="A1" s="1" t="s">
        <v>62</v>
      </c>
    </row>
    <row r="2" spans="1:19" x14ac:dyDescent="0.3">
      <c r="A2" s="2" t="s">
        <v>63</v>
      </c>
    </row>
    <row r="4" spans="1:19" ht="39.6" x14ac:dyDescent="0.3">
      <c r="A4" s="8" t="s">
        <v>64</v>
      </c>
      <c r="B4" s="8" t="s">
        <v>65</v>
      </c>
      <c r="C4" s="8" t="s">
        <v>66</v>
      </c>
      <c r="D4" s="8" t="s">
        <v>67</v>
      </c>
      <c r="E4" s="8" t="s">
        <v>68</v>
      </c>
      <c r="F4" s="8" t="s">
        <v>69</v>
      </c>
      <c r="G4" s="8" t="s">
        <v>70</v>
      </c>
      <c r="H4" s="8" t="s">
        <v>71</v>
      </c>
      <c r="I4" s="8" t="s">
        <v>72</v>
      </c>
      <c r="J4" s="8" t="s">
        <v>73</v>
      </c>
      <c r="K4" s="8" t="s">
        <v>74</v>
      </c>
      <c r="L4" s="8" t="s">
        <v>75</v>
      </c>
      <c r="M4" s="8" t="s">
        <v>76</v>
      </c>
      <c r="N4" s="8" t="s">
        <v>77</v>
      </c>
      <c r="O4" s="8" t="s">
        <v>78</v>
      </c>
      <c r="P4" s="8" t="s">
        <v>79</v>
      </c>
      <c r="Q4" s="9" t="s">
        <v>80</v>
      </c>
      <c r="R4" s="9" t="s">
        <v>14</v>
      </c>
      <c r="S4" s="8" t="s">
        <v>81</v>
      </c>
    </row>
    <row r="5" spans="1:19" ht="94.95" customHeight="1" x14ac:dyDescent="0.3">
      <c r="A5" s="10" t="s">
        <v>82</v>
      </c>
      <c r="B5" s="10" t="s">
        <v>83</v>
      </c>
      <c r="C5" s="10" t="s">
        <v>84</v>
      </c>
      <c r="D5" s="10" t="s">
        <v>85</v>
      </c>
      <c r="E5" s="10" t="s">
        <v>86</v>
      </c>
      <c r="F5" s="10" t="s">
        <v>87</v>
      </c>
      <c r="G5" s="10" t="s">
        <v>88</v>
      </c>
      <c r="H5" s="10" t="s">
        <v>89</v>
      </c>
      <c r="I5" s="10" t="s">
        <v>90</v>
      </c>
      <c r="J5" s="10" t="s">
        <v>91</v>
      </c>
      <c r="K5" s="10" t="s">
        <v>92</v>
      </c>
      <c r="L5" s="10" t="s">
        <v>93</v>
      </c>
      <c r="M5" s="11">
        <v>46199</v>
      </c>
      <c r="N5" s="11">
        <v>46199</v>
      </c>
      <c r="O5" s="12">
        <v>160</v>
      </c>
      <c r="P5" s="12">
        <v>149</v>
      </c>
      <c r="Q5" s="13">
        <f t="shared" ref="Q5:Q12" si="0">IF(O5=0,"",P5/O5)</f>
        <v>0.93125000000000002</v>
      </c>
      <c r="R5" s="14" t="str">
        <f t="shared" ref="R5:R12" si="1">IF(M5="","Por ocorrência",IF(N5&lt;&gt;"",IF(N5&lt;=M5,"Realizada","Realizada c/ atraso"),IF(M5&lt;DataRef,"Atrasada","Planeada")))</f>
        <v>Realizada</v>
      </c>
      <c r="S5" s="10" t="s">
        <v>94</v>
      </c>
    </row>
    <row r="6" spans="1:19" ht="94.95" customHeight="1" x14ac:dyDescent="0.3">
      <c r="A6" s="10" t="s">
        <v>95</v>
      </c>
      <c r="B6" s="10" t="s">
        <v>83</v>
      </c>
      <c r="C6" s="10" t="s">
        <v>96</v>
      </c>
      <c r="D6" s="10" t="s">
        <v>97</v>
      </c>
      <c r="E6" s="10" t="s">
        <v>98</v>
      </c>
      <c r="F6" s="10" t="s">
        <v>99</v>
      </c>
      <c r="G6" s="10" t="s">
        <v>100</v>
      </c>
      <c r="H6" s="10" t="s">
        <v>101</v>
      </c>
      <c r="I6" s="10" t="s">
        <v>90</v>
      </c>
      <c r="J6" s="10" t="s">
        <v>102</v>
      </c>
      <c r="K6" s="10" t="s">
        <v>103</v>
      </c>
      <c r="L6" s="10" t="s">
        <v>104</v>
      </c>
      <c r="M6" s="11">
        <v>46273</v>
      </c>
      <c r="N6" s="11">
        <v>46273</v>
      </c>
      <c r="O6" s="12">
        <v>9</v>
      </c>
      <c r="P6" s="12">
        <v>9</v>
      </c>
      <c r="Q6" s="13">
        <f t="shared" si="0"/>
        <v>1</v>
      </c>
      <c r="R6" s="14" t="str">
        <f t="shared" si="1"/>
        <v>Realizada</v>
      </c>
      <c r="S6" s="10" t="s">
        <v>105</v>
      </c>
    </row>
    <row r="7" spans="1:19" ht="94.95" customHeight="1" x14ac:dyDescent="0.3">
      <c r="A7" s="10" t="s">
        <v>106</v>
      </c>
      <c r="B7" s="10" t="s">
        <v>83</v>
      </c>
      <c r="C7" s="10" t="s">
        <v>107</v>
      </c>
      <c r="D7" s="10" t="s">
        <v>108</v>
      </c>
      <c r="E7" s="10" t="s">
        <v>109</v>
      </c>
      <c r="F7" s="10" t="s">
        <v>110</v>
      </c>
      <c r="G7" s="10" t="s">
        <v>111</v>
      </c>
      <c r="H7" s="10" t="s">
        <v>112</v>
      </c>
      <c r="I7" s="10" t="s">
        <v>90</v>
      </c>
      <c r="J7" s="10" t="s">
        <v>113</v>
      </c>
      <c r="K7" s="10" t="s">
        <v>114</v>
      </c>
      <c r="L7" s="10" t="s">
        <v>115</v>
      </c>
      <c r="M7" s="11">
        <v>46274</v>
      </c>
      <c r="N7" s="11">
        <v>46275</v>
      </c>
      <c r="O7" s="12">
        <v>7</v>
      </c>
      <c r="P7" s="12">
        <v>7</v>
      </c>
      <c r="Q7" s="13">
        <f t="shared" si="0"/>
        <v>1</v>
      </c>
      <c r="R7" s="14" t="str">
        <f t="shared" si="1"/>
        <v>Realizada c/ atraso</v>
      </c>
      <c r="S7" s="10" t="s">
        <v>105</v>
      </c>
    </row>
    <row r="8" spans="1:19" ht="94.95" customHeight="1" x14ac:dyDescent="0.3">
      <c r="A8" s="10" t="s">
        <v>116</v>
      </c>
      <c r="B8" s="10" t="s">
        <v>117</v>
      </c>
      <c r="C8" s="10" t="s">
        <v>118</v>
      </c>
      <c r="D8" s="10" t="s">
        <v>119</v>
      </c>
      <c r="E8" s="10" t="s">
        <v>120</v>
      </c>
      <c r="F8" s="10" t="s">
        <v>121</v>
      </c>
      <c r="G8" s="10" t="s">
        <v>122</v>
      </c>
      <c r="H8" s="10" t="s">
        <v>123</v>
      </c>
      <c r="I8" s="10" t="s">
        <v>124</v>
      </c>
      <c r="J8" s="10" t="s">
        <v>125</v>
      </c>
      <c r="K8" s="10" t="s">
        <v>126</v>
      </c>
      <c r="L8" s="10" t="s">
        <v>127</v>
      </c>
      <c r="M8" s="11">
        <v>46203</v>
      </c>
      <c r="N8" s="11">
        <v>46218</v>
      </c>
      <c r="O8" s="12">
        <v>10</v>
      </c>
      <c r="P8" s="12">
        <v>8</v>
      </c>
      <c r="Q8" s="13">
        <f t="shared" si="0"/>
        <v>0.8</v>
      </c>
      <c r="R8" s="14" t="str">
        <f t="shared" si="1"/>
        <v>Realizada c/ atraso</v>
      </c>
      <c r="S8" s="10" t="s">
        <v>105</v>
      </c>
    </row>
    <row r="9" spans="1:19" ht="94.95" customHeight="1" x14ac:dyDescent="0.3">
      <c r="A9" s="10" t="s">
        <v>128</v>
      </c>
      <c r="B9" s="10" t="s">
        <v>117</v>
      </c>
      <c r="C9" s="10" t="s">
        <v>129</v>
      </c>
      <c r="D9" s="10" t="s">
        <v>130</v>
      </c>
      <c r="E9" s="10" t="s">
        <v>131</v>
      </c>
      <c r="F9" s="10" t="s">
        <v>132</v>
      </c>
      <c r="G9" s="10" t="s">
        <v>133</v>
      </c>
      <c r="H9" s="10" t="s">
        <v>134</v>
      </c>
      <c r="I9" s="10" t="s">
        <v>90</v>
      </c>
      <c r="J9" s="10" t="s">
        <v>135</v>
      </c>
      <c r="K9" s="10" t="s">
        <v>136</v>
      </c>
      <c r="L9" s="10" t="s">
        <v>137</v>
      </c>
      <c r="M9" s="11">
        <v>46284</v>
      </c>
      <c r="N9" s="11">
        <v>46283</v>
      </c>
      <c r="O9" s="12">
        <v>2</v>
      </c>
      <c r="P9" s="12">
        <v>2</v>
      </c>
      <c r="Q9" s="13">
        <f t="shared" si="0"/>
        <v>1</v>
      </c>
      <c r="R9" s="14" t="str">
        <f t="shared" si="1"/>
        <v>Realizada</v>
      </c>
      <c r="S9" s="10" t="s">
        <v>105</v>
      </c>
    </row>
    <row r="10" spans="1:19" ht="94.95" customHeight="1" x14ac:dyDescent="0.3">
      <c r="A10" s="10" t="s">
        <v>138</v>
      </c>
      <c r="B10" s="10" t="s">
        <v>117</v>
      </c>
      <c r="C10" s="10" t="s">
        <v>139</v>
      </c>
      <c r="D10" s="10" t="s">
        <v>140</v>
      </c>
      <c r="E10" s="10" t="s">
        <v>141</v>
      </c>
      <c r="F10" s="10" t="s">
        <v>142</v>
      </c>
      <c r="G10" s="10" t="s">
        <v>143</v>
      </c>
      <c r="H10" s="10" t="s">
        <v>144</v>
      </c>
      <c r="I10" s="10" t="s">
        <v>90</v>
      </c>
      <c r="J10" s="10" t="s">
        <v>145</v>
      </c>
      <c r="K10" s="10" t="s">
        <v>146</v>
      </c>
      <c r="L10" s="10" t="s">
        <v>147</v>
      </c>
      <c r="M10" s="11">
        <v>46112</v>
      </c>
      <c r="N10" s="11">
        <v>46099</v>
      </c>
      <c r="O10" s="12">
        <v>1</v>
      </c>
      <c r="P10" s="12">
        <v>1</v>
      </c>
      <c r="Q10" s="13">
        <f t="shared" si="0"/>
        <v>1</v>
      </c>
      <c r="R10" s="14" t="str">
        <f t="shared" si="1"/>
        <v>Realizada</v>
      </c>
      <c r="S10" s="10" t="s">
        <v>105</v>
      </c>
    </row>
    <row r="11" spans="1:19" ht="94.95" customHeight="1" x14ac:dyDescent="0.3">
      <c r="A11" s="10" t="s">
        <v>148</v>
      </c>
      <c r="B11" s="10" t="s">
        <v>117</v>
      </c>
      <c r="C11" s="10" t="s">
        <v>149</v>
      </c>
      <c r="D11" s="10" t="s">
        <v>150</v>
      </c>
      <c r="E11" s="10" t="s">
        <v>151</v>
      </c>
      <c r="F11" s="10" t="s">
        <v>152</v>
      </c>
      <c r="G11" s="10" t="s">
        <v>153</v>
      </c>
      <c r="H11" s="10" t="s">
        <v>154</v>
      </c>
      <c r="I11" s="10" t="s">
        <v>155</v>
      </c>
      <c r="J11" s="10" t="s">
        <v>156</v>
      </c>
      <c r="K11" s="10" t="s">
        <v>157</v>
      </c>
      <c r="L11" s="10" t="s">
        <v>158</v>
      </c>
      <c r="M11" s="11"/>
      <c r="N11" s="11"/>
      <c r="O11" s="12">
        <v>0</v>
      </c>
      <c r="P11" s="12">
        <v>0</v>
      </c>
      <c r="Q11" s="13" t="str">
        <f t="shared" si="0"/>
        <v/>
      </c>
      <c r="R11" s="14" t="str">
        <f t="shared" si="1"/>
        <v>Por ocorrência</v>
      </c>
      <c r="S11" s="10" t="s">
        <v>105</v>
      </c>
    </row>
    <row r="12" spans="1:19" ht="94.95" customHeight="1" x14ac:dyDescent="0.3">
      <c r="A12" s="10" t="s">
        <v>159</v>
      </c>
      <c r="B12" s="10" t="s">
        <v>83</v>
      </c>
      <c r="C12" s="10" t="s">
        <v>160</v>
      </c>
      <c r="D12" s="10" t="s">
        <v>161</v>
      </c>
      <c r="E12" s="10" t="s">
        <v>162</v>
      </c>
      <c r="F12" s="10" t="s">
        <v>163</v>
      </c>
      <c r="G12" s="10" t="s">
        <v>164</v>
      </c>
      <c r="H12" s="10" t="s">
        <v>165</v>
      </c>
      <c r="I12" s="10" t="s">
        <v>166</v>
      </c>
      <c r="J12" s="10" t="s">
        <v>167</v>
      </c>
      <c r="K12" s="10" t="s">
        <v>168</v>
      </c>
      <c r="L12" s="10" t="s">
        <v>169</v>
      </c>
      <c r="M12" s="11">
        <v>46295</v>
      </c>
      <c r="N12" s="11">
        <v>46296</v>
      </c>
      <c r="O12" s="12">
        <v>160</v>
      </c>
      <c r="P12" s="12">
        <v>142</v>
      </c>
      <c r="Q12" s="13">
        <f t="shared" si="0"/>
        <v>0.88749999999999996</v>
      </c>
      <c r="R12" s="14" t="str">
        <f t="shared" si="1"/>
        <v>Realizada c/ atraso</v>
      </c>
      <c r="S12" s="10" t="s">
        <v>105</v>
      </c>
    </row>
  </sheetData>
  <conditionalFormatting sqref="R5:R212">
    <cfRule type="expression" dxfId="21" priority="1">
      <formula>ISNUMBER(SEARCH("Atrasada",R5))</formula>
    </cfRule>
    <cfRule type="expression" dxfId="20" priority="2">
      <formula>ISNUMBER(SEARCH("atraso",R5))</formula>
    </cfRule>
    <cfRule type="expression" dxfId="19" priority="3">
      <formula>ISNUMBER(SEARCH("Realizada",R5))</formula>
    </cfRule>
    <cfRule type="expression" dxfId="18" priority="4">
      <formula>ISNUMBER(SEARCH("Planeada",R5))</formula>
    </cfRule>
  </conditionalFormatting>
  <conditionalFormatting sqref="S5:S212">
    <cfRule type="expression" dxfId="17" priority="5">
      <formula>ISNUMBER(SEARCH("Sim",S5))</formula>
    </cfRule>
  </conditionalFormatting>
  <dataValidations count="3">
    <dataValidation type="list" allowBlank="1" showErrorMessage="1" errorTitle="Valor inválido" error="Valor fora da lista controlada (ver folha Listas)." sqref="B5:B212" xr:uid="{00000000-0002-0000-0100-000000000000}">
      <formula1>lst_Tipo</formula1>
    </dataValidation>
    <dataValidation type="list" allowBlank="1" showErrorMessage="1" errorTitle="Valor inválido" error="Valor fora da lista controlada (ver folha Listas)." sqref="I5:I212" xr:uid="{00000000-0002-0000-0100-000001000000}">
      <formula1>lst_Funcao</formula1>
    </dataValidation>
    <dataValidation type="list" allowBlank="1" showErrorMessage="1" errorTitle="Valor inválido" error="Valor fora da lista controlada (ver folha Listas)." sqref="S5:S212" xr:uid="{00000000-0002-0000-0100-000002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44" customWidth="1"/>
    <col min="3" max="3" width="16" customWidth="1"/>
    <col min="4" max="4" width="7" customWidth="1"/>
    <col min="5" max="5" width="11" customWidth="1"/>
    <col min="6" max="6" width="16" customWidth="1"/>
    <col min="7" max="7" width="11" customWidth="1"/>
    <col min="8" max="8" width="9" customWidth="1"/>
    <col min="9" max="9" width="28" customWidth="1"/>
    <col min="10" max="10" width="26" customWidth="1"/>
    <col min="11" max="11" width="10" customWidth="1"/>
    <col min="12" max="12" width="11" customWidth="1"/>
    <col min="13" max="13" width="20" customWidth="1"/>
  </cols>
  <sheetData>
    <row r="1" spans="1:13" ht="26.4" x14ac:dyDescent="0.3">
      <c r="A1" s="8" t="s">
        <v>170</v>
      </c>
      <c r="B1" s="8" t="s">
        <v>171</v>
      </c>
      <c r="C1" s="8" t="s">
        <v>65</v>
      </c>
      <c r="D1" s="8" t="s">
        <v>172</v>
      </c>
      <c r="E1" s="8" t="s">
        <v>173</v>
      </c>
      <c r="F1" s="8" t="s">
        <v>174</v>
      </c>
      <c r="G1" s="8" t="s">
        <v>14</v>
      </c>
      <c r="H1" s="8" t="s">
        <v>175</v>
      </c>
      <c r="I1" s="8" t="s">
        <v>176</v>
      </c>
      <c r="J1" s="8" t="s">
        <v>177</v>
      </c>
      <c r="K1" s="8" t="s">
        <v>73</v>
      </c>
      <c r="L1" s="9" t="s">
        <v>178</v>
      </c>
      <c r="M1" s="9" t="s">
        <v>179</v>
      </c>
    </row>
    <row r="2" spans="1:13" ht="30" customHeight="1" x14ac:dyDescent="0.3">
      <c r="A2" s="10" t="s">
        <v>180</v>
      </c>
      <c r="B2" s="10" t="s">
        <v>181</v>
      </c>
      <c r="C2" s="10" t="s">
        <v>182</v>
      </c>
      <c r="D2" s="10" t="s">
        <v>8</v>
      </c>
      <c r="E2" s="11">
        <v>45361</v>
      </c>
      <c r="F2" s="10" t="s">
        <v>13</v>
      </c>
      <c r="G2" s="10" t="s">
        <v>183</v>
      </c>
      <c r="H2" s="10"/>
      <c r="I2" s="10" t="s">
        <v>184</v>
      </c>
      <c r="J2" s="10" t="s">
        <v>185</v>
      </c>
      <c r="K2" s="10" t="s">
        <v>186</v>
      </c>
      <c r="L2" s="15" t="str">
        <f t="shared" ref="L2:L45" si="0">IF(OR(G2="Obsoleto",E2=""),"",EDATE(E2,24))</f>
        <v/>
      </c>
      <c r="M2" s="14" t="str">
        <f t="shared" ref="M2:M45" si="1">IF(G2="Obsoleto","Retirar dos pontos de uso",IF(E2="","Sem aprovação",IF(L2&lt;DataRef,"Revisão vencida",IF(G2="Em revisão","Em revisão","OK"))))</f>
        <v>Retirar dos pontos de uso</v>
      </c>
    </row>
    <row r="3" spans="1:13" ht="30" customHeight="1" x14ac:dyDescent="0.3">
      <c r="A3" s="10" t="s">
        <v>180</v>
      </c>
      <c r="B3" s="10" t="s">
        <v>181</v>
      </c>
      <c r="C3" s="10" t="s">
        <v>182</v>
      </c>
      <c r="D3" s="10" t="s">
        <v>187</v>
      </c>
      <c r="E3" s="11">
        <v>46192</v>
      </c>
      <c r="F3" s="10" t="s">
        <v>13</v>
      </c>
      <c r="G3" s="10" t="s">
        <v>15</v>
      </c>
      <c r="H3" s="10" t="s">
        <v>188</v>
      </c>
      <c r="I3" s="10" t="s">
        <v>189</v>
      </c>
      <c r="J3" s="10" t="s">
        <v>190</v>
      </c>
      <c r="K3" s="10" t="s">
        <v>186</v>
      </c>
      <c r="L3" s="15">
        <f t="shared" si="0"/>
        <v>46923</v>
      </c>
      <c r="M3" s="14" t="str">
        <f t="shared" si="1"/>
        <v>OK</v>
      </c>
    </row>
    <row r="4" spans="1:13" ht="30" customHeight="1" x14ac:dyDescent="0.3">
      <c r="A4" s="10" t="s">
        <v>191</v>
      </c>
      <c r="B4" s="10" t="s">
        <v>192</v>
      </c>
      <c r="C4" s="10" t="s">
        <v>193</v>
      </c>
      <c r="D4" s="10" t="s">
        <v>8</v>
      </c>
      <c r="E4" s="11">
        <v>46157</v>
      </c>
      <c r="F4" s="10" t="s">
        <v>13</v>
      </c>
      <c r="G4" s="10" t="s">
        <v>15</v>
      </c>
      <c r="H4" s="10" t="s">
        <v>194</v>
      </c>
      <c r="I4" s="10" t="s">
        <v>195</v>
      </c>
      <c r="J4" s="10" t="s">
        <v>196</v>
      </c>
      <c r="K4" s="10" t="s">
        <v>197</v>
      </c>
      <c r="L4" s="15">
        <f t="shared" si="0"/>
        <v>46888</v>
      </c>
      <c r="M4" s="14" t="str">
        <f t="shared" si="1"/>
        <v>OK</v>
      </c>
    </row>
    <row r="5" spans="1:13" ht="30" customHeight="1" x14ac:dyDescent="0.3">
      <c r="A5" s="10" t="s">
        <v>198</v>
      </c>
      <c r="B5" s="10" t="s">
        <v>199</v>
      </c>
      <c r="C5" s="10" t="s">
        <v>193</v>
      </c>
      <c r="D5" s="10" t="s">
        <v>200</v>
      </c>
      <c r="E5" s="11">
        <v>46122</v>
      </c>
      <c r="F5" s="10" t="s">
        <v>13</v>
      </c>
      <c r="G5" s="10" t="s">
        <v>15</v>
      </c>
      <c r="H5" s="10"/>
      <c r="I5" s="10" t="s">
        <v>195</v>
      </c>
      <c r="J5" s="10" t="s">
        <v>196</v>
      </c>
      <c r="K5" s="10" t="s">
        <v>201</v>
      </c>
      <c r="L5" s="15">
        <f t="shared" si="0"/>
        <v>46853</v>
      </c>
      <c r="M5" s="14" t="str">
        <f t="shared" si="1"/>
        <v>OK</v>
      </c>
    </row>
    <row r="6" spans="1:13" ht="30" customHeight="1" x14ac:dyDescent="0.3">
      <c r="A6" s="10" t="s">
        <v>202</v>
      </c>
      <c r="B6" s="10" t="s">
        <v>203</v>
      </c>
      <c r="C6" s="10" t="s">
        <v>193</v>
      </c>
      <c r="D6" s="10" t="s">
        <v>200</v>
      </c>
      <c r="E6" s="11">
        <v>46122</v>
      </c>
      <c r="F6" s="10" t="s">
        <v>13</v>
      </c>
      <c r="G6" s="10" t="s">
        <v>15</v>
      </c>
      <c r="H6" s="10"/>
      <c r="I6" s="10" t="s">
        <v>195</v>
      </c>
      <c r="J6" s="10" t="s">
        <v>204</v>
      </c>
      <c r="K6" s="10" t="s">
        <v>205</v>
      </c>
      <c r="L6" s="15">
        <f t="shared" si="0"/>
        <v>46853</v>
      </c>
      <c r="M6" s="14" t="str">
        <f t="shared" si="1"/>
        <v>OK</v>
      </c>
    </row>
    <row r="7" spans="1:13" ht="30" customHeight="1" x14ac:dyDescent="0.3">
      <c r="A7" s="10" t="s">
        <v>206</v>
      </c>
      <c r="B7" s="10" t="s">
        <v>207</v>
      </c>
      <c r="C7" s="10" t="s">
        <v>193</v>
      </c>
      <c r="D7" s="10" t="s">
        <v>187</v>
      </c>
      <c r="E7" s="11">
        <v>45981</v>
      </c>
      <c r="F7" s="10" t="s">
        <v>155</v>
      </c>
      <c r="G7" s="10" t="s">
        <v>15</v>
      </c>
      <c r="H7" s="10" t="s">
        <v>188</v>
      </c>
      <c r="I7" s="10" t="s">
        <v>208</v>
      </c>
      <c r="J7" s="10" t="s">
        <v>209</v>
      </c>
      <c r="K7" s="10" t="s">
        <v>210</v>
      </c>
      <c r="L7" s="15">
        <f t="shared" si="0"/>
        <v>46711</v>
      </c>
      <c r="M7" s="14" t="str">
        <f t="shared" si="1"/>
        <v>OK</v>
      </c>
    </row>
    <row r="8" spans="1:13" ht="30" customHeight="1" x14ac:dyDescent="0.3">
      <c r="A8" s="10" t="s">
        <v>211</v>
      </c>
      <c r="B8" s="10" t="s">
        <v>212</v>
      </c>
      <c r="C8" s="10" t="s">
        <v>193</v>
      </c>
      <c r="D8" s="10" t="s">
        <v>8</v>
      </c>
      <c r="E8" s="11">
        <v>45935</v>
      </c>
      <c r="F8" s="10" t="s">
        <v>155</v>
      </c>
      <c r="G8" s="10" t="s">
        <v>213</v>
      </c>
      <c r="H8" s="10" t="s">
        <v>194</v>
      </c>
      <c r="I8" s="10" t="s">
        <v>195</v>
      </c>
      <c r="J8" s="10" t="s">
        <v>190</v>
      </c>
      <c r="K8" s="10" t="s">
        <v>214</v>
      </c>
      <c r="L8" s="15">
        <f t="shared" si="0"/>
        <v>46665</v>
      </c>
      <c r="M8" s="14" t="str">
        <f t="shared" si="1"/>
        <v>Em revisão</v>
      </c>
    </row>
    <row r="9" spans="1:13" ht="30" customHeight="1" x14ac:dyDescent="0.3">
      <c r="A9" s="10" t="s">
        <v>215</v>
      </c>
      <c r="B9" s="10" t="s">
        <v>216</v>
      </c>
      <c r="C9" s="10" t="s">
        <v>217</v>
      </c>
      <c r="D9" s="10" t="s">
        <v>200</v>
      </c>
      <c r="E9" s="11">
        <v>46289</v>
      </c>
      <c r="F9" s="10" t="s">
        <v>13</v>
      </c>
      <c r="G9" s="10" t="s">
        <v>15</v>
      </c>
      <c r="H9" s="10"/>
      <c r="I9" s="10" t="s">
        <v>218</v>
      </c>
      <c r="J9" s="10" t="s">
        <v>219</v>
      </c>
      <c r="K9" s="10" t="s">
        <v>220</v>
      </c>
      <c r="L9" s="15">
        <f t="shared" si="0"/>
        <v>47020</v>
      </c>
      <c r="M9" s="14" t="str">
        <f t="shared" si="1"/>
        <v>OK</v>
      </c>
    </row>
    <row r="10" spans="1:13" ht="30" customHeight="1" x14ac:dyDescent="0.3">
      <c r="A10" s="10" t="s">
        <v>221</v>
      </c>
      <c r="B10" s="10" t="s">
        <v>222</v>
      </c>
      <c r="C10" s="10" t="s">
        <v>193</v>
      </c>
      <c r="D10" s="10" t="s">
        <v>200</v>
      </c>
      <c r="E10" s="11">
        <v>46289</v>
      </c>
      <c r="F10" s="10" t="s">
        <v>13</v>
      </c>
      <c r="G10" s="10" t="s">
        <v>15</v>
      </c>
      <c r="H10" s="10"/>
      <c r="I10" s="10" t="s">
        <v>218</v>
      </c>
      <c r="J10" s="10" t="s">
        <v>190</v>
      </c>
      <c r="K10" s="10" t="s">
        <v>223</v>
      </c>
      <c r="L10" s="15">
        <f t="shared" si="0"/>
        <v>47020</v>
      </c>
      <c r="M10" s="14" t="str">
        <f t="shared" si="1"/>
        <v>OK</v>
      </c>
    </row>
    <row r="11" spans="1:13" ht="30" customHeight="1" x14ac:dyDescent="0.3">
      <c r="A11" s="10" t="s">
        <v>224</v>
      </c>
      <c r="B11" s="10" t="s">
        <v>225</v>
      </c>
      <c r="C11" s="10" t="s">
        <v>193</v>
      </c>
      <c r="D11" s="10" t="s">
        <v>200</v>
      </c>
      <c r="E11" s="11">
        <v>46289</v>
      </c>
      <c r="F11" s="10" t="s">
        <v>13</v>
      </c>
      <c r="G11" s="10" t="s">
        <v>15</v>
      </c>
      <c r="H11" s="10"/>
      <c r="I11" s="10" t="s">
        <v>218</v>
      </c>
      <c r="J11" s="10" t="s">
        <v>226</v>
      </c>
      <c r="K11" s="10" t="s">
        <v>227</v>
      </c>
      <c r="L11" s="15">
        <f t="shared" si="0"/>
        <v>47020</v>
      </c>
      <c r="M11" s="14" t="str">
        <f t="shared" si="1"/>
        <v>OK</v>
      </c>
    </row>
    <row r="12" spans="1:13" ht="30" customHeight="1" x14ac:dyDescent="0.3">
      <c r="A12" s="10" t="s">
        <v>228</v>
      </c>
      <c r="B12" s="10" t="s">
        <v>229</v>
      </c>
      <c r="C12" s="10" t="s">
        <v>193</v>
      </c>
      <c r="D12" s="10" t="s">
        <v>200</v>
      </c>
      <c r="E12" s="11">
        <v>46289</v>
      </c>
      <c r="F12" s="10" t="s">
        <v>13</v>
      </c>
      <c r="G12" s="10" t="s">
        <v>15</v>
      </c>
      <c r="H12" s="10"/>
      <c r="I12" s="10" t="s">
        <v>218</v>
      </c>
      <c r="J12" s="10" t="s">
        <v>204</v>
      </c>
      <c r="K12" s="10" t="s">
        <v>230</v>
      </c>
      <c r="L12" s="15">
        <f t="shared" si="0"/>
        <v>47020</v>
      </c>
      <c r="M12" s="14" t="str">
        <f t="shared" si="1"/>
        <v>OK</v>
      </c>
    </row>
    <row r="13" spans="1:13" ht="30" customHeight="1" x14ac:dyDescent="0.3">
      <c r="A13" s="10" t="s">
        <v>231</v>
      </c>
      <c r="B13" s="10" t="s">
        <v>232</v>
      </c>
      <c r="C13" s="10" t="s">
        <v>193</v>
      </c>
      <c r="D13" s="10" t="s">
        <v>200</v>
      </c>
      <c r="E13" s="11">
        <v>46289</v>
      </c>
      <c r="F13" s="10" t="s">
        <v>13</v>
      </c>
      <c r="G13" s="10" t="s">
        <v>15</v>
      </c>
      <c r="H13" s="10"/>
      <c r="I13" s="10" t="s">
        <v>218</v>
      </c>
      <c r="J13" s="10" t="s">
        <v>233</v>
      </c>
      <c r="K13" s="10" t="s">
        <v>210</v>
      </c>
      <c r="L13" s="15">
        <f t="shared" si="0"/>
        <v>47020</v>
      </c>
      <c r="M13" s="14" t="str">
        <f t="shared" si="1"/>
        <v>OK</v>
      </c>
    </row>
    <row r="14" spans="1:13" ht="30" customHeight="1" x14ac:dyDescent="0.3">
      <c r="A14" s="10" t="s">
        <v>234</v>
      </c>
      <c r="B14" s="10" t="s">
        <v>235</v>
      </c>
      <c r="C14" s="10" t="s">
        <v>193</v>
      </c>
      <c r="D14" s="10" t="s">
        <v>200</v>
      </c>
      <c r="E14" s="11">
        <v>46289</v>
      </c>
      <c r="F14" s="10" t="s">
        <v>13</v>
      </c>
      <c r="G14" s="10" t="s">
        <v>15</v>
      </c>
      <c r="H14" s="10"/>
      <c r="I14" s="10" t="s">
        <v>218</v>
      </c>
      <c r="J14" s="10" t="s">
        <v>236</v>
      </c>
      <c r="K14" s="10" t="s">
        <v>237</v>
      </c>
      <c r="L14" s="15">
        <f t="shared" si="0"/>
        <v>47020</v>
      </c>
      <c r="M14" s="14" t="str">
        <f t="shared" si="1"/>
        <v>OK</v>
      </c>
    </row>
    <row r="15" spans="1:13" ht="30" customHeight="1" x14ac:dyDescent="0.3">
      <c r="A15" s="10" t="s">
        <v>238</v>
      </c>
      <c r="B15" s="10" t="s">
        <v>239</v>
      </c>
      <c r="C15" s="10" t="s">
        <v>193</v>
      </c>
      <c r="D15" s="10" t="s">
        <v>200</v>
      </c>
      <c r="E15" s="11">
        <v>46289</v>
      </c>
      <c r="F15" s="10" t="s">
        <v>13</v>
      </c>
      <c r="G15" s="10" t="s">
        <v>15</v>
      </c>
      <c r="H15" s="10"/>
      <c r="I15" s="10" t="s">
        <v>218</v>
      </c>
      <c r="J15" s="10" t="s">
        <v>240</v>
      </c>
      <c r="K15" s="10" t="s">
        <v>241</v>
      </c>
      <c r="L15" s="15">
        <f t="shared" si="0"/>
        <v>47020</v>
      </c>
      <c r="M15" s="14" t="str">
        <f t="shared" si="1"/>
        <v>OK</v>
      </c>
    </row>
    <row r="16" spans="1:13" ht="30" customHeight="1" x14ac:dyDescent="0.3">
      <c r="A16" s="10" t="s">
        <v>242</v>
      </c>
      <c r="B16" s="10" t="s">
        <v>243</v>
      </c>
      <c r="C16" s="10" t="s">
        <v>193</v>
      </c>
      <c r="D16" s="10" t="s">
        <v>200</v>
      </c>
      <c r="E16" s="11">
        <v>46289</v>
      </c>
      <c r="F16" s="10" t="s">
        <v>13</v>
      </c>
      <c r="G16" s="10" t="s">
        <v>15</v>
      </c>
      <c r="H16" s="10"/>
      <c r="I16" s="10" t="s">
        <v>218</v>
      </c>
      <c r="J16" s="10" t="s">
        <v>190</v>
      </c>
      <c r="K16" s="10" t="s">
        <v>244</v>
      </c>
      <c r="L16" s="15">
        <f t="shared" si="0"/>
        <v>47020</v>
      </c>
      <c r="M16" s="14" t="str">
        <f t="shared" si="1"/>
        <v>OK</v>
      </c>
    </row>
    <row r="17" spans="1:13" ht="30" customHeight="1" x14ac:dyDescent="0.3">
      <c r="A17" s="10" t="s">
        <v>245</v>
      </c>
      <c r="B17" s="10" t="s">
        <v>246</v>
      </c>
      <c r="C17" s="10" t="s">
        <v>193</v>
      </c>
      <c r="D17" s="10" t="s">
        <v>200</v>
      </c>
      <c r="E17" s="11">
        <v>46289</v>
      </c>
      <c r="F17" s="10" t="s">
        <v>13</v>
      </c>
      <c r="G17" s="10" t="s">
        <v>15</v>
      </c>
      <c r="H17" s="10"/>
      <c r="I17" s="10" t="s">
        <v>218</v>
      </c>
      <c r="J17" s="10" t="s">
        <v>247</v>
      </c>
      <c r="K17" s="10" t="s">
        <v>248</v>
      </c>
      <c r="L17" s="15">
        <f t="shared" si="0"/>
        <v>47020</v>
      </c>
      <c r="M17" s="14" t="str">
        <f t="shared" si="1"/>
        <v>OK</v>
      </c>
    </row>
    <row r="18" spans="1:13" ht="30" customHeight="1" x14ac:dyDescent="0.3">
      <c r="A18" s="10" t="s">
        <v>249</v>
      </c>
      <c r="B18" s="10" t="s">
        <v>250</v>
      </c>
      <c r="C18" s="10" t="s">
        <v>193</v>
      </c>
      <c r="D18" s="10" t="s">
        <v>200</v>
      </c>
      <c r="E18" s="11">
        <v>46289</v>
      </c>
      <c r="F18" s="10" t="s">
        <v>13</v>
      </c>
      <c r="G18" s="10" t="s">
        <v>15</v>
      </c>
      <c r="H18" s="10"/>
      <c r="I18" s="10" t="s">
        <v>218</v>
      </c>
      <c r="J18" s="10" t="s">
        <v>251</v>
      </c>
      <c r="K18" s="10" t="s">
        <v>125</v>
      </c>
      <c r="L18" s="15">
        <f t="shared" si="0"/>
        <v>47020</v>
      </c>
      <c r="M18" s="14" t="str">
        <f t="shared" si="1"/>
        <v>OK</v>
      </c>
    </row>
    <row r="19" spans="1:13" ht="30" customHeight="1" x14ac:dyDescent="0.3">
      <c r="A19" s="10" t="s">
        <v>252</v>
      </c>
      <c r="B19" s="10" t="s">
        <v>253</v>
      </c>
      <c r="C19" s="10" t="s">
        <v>193</v>
      </c>
      <c r="D19" s="10" t="s">
        <v>200</v>
      </c>
      <c r="E19" s="11">
        <v>46289</v>
      </c>
      <c r="F19" s="10" t="s">
        <v>13</v>
      </c>
      <c r="G19" s="10" t="s">
        <v>15</v>
      </c>
      <c r="H19" s="10"/>
      <c r="I19" s="10" t="s">
        <v>218</v>
      </c>
      <c r="J19" s="10" t="s">
        <v>254</v>
      </c>
      <c r="K19" s="10" t="s">
        <v>255</v>
      </c>
      <c r="L19" s="15">
        <f t="shared" si="0"/>
        <v>47020</v>
      </c>
      <c r="M19" s="14" t="str">
        <f t="shared" si="1"/>
        <v>OK</v>
      </c>
    </row>
    <row r="20" spans="1:13" ht="30" customHeight="1" x14ac:dyDescent="0.3">
      <c r="A20" s="10" t="s">
        <v>256</v>
      </c>
      <c r="B20" s="10" t="s">
        <v>257</v>
      </c>
      <c r="C20" s="10" t="s">
        <v>193</v>
      </c>
      <c r="D20" s="10" t="s">
        <v>200</v>
      </c>
      <c r="E20" s="11">
        <v>46289</v>
      </c>
      <c r="F20" s="10" t="s">
        <v>13</v>
      </c>
      <c r="G20" s="10" t="s">
        <v>15</v>
      </c>
      <c r="H20" s="10"/>
      <c r="I20" s="10" t="s">
        <v>218</v>
      </c>
      <c r="J20" s="10" t="s">
        <v>258</v>
      </c>
      <c r="K20" s="10" t="s">
        <v>259</v>
      </c>
      <c r="L20" s="15">
        <f t="shared" si="0"/>
        <v>47020</v>
      </c>
      <c r="M20" s="14" t="str">
        <f t="shared" si="1"/>
        <v>OK</v>
      </c>
    </row>
    <row r="21" spans="1:13" ht="30" customHeight="1" x14ac:dyDescent="0.3">
      <c r="A21" s="10" t="s">
        <v>260</v>
      </c>
      <c r="B21" s="10" t="s">
        <v>261</v>
      </c>
      <c r="C21" s="10" t="s">
        <v>262</v>
      </c>
      <c r="D21" s="10" t="s">
        <v>200</v>
      </c>
      <c r="E21" s="11">
        <v>46310</v>
      </c>
      <c r="F21" s="10" t="s">
        <v>13</v>
      </c>
      <c r="G21" s="10" t="s">
        <v>15</v>
      </c>
      <c r="H21" s="10"/>
      <c r="I21" s="10" t="s">
        <v>218</v>
      </c>
      <c r="J21" s="10" t="s">
        <v>263</v>
      </c>
      <c r="K21" s="10" t="s">
        <v>264</v>
      </c>
      <c r="L21" s="15">
        <f t="shared" si="0"/>
        <v>47041</v>
      </c>
      <c r="M21" s="14" t="str">
        <f t="shared" si="1"/>
        <v>OK</v>
      </c>
    </row>
    <row r="22" spans="1:13" ht="30" customHeight="1" x14ac:dyDescent="0.3">
      <c r="A22" s="10" t="s">
        <v>265</v>
      </c>
      <c r="B22" s="10" t="s">
        <v>266</v>
      </c>
      <c r="C22" s="10" t="s">
        <v>267</v>
      </c>
      <c r="D22" s="10" t="s">
        <v>8</v>
      </c>
      <c r="E22" s="11">
        <v>46324</v>
      </c>
      <c r="F22" s="10" t="s">
        <v>268</v>
      </c>
      <c r="G22" s="10" t="s">
        <v>15</v>
      </c>
      <c r="H22" s="10" t="s">
        <v>194</v>
      </c>
      <c r="I22" s="10" t="s">
        <v>269</v>
      </c>
      <c r="J22" s="10" t="s">
        <v>270</v>
      </c>
      <c r="K22" s="10" t="s">
        <v>214</v>
      </c>
      <c r="L22" s="15">
        <f t="shared" si="0"/>
        <v>47055</v>
      </c>
      <c r="M22" s="14" t="str">
        <f t="shared" si="1"/>
        <v>OK</v>
      </c>
    </row>
    <row r="23" spans="1:13" ht="30" customHeight="1" x14ac:dyDescent="0.3">
      <c r="A23" s="10" t="s">
        <v>271</v>
      </c>
      <c r="B23" s="10" t="s">
        <v>272</v>
      </c>
      <c r="C23" s="10" t="s">
        <v>267</v>
      </c>
      <c r="D23" s="10" t="s">
        <v>200</v>
      </c>
      <c r="E23" s="11">
        <v>46063</v>
      </c>
      <c r="F23" s="10" t="s">
        <v>155</v>
      </c>
      <c r="G23" s="10" t="s">
        <v>15</v>
      </c>
      <c r="H23" s="10"/>
      <c r="I23" s="10" t="s">
        <v>273</v>
      </c>
      <c r="J23" s="10" t="s">
        <v>274</v>
      </c>
      <c r="K23" s="10" t="s">
        <v>214</v>
      </c>
      <c r="L23" s="15">
        <f t="shared" si="0"/>
        <v>46793</v>
      </c>
      <c r="M23" s="14" t="str">
        <f t="shared" si="1"/>
        <v>OK</v>
      </c>
    </row>
    <row r="24" spans="1:13" ht="30" customHeight="1" x14ac:dyDescent="0.3">
      <c r="A24" s="10" t="s">
        <v>275</v>
      </c>
      <c r="B24" s="10" t="s">
        <v>276</v>
      </c>
      <c r="C24" s="10" t="s">
        <v>267</v>
      </c>
      <c r="D24" s="10" t="s">
        <v>187</v>
      </c>
      <c r="E24" s="11">
        <v>46336</v>
      </c>
      <c r="F24" s="10" t="s">
        <v>166</v>
      </c>
      <c r="G24" s="10" t="s">
        <v>15</v>
      </c>
      <c r="H24" s="10" t="s">
        <v>188</v>
      </c>
      <c r="I24" s="10" t="s">
        <v>277</v>
      </c>
      <c r="J24" s="10" t="s">
        <v>278</v>
      </c>
      <c r="K24" s="10" t="s">
        <v>210</v>
      </c>
      <c r="L24" s="15">
        <f t="shared" si="0"/>
        <v>47067</v>
      </c>
      <c r="M24" s="14" t="str">
        <f t="shared" si="1"/>
        <v>OK</v>
      </c>
    </row>
    <row r="25" spans="1:13" ht="30" customHeight="1" x14ac:dyDescent="0.3">
      <c r="A25" s="10" t="s">
        <v>279</v>
      </c>
      <c r="B25" s="10" t="s">
        <v>280</v>
      </c>
      <c r="C25" s="10" t="s">
        <v>281</v>
      </c>
      <c r="D25" s="10" t="s">
        <v>187</v>
      </c>
      <c r="E25" s="11">
        <v>46289</v>
      </c>
      <c r="F25" s="10" t="s">
        <v>13</v>
      </c>
      <c r="G25" s="10" t="s">
        <v>15</v>
      </c>
      <c r="H25" s="10"/>
      <c r="I25" s="10" t="s">
        <v>282</v>
      </c>
      <c r="J25" s="10" t="s">
        <v>204</v>
      </c>
      <c r="K25" s="10" t="s">
        <v>283</v>
      </c>
      <c r="L25" s="15">
        <f t="shared" si="0"/>
        <v>47020</v>
      </c>
      <c r="M25" s="14" t="str">
        <f t="shared" si="1"/>
        <v>OK</v>
      </c>
    </row>
    <row r="26" spans="1:13" ht="30" customHeight="1" x14ac:dyDescent="0.3">
      <c r="A26" s="10" t="s">
        <v>284</v>
      </c>
      <c r="B26" s="10" t="s">
        <v>285</v>
      </c>
      <c r="C26" s="10" t="s">
        <v>281</v>
      </c>
      <c r="D26" s="10" t="s">
        <v>286</v>
      </c>
      <c r="E26" s="11">
        <v>46289</v>
      </c>
      <c r="F26" s="10" t="s">
        <v>13</v>
      </c>
      <c r="G26" s="10" t="s">
        <v>15</v>
      </c>
      <c r="H26" s="10"/>
      <c r="I26" s="10" t="s">
        <v>282</v>
      </c>
      <c r="J26" s="10" t="s">
        <v>204</v>
      </c>
      <c r="K26" s="10" t="s">
        <v>287</v>
      </c>
      <c r="L26" s="15">
        <f t="shared" si="0"/>
        <v>47020</v>
      </c>
      <c r="M26" s="14" t="str">
        <f t="shared" si="1"/>
        <v>OK</v>
      </c>
    </row>
    <row r="27" spans="1:13" ht="30" customHeight="1" x14ac:dyDescent="0.3">
      <c r="A27" s="10" t="s">
        <v>288</v>
      </c>
      <c r="B27" s="10" t="s">
        <v>289</v>
      </c>
      <c r="C27" s="10" t="s">
        <v>281</v>
      </c>
      <c r="D27" s="10" t="s">
        <v>8</v>
      </c>
      <c r="E27" s="11">
        <v>46288</v>
      </c>
      <c r="F27" s="10" t="s">
        <v>13</v>
      </c>
      <c r="G27" s="10" t="s">
        <v>15</v>
      </c>
      <c r="H27" s="10"/>
      <c r="I27" s="10" t="s">
        <v>282</v>
      </c>
      <c r="J27" s="10" t="s">
        <v>204</v>
      </c>
      <c r="K27" s="10" t="s">
        <v>197</v>
      </c>
      <c r="L27" s="15">
        <f t="shared" si="0"/>
        <v>47019</v>
      </c>
      <c r="M27" s="14" t="str">
        <f t="shared" si="1"/>
        <v>OK</v>
      </c>
    </row>
    <row r="28" spans="1:13" ht="30" customHeight="1" x14ac:dyDescent="0.3">
      <c r="A28" s="10" t="s">
        <v>290</v>
      </c>
      <c r="B28" s="10" t="s">
        <v>291</v>
      </c>
      <c r="C28" s="10" t="s">
        <v>281</v>
      </c>
      <c r="D28" s="10" t="s">
        <v>8</v>
      </c>
      <c r="E28" s="11">
        <v>46288</v>
      </c>
      <c r="F28" s="10" t="s">
        <v>13</v>
      </c>
      <c r="G28" s="10" t="s">
        <v>15</v>
      </c>
      <c r="H28" s="10"/>
      <c r="I28" s="10" t="s">
        <v>282</v>
      </c>
      <c r="J28" s="10" t="s">
        <v>204</v>
      </c>
      <c r="K28" s="10" t="s">
        <v>205</v>
      </c>
      <c r="L28" s="15">
        <f t="shared" si="0"/>
        <v>47019</v>
      </c>
      <c r="M28" s="14" t="str">
        <f t="shared" si="1"/>
        <v>OK</v>
      </c>
    </row>
    <row r="29" spans="1:13" ht="30" customHeight="1" x14ac:dyDescent="0.3">
      <c r="A29" s="10" t="s">
        <v>292</v>
      </c>
      <c r="B29" s="10" t="s">
        <v>293</v>
      </c>
      <c r="C29" s="10" t="s">
        <v>281</v>
      </c>
      <c r="D29" s="10" t="s">
        <v>8</v>
      </c>
      <c r="E29" s="11">
        <v>46288</v>
      </c>
      <c r="F29" s="10" t="s">
        <v>13</v>
      </c>
      <c r="G29" s="10" t="s">
        <v>15</v>
      </c>
      <c r="H29" s="10"/>
      <c r="I29" s="10" t="s">
        <v>282</v>
      </c>
      <c r="J29" s="10" t="s">
        <v>204</v>
      </c>
      <c r="K29" s="10" t="s">
        <v>294</v>
      </c>
      <c r="L29" s="15">
        <f t="shared" si="0"/>
        <v>47019</v>
      </c>
      <c r="M29" s="14" t="str">
        <f t="shared" si="1"/>
        <v>OK</v>
      </c>
    </row>
    <row r="30" spans="1:13" ht="30" customHeight="1" x14ac:dyDescent="0.3">
      <c r="A30" s="10" t="s">
        <v>295</v>
      </c>
      <c r="B30" s="10" t="s">
        <v>296</v>
      </c>
      <c r="C30" s="10" t="s">
        <v>281</v>
      </c>
      <c r="D30" s="10" t="s">
        <v>8</v>
      </c>
      <c r="E30" s="11">
        <v>46288</v>
      </c>
      <c r="F30" s="10" t="s">
        <v>13</v>
      </c>
      <c r="G30" s="10" t="s">
        <v>15</v>
      </c>
      <c r="H30" s="10"/>
      <c r="I30" s="10" t="s">
        <v>282</v>
      </c>
      <c r="J30" s="10" t="s">
        <v>204</v>
      </c>
      <c r="K30" s="10" t="s">
        <v>297</v>
      </c>
      <c r="L30" s="15">
        <f t="shared" si="0"/>
        <v>47019</v>
      </c>
      <c r="M30" s="14" t="str">
        <f t="shared" si="1"/>
        <v>OK</v>
      </c>
    </row>
    <row r="31" spans="1:13" ht="30" customHeight="1" x14ac:dyDescent="0.3">
      <c r="A31" s="10" t="s">
        <v>298</v>
      </c>
      <c r="B31" s="10" t="s">
        <v>299</v>
      </c>
      <c r="C31" s="10" t="s">
        <v>281</v>
      </c>
      <c r="D31" s="10" t="s">
        <v>8</v>
      </c>
      <c r="E31" s="11">
        <v>46288</v>
      </c>
      <c r="F31" s="10" t="s">
        <v>13</v>
      </c>
      <c r="G31" s="10" t="s">
        <v>15</v>
      </c>
      <c r="H31" s="10"/>
      <c r="I31" s="10" t="s">
        <v>282</v>
      </c>
      <c r="J31" s="10" t="s">
        <v>204</v>
      </c>
      <c r="K31" s="10" t="s">
        <v>300</v>
      </c>
      <c r="L31" s="15">
        <f t="shared" si="0"/>
        <v>47019</v>
      </c>
      <c r="M31" s="14" t="str">
        <f t="shared" si="1"/>
        <v>OK</v>
      </c>
    </row>
    <row r="32" spans="1:13" ht="30" customHeight="1" x14ac:dyDescent="0.3">
      <c r="A32" s="10" t="s">
        <v>301</v>
      </c>
      <c r="B32" s="10" t="s">
        <v>302</v>
      </c>
      <c r="C32" s="10" t="s">
        <v>281</v>
      </c>
      <c r="D32" s="10" t="s">
        <v>8</v>
      </c>
      <c r="E32" s="11">
        <v>46288</v>
      </c>
      <c r="F32" s="10" t="s">
        <v>13</v>
      </c>
      <c r="G32" s="10" t="s">
        <v>15</v>
      </c>
      <c r="H32" s="10"/>
      <c r="I32" s="10" t="s">
        <v>282</v>
      </c>
      <c r="J32" s="10" t="s">
        <v>303</v>
      </c>
      <c r="K32" s="10" t="s">
        <v>304</v>
      </c>
      <c r="L32" s="15">
        <f t="shared" si="0"/>
        <v>47019</v>
      </c>
      <c r="M32" s="14" t="str">
        <f t="shared" si="1"/>
        <v>OK</v>
      </c>
    </row>
    <row r="33" spans="1:13" ht="30" customHeight="1" x14ac:dyDescent="0.3">
      <c r="A33" s="10" t="s">
        <v>4</v>
      </c>
      <c r="B33" s="10" t="s">
        <v>305</v>
      </c>
      <c r="C33" s="10" t="s">
        <v>281</v>
      </c>
      <c r="D33" s="10" t="s">
        <v>8</v>
      </c>
      <c r="E33" s="11">
        <v>46288</v>
      </c>
      <c r="F33" s="10" t="s">
        <v>13</v>
      </c>
      <c r="G33" s="10" t="s">
        <v>15</v>
      </c>
      <c r="H33" s="10"/>
      <c r="I33" s="10" t="s">
        <v>282</v>
      </c>
      <c r="J33" s="10" t="s">
        <v>204</v>
      </c>
      <c r="K33" s="10" t="s">
        <v>306</v>
      </c>
      <c r="L33" s="15">
        <f t="shared" si="0"/>
        <v>47019</v>
      </c>
      <c r="M33" s="14" t="str">
        <f t="shared" si="1"/>
        <v>OK</v>
      </c>
    </row>
    <row r="34" spans="1:13" ht="30" customHeight="1" x14ac:dyDescent="0.3">
      <c r="A34" s="10" t="s">
        <v>307</v>
      </c>
      <c r="B34" s="10" t="s">
        <v>308</v>
      </c>
      <c r="C34" s="10" t="s">
        <v>281</v>
      </c>
      <c r="D34" s="10" t="s">
        <v>8</v>
      </c>
      <c r="E34" s="11">
        <v>46288</v>
      </c>
      <c r="F34" s="10" t="s">
        <v>13</v>
      </c>
      <c r="G34" s="10" t="s">
        <v>15</v>
      </c>
      <c r="H34" s="10"/>
      <c r="I34" s="10" t="s">
        <v>282</v>
      </c>
      <c r="J34" s="10" t="s">
        <v>309</v>
      </c>
      <c r="K34" s="10" t="s">
        <v>210</v>
      </c>
      <c r="L34" s="15">
        <f t="shared" si="0"/>
        <v>47019</v>
      </c>
      <c r="M34" s="14" t="str">
        <f t="shared" si="1"/>
        <v>OK</v>
      </c>
    </row>
    <row r="35" spans="1:13" ht="30" customHeight="1" x14ac:dyDescent="0.3">
      <c r="A35" s="10" t="s">
        <v>310</v>
      </c>
      <c r="B35" s="10" t="s">
        <v>311</v>
      </c>
      <c r="C35" s="10" t="s">
        <v>281</v>
      </c>
      <c r="D35" s="10" t="s">
        <v>8</v>
      </c>
      <c r="E35" s="11">
        <v>46288</v>
      </c>
      <c r="F35" s="10" t="s">
        <v>13</v>
      </c>
      <c r="G35" s="10" t="s">
        <v>15</v>
      </c>
      <c r="H35" s="10"/>
      <c r="I35" s="10" t="s">
        <v>282</v>
      </c>
      <c r="J35" s="10" t="s">
        <v>312</v>
      </c>
      <c r="K35" s="10" t="s">
        <v>210</v>
      </c>
      <c r="L35" s="15">
        <f t="shared" si="0"/>
        <v>47019</v>
      </c>
      <c r="M35" s="14" t="str">
        <f t="shared" si="1"/>
        <v>OK</v>
      </c>
    </row>
    <row r="36" spans="1:13" ht="30" customHeight="1" x14ac:dyDescent="0.3">
      <c r="A36" s="10" t="s">
        <v>313</v>
      </c>
      <c r="B36" s="10" t="s">
        <v>314</v>
      </c>
      <c r="C36" s="10" t="s">
        <v>281</v>
      </c>
      <c r="D36" s="10" t="s">
        <v>8</v>
      </c>
      <c r="E36" s="11">
        <v>46288</v>
      </c>
      <c r="F36" s="10" t="s">
        <v>13</v>
      </c>
      <c r="G36" s="10" t="s">
        <v>15</v>
      </c>
      <c r="H36" s="10"/>
      <c r="I36" s="10" t="s">
        <v>282</v>
      </c>
      <c r="J36" s="10" t="s">
        <v>204</v>
      </c>
      <c r="K36" s="10" t="s">
        <v>214</v>
      </c>
      <c r="L36" s="15">
        <f t="shared" si="0"/>
        <v>47019</v>
      </c>
      <c r="M36" s="14" t="str">
        <f t="shared" si="1"/>
        <v>OK</v>
      </c>
    </row>
    <row r="37" spans="1:13" ht="30" customHeight="1" x14ac:dyDescent="0.3">
      <c r="A37" s="10" t="s">
        <v>315</v>
      </c>
      <c r="B37" s="10" t="s">
        <v>316</v>
      </c>
      <c r="C37" s="10" t="s">
        <v>281</v>
      </c>
      <c r="D37" s="10" t="s">
        <v>8</v>
      </c>
      <c r="E37" s="11">
        <v>46288</v>
      </c>
      <c r="F37" s="10" t="s">
        <v>13</v>
      </c>
      <c r="G37" s="10" t="s">
        <v>15</v>
      </c>
      <c r="H37" s="10"/>
      <c r="I37" s="10" t="s">
        <v>282</v>
      </c>
      <c r="J37" s="10" t="s">
        <v>204</v>
      </c>
      <c r="K37" s="10" t="s">
        <v>237</v>
      </c>
      <c r="L37" s="15">
        <f t="shared" si="0"/>
        <v>47019</v>
      </c>
      <c r="M37" s="14" t="str">
        <f t="shared" si="1"/>
        <v>OK</v>
      </c>
    </row>
    <row r="38" spans="1:13" ht="30" customHeight="1" x14ac:dyDescent="0.3">
      <c r="A38" s="10" t="s">
        <v>317</v>
      </c>
      <c r="B38" s="10" t="s">
        <v>318</v>
      </c>
      <c r="C38" s="10" t="s">
        <v>281</v>
      </c>
      <c r="D38" s="10" t="s">
        <v>8</v>
      </c>
      <c r="E38" s="11">
        <v>46288</v>
      </c>
      <c r="F38" s="10" t="s">
        <v>13</v>
      </c>
      <c r="G38" s="10" t="s">
        <v>15</v>
      </c>
      <c r="H38" s="10"/>
      <c r="I38" s="10" t="s">
        <v>282</v>
      </c>
      <c r="J38" s="10" t="s">
        <v>204</v>
      </c>
      <c r="K38" s="10" t="s">
        <v>319</v>
      </c>
      <c r="L38" s="15">
        <f t="shared" si="0"/>
        <v>47019</v>
      </c>
      <c r="M38" s="14" t="str">
        <f t="shared" si="1"/>
        <v>OK</v>
      </c>
    </row>
    <row r="39" spans="1:13" ht="30" customHeight="1" x14ac:dyDescent="0.3">
      <c r="A39" s="10" t="s">
        <v>320</v>
      </c>
      <c r="B39" s="10" t="s">
        <v>321</v>
      </c>
      <c r="C39" s="10" t="s">
        <v>281</v>
      </c>
      <c r="D39" s="10" t="s">
        <v>8</v>
      </c>
      <c r="E39" s="11">
        <v>46288</v>
      </c>
      <c r="F39" s="10" t="s">
        <v>13</v>
      </c>
      <c r="G39" s="10" t="s">
        <v>15</v>
      </c>
      <c r="H39" s="10"/>
      <c r="I39" s="10" t="s">
        <v>282</v>
      </c>
      <c r="J39" s="10" t="s">
        <v>263</v>
      </c>
      <c r="K39" s="10" t="s">
        <v>322</v>
      </c>
      <c r="L39" s="15">
        <f t="shared" si="0"/>
        <v>47019</v>
      </c>
      <c r="M39" s="14" t="str">
        <f t="shared" si="1"/>
        <v>OK</v>
      </c>
    </row>
    <row r="40" spans="1:13" ht="30" customHeight="1" x14ac:dyDescent="0.3">
      <c r="A40" s="10" t="s">
        <v>323</v>
      </c>
      <c r="B40" s="10" t="s">
        <v>324</v>
      </c>
      <c r="C40" s="10" t="s">
        <v>281</v>
      </c>
      <c r="D40" s="10" t="s">
        <v>8</v>
      </c>
      <c r="E40" s="11">
        <v>46288</v>
      </c>
      <c r="F40" s="10" t="s">
        <v>13</v>
      </c>
      <c r="G40" s="10" t="s">
        <v>15</v>
      </c>
      <c r="H40" s="10"/>
      <c r="I40" s="10" t="s">
        <v>282</v>
      </c>
      <c r="J40" s="10" t="s">
        <v>204</v>
      </c>
      <c r="K40" s="10" t="s">
        <v>325</v>
      </c>
      <c r="L40" s="15">
        <f t="shared" si="0"/>
        <v>47019</v>
      </c>
      <c r="M40" s="14" t="str">
        <f t="shared" si="1"/>
        <v>OK</v>
      </c>
    </row>
    <row r="41" spans="1:13" ht="30" customHeight="1" x14ac:dyDescent="0.3">
      <c r="A41" s="10" t="s">
        <v>326</v>
      </c>
      <c r="B41" s="10" t="s">
        <v>327</v>
      </c>
      <c r="C41" s="10" t="s">
        <v>281</v>
      </c>
      <c r="D41" s="10" t="s">
        <v>187</v>
      </c>
      <c r="E41" s="11">
        <v>46289</v>
      </c>
      <c r="F41" s="10" t="s">
        <v>13</v>
      </c>
      <c r="G41" s="10" t="s">
        <v>15</v>
      </c>
      <c r="H41" s="10"/>
      <c r="I41" s="10" t="s">
        <v>282</v>
      </c>
      <c r="J41" s="10" t="s">
        <v>240</v>
      </c>
      <c r="K41" s="10" t="s">
        <v>328</v>
      </c>
      <c r="L41" s="15">
        <f t="shared" si="0"/>
        <v>47020</v>
      </c>
      <c r="M41" s="14" t="str">
        <f t="shared" si="1"/>
        <v>OK</v>
      </c>
    </row>
    <row r="42" spans="1:13" ht="30" customHeight="1" x14ac:dyDescent="0.3">
      <c r="A42" s="10" t="s">
        <v>329</v>
      </c>
      <c r="B42" s="10" t="s">
        <v>330</v>
      </c>
      <c r="C42" s="10" t="s">
        <v>281</v>
      </c>
      <c r="D42" s="10" t="s">
        <v>200</v>
      </c>
      <c r="E42" s="11">
        <v>46289</v>
      </c>
      <c r="F42" s="10" t="s">
        <v>13</v>
      </c>
      <c r="G42" s="10" t="s">
        <v>15</v>
      </c>
      <c r="H42" s="10"/>
      <c r="I42" s="10" t="s">
        <v>282</v>
      </c>
      <c r="J42" s="10" t="s">
        <v>190</v>
      </c>
      <c r="K42" s="10" t="s">
        <v>223</v>
      </c>
      <c r="L42" s="15">
        <f t="shared" si="0"/>
        <v>47020</v>
      </c>
      <c r="M42" s="14" t="str">
        <f t="shared" si="1"/>
        <v>OK</v>
      </c>
    </row>
    <row r="43" spans="1:13" ht="30" customHeight="1" x14ac:dyDescent="0.3">
      <c r="A43" s="10" t="s">
        <v>331</v>
      </c>
      <c r="B43" s="10" t="s">
        <v>332</v>
      </c>
      <c r="C43" s="10" t="s">
        <v>281</v>
      </c>
      <c r="D43" s="10" t="s">
        <v>200</v>
      </c>
      <c r="E43" s="11">
        <v>46289</v>
      </c>
      <c r="F43" s="10" t="s">
        <v>13</v>
      </c>
      <c r="G43" s="10" t="s">
        <v>15</v>
      </c>
      <c r="H43" s="10"/>
      <c r="I43" s="10" t="s">
        <v>282</v>
      </c>
      <c r="J43" s="10" t="s">
        <v>333</v>
      </c>
      <c r="K43" s="10" t="s">
        <v>248</v>
      </c>
      <c r="L43" s="15">
        <f t="shared" si="0"/>
        <v>47020</v>
      </c>
      <c r="M43" s="14" t="str">
        <f t="shared" si="1"/>
        <v>OK</v>
      </c>
    </row>
    <row r="44" spans="1:13" ht="30" customHeight="1" x14ac:dyDescent="0.3">
      <c r="A44" s="10" t="s">
        <v>334</v>
      </c>
      <c r="B44" s="10" t="s">
        <v>335</v>
      </c>
      <c r="C44" s="10" t="s">
        <v>281</v>
      </c>
      <c r="D44" s="10" t="s">
        <v>200</v>
      </c>
      <c r="E44" s="11">
        <v>46289</v>
      </c>
      <c r="F44" s="10" t="s">
        <v>13</v>
      </c>
      <c r="G44" s="10" t="s">
        <v>15</v>
      </c>
      <c r="H44" s="10"/>
      <c r="I44" s="10" t="s">
        <v>282</v>
      </c>
      <c r="J44" s="10" t="s">
        <v>336</v>
      </c>
      <c r="K44" s="10" t="s">
        <v>259</v>
      </c>
      <c r="L44" s="15">
        <f t="shared" si="0"/>
        <v>47020</v>
      </c>
      <c r="M44" s="14" t="str">
        <f t="shared" si="1"/>
        <v>OK</v>
      </c>
    </row>
    <row r="45" spans="1:13" ht="30" customHeight="1" x14ac:dyDescent="0.3">
      <c r="A45" s="10" t="s">
        <v>337</v>
      </c>
      <c r="B45" s="10" t="s">
        <v>338</v>
      </c>
      <c r="C45" s="10" t="s">
        <v>281</v>
      </c>
      <c r="D45" s="10" t="s">
        <v>200</v>
      </c>
      <c r="E45" s="11">
        <v>46289</v>
      </c>
      <c r="F45" s="10" t="s">
        <v>13</v>
      </c>
      <c r="G45" s="10" t="s">
        <v>15</v>
      </c>
      <c r="H45" s="10"/>
      <c r="I45" s="10" t="s">
        <v>282</v>
      </c>
      <c r="J45" s="10" t="s">
        <v>254</v>
      </c>
      <c r="K45" s="10" t="s">
        <v>339</v>
      </c>
      <c r="L45" s="15">
        <f t="shared" si="0"/>
        <v>47020</v>
      </c>
      <c r="M45" s="14" t="str">
        <f t="shared" si="1"/>
        <v>OK</v>
      </c>
    </row>
  </sheetData>
  <conditionalFormatting sqref="G2:G245">
    <cfRule type="expression" dxfId="16" priority="1">
      <formula>ISNUMBER(SEARCH("Obsoleto",G2))</formula>
    </cfRule>
    <cfRule type="expression" dxfId="15" priority="2">
      <formula>ISNUMBER(SEARCH("Em revisão",G2))</formula>
    </cfRule>
    <cfRule type="expression" dxfId="14" priority="3">
      <formula>ISNUMBER(SEARCH("Em vigor",G2))</formula>
    </cfRule>
  </conditionalFormatting>
  <conditionalFormatting sqref="M2:M245">
    <cfRule type="expression" dxfId="13" priority="4">
      <formula>ISNUMBER(SEARCH("vencida",M2))</formula>
    </cfRule>
    <cfRule type="expression" dxfId="12" priority="5">
      <formula>ISNUMBER(SEARCH("Sem aprovação",M2))</formula>
    </cfRule>
    <cfRule type="expression" dxfId="11" priority="6">
      <formula>ISNUMBER(SEARCH("Retirar",M2))</formula>
    </cfRule>
    <cfRule type="expression" dxfId="10" priority="7">
      <formula>ISNUMBER(SEARCH("Em revisão",M2))</formula>
    </cfRule>
    <cfRule type="expression" dxfId="9" priority="8">
      <formula>ISNUMBER(SEARCH("OK",M2))</formula>
    </cfRule>
  </conditionalFormatting>
  <dataValidations count="2">
    <dataValidation type="list" allowBlank="1" showErrorMessage="1" errorTitle="Valor inválido" error="Valor fora da lista controlada (ver folha Listas)." sqref="C2:C245" xr:uid="{00000000-0002-0000-0200-000000000000}">
      <formula1>lst_TipoDoc</formula1>
    </dataValidation>
    <dataValidation type="list" allowBlank="1" showErrorMessage="1" errorTitle="Valor inválido" error="Valor fora da lista controlada (ver folha Listas)." sqref="G2:G245" xr:uid="{00000000-0002-0000-0200-000001000000}">
      <formula1>lst_EstadoDoc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50" customWidth="1"/>
    <col min="3" max="3" width="11" customWidth="1"/>
    <col min="4" max="4" width="60" customWidth="1"/>
  </cols>
  <sheetData>
    <row r="1" spans="1:4" ht="26.4" x14ac:dyDescent="0.3">
      <c r="A1" s="8" t="s">
        <v>340</v>
      </c>
      <c r="B1" s="8" t="s">
        <v>341</v>
      </c>
      <c r="C1" s="8" t="s">
        <v>342</v>
      </c>
      <c r="D1" s="8" t="s">
        <v>343</v>
      </c>
    </row>
    <row r="2" spans="1:4" ht="30" customHeight="1" x14ac:dyDescent="0.3">
      <c r="A2" s="10" t="s">
        <v>344</v>
      </c>
      <c r="B2" s="10" t="s">
        <v>345</v>
      </c>
      <c r="C2" s="10" t="s">
        <v>94</v>
      </c>
      <c r="D2" s="10" t="s">
        <v>346</v>
      </c>
    </row>
    <row r="3" spans="1:4" ht="30" customHeight="1" x14ac:dyDescent="0.3">
      <c r="A3" s="10" t="s">
        <v>347</v>
      </c>
      <c r="B3" s="10" t="s">
        <v>348</v>
      </c>
      <c r="C3" s="10" t="s">
        <v>94</v>
      </c>
      <c r="D3" s="10" t="s">
        <v>349</v>
      </c>
    </row>
    <row r="4" spans="1:4" ht="30" customHeight="1" x14ac:dyDescent="0.3">
      <c r="A4" s="10" t="s">
        <v>350</v>
      </c>
      <c r="B4" s="10" t="s">
        <v>351</v>
      </c>
      <c r="C4" s="10" t="s">
        <v>94</v>
      </c>
      <c r="D4" s="10" t="s">
        <v>352</v>
      </c>
    </row>
    <row r="5" spans="1:4" ht="30" customHeight="1" x14ac:dyDescent="0.3">
      <c r="A5" s="10" t="s">
        <v>353</v>
      </c>
      <c r="B5" s="10" t="s">
        <v>354</v>
      </c>
      <c r="C5" s="10" t="s">
        <v>105</v>
      </c>
      <c r="D5" s="10" t="s">
        <v>355</v>
      </c>
    </row>
    <row r="6" spans="1:4" ht="30" customHeight="1" x14ac:dyDescent="0.3">
      <c r="A6" s="10" t="s">
        <v>356</v>
      </c>
      <c r="B6" s="10" t="s">
        <v>357</v>
      </c>
      <c r="C6" s="10" t="s">
        <v>105</v>
      </c>
      <c r="D6" s="10" t="s">
        <v>358</v>
      </c>
    </row>
    <row r="7" spans="1:4" ht="30" customHeight="1" x14ac:dyDescent="0.3">
      <c r="A7" s="10" t="s">
        <v>359</v>
      </c>
      <c r="B7" s="10" t="s">
        <v>360</v>
      </c>
      <c r="C7" s="10" t="s">
        <v>105</v>
      </c>
      <c r="D7" s="10" t="s">
        <v>361</v>
      </c>
    </row>
  </sheetData>
  <conditionalFormatting sqref="C2:C207">
    <cfRule type="expression" dxfId="8" priority="1">
      <formula>ISNUMBER(SEARCH("Sim",C2))</formula>
    </cfRule>
  </conditionalFormatting>
  <dataValidations count="1">
    <dataValidation type="list" allowBlank="1" showErrorMessage="1" errorTitle="Valor inválido" error="Valor fora da lista controlada (ver folha Listas)." sqref="C2:C207" xr:uid="{00000000-0002-0000-03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3" width="11" customWidth="1"/>
    <col min="4" max="4" width="26" customWidth="1"/>
    <col min="5" max="9" width="9" customWidth="1"/>
    <col min="10" max="10" width="50" customWidth="1"/>
  </cols>
  <sheetData>
    <row r="1" spans="1:10" ht="39.6" x14ac:dyDescent="0.3">
      <c r="A1" s="8" t="s">
        <v>362</v>
      </c>
      <c r="B1" s="8" t="s">
        <v>363</v>
      </c>
      <c r="C1" s="8" t="s">
        <v>364</v>
      </c>
      <c r="D1" s="8" t="s">
        <v>365</v>
      </c>
      <c r="E1" s="8" t="s">
        <v>366</v>
      </c>
      <c r="F1" s="9" t="s">
        <v>367</v>
      </c>
      <c r="G1" s="9" t="s">
        <v>368</v>
      </c>
      <c r="H1" s="8" t="s">
        <v>340</v>
      </c>
      <c r="I1" s="8" t="s">
        <v>369</v>
      </c>
      <c r="J1" s="8" t="s">
        <v>370</v>
      </c>
    </row>
    <row r="2" spans="1:10" ht="30" customHeight="1" x14ac:dyDescent="0.3">
      <c r="A2" s="10" t="s">
        <v>371</v>
      </c>
      <c r="B2" s="11">
        <v>46280</v>
      </c>
      <c r="C2" s="10" t="s">
        <v>206</v>
      </c>
      <c r="D2" s="10" t="s">
        <v>372</v>
      </c>
      <c r="E2" s="10" t="s">
        <v>187</v>
      </c>
      <c r="F2" s="14" t="str">
        <f>IFERROR(INDEX(tbl_lista_mestra[Versao],MATCH(1,INDEX((tbl_lista_mestra[Codigo]=C2)*(tbl_lista_mestra[Estado]&lt;&gt;"Obsoleto"),0),0)),"")</f>
        <v>02</v>
      </c>
      <c r="G2" s="14" t="str">
        <f t="shared" ref="G2:G31" si="0">IF(F2="","?",IF(E2=F2,"Sim","Não"))</f>
        <v>Sim</v>
      </c>
      <c r="H2" s="10" t="s">
        <v>344</v>
      </c>
      <c r="I2" s="10" t="s">
        <v>373</v>
      </c>
      <c r="J2" s="10"/>
    </row>
    <row r="3" spans="1:10" ht="30" customHeight="1" x14ac:dyDescent="0.3">
      <c r="A3" s="10" t="s">
        <v>371</v>
      </c>
      <c r="B3" s="11">
        <v>46280</v>
      </c>
      <c r="C3" s="10" t="s">
        <v>206</v>
      </c>
      <c r="D3" s="10" t="s">
        <v>372</v>
      </c>
      <c r="E3" s="10" t="s">
        <v>187</v>
      </c>
      <c r="F3" s="14" t="str">
        <f>IFERROR(INDEX(tbl_lista_mestra[Versao],MATCH(1,INDEX((tbl_lista_mestra[Codigo]=C3)*(tbl_lista_mestra[Estado]&lt;&gt;"Obsoleto"),0),0)),"")</f>
        <v>02</v>
      </c>
      <c r="G3" s="14" t="str">
        <f t="shared" si="0"/>
        <v>Sim</v>
      </c>
      <c r="H3" s="10" t="s">
        <v>347</v>
      </c>
      <c r="I3" s="10" t="s">
        <v>373</v>
      </c>
      <c r="J3" s="10"/>
    </row>
    <row r="4" spans="1:10" ht="30" customHeight="1" x14ac:dyDescent="0.3">
      <c r="A4" s="10" t="s">
        <v>371</v>
      </c>
      <c r="B4" s="11">
        <v>46280</v>
      </c>
      <c r="C4" s="10" t="s">
        <v>206</v>
      </c>
      <c r="D4" s="10" t="s">
        <v>372</v>
      </c>
      <c r="E4" s="10" t="s">
        <v>187</v>
      </c>
      <c r="F4" s="14" t="str">
        <f>IFERROR(INDEX(tbl_lista_mestra[Versao],MATCH(1,INDEX((tbl_lista_mestra[Codigo]=C4)*(tbl_lista_mestra[Estado]&lt;&gt;"Obsoleto"),0),0)),"")</f>
        <v>02</v>
      </c>
      <c r="G4" s="14" t="str">
        <f t="shared" si="0"/>
        <v>Sim</v>
      </c>
      <c r="H4" s="10" t="s">
        <v>350</v>
      </c>
      <c r="I4" s="10" t="s">
        <v>373</v>
      </c>
      <c r="J4" s="10"/>
    </row>
    <row r="5" spans="1:10" ht="30" customHeight="1" x14ac:dyDescent="0.3">
      <c r="A5" s="10" t="s">
        <v>371</v>
      </c>
      <c r="B5" s="11">
        <v>46280</v>
      </c>
      <c r="C5" s="10" t="s">
        <v>206</v>
      </c>
      <c r="D5" s="10" t="s">
        <v>372</v>
      </c>
      <c r="E5" s="10" t="s">
        <v>187</v>
      </c>
      <c r="F5" s="14" t="str">
        <f>IFERROR(INDEX(tbl_lista_mestra[Versao],MATCH(1,INDEX((tbl_lista_mestra[Codigo]=C5)*(tbl_lista_mestra[Estado]&lt;&gt;"Obsoleto"),0),0)),"")</f>
        <v>02</v>
      </c>
      <c r="G5" s="14" t="str">
        <f t="shared" si="0"/>
        <v>Sim</v>
      </c>
      <c r="H5" s="10" t="s">
        <v>353</v>
      </c>
      <c r="I5" s="10" t="s">
        <v>373</v>
      </c>
      <c r="J5" s="10"/>
    </row>
    <row r="6" spans="1:10" ht="30" customHeight="1" x14ac:dyDescent="0.3">
      <c r="A6" s="10" t="s">
        <v>371</v>
      </c>
      <c r="B6" s="11">
        <v>46280</v>
      </c>
      <c r="C6" s="10" t="s">
        <v>206</v>
      </c>
      <c r="D6" s="10" t="s">
        <v>372</v>
      </c>
      <c r="E6" s="10" t="s">
        <v>187</v>
      </c>
      <c r="F6" s="14" t="str">
        <f>IFERROR(INDEX(tbl_lista_mestra[Versao],MATCH(1,INDEX((tbl_lista_mestra[Codigo]=C6)*(tbl_lista_mestra[Estado]&lt;&gt;"Obsoleto"),0),0)),"")</f>
        <v>02</v>
      </c>
      <c r="G6" s="14" t="str">
        <f t="shared" si="0"/>
        <v>Sim</v>
      </c>
      <c r="H6" s="10" t="s">
        <v>356</v>
      </c>
      <c r="I6" s="10" t="s">
        <v>373</v>
      </c>
      <c r="J6" s="10"/>
    </row>
    <row r="7" spans="1:10" ht="30" customHeight="1" x14ac:dyDescent="0.3">
      <c r="A7" s="10" t="s">
        <v>371</v>
      </c>
      <c r="B7" s="11">
        <v>46280</v>
      </c>
      <c r="C7" s="10" t="s">
        <v>206</v>
      </c>
      <c r="D7" s="10" t="s">
        <v>372</v>
      </c>
      <c r="E7" s="10" t="s">
        <v>187</v>
      </c>
      <c r="F7" s="14" t="str">
        <f>IFERROR(INDEX(tbl_lista_mestra[Versao],MATCH(1,INDEX((tbl_lista_mestra[Codigo]=C7)*(tbl_lista_mestra[Estado]&lt;&gt;"Obsoleto"),0),0)),"")</f>
        <v>02</v>
      </c>
      <c r="G7" s="14" t="str">
        <f t="shared" si="0"/>
        <v>Sim</v>
      </c>
      <c r="H7" s="10" t="s">
        <v>359</v>
      </c>
      <c r="I7" s="10" t="s">
        <v>373</v>
      </c>
      <c r="J7" s="10"/>
    </row>
    <row r="8" spans="1:10" ht="30" customHeight="1" x14ac:dyDescent="0.3">
      <c r="A8" s="10" t="s">
        <v>374</v>
      </c>
      <c r="B8" s="11">
        <v>46280</v>
      </c>
      <c r="C8" s="10" t="s">
        <v>265</v>
      </c>
      <c r="D8" s="10" t="s">
        <v>375</v>
      </c>
      <c r="E8" s="10" t="s">
        <v>200</v>
      </c>
      <c r="F8" s="14" t="str">
        <f>IFERROR(INDEX(tbl_lista_mestra[Versao],MATCH(1,INDEX((tbl_lista_mestra[Codigo]=C8)*(tbl_lista_mestra[Estado]&lt;&gt;"Obsoleto"),0),0)),"")</f>
        <v>01</v>
      </c>
      <c r="G8" s="14" t="str">
        <f t="shared" si="0"/>
        <v>Não</v>
      </c>
      <c r="H8" s="10" t="s">
        <v>344</v>
      </c>
      <c r="I8" s="10" t="s">
        <v>373</v>
      </c>
      <c r="J8" s="10"/>
    </row>
    <row r="9" spans="1:10" ht="30" customHeight="1" x14ac:dyDescent="0.3">
      <c r="A9" s="10" t="s">
        <v>374</v>
      </c>
      <c r="B9" s="11">
        <v>46280</v>
      </c>
      <c r="C9" s="10" t="s">
        <v>265</v>
      </c>
      <c r="D9" s="10" t="s">
        <v>375</v>
      </c>
      <c r="E9" s="10" t="s">
        <v>200</v>
      </c>
      <c r="F9" s="14" t="str">
        <f>IFERROR(INDEX(tbl_lista_mestra[Versao],MATCH(1,INDEX((tbl_lista_mestra[Codigo]=C9)*(tbl_lista_mestra[Estado]&lt;&gt;"Obsoleto"),0),0)),"")</f>
        <v>01</v>
      </c>
      <c r="G9" s="14" t="str">
        <f t="shared" si="0"/>
        <v>Não</v>
      </c>
      <c r="H9" s="10" t="s">
        <v>347</v>
      </c>
      <c r="I9" s="10" t="s">
        <v>373</v>
      </c>
      <c r="J9" s="10"/>
    </row>
    <row r="10" spans="1:10" ht="30" customHeight="1" x14ac:dyDescent="0.3">
      <c r="A10" s="10" t="s">
        <v>374</v>
      </c>
      <c r="B10" s="11">
        <v>46280</v>
      </c>
      <c r="C10" s="10" t="s">
        <v>265</v>
      </c>
      <c r="D10" s="10" t="s">
        <v>375</v>
      </c>
      <c r="E10" s="10" t="s">
        <v>200</v>
      </c>
      <c r="F10" s="14" t="str">
        <f>IFERROR(INDEX(tbl_lista_mestra[Versao],MATCH(1,INDEX((tbl_lista_mestra[Codigo]=C10)*(tbl_lista_mestra[Estado]&lt;&gt;"Obsoleto"),0),0)),"")</f>
        <v>01</v>
      </c>
      <c r="G10" s="14" t="str">
        <f t="shared" si="0"/>
        <v>Não</v>
      </c>
      <c r="H10" s="10" t="s">
        <v>350</v>
      </c>
      <c r="I10" s="10" t="s">
        <v>373</v>
      </c>
      <c r="J10" s="10"/>
    </row>
    <row r="11" spans="1:10" ht="30" customHeight="1" x14ac:dyDescent="0.3">
      <c r="A11" s="10" t="s">
        <v>374</v>
      </c>
      <c r="B11" s="11">
        <v>46280</v>
      </c>
      <c r="C11" s="10" t="s">
        <v>265</v>
      </c>
      <c r="D11" s="10" t="s">
        <v>375</v>
      </c>
      <c r="E11" s="10" t="s">
        <v>200</v>
      </c>
      <c r="F11" s="14" t="str">
        <f>IFERROR(INDEX(tbl_lista_mestra[Versao],MATCH(1,INDEX((tbl_lista_mestra[Codigo]=C11)*(tbl_lista_mestra[Estado]&lt;&gt;"Obsoleto"),0),0)),"")</f>
        <v>01</v>
      </c>
      <c r="G11" s="14" t="str">
        <f t="shared" si="0"/>
        <v>Não</v>
      </c>
      <c r="H11" s="10" t="s">
        <v>353</v>
      </c>
      <c r="I11" s="10" t="s">
        <v>373</v>
      </c>
      <c r="J11" s="10"/>
    </row>
    <row r="12" spans="1:10" ht="30" customHeight="1" x14ac:dyDescent="0.3">
      <c r="A12" s="10" t="s">
        <v>374</v>
      </c>
      <c r="B12" s="11">
        <v>46280</v>
      </c>
      <c r="C12" s="10" t="s">
        <v>265</v>
      </c>
      <c r="D12" s="10" t="s">
        <v>375</v>
      </c>
      <c r="E12" s="10" t="s">
        <v>200</v>
      </c>
      <c r="F12" s="14" t="str">
        <f>IFERROR(INDEX(tbl_lista_mestra[Versao],MATCH(1,INDEX((tbl_lista_mestra[Codigo]=C12)*(tbl_lista_mestra[Estado]&lt;&gt;"Obsoleto"),0),0)),"")</f>
        <v>01</v>
      </c>
      <c r="G12" s="14" t="str">
        <f t="shared" si="0"/>
        <v>Não</v>
      </c>
      <c r="H12" s="10" t="s">
        <v>356</v>
      </c>
      <c r="I12" s="10" t="s">
        <v>376</v>
      </c>
      <c r="J12" s="10" t="s">
        <v>377</v>
      </c>
    </row>
    <row r="13" spans="1:10" ht="30" customHeight="1" x14ac:dyDescent="0.3">
      <c r="A13" s="10" t="s">
        <v>374</v>
      </c>
      <c r="B13" s="11">
        <v>46280</v>
      </c>
      <c r="C13" s="10" t="s">
        <v>265</v>
      </c>
      <c r="D13" s="10" t="s">
        <v>375</v>
      </c>
      <c r="E13" s="10" t="s">
        <v>200</v>
      </c>
      <c r="F13" s="14" t="str">
        <f>IFERROR(INDEX(tbl_lista_mestra[Versao],MATCH(1,INDEX((tbl_lista_mestra[Codigo]=C13)*(tbl_lista_mestra[Estado]&lt;&gt;"Obsoleto"),0),0)),"")</f>
        <v>01</v>
      </c>
      <c r="G13" s="14" t="str">
        <f t="shared" si="0"/>
        <v>Não</v>
      </c>
      <c r="H13" s="10" t="s">
        <v>359</v>
      </c>
      <c r="I13" s="10" t="s">
        <v>373</v>
      </c>
      <c r="J13" s="10"/>
    </row>
    <row r="14" spans="1:10" ht="30" customHeight="1" x14ac:dyDescent="0.3">
      <c r="A14" s="10" t="s">
        <v>378</v>
      </c>
      <c r="B14" s="11">
        <v>46281</v>
      </c>
      <c r="C14" s="10" t="s">
        <v>275</v>
      </c>
      <c r="D14" s="10" t="s">
        <v>379</v>
      </c>
      <c r="E14" s="10" t="s">
        <v>200</v>
      </c>
      <c r="F14" s="14" t="str">
        <f>IFERROR(INDEX(tbl_lista_mestra[Versao],MATCH(1,INDEX((tbl_lista_mestra[Codigo]=C14)*(tbl_lista_mestra[Estado]&lt;&gt;"Obsoleto"),0),0)),"")</f>
        <v>02</v>
      </c>
      <c r="G14" s="14" t="str">
        <f t="shared" si="0"/>
        <v>Não</v>
      </c>
      <c r="H14" s="10" t="s">
        <v>344</v>
      </c>
      <c r="I14" s="10" t="s">
        <v>373</v>
      </c>
      <c r="J14" s="10"/>
    </row>
    <row r="15" spans="1:10" ht="30" customHeight="1" x14ac:dyDescent="0.3">
      <c r="A15" s="10" t="s">
        <v>378</v>
      </c>
      <c r="B15" s="11">
        <v>46281</v>
      </c>
      <c r="C15" s="10" t="s">
        <v>275</v>
      </c>
      <c r="D15" s="10" t="s">
        <v>379</v>
      </c>
      <c r="E15" s="10" t="s">
        <v>200</v>
      </c>
      <c r="F15" s="14" t="str">
        <f>IFERROR(INDEX(tbl_lista_mestra[Versao],MATCH(1,INDEX((tbl_lista_mestra[Codigo]=C15)*(tbl_lista_mestra[Estado]&lt;&gt;"Obsoleto"),0),0)),"")</f>
        <v>02</v>
      </c>
      <c r="G15" s="14" t="str">
        <f t="shared" si="0"/>
        <v>Não</v>
      </c>
      <c r="H15" s="10" t="s">
        <v>347</v>
      </c>
      <c r="I15" s="10" t="s">
        <v>376</v>
      </c>
      <c r="J15" s="10" t="s">
        <v>380</v>
      </c>
    </row>
    <row r="16" spans="1:10" ht="30" customHeight="1" x14ac:dyDescent="0.3">
      <c r="A16" s="10" t="s">
        <v>378</v>
      </c>
      <c r="B16" s="11">
        <v>46281</v>
      </c>
      <c r="C16" s="10" t="s">
        <v>275</v>
      </c>
      <c r="D16" s="10" t="s">
        <v>379</v>
      </c>
      <c r="E16" s="10" t="s">
        <v>200</v>
      </c>
      <c r="F16" s="14" t="str">
        <f>IFERROR(INDEX(tbl_lista_mestra[Versao],MATCH(1,INDEX((tbl_lista_mestra[Codigo]=C16)*(tbl_lista_mestra[Estado]&lt;&gt;"Obsoleto"),0),0)),"")</f>
        <v>02</v>
      </c>
      <c r="G16" s="14" t="str">
        <f t="shared" si="0"/>
        <v>Não</v>
      </c>
      <c r="H16" s="10" t="s">
        <v>350</v>
      </c>
      <c r="I16" s="10" t="s">
        <v>373</v>
      </c>
      <c r="J16" s="10"/>
    </row>
    <row r="17" spans="1:10" ht="30" customHeight="1" x14ac:dyDescent="0.3">
      <c r="A17" s="10" t="s">
        <v>378</v>
      </c>
      <c r="B17" s="11">
        <v>46281</v>
      </c>
      <c r="C17" s="10" t="s">
        <v>275</v>
      </c>
      <c r="D17" s="10" t="s">
        <v>379</v>
      </c>
      <c r="E17" s="10" t="s">
        <v>200</v>
      </c>
      <c r="F17" s="14" t="str">
        <f>IFERROR(INDEX(tbl_lista_mestra[Versao],MATCH(1,INDEX((tbl_lista_mestra[Codigo]=C17)*(tbl_lista_mestra[Estado]&lt;&gt;"Obsoleto"),0),0)),"")</f>
        <v>02</v>
      </c>
      <c r="G17" s="14" t="str">
        <f t="shared" si="0"/>
        <v>Não</v>
      </c>
      <c r="H17" s="10" t="s">
        <v>353</v>
      </c>
      <c r="I17" s="10" t="s">
        <v>376</v>
      </c>
      <c r="J17" s="10" t="s">
        <v>380</v>
      </c>
    </row>
    <row r="18" spans="1:10" ht="30" customHeight="1" x14ac:dyDescent="0.3">
      <c r="A18" s="10" t="s">
        <v>378</v>
      </c>
      <c r="B18" s="11">
        <v>46281</v>
      </c>
      <c r="C18" s="10" t="s">
        <v>275</v>
      </c>
      <c r="D18" s="10" t="s">
        <v>379</v>
      </c>
      <c r="E18" s="10" t="s">
        <v>200</v>
      </c>
      <c r="F18" s="14" t="str">
        <f>IFERROR(INDEX(tbl_lista_mestra[Versao],MATCH(1,INDEX((tbl_lista_mestra[Codigo]=C18)*(tbl_lista_mestra[Estado]&lt;&gt;"Obsoleto"),0),0)),"")</f>
        <v>02</v>
      </c>
      <c r="G18" s="14" t="str">
        <f t="shared" si="0"/>
        <v>Não</v>
      </c>
      <c r="H18" s="10" t="s">
        <v>356</v>
      </c>
      <c r="I18" s="10" t="s">
        <v>373</v>
      </c>
      <c r="J18" s="10"/>
    </row>
    <row r="19" spans="1:10" ht="30" customHeight="1" x14ac:dyDescent="0.3">
      <c r="A19" s="10" t="s">
        <v>378</v>
      </c>
      <c r="B19" s="11">
        <v>46281</v>
      </c>
      <c r="C19" s="10" t="s">
        <v>275</v>
      </c>
      <c r="D19" s="10" t="s">
        <v>379</v>
      </c>
      <c r="E19" s="10" t="s">
        <v>200</v>
      </c>
      <c r="F19" s="14" t="str">
        <f>IFERROR(INDEX(tbl_lista_mestra[Versao],MATCH(1,INDEX((tbl_lista_mestra[Codigo]=C19)*(tbl_lista_mestra[Estado]&lt;&gt;"Obsoleto"),0),0)),"")</f>
        <v>02</v>
      </c>
      <c r="G19" s="14" t="str">
        <f t="shared" si="0"/>
        <v>Não</v>
      </c>
      <c r="H19" s="10" t="s">
        <v>359</v>
      </c>
      <c r="I19" s="10" t="s">
        <v>376</v>
      </c>
      <c r="J19" s="10" t="s">
        <v>380</v>
      </c>
    </row>
    <row r="20" spans="1:10" ht="30" customHeight="1" x14ac:dyDescent="0.3">
      <c r="A20" s="10" t="s">
        <v>381</v>
      </c>
      <c r="B20" s="11">
        <v>46281</v>
      </c>
      <c r="C20" s="10" t="s">
        <v>180</v>
      </c>
      <c r="D20" s="10" t="s">
        <v>382</v>
      </c>
      <c r="E20" s="10" t="s">
        <v>187</v>
      </c>
      <c r="F20" s="14" t="str">
        <f>IFERROR(INDEX(tbl_lista_mestra[Versao],MATCH(1,INDEX((tbl_lista_mestra[Codigo]=C20)*(tbl_lista_mestra[Estado]&lt;&gt;"Obsoleto"),0),0)),"")</f>
        <v>02</v>
      </c>
      <c r="G20" s="14" t="str">
        <f t="shared" si="0"/>
        <v>Sim</v>
      </c>
      <c r="H20" s="10" t="s">
        <v>344</v>
      </c>
      <c r="I20" s="10" t="s">
        <v>373</v>
      </c>
      <c r="J20" s="10"/>
    </row>
    <row r="21" spans="1:10" ht="30" customHeight="1" x14ac:dyDescent="0.3">
      <c r="A21" s="10" t="s">
        <v>381</v>
      </c>
      <c r="B21" s="11">
        <v>46281</v>
      </c>
      <c r="C21" s="10" t="s">
        <v>180</v>
      </c>
      <c r="D21" s="10" t="s">
        <v>382</v>
      </c>
      <c r="E21" s="10" t="s">
        <v>187</v>
      </c>
      <c r="F21" s="14" t="str">
        <f>IFERROR(INDEX(tbl_lista_mestra[Versao],MATCH(1,INDEX((tbl_lista_mestra[Codigo]=C21)*(tbl_lista_mestra[Estado]&lt;&gt;"Obsoleto"),0),0)),"")</f>
        <v>02</v>
      </c>
      <c r="G21" s="14" t="str">
        <f t="shared" si="0"/>
        <v>Sim</v>
      </c>
      <c r="H21" s="10" t="s">
        <v>347</v>
      </c>
      <c r="I21" s="10" t="s">
        <v>373</v>
      </c>
      <c r="J21" s="10"/>
    </row>
    <row r="22" spans="1:10" ht="30" customHeight="1" x14ac:dyDescent="0.3">
      <c r="A22" s="10" t="s">
        <v>381</v>
      </c>
      <c r="B22" s="11">
        <v>46281</v>
      </c>
      <c r="C22" s="10" t="s">
        <v>180</v>
      </c>
      <c r="D22" s="10" t="s">
        <v>382</v>
      </c>
      <c r="E22" s="10" t="s">
        <v>187</v>
      </c>
      <c r="F22" s="14" t="str">
        <f>IFERROR(INDEX(tbl_lista_mestra[Versao],MATCH(1,INDEX((tbl_lista_mestra[Codigo]=C22)*(tbl_lista_mestra[Estado]&lt;&gt;"Obsoleto"),0),0)),"")</f>
        <v>02</v>
      </c>
      <c r="G22" s="14" t="str">
        <f t="shared" si="0"/>
        <v>Sim</v>
      </c>
      <c r="H22" s="10" t="s">
        <v>350</v>
      </c>
      <c r="I22" s="10" t="s">
        <v>373</v>
      </c>
      <c r="J22" s="10"/>
    </row>
    <row r="23" spans="1:10" ht="30" customHeight="1" x14ac:dyDescent="0.3">
      <c r="A23" s="10" t="s">
        <v>381</v>
      </c>
      <c r="B23" s="11">
        <v>46281</v>
      </c>
      <c r="C23" s="10" t="s">
        <v>180</v>
      </c>
      <c r="D23" s="10" t="s">
        <v>382</v>
      </c>
      <c r="E23" s="10" t="s">
        <v>187</v>
      </c>
      <c r="F23" s="14" t="str">
        <f>IFERROR(INDEX(tbl_lista_mestra[Versao],MATCH(1,INDEX((tbl_lista_mestra[Codigo]=C23)*(tbl_lista_mestra[Estado]&lt;&gt;"Obsoleto"),0),0)),"")</f>
        <v>02</v>
      </c>
      <c r="G23" s="14" t="str">
        <f t="shared" si="0"/>
        <v>Sim</v>
      </c>
      <c r="H23" s="10" t="s">
        <v>353</v>
      </c>
      <c r="I23" s="10" t="s">
        <v>373</v>
      </c>
      <c r="J23" s="10"/>
    </row>
    <row r="24" spans="1:10" ht="30" customHeight="1" x14ac:dyDescent="0.3">
      <c r="A24" s="10" t="s">
        <v>381</v>
      </c>
      <c r="B24" s="11">
        <v>46281</v>
      </c>
      <c r="C24" s="10" t="s">
        <v>180</v>
      </c>
      <c r="D24" s="10" t="s">
        <v>382</v>
      </c>
      <c r="E24" s="10" t="s">
        <v>187</v>
      </c>
      <c r="F24" s="14" t="str">
        <f>IFERROR(INDEX(tbl_lista_mestra[Versao],MATCH(1,INDEX((tbl_lista_mestra[Codigo]=C24)*(tbl_lista_mestra[Estado]&lt;&gt;"Obsoleto"),0),0)),"")</f>
        <v>02</v>
      </c>
      <c r="G24" s="14" t="str">
        <f t="shared" si="0"/>
        <v>Sim</v>
      </c>
      <c r="H24" s="10" t="s">
        <v>356</v>
      </c>
      <c r="I24" s="10" t="s">
        <v>373</v>
      </c>
      <c r="J24" s="10"/>
    </row>
    <row r="25" spans="1:10" ht="30" customHeight="1" x14ac:dyDescent="0.3">
      <c r="A25" s="10" t="s">
        <v>381</v>
      </c>
      <c r="B25" s="11">
        <v>46281</v>
      </c>
      <c r="C25" s="10" t="s">
        <v>180</v>
      </c>
      <c r="D25" s="10" t="s">
        <v>382</v>
      </c>
      <c r="E25" s="10" t="s">
        <v>187</v>
      </c>
      <c r="F25" s="14" t="str">
        <f>IFERROR(INDEX(tbl_lista_mestra[Versao],MATCH(1,INDEX((tbl_lista_mestra[Codigo]=C25)*(tbl_lista_mestra[Estado]&lt;&gt;"Obsoleto"),0),0)),"")</f>
        <v>02</v>
      </c>
      <c r="G25" s="14" t="str">
        <f t="shared" si="0"/>
        <v>Sim</v>
      </c>
      <c r="H25" s="10" t="s">
        <v>359</v>
      </c>
      <c r="I25" s="10" t="s">
        <v>373</v>
      </c>
      <c r="J25" s="10"/>
    </row>
    <row r="26" spans="1:10" ht="30" customHeight="1" x14ac:dyDescent="0.3">
      <c r="A26" s="10" t="s">
        <v>383</v>
      </c>
      <c r="B26" s="11">
        <v>46281</v>
      </c>
      <c r="C26" s="10" t="s">
        <v>211</v>
      </c>
      <c r="D26" s="10" t="s">
        <v>384</v>
      </c>
      <c r="E26" s="10" t="s">
        <v>8</v>
      </c>
      <c r="F26" s="14" t="str">
        <f>IFERROR(INDEX(tbl_lista_mestra[Versao],MATCH(1,INDEX((tbl_lista_mestra[Codigo]=C26)*(tbl_lista_mestra[Estado]&lt;&gt;"Obsoleto"),0),0)),"")</f>
        <v>01</v>
      </c>
      <c r="G26" s="14" t="str">
        <f t="shared" si="0"/>
        <v>Sim</v>
      </c>
      <c r="H26" s="10" t="s">
        <v>344</v>
      </c>
      <c r="I26" s="10" t="s">
        <v>373</v>
      </c>
      <c r="J26" s="10"/>
    </row>
    <row r="27" spans="1:10" ht="30" customHeight="1" x14ac:dyDescent="0.3">
      <c r="A27" s="10" t="s">
        <v>383</v>
      </c>
      <c r="B27" s="11">
        <v>46281</v>
      </c>
      <c r="C27" s="10" t="s">
        <v>211</v>
      </c>
      <c r="D27" s="10" t="s">
        <v>384</v>
      </c>
      <c r="E27" s="10" t="s">
        <v>8</v>
      </c>
      <c r="F27" s="14" t="str">
        <f>IFERROR(INDEX(tbl_lista_mestra[Versao],MATCH(1,INDEX((tbl_lista_mestra[Codigo]=C27)*(tbl_lista_mestra[Estado]&lt;&gt;"Obsoleto"),0),0)),"")</f>
        <v>01</v>
      </c>
      <c r="G27" s="14" t="str">
        <f t="shared" si="0"/>
        <v>Sim</v>
      </c>
      <c r="H27" s="10" t="s">
        <v>347</v>
      </c>
      <c r="I27" s="10" t="s">
        <v>373</v>
      </c>
      <c r="J27" s="10"/>
    </row>
    <row r="28" spans="1:10" ht="30" customHeight="1" x14ac:dyDescent="0.3">
      <c r="A28" s="10" t="s">
        <v>383</v>
      </c>
      <c r="B28" s="11">
        <v>46281</v>
      </c>
      <c r="C28" s="10" t="s">
        <v>211</v>
      </c>
      <c r="D28" s="10" t="s">
        <v>384</v>
      </c>
      <c r="E28" s="10" t="s">
        <v>8</v>
      </c>
      <c r="F28" s="14" t="str">
        <f>IFERROR(INDEX(tbl_lista_mestra[Versao],MATCH(1,INDEX((tbl_lista_mestra[Codigo]=C28)*(tbl_lista_mestra[Estado]&lt;&gt;"Obsoleto"),0),0)),"")</f>
        <v>01</v>
      </c>
      <c r="G28" s="14" t="str">
        <f t="shared" si="0"/>
        <v>Sim</v>
      </c>
      <c r="H28" s="10" t="s">
        <v>350</v>
      </c>
      <c r="I28" s="10" t="s">
        <v>376</v>
      </c>
      <c r="J28" s="10" t="s">
        <v>385</v>
      </c>
    </row>
    <row r="29" spans="1:10" ht="30" customHeight="1" x14ac:dyDescent="0.3">
      <c r="A29" s="10" t="s">
        <v>383</v>
      </c>
      <c r="B29" s="11">
        <v>46281</v>
      </c>
      <c r="C29" s="10" t="s">
        <v>211</v>
      </c>
      <c r="D29" s="10" t="s">
        <v>384</v>
      </c>
      <c r="E29" s="10" t="s">
        <v>8</v>
      </c>
      <c r="F29" s="14" t="str">
        <f>IFERROR(INDEX(tbl_lista_mestra[Versao],MATCH(1,INDEX((tbl_lista_mestra[Codigo]=C29)*(tbl_lista_mestra[Estado]&lt;&gt;"Obsoleto"),0),0)),"")</f>
        <v>01</v>
      </c>
      <c r="G29" s="14" t="str">
        <f t="shared" si="0"/>
        <v>Sim</v>
      </c>
      <c r="H29" s="10" t="s">
        <v>353</v>
      </c>
      <c r="I29" s="10" t="s">
        <v>373</v>
      </c>
      <c r="J29" s="10"/>
    </row>
    <row r="30" spans="1:10" ht="30" customHeight="1" x14ac:dyDescent="0.3">
      <c r="A30" s="10" t="s">
        <v>383</v>
      </c>
      <c r="B30" s="11">
        <v>46281</v>
      </c>
      <c r="C30" s="10" t="s">
        <v>211</v>
      </c>
      <c r="D30" s="10" t="s">
        <v>384</v>
      </c>
      <c r="E30" s="10" t="s">
        <v>8</v>
      </c>
      <c r="F30" s="14" t="str">
        <f>IFERROR(INDEX(tbl_lista_mestra[Versao],MATCH(1,INDEX((tbl_lista_mestra[Codigo]=C30)*(tbl_lista_mestra[Estado]&lt;&gt;"Obsoleto"),0),0)),"")</f>
        <v>01</v>
      </c>
      <c r="G30" s="14" t="str">
        <f t="shared" si="0"/>
        <v>Sim</v>
      </c>
      <c r="H30" s="10" t="s">
        <v>356</v>
      </c>
      <c r="I30" s="10" t="s">
        <v>373</v>
      </c>
      <c r="J30" s="10"/>
    </row>
    <row r="31" spans="1:10" ht="30" customHeight="1" x14ac:dyDescent="0.3">
      <c r="A31" s="10" t="s">
        <v>383</v>
      </c>
      <c r="B31" s="11">
        <v>46281</v>
      </c>
      <c r="C31" s="10" t="s">
        <v>211</v>
      </c>
      <c r="D31" s="10" t="s">
        <v>384</v>
      </c>
      <c r="E31" s="10" t="s">
        <v>8</v>
      </c>
      <c r="F31" s="14" t="str">
        <f>IFERROR(INDEX(tbl_lista_mestra[Versao],MATCH(1,INDEX((tbl_lista_mestra[Codigo]=C31)*(tbl_lista_mestra[Estado]&lt;&gt;"Obsoleto"),0),0)),"")</f>
        <v>01</v>
      </c>
      <c r="G31" s="14" t="str">
        <f t="shared" si="0"/>
        <v>Sim</v>
      </c>
      <c r="H31" s="10" t="s">
        <v>359</v>
      </c>
      <c r="I31" s="10" t="s">
        <v>373</v>
      </c>
      <c r="J31" s="10"/>
    </row>
  </sheetData>
  <conditionalFormatting sqref="G2:G231">
    <cfRule type="expression" dxfId="7" priority="3">
      <formula>ISNUMBER(SEARCH("Não",G2))</formula>
    </cfRule>
    <cfRule type="expression" dxfId="6" priority="4">
      <formula>ISNUMBER(SEARCH("Sim",G2))</formula>
    </cfRule>
  </conditionalFormatting>
  <conditionalFormatting sqref="I2:I231">
    <cfRule type="expression" dxfId="5" priority="1">
      <formula>ISNUMBER(SEARCH("NOK",I2))</formula>
    </cfRule>
    <cfRule type="expression" dxfId="4" priority="2">
      <formula>ISNUMBER(SEARCH("OK",I2))</formula>
    </cfRule>
  </conditionalFormatting>
  <dataValidations count="1">
    <dataValidation type="list" allowBlank="1" showErrorMessage="1" errorTitle="Valor inválido" error="Valor fora da lista controlada (ver folha Listas)." sqref="I2:I231" xr:uid="{00000000-0002-0000-0400-000000000000}">
      <formula1>lst_OKNOK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B18"/>
  <sheetViews>
    <sheetView showGridLines="0" workbookViewId="0"/>
  </sheetViews>
  <sheetFormatPr defaultRowHeight="14.4" x14ac:dyDescent="0.3"/>
  <cols>
    <col min="1" max="1" width="30" customWidth="1"/>
    <col min="2" max="2" width="100" customWidth="1"/>
  </cols>
  <sheetData>
    <row r="1" spans="1:2" ht="17.399999999999999" x14ac:dyDescent="0.3">
      <c r="A1" s="1" t="s">
        <v>386</v>
      </c>
    </row>
    <row r="3" spans="1:2" x14ac:dyDescent="0.3">
      <c r="A3" s="16" t="s">
        <v>387</v>
      </c>
    </row>
    <row r="4" spans="1:2" x14ac:dyDescent="0.3">
      <c r="A4" s="17" t="s">
        <v>388</v>
      </c>
      <c r="B4" s="22" t="str">
        <f>INDEX(Matriz_Comunicacao!$C$5:$C$12,MATCH("COM-01",Matriz_Comunicacao!$A$5:$A$12,0))</f>
        <v>Divulgar a nova Política Ambiental (rev. 02, 2026)</v>
      </c>
    </row>
    <row r="5" spans="1:2" ht="40.049999999999997" customHeight="1" x14ac:dyDescent="0.3">
      <c r="A5" s="17" t="s">
        <v>389</v>
      </c>
      <c r="B5" s="22" t="str">
        <f>INDEX(Matriz_Comunicacao!$D$5:$D$12,MATCH("COM-01",Matriz_Comunicacao!$A$5:$A$12,0))</f>
        <v>O que muda na Política Ambiental rev. 02: 7 compromissos (incluindo perdas de granulado, biodiversidade e ciclo de vida) e o que cada trabalhador pode fazer no seu posto.</v>
      </c>
    </row>
    <row r="6" spans="1:2" ht="40.049999999999997" customHeight="1" x14ac:dyDescent="0.3">
      <c r="A6" s="17" t="s">
        <v>390</v>
      </c>
      <c r="B6" s="22" t="str">
        <f>INDEX(Matriz_Comunicacao!$E$5:$E$12,MATCH("COM-01",Matriz_Comunicacao!$A$5:$A$12,0))</f>
        <v>Todos os trabalhadores dos 3 turnos, temporários e prestadores de serviços residentes (≈ 160 pessoas).</v>
      </c>
    </row>
    <row r="7" spans="1:2" ht="40.049999999999997" customHeight="1" x14ac:dyDescent="0.3">
      <c r="A7" s="17" t="s">
        <v>391</v>
      </c>
      <c r="B7" s="22" t="str">
        <f>INDEX(Matriz_Comunicacao!$F$5:$F$12,MATCH("COM-01",Matriz_Comunicacao!$A$5:$A$12,0))</f>
        <v>Na semana seguinte à aprovação (22–26/06/2026); depois no acolhimento de cada novo trabalhador e sempre que a política for revista.</v>
      </c>
    </row>
    <row r="8" spans="1:2" ht="40.049999999999997" customHeight="1" x14ac:dyDescent="0.3">
      <c r="A8" s="17" t="s">
        <v>392</v>
      </c>
      <c r="B8" s="22" t="str">
        <f>INDEX(Matriz_Comunicacao!$G$5:$G$12,MATCH("COM-01",Matriz_Comunicacao!$A$5:$A$12,0))</f>
        <v>Sessões de 10 min no início de cada turno (toolbox), cartaz A3 em cada área e na cantina, publicação no ecrã da entrada e intranet, e cópia no manual de acolhimento.</v>
      </c>
    </row>
    <row r="9" spans="1:2" ht="40.049999999999997" customHeight="1" x14ac:dyDescent="0.3">
      <c r="A9" s="17" t="s">
        <v>393</v>
      </c>
      <c r="B9" s="22" t="str">
        <f>INDEX(Matriz_Comunicacao!$H$5:$H$12,MATCH("COM-01",Matriz_Comunicacao!$A$5:$A$12,0))</f>
        <v>Garantir que todos conhecem a política e o seu papel (7.3) e recolher ideias de melhoria (7.4, ISO 14001:2026).</v>
      </c>
    </row>
    <row r="10" spans="1:2" x14ac:dyDescent="0.3">
      <c r="A10" s="17" t="s">
        <v>394</v>
      </c>
      <c r="B10" s="22" t="str">
        <f>INDEX(Matriz_Comunicacao!$I$5:$I$12,MATCH("COM-01",Matriz_Comunicacao!$A$5:$A$12,0))</f>
        <v>Gestor do SGA / EHS (Responsável Ambiental)</v>
      </c>
    </row>
    <row r="11" spans="1:2" ht="40.049999999999997" customHeight="1" x14ac:dyDescent="0.3">
      <c r="A11" s="17" t="s">
        <v>395</v>
      </c>
      <c r="B11" s="22" t="str">
        <f>INDEX(Matriz_Comunicacao!$K$5:$K$12,MATCH("COM-01",Matriz_Comunicacao!$A$5:$A$12,0))</f>
        <v>Caixa de sugestões e QR code no cartaz para ideias Kaizen; 3 perguntas de compreensão no fim da sessão.</v>
      </c>
    </row>
    <row r="12" spans="1:2" ht="40.049999999999997" customHeight="1" x14ac:dyDescent="0.3">
      <c r="A12" s="17" t="s">
        <v>396</v>
      </c>
      <c r="B12" s="22" t="str">
        <f>INDEX(Matriz_Comunicacao!$L$5:$L$12,MATCH("COM-01",Matriz_Comunicacao!$A$5:$A$12,0))</f>
        <v>Folhas de presença por turno; fotografias dos cartazes; resultados do questionário.</v>
      </c>
    </row>
    <row r="13" spans="1:2" x14ac:dyDescent="0.3">
      <c r="A13" s="17" t="s">
        <v>397</v>
      </c>
      <c r="B13" s="23">
        <f>INDEX(Matriz_Comunicacao!$Q$5:$Q$12,MATCH("COM-01",Matriz_Comunicacao!$A$5:$A$12,0))</f>
        <v>0.93125000000000002</v>
      </c>
    </row>
    <row r="15" spans="1:2" x14ac:dyDescent="0.3">
      <c r="A15" s="16" t="s">
        <v>398</v>
      </c>
    </row>
    <row r="16" spans="1:2" ht="31.95" customHeight="1" x14ac:dyDescent="0.3">
      <c r="A16" s="17" t="str">
        <f>INDEX(tbl_elementos[Elemento],1)</f>
        <v>Identificação: título e código únicos</v>
      </c>
      <c r="B16" s="22" t="str">
        <f>INDEX(tbl_elementos[Porque],1)</f>
        <v>Garante que se sabe exatamente que documento é e que não é confundido com outro.</v>
      </c>
    </row>
    <row r="17" spans="1:2" ht="31.95" customHeight="1" x14ac:dyDescent="0.3">
      <c r="A17" s="17" t="str">
        <f>INDEX(tbl_elementos[Elemento],2)</f>
        <v>Estado de revisão: n.º de versão/revisão e data de emissão</v>
      </c>
      <c r="B17" s="22" t="str">
        <f>INDEX(tbl_elementos[Porque],2)</f>
        <v>Permite confirmar que é a versão mais recente (comparar com a lista mestra).</v>
      </c>
    </row>
    <row r="18" spans="1:2" ht="31.95" customHeight="1" x14ac:dyDescent="0.3">
      <c r="A18" s="17" t="str">
        <f>INDEX(tbl_elementos[Elemento],3)</f>
        <v>Aprovação: quem aprovou e quando (assinatura/validação eletrónica)</v>
      </c>
      <c r="B18" s="22" t="str">
        <f>INDEX(tbl_elementos[Porque],3)</f>
        <v>Só documentos aprovados por pessoa autorizada podem ser usados.</v>
      </c>
    </row>
  </sheetData>
  <mergeCells count="13">
    <mergeCell ref="B18"/>
    <mergeCell ref="B7"/>
    <mergeCell ref="B11"/>
    <mergeCell ref="B6"/>
    <mergeCell ref="B16"/>
    <mergeCell ref="B10"/>
    <mergeCell ref="B8"/>
    <mergeCell ref="B4"/>
    <mergeCell ref="B17"/>
    <mergeCell ref="B9"/>
    <mergeCell ref="B12"/>
    <mergeCell ref="B13"/>
    <mergeCell ref="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6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11" customWidth="1"/>
    <col min="3" max="3" width="9" customWidth="1"/>
    <col min="4" max="4" width="28" customWidth="1"/>
    <col min="5" max="5" width="14" customWidth="1"/>
    <col min="6" max="6" width="44" customWidth="1"/>
    <col min="7" max="8" width="16" customWidth="1"/>
    <col min="9" max="11" width="11" customWidth="1"/>
    <col min="12" max="12" width="26" customWidth="1"/>
    <col min="13" max="13" width="12" customWidth="1"/>
    <col min="14" max="15" width="10" customWidth="1"/>
    <col min="16" max="17" width="8" customWidth="1"/>
  </cols>
  <sheetData>
    <row r="1" spans="1:17" ht="17.399999999999999" x14ac:dyDescent="0.3">
      <c r="A1" s="1" t="s">
        <v>399</v>
      </c>
    </row>
    <row r="2" spans="1:17" x14ac:dyDescent="0.3">
      <c r="A2" s="2" t="s">
        <v>400</v>
      </c>
    </row>
    <row r="4" spans="1:17" ht="26.4" x14ac:dyDescent="0.3">
      <c r="A4" s="8" t="s">
        <v>401</v>
      </c>
      <c r="B4" s="8" t="s">
        <v>363</v>
      </c>
      <c r="C4" s="8" t="s">
        <v>402</v>
      </c>
      <c r="D4" s="8" t="s">
        <v>403</v>
      </c>
      <c r="E4" s="8" t="s">
        <v>404</v>
      </c>
      <c r="F4" s="8" t="s">
        <v>405</v>
      </c>
      <c r="G4" s="8" t="s">
        <v>65</v>
      </c>
      <c r="H4" s="8" t="s">
        <v>406</v>
      </c>
      <c r="I4" s="8" t="s">
        <v>407</v>
      </c>
      <c r="J4" s="8" t="s">
        <v>408</v>
      </c>
      <c r="K4" s="8" t="s">
        <v>409</v>
      </c>
      <c r="L4" s="8" t="s">
        <v>72</v>
      </c>
      <c r="M4" s="8" t="s">
        <v>410</v>
      </c>
      <c r="N4" s="8" t="s">
        <v>411</v>
      </c>
      <c r="O4" s="8" t="s">
        <v>14</v>
      </c>
      <c r="P4" s="9" t="s">
        <v>412</v>
      </c>
      <c r="Q4" s="9" t="s">
        <v>413</v>
      </c>
    </row>
    <row r="5" spans="1:17" ht="30" customHeight="1" x14ac:dyDescent="0.3">
      <c r="A5" s="10" t="s">
        <v>414</v>
      </c>
      <c r="B5" s="11">
        <v>45744</v>
      </c>
      <c r="C5" s="10" t="s">
        <v>415</v>
      </c>
      <c r="D5" s="10" t="s">
        <v>416</v>
      </c>
      <c r="E5" s="10" t="s">
        <v>417</v>
      </c>
      <c r="F5" s="10" t="s">
        <v>418</v>
      </c>
      <c r="G5" s="10" t="s">
        <v>419</v>
      </c>
      <c r="H5" s="10" t="s">
        <v>420</v>
      </c>
      <c r="I5" s="10"/>
      <c r="J5" s="11">
        <v>45747</v>
      </c>
      <c r="K5" s="11">
        <v>45744</v>
      </c>
      <c r="L5" s="10" t="s">
        <v>421</v>
      </c>
      <c r="M5" s="10"/>
      <c r="N5" s="10"/>
      <c r="O5" s="10" t="s">
        <v>422</v>
      </c>
      <c r="P5" s="19" t="str">
        <f t="shared" ref="P5:P36" si="0">IF(OR(K5="",C5="Enviada"),"",K5-B5)</f>
        <v/>
      </c>
      <c r="Q5" s="14" t="str">
        <f t="shared" ref="Q5:Q36" si="1">IF(J5="","",IF(K5="",IF(DataRef&gt;J5,"Atrasada","Em curso"),IF(K5&lt;=J5,"Sim","Não")))</f>
        <v>Sim</v>
      </c>
    </row>
    <row r="6" spans="1:17" ht="30" customHeight="1" x14ac:dyDescent="0.3">
      <c r="A6" s="10" t="s">
        <v>423</v>
      </c>
      <c r="B6" s="11">
        <v>45789</v>
      </c>
      <c r="C6" s="10" t="s">
        <v>424</v>
      </c>
      <c r="D6" s="10" t="s">
        <v>425</v>
      </c>
      <c r="E6" s="10" t="s">
        <v>426</v>
      </c>
      <c r="F6" s="10" t="s">
        <v>427</v>
      </c>
      <c r="G6" s="10" t="s">
        <v>428</v>
      </c>
      <c r="H6" s="10" t="s">
        <v>429</v>
      </c>
      <c r="I6" s="10"/>
      <c r="J6" s="11">
        <v>45823</v>
      </c>
      <c r="K6" s="11">
        <v>45818</v>
      </c>
      <c r="L6" s="10" t="s">
        <v>421</v>
      </c>
      <c r="M6" s="10"/>
      <c r="N6" s="10"/>
      <c r="O6" s="10" t="s">
        <v>422</v>
      </c>
      <c r="P6" s="19">
        <f t="shared" si="0"/>
        <v>29</v>
      </c>
      <c r="Q6" s="14" t="str">
        <f t="shared" si="1"/>
        <v>Sim</v>
      </c>
    </row>
    <row r="7" spans="1:17" ht="30" customHeight="1" x14ac:dyDescent="0.3">
      <c r="A7" s="10" t="s">
        <v>430</v>
      </c>
      <c r="B7" s="11">
        <v>45834</v>
      </c>
      <c r="C7" s="10" t="s">
        <v>424</v>
      </c>
      <c r="D7" s="10" t="s">
        <v>431</v>
      </c>
      <c r="E7" s="10" t="s">
        <v>432</v>
      </c>
      <c r="F7" s="10" t="s">
        <v>433</v>
      </c>
      <c r="G7" s="10" t="s">
        <v>434</v>
      </c>
      <c r="H7" s="10" t="s">
        <v>435</v>
      </c>
      <c r="I7" s="10" t="s">
        <v>436</v>
      </c>
      <c r="J7" s="11">
        <v>45841</v>
      </c>
      <c r="K7" s="11">
        <v>45838</v>
      </c>
      <c r="L7" s="10" t="s">
        <v>421</v>
      </c>
      <c r="M7" s="10"/>
      <c r="N7" s="10"/>
      <c r="O7" s="10" t="s">
        <v>422</v>
      </c>
      <c r="P7" s="19">
        <f t="shared" si="0"/>
        <v>4</v>
      </c>
      <c r="Q7" s="14" t="str">
        <f t="shared" si="1"/>
        <v>Sim</v>
      </c>
    </row>
    <row r="8" spans="1:17" ht="30" customHeight="1" x14ac:dyDescent="0.3">
      <c r="A8" s="10" t="s">
        <v>437</v>
      </c>
      <c r="B8" s="11">
        <v>45838</v>
      </c>
      <c r="C8" s="10" t="s">
        <v>415</v>
      </c>
      <c r="D8" s="10" t="s">
        <v>431</v>
      </c>
      <c r="E8" s="10" t="s">
        <v>438</v>
      </c>
      <c r="F8" s="10" t="s">
        <v>439</v>
      </c>
      <c r="G8" s="10" t="s">
        <v>440</v>
      </c>
      <c r="H8" s="10" t="s">
        <v>435</v>
      </c>
      <c r="I8" s="10" t="s">
        <v>436</v>
      </c>
      <c r="J8" s="11"/>
      <c r="K8" s="11">
        <v>45838</v>
      </c>
      <c r="L8" s="10" t="s">
        <v>421</v>
      </c>
      <c r="M8" s="10"/>
      <c r="N8" s="10"/>
      <c r="O8" s="10" t="s">
        <v>422</v>
      </c>
      <c r="P8" s="19" t="str">
        <f t="shared" si="0"/>
        <v/>
      </c>
      <c r="Q8" s="14" t="str">
        <f t="shared" si="1"/>
        <v/>
      </c>
    </row>
    <row r="9" spans="1:17" ht="30" customHeight="1" x14ac:dyDescent="0.3">
      <c r="A9" s="10" t="s">
        <v>441</v>
      </c>
      <c r="B9" s="11">
        <v>45881</v>
      </c>
      <c r="C9" s="10" t="s">
        <v>415</v>
      </c>
      <c r="D9" s="10" t="s">
        <v>442</v>
      </c>
      <c r="E9" s="10" t="s">
        <v>443</v>
      </c>
      <c r="F9" s="10" t="s">
        <v>444</v>
      </c>
      <c r="G9" s="10" t="s">
        <v>445</v>
      </c>
      <c r="H9" s="10" t="s">
        <v>446</v>
      </c>
      <c r="I9" s="10" t="s">
        <v>447</v>
      </c>
      <c r="J9" s="11">
        <v>45881</v>
      </c>
      <c r="K9" s="11">
        <v>45881</v>
      </c>
      <c r="L9" s="10" t="s">
        <v>448</v>
      </c>
      <c r="M9" s="10"/>
      <c r="N9" s="10"/>
      <c r="O9" s="10" t="s">
        <v>422</v>
      </c>
      <c r="P9" s="19" t="str">
        <f t="shared" si="0"/>
        <v/>
      </c>
      <c r="Q9" s="14" t="str">
        <f t="shared" si="1"/>
        <v>Sim</v>
      </c>
    </row>
    <row r="10" spans="1:17" ht="30" customHeight="1" x14ac:dyDescent="0.3">
      <c r="A10" s="10" t="s">
        <v>449</v>
      </c>
      <c r="B10" s="11">
        <v>45889</v>
      </c>
      <c r="C10" s="10" t="s">
        <v>424</v>
      </c>
      <c r="D10" s="10" t="s">
        <v>442</v>
      </c>
      <c r="E10" s="10" t="s">
        <v>450</v>
      </c>
      <c r="F10" s="10" t="s">
        <v>451</v>
      </c>
      <c r="G10" s="10" t="s">
        <v>452</v>
      </c>
      <c r="H10" s="10" t="s">
        <v>446</v>
      </c>
      <c r="I10" s="10" t="s">
        <v>447</v>
      </c>
      <c r="J10" s="11">
        <v>45905</v>
      </c>
      <c r="K10" s="11">
        <v>45902</v>
      </c>
      <c r="L10" s="10" t="s">
        <v>448</v>
      </c>
      <c r="M10" s="10"/>
      <c r="N10" s="10"/>
      <c r="O10" s="10" t="s">
        <v>422</v>
      </c>
      <c r="P10" s="19">
        <f t="shared" si="0"/>
        <v>13</v>
      </c>
      <c r="Q10" s="14" t="str">
        <f t="shared" si="1"/>
        <v>Sim</v>
      </c>
    </row>
    <row r="11" spans="1:17" ht="30" customHeight="1" x14ac:dyDescent="0.3">
      <c r="A11" s="10" t="s">
        <v>453</v>
      </c>
      <c r="B11" s="11">
        <v>45915</v>
      </c>
      <c r="C11" s="10" t="s">
        <v>424</v>
      </c>
      <c r="D11" s="10" t="s">
        <v>425</v>
      </c>
      <c r="E11" s="10" t="s">
        <v>454</v>
      </c>
      <c r="F11" s="10" t="s">
        <v>455</v>
      </c>
      <c r="G11" s="10" t="s">
        <v>428</v>
      </c>
      <c r="H11" s="10" t="s">
        <v>456</v>
      </c>
      <c r="I11" s="10"/>
      <c r="J11" s="11">
        <v>45961</v>
      </c>
      <c r="K11" s="11">
        <v>45958</v>
      </c>
      <c r="L11" s="10" t="s">
        <v>421</v>
      </c>
      <c r="M11" s="10"/>
      <c r="N11" s="10"/>
      <c r="O11" s="10" t="s">
        <v>422</v>
      </c>
      <c r="P11" s="19">
        <f t="shared" si="0"/>
        <v>43</v>
      </c>
      <c r="Q11" s="14" t="str">
        <f t="shared" si="1"/>
        <v>Sim</v>
      </c>
    </row>
    <row r="12" spans="1:17" ht="30" customHeight="1" x14ac:dyDescent="0.3">
      <c r="A12" s="10" t="s">
        <v>457</v>
      </c>
      <c r="B12" s="11">
        <v>45981</v>
      </c>
      <c r="C12" s="10" t="s">
        <v>415</v>
      </c>
      <c r="D12" s="10" t="s">
        <v>416</v>
      </c>
      <c r="E12" s="10" t="s">
        <v>458</v>
      </c>
      <c r="F12" s="10" t="s">
        <v>459</v>
      </c>
      <c r="G12" s="10" t="s">
        <v>419</v>
      </c>
      <c r="H12" s="10" t="s">
        <v>456</v>
      </c>
      <c r="I12" s="10" t="s">
        <v>460</v>
      </c>
      <c r="J12" s="11">
        <v>46022</v>
      </c>
      <c r="K12" s="11">
        <v>45989</v>
      </c>
      <c r="L12" s="10" t="s">
        <v>448</v>
      </c>
      <c r="M12" s="10" t="s">
        <v>461</v>
      </c>
      <c r="N12" s="10"/>
      <c r="O12" s="10" t="s">
        <v>422</v>
      </c>
      <c r="P12" s="19" t="str">
        <f t="shared" si="0"/>
        <v/>
      </c>
      <c r="Q12" s="14" t="str">
        <f t="shared" si="1"/>
        <v>Sim</v>
      </c>
    </row>
    <row r="13" spans="1:17" ht="30" customHeight="1" x14ac:dyDescent="0.3">
      <c r="A13" s="10" t="s">
        <v>462</v>
      </c>
      <c r="B13" s="11">
        <v>46057</v>
      </c>
      <c r="C13" s="10" t="s">
        <v>415</v>
      </c>
      <c r="D13" s="10" t="s">
        <v>463</v>
      </c>
      <c r="E13" s="10" t="s">
        <v>464</v>
      </c>
      <c r="F13" s="10" t="s">
        <v>465</v>
      </c>
      <c r="G13" s="10" t="s">
        <v>445</v>
      </c>
      <c r="H13" s="10" t="s">
        <v>466</v>
      </c>
      <c r="I13" s="10"/>
      <c r="J13" s="11"/>
      <c r="K13" s="11">
        <v>46057</v>
      </c>
      <c r="L13" s="10" t="s">
        <v>155</v>
      </c>
      <c r="M13" s="10"/>
      <c r="N13" s="10"/>
      <c r="O13" s="10" t="s">
        <v>422</v>
      </c>
      <c r="P13" s="19" t="str">
        <f t="shared" si="0"/>
        <v/>
      </c>
      <c r="Q13" s="14" t="str">
        <f t="shared" si="1"/>
        <v/>
      </c>
    </row>
    <row r="14" spans="1:17" ht="30" customHeight="1" x14ac:dyDescent="0.3">
      <c r="A14" s="10" t="s">
        <v>467</v>
      </c>
      <c r="B14" s="11">
        <v>46099</v>
      </c>
      <c r="C14" s="10" t="s">
        <v>415</v>
      </c>
      <c r="D14" s="10" t="s">
        <v>416</v>
      </c>
      <c r="E14" s="10" t="s">
        <v>417</v>
      </c>
      <c r="F14" s="10" t="s">
        <v>468</v>
      </c>
      <c r="G14" s="10" t="s">
        <v>419</v>
      </c>
      <c r="H14" s="10" t="s">
        <v>420</v>
      </c>
      <c r="I14" s="10"/>
      <c r="J14" s="11">
        <v>46112</v>
      </c>
      <c r="K14" s="11">
        <v>46099</v>
      </c>
      <c r="L14" s="10" t="s">
        <v>421</v>
      </c>
      <c r="M14" s="10"/>
      <c r="N14" s="10"/>
      <c r="O14" s="10" t="s">
        <v>422</v>
      </c>
      <c r="P14" s="19" t="str">
        <f t="shared" si="0"/>
        <v/>
      </c>
      <c r="Q14" s="14" t="str">
        <f t="shared" si="1"/>
        <v>Sim</v>
      </c>
    </row>
    <row r="15" spans="1:17" ht="30" customHeight="1" x14ac:dyDescent="0.3">
      <c r="A15" s="10" t="s">
        <v>469</v>
      </c>
      <c r="B15" s="11">
        <v>46106</v>
      </c>
      <c r="C15" s="10" t="s">
        <v>415</v>
      </c>
      <c r="D15" s="10" t="s">
        <v>416</v>
      </c>
      <c r="E15" s="10" t="s">
        <v>426</v>
      </c>
      <c r="F15" s="10" t="s">
        <v>470</v>
      </c>
      <c r="G15" s="10" t="s">
        <v>419</v>
      </c>
      <c r="H15" s="10" t="s">
        <v>435</v>
      </c>
      <c r="I15" s="10"/>
      <c r="J15" s="11">
        <v>46142</v>
      </c>
      <c r="K15" s="11">
        <v>46106</v>
      </c>
      <c r="L15" s="10" t="s">
        <v>421</v>
      </c>
      <c r="M15" s="10"/>
      <c r="N15" s="10"/>
      <c r="O15" s="10" t="s">
        <v>422</v>
      </c>
      <c r="P15" s="19" t="str">
        <f t="shared" si="0"/>
        <v/>
      </c>
      <c r="Q15" s="14" t="str">
        <f t="shared" si="1"/>
        <v>Sim</v>
      </c>
    </row>
    <row r="16" spans="1:17" ht="30" customHeight="1" x14ac:dyDescent="0.3">
      <c r="A16" s="10" t="s">
        <v>471</v>
      </c>
      <c r="B16" s="11">
        <v>46121</v>
      </c>
      <c r="C16" s="10" t="s">
        <v>424</v>
      </c>
      <c r="D16" s="10" t="s">
        <v>472</v>
      </c>
      <c r="E16" s="10" t="s">
        <v>426</v>
      </c>
      <c r="F16" s="10" t="s">
        <v>473</v>
      </c>
      <c r="G16" s="10" t="s">
        <v>452</v>
      </c>
      <c r="H16" s="10" t="s">
        <v>474</v>
      </c>
      <c r="I16" s="10"/>
      <c r="J16" s="11">
        <v>46142</v>
      </c>
      <c r="K16" s="11">
        <v>46139</v>
      </c>
      <c r="L16" s="10" t="s">
        <v>475</v>
      </c>
      <c r="M16" s="10"/>
      <c r="N16" s="10"/>
      <c r="O16" s="10" t="s">
        <v>422</v>
      </c>
      <c r="P16" s="19">
        <f t="shared" si="0"/>
        <v>18</v>
      </c>
      <c r="Q16" s="14" t="str">
        <f t="shared" si="1"/>
        <v>Sim</v>
      </c>
    </row>
    <row r="17" spans="1:17" ht="30" customHeight="1" x14ac:dyDescent="0.3">
      <c r="A17" s="10" t="s">
        <v>476</v>
      </c>
      <c r="B17" s="11">
        <v>46148</v>
      </c>
      <c r="C17" s="10" t="s">
        <v>424</v>
      </c>
      <c r="D17" s="10" t="s">
        <v>425</v>
      </c>
      <c r="E17" s="10" t="s">
        <v>426</v>
      </c>
      <c r="F17" s="10" t="s">
        <v>477</v>
      </c>
      <c r="G17" s="10" t="s">
        <v>452</v>
      </c>
      <c r="H17" s="10" t="s">
        <v>478</v>
      </c>
      <c r="I17" s="10"/>
      <c r="J17" s="11">
        <v>46234</v>
      </c>
      <c r="K17" s="11">
        <v>46378</v>
      </c>
      <c r="L17" s="10" t="s">
        <v>479</v>
      </c>
      <c r="M17" s="10"/>
      <c r="N17" s="10" t="s">
        <v>480</v>
      </c>
      <c r="O17" s="10" t="s">
        <v>422</v>
      </c>
      <c r="P17" s="19">
        <f t="shared" si="0"/>
        <v>230</v>
      </c>
      <c r="Q17" s="14" t="str">
        <f t="shared" si="1"/>
        <v>Não</v>
      </c>
    </row>
    <row r="18" spans="1:17" ht="30" customHeight="1" x14ac:dyDescent="0.3">
      <c r="A18" s="10" t="s">
        <v>481</v>
      </c>
      <c r="B18" s="11">
        <v>46162</v>
      </c>
      <c r="C18" s="10" t="s">
        <v>424</v>
      </c>
      <c r="D18" s="10" t="s">
        <v>425</v>
      </c>
      <c r="E18" s="10" t="s">
        <v>426</v>
      </c>
      <c r="F18" s="10" t="s">
        <v>482</v>
      </c>
      <c r="G18" s="10" t="s">
        <v>428</v>
      </c>
      <c r="H18" s="10" t="s">
        <v>429</v>
      </c>
      <c r="I18" s="10"/>
      <c r="J18" s="11">
        <v>46193</v>
      </c>
      <c r="K18" s="11">
        <v>46191</v>
      </c>
      <c r="L18" s="10" t="s">
        <v>421</v>
      </c>
      <c r="M18" s="10"/>
      <c r="N18" s="10"/>
      <c r="O18" s="10" t="s">
        <v>422</v>
      </c>
      <c r="P18" s="19">
        <f t="shared" si="0"/>
        <v>29</v>
      </c>
      <c r="Q18" s="14" t="str">
        <f t="shared" si="1"/>
        <v>Sim</v>
      </c>
    </row>
    <row r="19" spans="1:17" ht="30" customHeight="1" x14ac:dyDescent="0.3">
      <c r="A19" s="10" t="s">
        <v>483</v>
      </c>
      <c r="B19" s="11">
        <v>46178</v>
      </c>
      <c r="C19" s="10" t="s">
        <v>424</v>
      </c>
      <c r="D19" s="10" t="s">
        <v>484</v>
      </c>
      <c r="E19" s="10" t="s">
        <v>485</v>
      </c>
      <c r="F19" s="10" t="s">
        <v>486</v>
      </c>
      <c r="G19" s="10" t="s">
        <v>452</v>
      </c>
      <c r="H19" s="10" t="s">
        <v>487</v>
      </c>
      <c r="I19" s="10"/>
      <c r="J19" s="11">
        <v>46208</v>
      </c>
      <c r="K19" s="11">
        <v>46205</v>
      </c>
      <c r="L19" s="10" t="s">
        <v>155</v>
      </c>
      <c r="M19" s="10"/>
      <c r="N19" s="10"/>
      <c r="O19" s="10" t="s">
        <v>422</v>
      </c>
      <c r="P19" s="19">
        <f t="shared" si="0"/>
        <v>27</v>
      </c>
      <c r="Q19" s="14" t="str">
        <f t="shared" si="1"/>
        <v>Sim</v>
      </c>
    </row>
    <row r="20" spans="1:17" ht="30" customHeight="1" x14ac:dyDescent="0.3">
      <c r="A20" s="10" t="s">
        <v>488</v>
      </c>
      <c r="B20" s="11">
        <v>46196</v>
      </c>
      <c r="C20" s="10" t="s">
        <v>424</v>
      </c>
      <c r="D20" s="10" t="s">
        <v>431</v>
      </c>
      <c r="E20" s="10" t="s">
        <v>489</v>
      </c>
      <c r="F20" s="10" t="s">
        <v>490</v>
      </c>
      <c r="G20" s="10" t="s">
        <v>434</v>
      </c>
      <c r="H20" s="10" t="s">
        <v>491</v>
      </c>
      <c r="I20" s="10" t="s">
        <v>492</v>
      </c>
      <c r="J20" s="11">
        <v>46203</v>
      </c>
      <c r="K20" s="11">
        <v>46202</v>
      </c>
      <c r="L20" s="10" t="s">
        <v>421</v>
      </c>
      <c r="M20" s="10" t="s">
        <v>493</v>
      </c>
      <c r="N20" s="10" t="s">
        <v>494</v>
      </c>
      <c r="O20" s="10" t="s">
        <v>495</v>
      </c>
      <c r="P20" s="19">
        <f t="shared" si="0"/>
        <v>6</v>
      </c>
      <c r="Q20" s="14" t="str">
        <f t="shared" si="1"/>
        <v>Sim</v>
      </c>
    </row>
    <row r="21" spans="1:17" ht="30" customHeight="1" x14ac:dyDescent="0.3">
      <c r="A21" s="10" t="s">
        <v>496</v>
      </c>
      <c r="B21" s="11">
        <v>46211</v>
      </c>
      <c r="C21" s="10" t="s">
        <v>424</v>
      </c>
      <c r="D21" s="10" t="s">
        <v>431</v>
      </c>
      <c r="E21" s="10" t="s">
        <v>432</v>
      </c>
      <c r="F21" s="10" t="s">
        <v>497</v>
      </c>
      <c r="G21" s="10" t="s">
        <v>434</v>
      </c>
      <c r="H21" s="10" t="s">
        <v>491</v>
      </c>
      <c r="I21" s="10" t="s">
        <v>498</v>
      </c>
      <c r="J21" s="11">
        <v>46218</v>
      </c>
      <c r="K21" s="11">
        <v>46220</v>
      </c>
      <c r="L21" s="10" t="s">
        <v>421</v>
      </c>
      <c r="M21" s="10" t="s">
        <v>493</v>
      </c>
      <c r="N21" s="10" t="s">
        <v>494</v>
      </c>
      <c r="O21" s="10" t="s">
        <v>495</v>
      </c>
      <c r="P21" s="19">
        <f t="shared" si="0"/>
        <v>9</v>
      </c>
      <c r="Q21" s="14" t="str">
        <f t="shared" si="1"/>
        <v>Não</v>
      </c>
    </row>
    <row r="22" spans="1:17" ht="30" customHeight="1" x14ac:dyDescent="0.3">
      <c r="A22" s="10" t="s">
        <v>499</v>
      </c>
      <c r="B22" s="11">
        <v>46220</v>
      </c>
      <c r="C22" s="10" t="s">
        <v>415</v>
      </c>
      <c r="D22" s="10" t="s">
        <v>431</v>
      </c>
      <c r="E22" s="10" t="s">
        <v>500</v>
      </c>
      <c r="F22" s="10" t="s">
        <v>501</v>
      </c>
      <c r="G22" s="10" t="s">
        <v>440</v>
      </c>
      <c r="H22" s="10" t="s">
        <v>491</v>
      </c>
      <c r="I22" s="10" t="s">
        <v>498</v>
      </c>
      <c r="J22" s="11"/>
      <c r="K22" s="11">
        <v>46220</v>
      </c>
      <c r="L22" s="10" t="s">
        <v>421</v>
      </c>
      <c r="M22" s="10"/>
      <c r="N22" s="10" t="s">
        <v>494</v>
      </c>
      <c r="O22" s="10" t="s">
        <v>422</v>
      </c>
      <c r="P22" s="19" t="str">
        <f t="shared" si="0"/>
        <v/>
      </c>
      <c r="Q22" s="14" t="str">
        <f t="shared" si="1"/>
        <v/>
      </c>
    </row>
    <row r="23" spans="1:17" ht="30" customHeight="1" x14ac:dyDescent="0.3">
      <c r="A23" s="10" t="s">
        <v>502</v>
      </c>
      <c r="B23" s="11">
        <v>46246</v>
      </c>
      <c r="C23" s="10" t="s">
        <v>415</v>
      </c>
      <c r="D23" s="10" t="s">
        <v>425</v>
      </c>
      <c r="E23" s="10" t="s">
        <v>503</v>
      </c>
      <c r="F23" s="10" t="s">
        <v>504</v>
      </c>
      <c r="G23" s="10" t="s">
        <v>505</v>
      </c>
      <c r="H23" s="10" t="s">
        <v>478</v>
      </c>
      <c r="I23" s="10"/>
      <c r="J23" s="11"/>
      <c r="K23" s="11">
        <v>46246</v>
      </c>
      <c r="L23" s="10" t="s">
        <v>479</v>
      </c>
      <c r="M23" s="10"/>
      <c r="N23" s="10" t="s">
        <v>480</v>
      </c>
      <c r="O23" s="10" t="s">
        <v>422</v>
      </c>
      <c r="P23" s="19" t="str">
        <f t="shared" si="0"/>
        <v/>
      </c>
      <c r="Q23" s="14" t="str">
        <f t="shared" si="1"/>
        <v/>
      </c>
    </row>
    <row r="24" spans="1:17" ht="30" customHeight="1" x14ac:dyDescent="0.3">
      <c r="A24" s="10" t="s">
        <v>506</v>
      </c>
      <c r="B24" s="11">
        <v>46267</v>
      </c>
      <c r="C24" s="10" t="s">
        <v>424</v>
      </c>
      <c r="D24" s="10" t="s">
        <v>507</v>
      </c>
      <c r="E24" s="10" t="s">
        <v>426</v>
      </c>
      <c r="F24" s="10" t="s">
        <v>508</v>
      </c>
      <c r="G24" s="10" t="s">
        <v>452</v>
      </c>
      <c r="H24" s="10" t="s">
        <v>509</v>
      </c>
      <c r="I24" s="10"/>
      <c r="J24" s="11">
        <v>46310</v>
      </c>
      <c r="K24" s="11">
        <v>46307</v>
      </c>
      <c r="L24" s="10" t="s">
        <v>421</v>
      </c>
      <c r="M24" s="10"/>
      <c r="N24" s="10" t="s">
        <v>510</v>
      </c>
      <c r="O24" s="10" t="s">
        <v>422</v>
      </c>
      <c r="P24" s="19">
        <f t="shared" si="0"/>
        <v>40</v>
      </c>
      <c r="Q24" s="14" t="str">
        <f t="shared" si="1"/>
        <v>Sim</v>
      </c>
    </row>
    <row r="25" spans="1:17" ht="30" customHeight="1" x14ac:dyDescent="0.3">
      <c r="A25" s="10" t="s">
        <v>511</v>
      </c>
      <c r="B25" s="11">
        <v>46275</v>
      </c>
      <c r="C25" s="10" t="s">
        <v>424</v>
      </c>
      <c r="D25" s="10" t="s">
        <v>416</v>
      </c>
      <c r="E25" s="10" t="s">
        <v>450</v>
      </c>
      <c r="F25" s="10" t="s">
        <v>512</v>
      </c>
      <c r="G25" s="10" t="s">
        <v>452</v>
      </c>
      <c r="H25" s="10" t="s">
        <v>420</v>
      </c>
      <c r="I25" s="10"/>
      <c r="J25" s="11">
        <v>46305</v>
      </c>
      <c r="K25" s="11">
        <v>46303</v>
      </c>
      <c r="L25" s="10" t="s">
        <v>513</v>
      </c>
      <c r="M25" s="10"/>
      <c r="N25" s="10"/>
      <c r="O25" s="10" t="s">
        <v>422</v>
      </c>
      <c r="P25" s="19">
        <f t="shared" si="0"/>
        <v>28</v>
      </c>
      <c r="Q25" s="14" t="str">
        <f t="shared" si="1"/>
        <v>Sim</v>
      </c>
    </row>
    <row r="26" spans="1:17" ht="30" customHeight="1" x14ac:dyDescent="0.3">
      <c r="A26" s="10" t="s">
        <v>514</v>
      </c>
      <c r="B26" s="11">
        <v>46331</v>
      </c>
      <c r="C26" s="10" t="s">
        <v>415</v>
      </c>
      <c r="D26" s="10" t="s">
        <v>431</v>
      </c>
      <c r="E26" s="10" t="s">
        <v>438</v>
      </c>
      <c r="F26" s="10" t="s">
        <v>515</v>
      </c>
      <c r="G26" s="10" t="s">
        <v>440</v>
      </c>
      <c r="H26" s="10" t="s">
        <v>491</v>
      </c>
      <c r="I26" s="10" t="s">
        <v>498</v>
      </c>
      <c r="J26" s="11"/>
      <c r="K26" s="11">
        <v>46331</v>
      </c>
      <c r="L26" s="10" t="s">
        <v>421</v>
      </c>
      <c r="M26" s="10" t="s">
        <v>493</v>
      </c>
      <c r="N26" s="10" t="s">
        <v>494</v>
      </c>
      <c r="O26" s="10" t="s">
        <v>422</v>
      </c>
      <c r="P26" s="19" t="str">
        <f t="shared" si="0"/>
        <v/>
      </c>
      <c r="Q26" s="14" t="str">
        <f t="shared" si="1"/>
        <v/>
      </c>
    </row>
    <row r="27" spans="1:17" ht="30" customHeight="1" x14ac:dyDescent="0.3">
      <c r="A27" s="10" t="s">
        <v>516</v>
      </c>
      <c r="B27" s="11">
        <v>46338</v>
      </c>
      <c r="C27" s="10" t="s">
        <v>424</v>
      </c>
      <c r="D27" s="10" t="s">
        <v>425</v>
      </c>
      <c r="E27" s="10" t="s">
        <v>454</v>
      </c>
      <c r="F27" s="10" t="s">
        <v>517</v>
      </c>
      <c r="G27" s="10" t="s">
        <v>428</v>
      </c>
      <c r="H27" s="10" t="s">
        <v>456</v>
      </c>
      <c r="I27" s="10"/>
      <c r="J27" s="11">
        <v>46371</v>
      </c>
      <c r="K27" s="11">
        <v>46366</v>
      </c>
      <c r="L27" s="10" t="s">
        <v>421</v>
      </c>
      <c r="M27" s="10"/>
      <c r="N27" s="10"/>
      <c r="O27" s="10" t="s">
        <v>422</v>
      </c>
      <c r="P27" s="19">
        <f t="shared" si="0"/>
        <v>28</v>
      </c>
      <c r="Q27" s="14" t="str">
        <f t="shared" si="1"/>
        <v>Sim</v>
      </c>
    </row>
    <row r="28" spans="1:17" ht="30" customHeight="1" x14ac:dyDescent="0.3">
      <c r="A28" s="10" t="s">
        <v>518</v>
      </c>
      <c r="B28" s="11">
        <v>46370</v>
      </c>
      <c r="C28" s="10" t="s">
        <v>424</v>
      </c>
      <c r="D28" s="10" t="s">
        <v>416</v>
      </c>
      <c r="E28" s="10" t="s">
        <v>450</v>
      </c>
      <c r="F28" s="10" t="s">
        <v>519</v>
      </c>
      <c r="G28" s="10" t="s">
        <v>445</v>
      </c>
      <c r="H28" s="10" t="s">
        <v>420</v>
      </c>
      <c r="I28" s="10"/>
      <c r="J28" s="11"/>
      <c r="K28" s="11"/>
      <c r="L28" s="10" t="s">
        <v>513</v>
      </c>
      <c r="M28" s="10"/>
      <c r="N28" s="10"/>
      <c r="O28" s="10" t="s">
        <v>422</v>
      </c>
      <c r="P28" s="19" t="str">
        <f t="shared" si="0"/>
        <v/>
      </c>
      <c r="Q28" s="14" t="str">
        <f t="shared" si="1"/>
        <v/>
      </c>
    </row>
    <row r="29" spans="1:17" ht="30" customHeight="1" x14ac:dyDescent="0.3">
      <c r="A29" s="10"/>
      <c r="B29" s="11"/>
      <c r="C29" s="10"/>
      <c r="D29" s="10"/>
      <c r="E29" s="10"/>
      <c r="F29" s="10"/>
      <c r="G29" s="10"/>
      <c r="H29" s="10"/>
      <c r="I29" s="10"/>
      <c r="J29" s="11"/>
      <c r="K29" s="11"/>
      <c r="L29" s="10"/>
      <c r="M29" s="10"/>
      <c r="N29" s="10"/>
      <c r="O29" s="10"/>
      <c r="P29" s="19" t="str">
        <f t="shared" si="0"/>
        <v/>
      </c>
      <c r="Q29" s="14" t="str">
        <f t="shared" si="1"/>
        <v/>
      </c>
    </row>
    <row r="30" spans="1:17" ht="30" customHeight="1" x14ac:dyDescent="0.3">
      <c r="A30" s="10"/>
      <c r="B30" s="11"/>
      <c r="C30" s="10"/>
      <c r="D30" s="10"/>
      <c r="E30" s="10"/>
      <c r="F30" s="10"/>
      <c r="G30" s="10"/>
      <c r="H30" s="10"/>
      <c r="I30" s="10"/>
      <c r="J30" s="11"/>
      <c r="K30" s="11"/>
      <c r="L30" s="10"/>
      <c r="M30" s="10"/>
      <c r="N30" s="10"/>
      <c r="O30" s="10"/>
      <c r="P30" s="19" t="str">
        <f t="shared" si="0"/>
        <v/>
      </c>
      <c r="Q30" s="14" t="str">
        <f t="shared" si="1"/>
        <v/>
      </c>
    </row>
    <row r="31" spans="1:17" ht="30" customHeight="1" x14ac:dyDescent="0.3">
      <c r="A31" s="10"/>
      <c r="B31" s="11"/>
      <c r="C31" s="10"/>
      <c r="D31" s="10"/>
      <c r="E31" s="10"/>
      <c r="F31" s="10"/>
      <c r="G31" s="10"/>
      <c r="H31" s="10"/>
      <c r="I31" s="10"/>
      <c r="J31" s="11"/>
      <c r="K31" s="11"/>
      <c r="L31" s="10"/>
      <c r="M31" s="10"/>
      <c r="N31" s="10"/>
      <c r="O31" s="10"/>
      <c r="P31" s="19" t="str">
        <f t="shared" si="0"/>
        <v/>
      </c>
      <c r="Q31" s="14" t="str">
        <f t="shared" si="1"/>
        <v/>
      </c>
    </row>
    <row r="32" spans="1:17" ht="30" customHeight="1" x14ac:dyDescent="0.3">
      <c r="A32" s="10"/>
      <c r="B32" s="11"/>
      <c r="C32" s="10"/>
      <c r="D32" s="10"/>
      <c r="E32" s="10"/>
      <c r="F32" s="10"/>
      <c r="G32" s="10"/>
      <c r="H32" s="10"/>
      <c r="I32" s="10"/>
      <c r="J32" s="11"/>
      <c r="K32" s="11"/>
      <c r="L32" s="10"/>
      <c r="M32" s="10"/>
      <c r="N32" s="10"/>
      <c r="O32" s="10"/>
      <c r="P32" s="19" t="str">
        <f t="shared" si="0"/>
        <v/>
      </c>
      <c r="Q32" s="14" t="str">
        <f t="shared" si="1"/>
        <v/>
      </c>
    </row>
    <row r="33" spans="1:17" ht="30" customHeight="1" x14ac:dyDescent="0.3">
      <c r="A33" s="10"/>
      <c r="B33" s="11"/>
      <c r="C33" s="10"/>
      <c r="D33" s="10"/>
      <c r="E33" s="10"/>
      <c r="F33" s="10"/>
      <c r="G33" s="10"/>
      <c r="H33" s="10"/>
      <c r="I33" s="10"/>
      <c r="J33" s="11"/>
      <c r="K33" s="11"/>
      <c r="L33" s="10"/>
      <c r="M33" s="10"/>
      <c r="N33" s="10"/>
      <c r="O33" s="10"/>
      <c r="P33" s="19" t="str">
        <f t="shared" si="0"/>
        <v/>
      </c>
      <c r="Q33" s="14" t="str">
        <f t="shared" si="1"/>
        <v/>
      </c>
    </row>
    <row r="34" spans="1:17" ht="30" customHeight="1" x14ac:dyDescent="0.3">
      <c r="A34" s="10"/>
      <c r="B34" s="11"/>
      <c r="C34" s="10"/>
      <c r="D34" s="10"/>
      <c r="E34" s="10"/>
      <c r="F34" s="10"/>
      <c r="G34" s="10"/>
      <c r="H34" s="10"/>
      <c r="I34" s="10"/>
      <c r="J34" s="11"/>
      <c r="K34" s="11"/>
      <c r="L34" s="10"/>
      <c r="M34" s="10"/>
      <c r="N34" s="10"/>
      <c r="O34" s="10"/>
      <c r="P34" s="19" t="str">
        <f t="shared" si="0"/>
        <v/>
      </c>
      <c r="Q34" s="14" t="str">
        <f t="shared" si="1"/>
        <v/>
      </c>
    </row>
    <row r="35" spans="1:17" ht="30" customHeight="1" x14ac:dyDescent="0.3">
      <c r="A35" s="10"/>
      <c r="B35" s="11"/>
      <c r="C35" s="10"/>
      <c r="D35" s="10"/>
      <c r="E35" s="10"/>
      <c r="F35" s="10"/>
      <c r="G35" s="10"/>
      <c r="H35" s="10"/>
      <c r="I35" s="10"/>
      <c r="J35" s="11"/>
      <c r="K35" s="11"/>
      <c r="L35" s="10"/>
      <c r="M35" s="10"/>
      <c r="N35" s="10"/>
      <c r="O35" s="10"/>
      <c r="P35" s="19" t="str">
        <f t="shared" si="0"/>
        <v/>
      </c>
      <c r="Q35" s="14" t="str">
        <f t="shared" si="1"/>
        <v/>
      </c>
    </row>
    <row r="36" spans="1:17" ht="30" customHeight="1" x14ac:dyDescent="0.3">
      <c r="A36" s="10"/>
      <c r="B36" s="11"/>
      <c r="C36" s="10"/>
      <c r="D36" s="10"/>
      <c r="E36" s="10"/>
      <c r="F36" s="10"/>
      <c r="G36" s="10"/>
      <c r="H36" s="10"/>
      <c r="I36" s="10"/>
      <c r="J36" s="11"/>
      <c r="K36" s="11"/>
      <c r="L36" s="10"/>
      <c r="M36" s="10"/>
      <c r="N36" s="10"/>
      <c r="O36" s="10"/>
      <c r="P36" s="19" t="str">
        <f t="shared" si="0"/>
        <v/>
      </c>
      <c r="Q36" s="14" t="str">
        <f t="shared" si="1"/>
        <v/>
      </c>
    </row>
    <row r="37" spans="1:17" ht="30" customHeight="1" x14ac:dyDescent="0.3">
      <c r="A37" s="10"/>
      <c r="B37" s="11"/>
      <c r="C37" s="10"/>
      <c r="D37" s="10"/>
      <c r="E37" s="10"/>
      <c r="F37" s="10"/>
      <c r="G37" s="10"/>
      <c r="H37" s="10"/>
      <c r="I37" s="10"/>
      <c r="J37" s="11"/>
      <c r="K37" s="11"/>
      <c r="L37" s="10"/>
      <c r="M37" s="10"/>
      <c r="N37" s="10"/>
      <c r="O37" s="10"/>
      <c r="P37" s="19" t="str">
        <f t="shared" ref="P37:P68" si="2">IF(OR(K37="",C37="Enviada"),"",K37-B37)</f>
        <v/>
      </c>
      <c r="Q37" s="14" t="str">
        <f t="shared" ref="Q37:Q68" si="3">IF(J37="","",IF(K37="",IF(DataRef&gt;J37,"Atrasada","Em curso"),IF(K37&lt;=J37,"Sim","Não")))</f>
        <v/>
      </c>
    </row>
    <row r="38" spans="1:17" ht="30" customHeight="1" x14ac:dyDescent="0.3">
      <c r="A38" s="10"/>
      <c r="B38" s="11"/>
      <c r="C38" s="10"/>
      <c r="D38" s="10"/>
      <c r="E38" s="10"/>
      <c r="F38" s="10"/>
      <c r="G38" s="10"/>
      <c r="H38" s="10"/>
      <c r="I38" s="10"/>
      <c r="J38" s="11"/>
      <c r="K38" s="11"/>
      <c r="L38" s="10"/>
      <c r="M38" s="10"/>
      <c r="N38" s="10"/>
      <c r="O38" s="10"/>
      <c r="P38" s="19" t="str">
        <f t="shared" si="2"/>
        <v/>
      </c>
      <c r="Q38" s="14" t="str">
        <f t="shared" si="3"/>
        <v/>
      </c>
    </row>
    <row r="39" spans="1:17" ht="30" customHeight="1" x14ac:dyDescent="0.3">
      <c r="A39" s="10"/>
      <c r="B39" s="11"/>
      <c r="C39" s="10"/>
      <c r="D39" s="10"/>
      <c r="E39" s="10"/>
      <c r="F39" s="10"/>
      <c r="G39" s="10"/>
      <c r="H39" s="10"/>
      <c r="I39" s="10"/>
      <c r="J39" s="11"/>
      <c r="K39" s="11"/>
      <c r="L39" s="10"/>
      <c r="M39" s="10"/>
      <c r="N39" s="10"/>
      <c r="O39" s="10"/>
      <c r="P39" s="19" t="str">
        <f t="shared" si="2"/>
        <v/>
      </c>
      <c r="Q39" s="14" t="str">
        <f t="shared" si="3"/>
        <v/>
      </c>
    </row>
    <row r="40" spans="1:17" ht="30" customHeight="1" x14ac:dyDescent="0.3">
      <c r="A40" s="10"/>
      <c r="B40" s="11"/>
      <c r="C40" s="10"/>
      <c r="D40" s="10"/>
      <c r="E40" s="10"/>
      <c r="F40" s="10"/>
      <c r="G40" s="10"/>
      <c r="H40" s="10"/>
      <c r="I40" s="10"/>
      <c r="J40" s="11"/>
      <c r="K40" s="11"/>
      <c r="L40" s="10"/>
      <c r="M40" s="10"/>
      <c r="N40" s="10"/>
      <c r="O40" s="10"/>
      <c r="P40" s="19" t="str">
        <f t="shared" si="2"/>
        <v/>
      </c>
      <c r="Q40" s="14" t="str">
        <f t="shared" si="3"/>
        <v/>
      </c>
    </row>
    <row r="41" spans="1:17" ht="30" customHeight="1" x14ac:dyDescent="0.3">
      <c r="A41" s="10"/>
      <c r="B41" s="11"/>
      <c r="C41" s="10"/>
      <c r="D41" s="10"/>
      <c r="E41" s="10"/>
      <c r="F41" s="10"/>
      <c r="G41" s="10"/>
      <c r="H41" s="10"/>
      <c r="I41" s="10"/>
      <c r="J41" s="11"/>
      <c r="K41" s="11"/>
      <c r="L41" s="10"/>
      <c r="M41" s="10"/>
      <c r="N41" s="10"/>
      <c r="O41" s="10"/>
      <c r="P41" s="19" t="str">
        <f t="shared" si="2"/>
        <v/>
      </c>
      <c r="Q41" s="14" t="str">
        <f t="shared" si="3"/>
        <v/>
      </c>
    </row>
    <row r="42" spans="1:17" ht="30" customHeight="1" x14ac:dyDescent="0.3">
      <c r="A42" s="10"/>
      <c r="B42" s="11"/>
      <c r="C42" s="10"/>
      <c r="D42" s="10"/>
      <c r="E42" s="10"/>
      <c r="F42" s="10"/>
      <c r="G42" s="10"/>
      <c r="H42" s="10"/>
      <c r="I42" s="10"/>
      <c r="J42" s="11"/>
      <c r="K42" s="11"/>
      <c r="L42" s="10"/>
      <c r="M42" s="10"/>
      <c r="N42" s="10"/>
      <c r="O42" s="10"/>
      <c r="P42" s="19" t="str">
        <f t="shared" si="2"/>
        <v/>
      </c>
      <c r="Q42" s="14" t="str">
        <f t="shared" si="3"/>
        <v/>
      </c>
    </row>
    <row r="43" spans="1:17" ht="30" customHeight="1" x14ac:dyDescent="0.3">
      <c r="A43" s="10"/>
      <c r="B43" s="11"/>
      <c r="C43" s="10"/>
      <c r="D43" s="10"/>
      <c r="E43" s="10"/>
      <c r="F43" s="10"/>
      <c r="G43" s="10"/>
      <c r="H43" s="10"/>
      <c r="I43" s="10"/>
      <c r="J43" s="11"/>
      <c r="K43" s="11"/>
      <c r="L43" s="10"/>
      <c r="M43" s="10"/>
      <c r="N43" s="10"/>
      <c r="O43" s="10"/>
      <c r="P43" s="19" t="str">
        <f t="shared" si="2"/>
        <v/>
      </c>
      <c r="Q43" s="14" t="str">
        <f t="shared" si="3"/>
        <v/>
      </c>
    </row>
    <row r="44" spans="1:17" ht="30" customHeight="1" x14ac:dyDescent="0.3">
      <c r="A44" s="10"/>
      <c r="B44" s="11"/>
      <c r="C44" s="10"/>
      <c r="D44" s="10"/>
      <c r="E44" s="10"/>
      <c r="F44" s="10"/>
      <c r="G44" s="10"/>
      <c r="H44" s="10"/>
      <c r="I44" s="10"/>
      <c r="J44" s="11"/>
      <c r="K44" s="11"/>
      <c r="L44" s="10"/>
      <c r="M44" s="10"/>
      <c r="N44" s="10"/>
      <c r="O44" s="10"/>
      <c r="P44" s="19" t="str">
        <f t="shared" si="2"/>
        <v/>
      </c>
      <c r="Q44" s="14" t="str">
        <f t="shared" si="3"/>
        <v/>
      </c>
    </row>
    <row r="45" spans="1:17" ht="30" customHeight="1" x14ac:dyDescent="0.3">
      <c r="A45" s="10"/>
      <c r="B45" s="11"/>
      <c r="C45" s="10"/>
      <c r="D45" s="10"/>
      <c r="E45" s="10"/>
      <c r="F45" s="10"/>
      <c r="G45" s="10"/>
      <c r="H45" s="10"/>
      <c r="I45" s="10"/>
      <c r="J45" s="11"/>
      <c r="K45" s="11"/>
      <c r="L45" s="10"/>
      <c r="M45" s="10"/>
      <c r="N45" s="10"/>
      <c r="O45" s="10"/>
      <c r="P45" s="19" t="str">
        <f t="shared" si="2"/>
        <v/>
      </c>
      <c r="Q45" s="14" t="str">
        <f t="shared" si="3"/>
        <v/>
      </c>
    </row>
    <row r="46" spans="1:17" ht="30" customHeight="1" x14ac:dyDescent="0.3">
      <c r="A46" s="10"/>
      <c r="B46" s="11"/>
      <c r="C46" s="10"/>
      <c r="D46" s="10"/>
      <c r="E46" s="10"/>
      <c r="F46" s="10"/>
      <c r="G46" s="10"/>
      <c r="H46" s="10"/>
      <c r="I46" s="10"/>
      <c r="J46" s="11"/>
      <c r="K46" s="11"/>
      <c r="L46" s="10"/>
      <c r="M46" s="10"/>
      <c r="N46" s="10"/>
      <c r="O46" s="10"/>
      <c r="P46" s="19" t="str">
        <f t="shared" si="2"/>
        <v/>
      </c>
      <c r="Q46" s="14" t="str">
        <f t="shared" si="3"/>
        <v/>
      </c>
    </row>
    <row r="47" spans="1:17" ht="30" customHeight="1" x14ac:dyDescent="0.3">
      <c r="A47" s="10"/>
      <c r="B47" s="11"/>
      <c r="C47" s="10"/>
      <c r="D47" s="10"/>
      <c r="E47" s="10"/>
      <c r="F47" s="10"/>
      <c r="G47" s="10"/>
      <c r="H47" s="10"/>
      <c r="I47" s="10"/>
      <c r="J47" s="11"/>
      <c r="K47" s="11"/>
      <c r="L47" s="10"/>
      <c r="M47" s="10"/>
      <c r="N47" s="10"/>
      <c r="O47" s="10"/>
      <c r="P47" s="19" t="str">
        <f t="shared" si="2"/>
        <v/>
      </c>
      <c r="Q47" s="14" t="str">
        <f t="shared" si="3"/>
        <v/>
      </c>
    </row>
    <row r="48" spans="1:17" ht="30" customHeight="1" x14ac:dyDescent="0.3">
      <c r="A48" s="10"/>
      <c r="B48" s="11"/>
      <c r="C48" s="10"/>
      <c r="D48" s="10"/>
      <c r="E48" s="10"/>
      <c r="F48" s="10"/>
      <c r="G48" s="10"/>
      <c r="H48" s="10"/>
      <c r="I48" s="10"/>
      <c r="J48" s="11"/>
      <c r="K48" s="11"/>
      <c r="L48" s="10"/>
      <c r="M48" s="10"/>
      <c r="N48" s="10"/>
      <c r="O48" s="10"/>
      <c r="P48" s="19" t="str">
        <f t="shared" si="2"/>
        <v/>
      </c>
      <c r="Q48" s="14" t="str">
        <f t="shared" si="3"/>
        <v/>
      </c>
    </row>
    <row r="49" spans="1:17" ht="30" customHeight="1" x14ac:dyDescent="0.3">
      <c r="A49" s="10"/>
      <c r="B49" s="11"/>
      <c r="C49" s="10"/>
      <c r="D49" s="10"/>
      <c r="E49" s="10"/>
      <c r="F49" s="10"/>
      <c r="G49" s="10"/>
      <c r="H49" s="10"/>
      <c r="I49" s="10"/>
      <c r="J49" s="11"/>
      <c r="K49" s="11"/>
      <c r="L49" s="10"/>
      <c r="M49" s="10"/>
      <c r="N49" s="10"/>
      <c r="O49" s="10"/>
      <c r="P49" s="19" t="str">
        <f t="shared" si="2"/>
        <v/>
      </c>
      <c r="Q49" s="14" t="str">
        <f t="shared" si="3"/>
        <v/>
      </c>
    </row>
    <row r="50" spans="1:17" ht="30" customHeight="1" x14ac:dyDescent="0.3">
      <c r="A50" s="10"/>
      <c r="B50" s="11"/>
      <c r="C50" s="10"/>
      <c r="D50" s="10"/>
      <c r="E50" s="10"/>
      <c r="F50" s="10"/>
      <c r="G50" s="10"/>
      <c r="H50" s="10"/>
      <c r="I50" s="10"/>
      <c r="J50" s="11"/>
      <c r="K50" s="11"/>
      <c r="L50" s="10"/>
      <c r="M50" s="10"/>
      <c r="N50" s="10"/>
      <c r="O50" s="10"/>
      <c r="P50" s="19" t="str">
        <f t="shared" si="2"/>
        <v/>
      </c>
      <c r="Q50" s="14" t="str">
        <f t="shared" si="3"/>
        <v/>
      </c>
    </row>
    <row r="51" spans="1:17" ht="30" customHeight="1" x14ac:dyDescent="0.3">
      <c r="A51" s="10"/>
      <c r="B51" s="11"/>
      <c r="C51" s="10"/>
      <c r="D51" s="10"/>
      <c r="E51" s="10"/>
      <c r="F51" s="10"/>
      <c r="G51" s="10"/>
      <c r="H51" s="10"/>
      <c r="I51" s="10"/>
      <c r="J51" s="11"/>
      <c r="K51" s="11"/>
      <c r="L51" s="10"/>
      <c r="M51" s="10"/>
      <c r="N51" s="10"/>
      <c r="O51" s="10"/>
      <c r="P51" s="19" t="str">
        <f t="shared" si="2"/>
        <v/>
      </c>
      <c r="Q51" s="14" t="str">
        <f t="shared" si="3"/>
        <v/>
      </c>
    </row>
    <row r="52" spans="1:17" ht="30" customHeight="1" x14ac:dyDescent="0.3">
      <c r="A52" s="10"/>
      <c r="B52" s="11"/>
      <c r="C52" s="10"/>
      <c r="D52" s="10"/>
      <c r="E52" s="10"/>
      <c r="F52" s="10"/>
      <c r="G52" s="10"/>
      <c r="H52" s="10"/>
      <c r="I52" s="10"/>
      <c r="J52" s="11"/>
      <c r="K52" s="11"/>
      <c r="L52" s="10"/>
      <c r="M52" s="10"/>
      <c r="N52" s="10"/>
      <c r="O52" s="10"/>
      <c r="P52" s="19" t="str">
        <f t="shared" si="2"/>
        <v/>
      </c>
      <c r="Q52" s="14" t="str">
        <f t="shared" si="3"/>
        <v/>
      </c>
    </row>
    <row r="53" spans="1:17" ht="30" customHeight="1" x14ac:dyDescent="0.3">
      <c r="A53" s="10"/>
      <c r="B53" s="11"/>
      <c r="C53" s="10"/>
      <c r="D53" s="10"/>
      <c r="E53" s="10"/>
      <c r="F53" s="10"/>
      <c r="G53" s="10"/>
      <c r="H53" s="10"/>
      <c r="I53" s="10"/>
      <c r="J53" s="11"/>
      <c r="K53" s="11"/>
      <c r="L53" s="10"/>
      <c r="M53" s="10"/>
      <c r="N53" s="10"/>
      <c r="O53" s="10"/>
      <c r="P53" s="19" t="str">
        <f t="shared" si="2"/>
        <v/>
      </c>
      <c r="Q53" s="14" t="str">
        <f t="shared" si="3"/>
        <v/>
      </c>
    </row>
    <row r="54" spans="1:17" ht="30" customHeight="1" x14ac:dyDescent="0.3">
      <c r="A54" s="10"/>
      <c r="B54" s="11"/>
      <c r="C54" s="10"/>
      <c r="D54" s="10"/>
      <c r="E54" s="10"/>
      <c r="F54" s="10"/>
      <c r="G54" s="10"/>
      <c r="H54" s="10"/>
      <c r="I54" s="10"/>
      <c r="J54" s="11"/>
      <c r="K54" s="11"/>
      <c r="L54" s="10"/>
      <c r="M54" s="10"/>
      <c r="N54" s="10"/>
      <c r="O54" s="10"/>
      <c r="P54" s="19" t="str">
        <f t="shared" si="2"/>
        <v/>
      </c>
      <c r="Q54" s="14" t="str">
        <f t="shared" si="3"/>
        <v/>
      </c>
    </row>
    <row r="55" spans="1:17" ht="30" customHeight="1" x14ac:dyDescent="0.3">
      <c r="A55" s="10"/>
      <c r="B55" s="11"/>
      <c r="C55" s="10"/>
      <c r="D55" s="10"/>
      <c r="E55" s="10"/>
      <c r="F55" s="10"/>
      <c r="G55" s="10"/>
      <c r="H55" s="10"/>
      <c r="I55" s="10"/>
      <c r="J55" s="11"/>
      <c r="K55" s="11"/>
      <c r="L55" s="10"/>
      <c r="M55" s="10"/>
      <c r="N55" s="10"/>
      <c r="O55" s="10"/>
      <c r="P55" s="19" t="str">
        <f t="shared" si="2"/>
        <v/>
      </c>
      <c r="Q55" s="14" t="str">
        <f t="shared" si="3"/>
        <v/>
      </c>
    </row>
    <row r="56" spans="1:17" ht="30" customHeight="1" x14ac:dyDescent="0.3">
      <c r="A56" s="10"/>
      <c r="B56" s="11"/>
      <c r="C56" s="10"/>
      <c r="D56" s="10"/>
      <c r="E56" s="10"/>
      <c r="F56" s="10"/>
      <c r="G56" s="10"/>
      <c r="H56" s="10"/>
      <c r="I56" s="10"/>
      <c r="J56" s="11"/>
      <c r="K56" s="11"/>
      <c r="L56" s="10"/>
      <c r="M56" s="10"/>
      <c r="N56" s="10"/>
      <c r="O56" s="10"/>
      <c r="P56" s="19" t="str">
        <f t="shared" si="2"/>
        <v/>
      </c>
      <c r="Q56" s="14" t="str">
        <f t="shared" si="3"/>
        <v/>
      </c>
    </row>
    <row r="57" spans="1:17" ht="30" customHeight="1" x14ac:dyDescent="0.3">
      <c r="A57" s="10"/>
      <c r="B57" s="11"/>
      <c r="C57" s="10"/>
      <c r="D57" s="10"/>
      <c r="E57" s="10"/>
      <c r="F57" s="10"/>
      <c r="G57" s="10"/>
      <c r="H57" s="10"/>
      <c r="I57" s="10"/>
      <c r="J57" s="11"/>
      <c r="K57" s="11"/>
      <c r="L57" s="10"/>
      <c r="M57" s="10"/>
      <c r="N57" s="10"/>
      <c r="O57" s="10"/>
      <c r="P57" s="19" t="str">
        <f t="shared" si="2"/>
        <v/>
      </c>
      <c r="Q57" s="14" t="str">
        <f t="shared" si="3"/>
        <v/>
      </c>
    </row>
    <row r="58" spans="1:17" ht="30" customHeight="1" x14ac:dyDescent="0.3">
      <c r="A58" s="10"/>
      <c r="B58" s="11"/>
      <c r="C58" s="10"/>
      <c r="D58" s="10"/>
      <c r="E58" s="10"/>
      <c r="F58" s="10"/>
      <c r="G58" s="10"/>
      <c r="H58" s="10"/>
      <c r="I58" s="10"/>
      <c r="J58" s="11"/>
      <c r="K58" s="11"/>
      <c r="L58" s="10"/>
      <c r="M58" s="10"/>
      <c r="N58" s="10"/>
      <c r="O58" s="10"/>
      <c r="P58" s="19" t="str">
        <f t="shared" si="2"/>
        <v/>
      </c>
      <c r="Q58" s="14" t="str">
        <f t="shared" si="3"/>
        <v/>
      </c>
    </row>
    <row r="59" spans="1:17" ht="30" customHeight="1" x14ac:dyDescent="0.3">
      <c r="A59" s="10"/>
      <c r="B59" s="11"/>
      <c r="C59" s="10"/>
      <c r="D59" s="10"/>
      <c r="E59" s="10"/>
      <c r="F59" s="10"/>
      <c r="G59" s="10"/>
      <c r="H59" s="10"/>
      <c r="I59" s="10"/>
      <c r="J59" s="11"/>
      <c r="K59" s="11"/>
      <c r="L59" s="10"/>
      <c r="M59" s="10"/>
      <c r="N59" s="10"/>
      <c r="O59" s="10"/>
      <c r="P59" s="19" t="str">
        <f t="shared" si="2"/>
        <v/>
      </c>
      <c r="Q59" s="14" t="str">
        <f t="shared" si="3"/>
        <v/>
      </c>
    </row>
    <row r="60" spans="1:17" ht="30" customHeight="1" x14ac:dyDescent="0.3">
      <c r="A60" s="10"/>
      <c r="B60" s="11"/>
      <c r="C60" s="10"/>
      <c r="D60" s="10"/>
      <c r="E60" s="10"/>
      <c r="F60" s="10"/>
      <c r="G60" s="10"/>
      <c r="H60" s="10"/>
      <c r="I60" s="10"/>
      <c r="J60" s="11"/>
      <c r="K60" s="11"/>
      <c r="L60" s="10"/>
      <c r="M60" s="10"/>
      <c r="N60" s="10"/>
      <c r="O60" s="10"/>
      <c r="P60" s="19" t="str">
        <f t="shared" si="2"/>
        <v/>
      </c>
      <c r="Q60" s="14" t="str">
        <f t="shared" si="3"/>
        <v/>
      </c>
    </row>
    <row r="61" spans="1:17" ht="30" customHeight="1" x14ac:dyDescent="0.3">
      <c r="A61" s="10"/>
      <c r="B61" s="11"/>
      <c r="C61" s="10"/>
      <c r="D61" s="10"/>
      <c r="E61" s="10"/>
      <c r="F61" s="10"/>
      <c r="G61" s="10"/>
      <c r="H61" s="10"/>
      <c r="I61" s="10"/>
      <c r="J61" s="11"/>
      <c r="K61" s="11"/>
      <c r="L61" s="10"/>
      <c r="M61" s="10"/>
      <c r="N61" s="10"/>
      <c r="O61" s="10"/>
      <c r="P61" s="19" t="str">
        <f t="shared" si="2"/>
        <v/>
      </c>
      <c r="Q61" s="14" t="str">
        <f t="shared" si="3"/>
        <v/>
      </c>
    </row>
    <row r="62" spans="1:17" ht="30" customHeight="1" x14ac:dyDescent="0.3">
      <c r="A62" s="10"/>
      <c r="B62" s="11"/>
      <c r="C62" s="10"/>
      <c r="D62" s="10"/>
      <c r="E62" s="10"/>
      <c r="F62" s="10"/>
      <c r="G62" s="10"/>
      <c r="H62" s="10"/>
      <c r="I62" s="10"/>
      <c r="J62" s="11"/>
      <c r="K62" s="11"/>
      <c r="L62" s="10"/>
      <c r="M62" s="10"/>
      <c r="N62" s="10"/>
      <c r="O62" s="10"/>
      <c r="P62" s="19" t="str">
        <f t="shared" si="2"/>
        <v/>
      </c>
      <c r="Q62" s="14" t="str">
        <f t="shared" si="3"/>
        <v/>
      </c>
    </row>
    <row r="63" spans="1:17" ht="30" customHeight="1" x14ac:dyDescent="0.3">
      <c r="A63" s="10"/>
      <c r="B63" s="11"/>
      <c r="C63" s="10"/>
      <c r="D63" s="10"/>
      <c r="E63" s="10"/>
      <c r="F63" s="10"/>
      <c r="G63" s="10"/>
      <c r="H63" s="10"/>
      <c r="I63" s="10"/>
      <c r="J63" s="11"/>
      <c r="K63" s="11"/>
      <c r="L63" s="10"/>
      <c r="M63" s="10"/>
      <c r="N63" s="10"/>
      <c r="O63" s="10"/>
      <c r="P63" s="19" t="str">
        <f t="shared" si="2"/>
        <v/>
      </c>
      <c r="Q63" s="14" t="str">
        <f t="shared" si="3"/>
        <v/>
      </c>
    </row>
    <row r="64" spans="1:17" ht="30" customHeight="1" x14ac:dyDescent="0.3">
      <c r="A64" s="10"/>
      <c r="B64" s="11"/>
      <c r="C64" s="10"/>
      <c r="D64" s="10"/>
      <c r="E64" s="10"/>
      <c r="F64" s="10"/>
      <c r="G64" s="10"/>
      <c r="H64" s="10"/>
      <c r="I64" s="10"/>
      <c r="J64" s="11"/>
      <c r="K64" s="11"/>
      <c r="L64" s="10"/>
      <c r="M64" s="10"/>
      <c r="N64" s="10"/>
      <c r="O64" s="10"/>
      <c r="P64" s="19" t="str">
        <f t="shared" si="2"/>
        <v/>
      </c>
      <c r="Q64" s="14" t="str">
        <f t="shared" si="3"/>
        <v/>
      </c>
    </row>
    <row r="65" spans="1:17" ht="30" customHeight="1" x14ac:dyDescent="0.3">
      <c r="A65" s="10"/>
      <c r="B65" s="11"/>
      <c r="C65" s="10"/>
      <c r="D65" s="10"/>
      <c r="E65" s="10"/>
      <c r="F65" s="10"/>
      <c r="G65" s="10"/>
      <c r="H65" s="10"/>
      <c r="I65" s="10"/>
      <c r="J65" s="11"/>
      <c r="K65" s="11"/>
      <c r="L65" s="10"/>
      <c r="M65" s="10"/>
      <c r="N65" s="10"/>
      <c r="O65" s="10"/>
      <c r="P65" s="19" t="str">
        <f t="shared" si="2"/>
        <v/>
      </c>
      <c r="Q65" s="14" t="str">
        <f t="shared" si="3"/>
        <v/>
      </c>
    </row>
    <row r="66" spans="1:17" ht="30" customHeight="1" x14ac:dyDescent="0.3">
      <c r="A66" s="10"/>
      <c r="B66" s="11"/>
      <c r="C66" s="10"/>
      <c r="D66" s="10"/>
      <c r="E66" s="10"/>
      <c r="F66" s="10"/>
      <c r="G66" s="10"/>
      <c r="H66" s="10"/>
      <c r="I66" s="10"/>
      <c r="J66" s="11"/>
      <c r="K66" s="11"/>
      <c r="L66" s="10"/>
      <c r="M66" s="10"/>
      <c r="N66" s="10"/>
      <c r="O66" s="10"/>
      <c r="P66" s="19" t="str">
        <f t="shared" si="2"/>
        <v/>
      </c>
      <c r="Q66" s="14" t="str">
        <f t="shared" si="3"/>
        <v/>
      </c>
    </row>
    <row r="67" spans="1:17" ht="30" customHeight="1" x14ac:dyDescent="0.3">
      <c r="A67" s="10"/>
      <c r="B67" s="11"/>
      <c r="C67" s="10"/>
      <c r="D67" s="10"/>
      <c r="E67" s="10"/>
      <c r="F67" s="10"/>
      <c r="G67" s="10"/>
      <c r="H67" s="10"/>
      <c r="I67" s="10"/>
      <c r="J67" s="11"/>
      <c r="K67" s="11"/>
      <c r="L67" s="10"/>
      <c r="M67" s="10"/>
      <c r="N67" s="10"/>
      <c r="O67" s="10"/>
      <c r="P67" s="19" t="str">
        <f t="shared" si="2"/>
        <v/>
      </c>
      <c r="Q67" s="14" t="str">
        <f t="shared" si="3"/>
        <v/>
      </c>
    </row>
    <row r="68" spans="1:17" ht="30" customHeight="1" x14ac:dyDescent="0.3">
      <c r="A68" s="10"/>
      <c r="B68" s="11"/>
      <c r="C68" s="10"/>
      <c r="D68" s="10"/>
      <c r="E68" s="10"/>
      <c r="F68" s="10"/>
      <c r="G68" s="10"/>
      <c r="H68" s="10"/>
      <c r="I68" s="10"/>
      <c r="J68" s="11"/>
      <c r="K68" s="11"/>
      <c r="L68" s="10"/>
      <c r="M68" s="10"/>
      <c r="N68" s="10"/>
      <c r="O68" s="10"/>
      <c r="P68" s="19" t="str">
        <f t="shared" si="2"/>
        <v/>
      </c>
      <c r="Q68" s="14" t="str">
        <f t="shared" si="3"/>
        <v/>
      </c>
    </row>
  </sheetData>
  <conditionalFormatting sqref="G5:G268">
    <cfRule type="expression" dxfId="3" priority="4">
      <formula>ISNUMBER(SEARCH("Reclamação",G5))</formula>
    </cfRule>
  </conditionalFormatting>
  <conditionalFormatting sqref="Q5:Q268">
    <cfRule type="expression" dxfId="2" priority="1">
      <formula>ISNUMBER(SEARCH("Não",Q5))</formula>
    </cfRule>
    <cfRule type="expression" dxfId="1" priority="2">
      <formula>ISNUMBER(SEARCH("Atrasada",Q5))</formula>
    </cfRule>
    <cfRule type="expression" dxfId="0" priority="3">
      <formula>ISNUMBER(SEARCH("Sim",Q5))</formula>
    </cfRule>
  </conditionalFormatting>
  <dataValidations count="4">
    <dataValidation type="list" allowBlank="1" showErrorMessage="1" errorTitle="Valor inválido" error="Valor fora da lista controlada (ver folha Listas)." sqref="C5:C268" xr:uid="{00000000-0002-0000-0600-000000000000}">
      <formula1>lst_CE_Sentido</formula1>
    </dataValidation>
    <dataValidation type="list" allowBlank="1" showErrorMessage="1" errorTitle="Valor inválido" error="Valor fora da lista controlada (ver folha Listas)." sqref="G5:G268" xr:uid="{00000000-0002-0000-0600-000001000000}">
      <formula1>lst_CE_Tipo</formula1>
    </dataValidation>
    <dataValidation type="list" allowBlank="1" showErrorMessage="1" errorTitle="Valor inválido" error="Valor fora da lista controlada (ver folha Listas)." sqref="L5:L268" xr:uid="{00000000-0002-0000-0600-000002000000}">
      <formula1>lst_Funcao</formula1>
    </dataValidation>
    <dataValidation type="list" allowBlank="1" showErrorMessage="1" errorTitle="Valor inválido" error="Valor fora da lista controlada (ver folha Listas)." sqref="O5:O268" xr:uid="{00000000-0002-0000-0600-000003000000}">
      <formula1>lst_CE_Estado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48" customWidth="1"/>
    <col min="4" max="4" width="23" customWidth="1"/>
    <col min="5" max="9" width="16" customWidth="1"/>
    <col min="10" max="10" width="23" customWidth="1"/>
    <col min="11" max="11" width="16" customWidth="1"/>
  </cols>
  <sheetData>
    <row r="1" spans="1:11" x14ac:dyDescent="0.3">
      <c r="A1" s="16" t="s">
        <v>520</v>
      </c>
    </row>
    <row r="2" spans="1:11" x14ac:dyDescent="0.3">
      <c r="A2" s="20" t="s">
        <v>521</v>
      </c>
      <c r="B2" s="20" t="s">
        <v>65</v>
      </c>
      <c r="C2" s="20" t="s">
        <v>522</v>
      </c>
      <c r="D2" s="20" t="s">
        <v>523</v>
      </c>
      <c r="E2" s="20" t="s">
        <v>524</v>
      </c>
      <c r="F2" s="20" t="s">
        <v>525</v>
      </c>
      <c r="G2" s="20" t="s">
        <v>526</v>
      </c>
      <c r="H2" s="20" t="s">
        <v>527</v>
      </c>
      <c r="I2" s="20" t="s">
        <v>528</v>
      </c>
      <c r="J2" s="20" t="s">
        <v>529</v>
      </c>
      <c r="K2" s="20" t="s">
        <v>530</v>
      </c>
    </row>
    <row r="3" spans="1:11" x14ac:dyDescent="0.3">
      <c r="A3" s="21">
        <v>46387</v>
      </c>
      <c r="B3" s="6" t="s">
        <v>83</v>
      </c>
      <c r="C3" s="6" t="s">
        <v>421</v>
      </c>
      <c r="D3" s="6" t="s">
        <v>182</v>
      </c>
      <c r="E3" s="6" t="s">
        <v>15</v>
      </c>
      <c r="F3" s="6" t="s">
        <v>373</v>
      </c>
      <c r="G3" s="6" t="s">
        <v>94</v>
      </c>
      <c r="H3" s="6" t="s">
        <v>531</v>
      </c>
      <c r="I3" s="6" t="s">
        <v>424</v>
      </c>
      <c r="J3" s="6" t="s">
        <v>434</v>
      </c>
      <c r="K3" s="6" t="s">
        <v>532</v>
      </c>
    </row>
    <row r="4" spans="1:11" x14ac:dyDescent="0.3">
      <c r="B4" s="6" t="s">
        <v>117</v>
      </c>
      <c r="C4" s="6" t="s">
        <v>155</v>
      </c>
      <c r="D4" s="6" t="s">
        <v>193</v>
      </c>
      <c r="E4" s="6" t="s">
        <v>213</v>
      </c>
      <c r="F4" s="6" t="s">
        <v>376</v>
      </c>
      <c r="G4" s="6" t="s">
        <v>105</v>
      </c>
      <c r="H4" s="6" t="s">
        <v>533</v>
      </c>
      <c r="I4" s="6" t="s">
        <v>415</v>
      </c>
      <c r="J4" s="6" t="s">
        <v>452</v>
      </c>
      <c r="K4" s="6" t="s">
        <v>495</v>
      </c>
    </row>
    <row r="5" spans="1:11" x14ac:dyDescent="0.3">
      <c r="C5" s="6" t="s">
        <v>90</v>
      </c>
      <c r="D5" s="6" t="s">
        <v>267</v>
      </c>
      <c r="E5" s="6" t="s">
        <v>183</v>
      </c>
      <c r="H5" s="6" t="s">
        <v>534</v>
      </c>
      <c r="J5" s="6" t="s">
        <v>428</v>
      </c>
      <c r="K5" s="6" t="s">
        <v>422</v>
      </c>
    </row>
    <row r="6" spans="1:11" x14ac:dyDescent="0.3">
      <c r="C6" s="6" t="s">
        <v>166</v>
      </c>
      <c r="D6" s="6" t="s">
        <v>281</v>
      </c>
      <c r="H6" s="6" t="s">
        <v>535</v>
      </c>
      <c r="J6" s="6" t="s">
        <v>445</v>
      </c>
    </row>
    <row r="7" spans="1:11" x14ac:dyDescent="0.3">
      <c r="C7" s="6" t="s">
        <v>448</v>
      </c>
      <c r="D7" s="6" t="s">
        <v>262</v>
      </c>
      <c r="H7" s="6" t="s">
        <v>536</v>
      </c>
      <c r="J7" s="6" t="s">
        <v>419</v>
      </c>
    </row>
    <row r="8" spans="1:11" x14ac:dyDescent="0.3">
      <c r="C8" s="6" t="s">
        <v>475</v>
      </c>
      <c r="D8" s="6" t="s">
        <v>537</v>
      </c>
      <c r="H8" s="6" t="s">
        <v>538</v>
      </c>
      <c r="J8" s="6" t="s">
        <v>440</v>
      </c>
    </row>
    <row r="9" spans="1:11" x14ac:dyDescent="0.3">
      <c r="C9" s="6" t="s">
        <v>513</v>
      </c>
      <c r="H9" s="6" t="s">
        <v>539</v>
      </c>
      <c r="J9" s="6" t="s">
        <v>505</v>
      </c>
    </row>
    <row r="10" spans="1:11" x14ac:dyDescent="0.3">
      <c r="C10" s="6" t="s">
        <v>124</v>
      </c>
      <c r="H10" s="6" t="s">
        <v>540</v>
      </c>
    </row>
    <row r="11" spans="1:11" x14ac:dyDescent="0.3">
      <c r="C11" s="6" t="s">
        <v>479</v>
      </c>
      <c r="H11" s="6" t="s">
        <v>541</v>
      </c>
    </row>
    <row r="12" spans="1:11" x14ac:dyDescent="0.3">
      <c r="C12" s="6" t="s">
        <v>542</v>
      </c>
      <c r="H12" s="6" t="s">
        <v>543</v>
      </c>
    </row>
    <row r="13" spans="1:11" x14ac:dyDescent="0.3">
      <c r="C13" s="6" t="s">
        <v>544</v>
      </c>
      <c r="H13" s="6" t="s">
        <v>545</v>
      </c>
    </row>
    <row r="14" spans="1:11" x14ac:dyDescent="0.3">
      <c r="C14" s="6" t="s">
        <v>546</v>
      </c>
      <c r="H14" s="6" t="s">
        <v>547</v>
      </c>
    </row>
    <row r="15" spans="1:11" x14ac:dyDescent="0.3">
      <c r="C15" s="6" t="s">
        <v>548</v>
      </c>
      <c r="H15" s="6" t="s">
        <v>549</v>
      </c>
    </row>
    <row r="16" spans="1:11" x14ac:dyDescent="0.3">
      <c r="C16" s="6" t="s">
        <v>550</v>
      </c>
      <c r="H16" s="6" t="s">
        <v>551</v>
      </c>
    </row>
    <row r="17" spans="3:8" x14ac:dyDescent="0.3">
      <c r="C17" s="6" t="s">
        <v>552</v>
      </c>
      <c r="H17" s="6" t="s">
        <v>553</v>
      </c>
    </row>
    <row r="18" spans="3:8" x14ac:dyDescent="0.3">
      <c r="C18" s="6" t="s">
        <v>554</v>
      </c>
      <c r="H18" s="6" t="s">
        <v>555</v>
      </c>
    </row>
    <row r="19" spans="3:8" x14ac:dyDescent="0.3">
      <c r="C19" s="6" t="s">
        <v>556</v>
      </c>
    </row>
    <row r="20" spans="3:8" x14ac:dyDescent="0.3">
      <c r="C20" s="6" t="s">
        <v>557</v>
      </c>
    </row>
    <row r="21" spans="3:8" x14ac:dyDescent="0.3">
      <c r="C21" s="6" t="s">
        <v>558</v>
      </c>
    </row>
    <row r="22" spans="3:8" x14ac:dyDescent="0.3">
      <c r="C22" s="6" t="s">
        <v>559</v>
      </c>
    </row>
    <row r="23" spans="3:8" x14ac:dyDescent="0.3">
      <c r="C23" s="6" t="s">
        <v>560</v>
      </c>
    </row>
    <row r="24" spans="3:8" x14ac:dyDescent="0.3">
      <c r="C24" s="6" t="s">
        <v>561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562</v>
      </c>
      <c r="B1" s="8" t="s">
        <v>563</v>
      </c>
      <c r="C1" s="8" t="s">
        <v>564</v>
      </c>
      <c r="D1" s="8" t="s">
        <v>65</v>
      </c>
      <c r="E1" s="8" t="s">
        <v>565</v>
      </c>
      <c r="F1" s="8" t="s">
        <v>566</v>
      </c>
      <c r="G1" s="8" t="s">
        <v>567</v>
      </c>
      <c r="H1" s="8" t="s">
        <v>568</v>
      </c>
      <c r="I1" s="8" t="s">
        <v>569</v>
      </c>
    </row>
    <row r="2" spans="1:9" x14ac:dyDescent="0.3">
      <c r="A2" s="18" t="s">
        <v>28</v>
      </c>
      <c r="B2" s="18" t="s">
        <v>570</v>
      </c>
      <c r="C2" s="18" t="s">
        <v>64</v>
      </c>
      <c r="D2" s="18" t="s">
        <v>571</v>
      </c>
      <c r="E2" s="18" t="s">
        <v>572</v>
      </c>
      <c r="F2" s="18" t="s">
        <v>573</v>
      </c>
      <c r="G2" s="18"/>
      <c r="H2" s="18" t="s">
        <v>94</v>
      </c>
      <c r="I2" s="18" t="s">
        <v>574</v>
      </c>
    </row>
    <row r="3" spans="1:9" x14ac:dyDescent="0.3">
      <c r="A3" s="18" t="s">
        <v>28</v>
      </c>
      <c r="B3" s="18" t="s">
        <v>570</v>
      </c>
      <c r="C3" s="18" t="s">
        <v>65</v>
      </c>
      <c r="D3" s="18" t="s">
        <v>571</v>
      </c>
      <c r="E3" s="18" t="s">
        <v>572</v>
      </c>
      <c r="F3" s="18" t="s">
        <v>575</v>
      </c>
      <c r="G3" s="18" t="s">
        <v>576</v>
      </c>
      <c r="H3" s="18" t="s">
        <v>94</v>
      </c>
      <c r="I3" s="18"/>
    </row>
    <row r="4" spans="1:9" x14ac:dyDescent="0.3">
      <c r="A4" s="18" t="s">
        <v>28</v>
      </c>
      <c r="B4" s="18" t="s">
        <v>570</v>
      </c>
      <c r="C4" s="18" t="s">
        <v>66</v>
      </c>
      <c r="D4" s="18" t="s">
        <v>571</v>
      </c>
      <c r="E4" s="18" t="s">
        <v>572</v>
      </c>
      <c r="F4" s="18" t="s">
        <v>577</v>
      </c>
      <c r="G4" s="18"/>
      <c r="H4" s="18" t="s">
        <v>94</v>
      </c>
      <c r="I4" s="18"/>
    </row>
    <row r="5" spans="1:9" x14ac:dyDescent="0.3">
      <c r="A5" s="18" t="s">
        <v>28</v>
      </c>
      <c r="B5" s="18" t="s">
        <v>570</v>
      </c>
      <c r="C5" s="18" t="s">
        <v>67</v>
      </c>
      <c r="D5" s="18" t="s">
        <v>571</v>
      </c>
      <c r="E5" s="18" t="s">
        <v>572</v>
      </c>
      <c r="F5" s="18" t="s">
        <v>578</v>
      </c>
      <c r="G5" s="18"/>
      <c r="H5" s="18" t="s">
        <v>94</v>
      </c>
      <c r="I5" s="18"/>
    </row>
    <row r="6" spans="1:9" x14ac:dyDescent="0.3">
      <c r="A6" s="18" t="s">
        <v>28</v>
      </c>
      <c r="B6" s="18" t="s">
        <v>570</v>
      </c>
      <c r="C6" s="18" t="s">
        <v>68</v>
      </c>
      <c r="D6" s="18" t="s">
        <v>571</v>
      </c>
      <c r="E6" s="18" t="s">
        <v>572</v>
      </c>
      <c r="F6" s="18" t="s">
        <v>579</v>
      </c>
      <c r="G6" s="18"/>
      <c r="H6" s="18" t="s">
        <v>94</v>
      </c>
      <c r="I6" s="18"/>
    </row>
    <row r="7" spans="1:9" x14ac:dyDescent="0.3">
      <c r="A7" s="18" t="s">
        <v>28</v>
      </c>
      <c r="B7" s="18" t="s">
        <v>570</v>
      </c>
      <c r="C7" s="18" t="s">
        <v>69</v>
      </c>
      <c r="D7" s="18" t="s">
        <v>571</v>
      </c>
      <c r="E7" s="18" t="s">
        <v>572</v>
      </c>
      <c r="F7" s="18" t="s">
        <v>391</v>
      </c>
      <c r="G7" s="18"/>
      <c r="H7" s="18" t="s">
        <v>94</v>
      </c>
      <c r="I7" s="18"/>
    </row>
    <row r="8" spans="1:9" x14ac:dyDescent="0.3">
      <c r="A8" s="18" t="s">
        <v>28</v>
      </c>
      <c r="B8" s="18" t="s">
        <v>570</v>
      </c>
      <c r="C8" s="18" t="s">
        <v>70</v>
      </c>
      <c r="D8" s="18" t="s">
        <v>571</v>
      </c>
      <c r="E8" s="18" t="s">
        <v>572</v>
      </c>
      <c r="F8" s="18" t="s">
        <v>392</v>
      </c>
      <c r="G8" s="18"/>
      <c r="H8" s="18" t="s">
        <v>94</v>
      </c>
      <c r="I8" s="18"/>
    </row>
    <row r="9" spans="1:9" x14ac:dyDescent="0.3">
      <c r="A9" s="18" t="s">
        <v>28</v>
      </c>
      <c r="B9" s="18" t="s">
        <v>570</v>
      </c>
      <c r="C9" s="18" t="s">
        <v>71</v>
      </c>
      <c r="D9" s="18" t="s">
        <v>571</v>
      </c>
      <c r="E9" s="18" t="s">
        <v>572</v>
      </c>
      <c r="F9" s="18" t="s">
        <v>580</v>
      </c>
      <c r="G9" s="18"/>
      <c r="H9" s="18" t="s">
        <v>94</v>
      </c>
      <c r="I9" s="18"/>
    </row>
    <row r="10" spans="1:9" x14ac:dyDescent="0.3">
      <c r="A10" s="18" t="s">
        <v>28</v>
      </c>
      <c r="B10" s="18" t="s">
        <v>570</v>
      </c>
      <c r="C10" s="18" t="s">
        <v>72</v>
      </c>
      <c r="D10" s="18" t="s">
        <v>571</v>
      </c>
      <c r="E10" s="18" t="s">
        <v>572</v>
      </c>
      <c r="F10" s="18" t="s">
        <v>581</v>
      </c>
      <c r="G10" s="18" t="s">
        <v>582</v>
      </c>
      <c r="H10" s="18" t="s">
        <v>94</v>
      </c>
      <c r="I10" s="18"/>
    </row>
    <row r="11" spans="1:9" x14ac:dyDescent="0.3">
      <c r="A11" s="18" t="s">
        <v>28</v>
      </c>
      <c r="B11" s="18" t="s">
        <v>570</v>
      </c>
      <c r="C11" s="18" t="s">
        <v>73</v>
      </c>
      <c r="D11" s="18" t="s">
        <v>571</v>
      </c>
      <c r="E11" s="18" t="s">
        <v>572</v>
      </c>
      <c r="F11" s="18" t="s">
        <v>583</v>
      </c>
      <c r="G11" s="18"/>
      <c r="H11" s="18" t="s">
        <v>94</v>
      </c>
      <c r="I11" s="18"/>
    </row>
    <row r="12" spans="1:9" x14ac:dyDescent="0.3">
      <c r="A12" s="18" t="s">
        <v>28</v>
      </c>
      <c r="B12" s="18" t="s">
        <v>570</v>
      </c>
      <c r="C12" s="18" t="s">
        <v>74</v>
      </c>
      <c r="D12" s="18" t="s">
        <v>571</v>
      </c>
      <c r="E12" s="18" t="s">
        <v>572</v>
      </c>
      <c r="F12" s="18" t="s">
        <v>584</v>
      </c>
      <c r="G12" s="18"/>
      <c r="H12" s="18" t="s">
        <v>94</v>
      </c>
      <c r="I12" s="18"/>
    </row>
    <row r="13" spans="1:9" x14ac:dyDescent="0.3">
      <c r="A13" s="18" t="s">
        <v>28</v>
      </c>
      <c r="B13" s="18" t="s">
        <v>570</v>
      </c>
      <c r="C13" s="18" t="s">
        <v>75</v>
      </c>
      <c r="D13" s="18" t="s">
        <v>571</v>
      </c>
      <c r="E13" s="18" t="s">
        <v>572</v>
      </c>
      <c r="F13" s="18" t="s">
        <v>585</v>
      </c>
      <c r="G13" s="18"/>
      <c r="H13" s="18" t="s">
        <v>94</v>
      </c>
      <c r="I13" s="18"/>
    </row>
    <row r="14" spans="1:9" ht="26.4" x14ac:dyDescent="0.3">
      <c r="A14" s="18" t="s">
        <v>28</v>
      </c>
      <c r="B14" s="18" t="s">
        <v>570</v>
      </c>
      <c r="C14" s="18" t="s">
        <v>76</v>
      </c>
      <c r="D14" s="18" t="s">
        <v>586</v>
      </c>
      <c r="E14" s="18" t="s">
        <v>572</v>
      </c>
      <c r="F14" s="18" t="s">
        <v>587</v>
      </c>
      <c r="G14" s="18"/>
      <c r="H14" s="18" t="s">
        <v>105</v>
      </c>
      <c r="I14" s="18"/>
    </row>
    <row r="15" spans="1:9" ht="26.4" x14ac:dyDescent="0.3">
      <c r="A15" s="18" t="s">
        <v>28</v>
      </c>
      <c r="B15" s="18" t="s">
        <v>570</v>
      </c>
      <c r="C15" s="18" t="s">
        <v>77</v>
      </c>
      <c r="D15" s="18" t="s">
        <v>586</v>
      </c>
      <c r="E15" s="18" t="s">
        <v>572</v>
      </c>
      <c r="F15" s="18" t="s">
        <v>588</v>
      </c>
      <c r="G15" s="18"/>
      <c r="H15" s="18" t="s">
        <v>105</v>
      </c>
      <c r="I15" s="18"/>
    </row>
    <row r="16" spans="1:9" x14ac:dyDescent="0.3">
      <c r="A16" s="18" t="s">
        <v>28</v>
      </c>
      <c r="B16" s="18" t="s">
        <v>570</v>
      </c>
      <c r="C16" s="18" t="s">
        <v>78</v>
      </c>
      <c r="D16" s="18" t="s">
        <v>589</v>
      </c>
      <c r="E16" s="18" t="s">
        <v>572</v>
      </c>
      <c r="F16" s="18" t="s">
        <v>590</v>
      </c>
      <c r="G16" s="18"/>
      <c r="H16" s="18" t="s">
        <v>94</v>
      </c>
      <c r="I16" s="18"/>
    </row>
    <row r="17" spans="1:9" x14ac:dyDescent="0.3">
      <c r="A17" s="18" t="s">
        <v>28</v>
      </c>
      <c r="B17" s="18" t="s">
        <v>570</v>
      </c>
      <c r="C17" s="18" t="s">
        <v>79</v>
      </c>
      <c r="D17" s="18" t="s">
        <v>589</v>
      </c>
      <c r="E17" s="18" t="s">
        <v>572</v>
      </c>
      <c r="F17" s="18" t="s">
        <v>591</v>
      </c>
      <c r="G17" s="18"/>
      <c r="H17" s="18" t="s">
        <v>94</v>
      </c>
      <c r="I17" s="18"/>
    </row>
    <row r="18" spans="1:9" ht="26.4" x14ac:dyDescent="0.3">
      <c r="A18" s="18" t="s">
        <v>28</v>
      </c>
      <c r="B18" s="18" t="s">
        <v>570</v>
      </c>
      <c r="C18" s="18" t="s">
        <v>80</v>
      </c>
      <c r="D18" s="18" t="s">
        <v>592</v>
      </c>
      <c r="E18" s="18" t="s">
        <v>593</v>
      </c>
      <c r="F18" s="18" t="s">
        <v>594</v>
      </c>
      <c r="G18" s="18"/>
      <c r="H18" s="18" t="s">
        <v>94</v>
      </c>
      <c r="I18" s="18"/>
    </row>
    <row r="19" spans="1:9" x14ac:dyDescent="0.3">
      <c r="A19" s="18" t="s">
        <v>28</v>
      </c>
      <c r="B19" s="18" t="s">
        <v>570</v>
      </c>
      <c r="C19" s="18" t="s">
        <v>14</v>
      </c>
      <c r="D19" s="18" t="s">
        <v>571</v>
      </c>
      <c r="E19" s="18" t="s">
        <v>593</v>
      </c>
      <c r="F19" s="18" t="s">
        <v>595</v>
      </c>
      <c r="G19" s="18"/>
      <c r="H19" s="18" t="s">
        <v>94</v>
      </c>
      <c r="I19" s="18"/>
    </row>
    <row r="20" spans="1:9" x14ac:dyDescent="0.3">
      <c r="A20" s="18" t="s">
        <v>28</v>
      </c>
      <c r="B20" s="18" t="s">
        <v>570</v>
      </c>
      <c r="C20" s="18" t="s">
        <v>81</v>
      </c>
      <c r="D20" s="18" t="s">
        <v>571</v>
      </c>
      <c r="E20" s="18" t="s">
        <v>572</v>
      </c>
      <c r="F20" s="18" t="s">
        <v>596</v>
      </c>
      <c r="G20" s="18" t="s">
        <v>597</v>
      </c>
      <c r="H20" s="18" t="s">
        <v>94</v>
      </c>
      <c r="I20" s="18"/>
    </row>
    <row r="21" spans="1:9" ht="26.4" x14ac:dyDescent="0.3">
      <c r="A21" s="18" t="s">
        <v>30</v>
      </c>
      <c r="B21" s="18" t="s">
        <v>598</v>
      </c>
      <c r="C21" s="18" t="s">
        <v>170</v>
      </c>
      <c r="D21" s="18" t="s">
        <v>571</v>
      </c>
      <c r="E21" s="18" t="s">
        <v>572</v>
      </c>
      <c r="F21" s="18" t="s">
        <v>599</v>
      </c>
      <c r="G21" s="18"/>
      <c r="H21" s="18" t="s">
        <v>94</v>
      </c>
      <c r="I21" s="18" t="s">
        <v>600</v>
      </c>
    </row>
    <row r="22" spans="1:9" x14ac:dyDescent="0.3">
      <c r="A22" s="18" t="s">
        <v>30</v>
      </c>
      <c r="B22" s="18" t="s">
        <v>598</v>
      </c>
      <c r="C22" s="18" t="s">
        <v>171</v>
      </c>
      <c r="D22" s="18" t="s">
        <v>571</v>
      </c>
      <c r="E22" s="18" t="s">
        <v>572</v>
      </c>
      <c r="F22" s="18" t="s">
        <v>601</v>
      </c>
      <c r="G22" s="18"/>
      <c r="H22" s="18" t="s">
        <v>94</v>
      </c>
      <c r="I22" s="18"/>
    </row>
    <row r="23" spans="1:9" x14ac:dyDescent="0.3">
      <c r="A23" s="18" t="s">
        <v>30</v>
      </c>
      <c r="B23" s="18" t="s">
        <v>598</v>
      </c>
      <c r="C23" s="18" t="s">
        <v>65</v>
      </c>
      <c r="D23" s="18" t="s">
        <v>571</v>
      </c>
      <c r="E23" s="18" t="s">
        <v>572</v>
      </c>
      <c r="F23" s="18" t="s">
        <v>602</v>
      </c>
      <c r="G23" s="18" t="s">
        <v>603</v>
      </c>
      <c r="H23" s="18" t="s">
        <v>94</v>
      </c>
      <c r="I23" s="18"/>
    </row>
    <row r="24" spans="1:9" x14ac:dyDescent="0.3">
      <c r="A24" s="18" t="s">
        <v>30</v>
      </c>
      <c r="B24" s="18" t="s">
        <v>598</v>
      </c>
      <c r="C24" s="18" t="s">
        <v>172</v>
      </c>
      <c r="D24" s="18" t="s">
        <v>571</v>
      </c>
      <c r="E24" s="18" t="s">
        <v>572</v>
      </c>
      <c r="F24" s="18" t="s">
        <v>604</v>
      </c>
      <c r="G24" s="18"/>
      <c r="H24" s="18" t="s">
        <v>94</v>
      </c>
      <c r="I24" s="18"/>
    </row>
    <row r="25" spans="1:9" ht="26.4" x14ac:dyDescent="0.3">
      <c r="A25" s="18" t="s">
        <v>30</v>
      </c>
      <c r="B25" s="18" t="s">
        <v>598</v>
      </c>
      <c r="C25" s="18" t="s">
        <v>173</v>
      </c>
      <c r="D25" s="18" t="s">
        <v>586</v>
      </c>
      <c r="E25" s="18" t="s">
        <v>572</v>
      </c>
      <c r="F25" s="18" t="s">
        <v>605</v>
      </c>
      <c r="G25" s="18"/>
      <c r="H25" s="18" t="s">
        <v>105</v>
      </c>
      <c r="I25" s="18"/>
    </row>
    <row r="26" spans="1:9" x14ac:dyDescent="0.3">
      <c r="A26" s="18" t="s">
        <v>30</v>
      </c>
      <c r="B26" s="18" t="s">
        <v>598</v>
      </c>
      <c r="C26" s="18" t="s">
        <v>174</v>
      </c>
      <c r="D26" s="18" t="s">
        <v>571</v>
      </c>
      <c r="E26" s="18" t="s">
        <v>572</v>
      </c>
      <c r="F26" s="18" t="s">
        <v>606</v>
      </c>
      <c r="G26" s="18"/>
      <c r="H26" s="18" t="s">
        <v>105</v>
      </c>
      <c r="I26" s="18"/>
    </row>
    <row r="27" spans="1:9" x14ac:dyDescent="0.3">
      <c r="A27" s="18" t="s">
        <v>30</v>
      </c>
      <c r="B27" s="18" t="s">
        <v>598</v>
      </c>
      <c r="C27" s="18" t="s">
        <v>14</v>
      </c>
      <c r="D27" s="18" t="s">
        <v>571</v>
      </c>
      <c r="E27" s="18" t="s">
        <v>572</v>
      </c>
      <c r="F27" s="18" t="s">
        <v>607</v>
      </c>
      <c r="G27" s="18" t="s">
        <v>608</v>
      </c>
      <c r="H27" s="18" t="s">
        <v>94</v>
      </c>
      <c r="I27" s="18"/>
    </row>
    <row r="28" spans="1:9" x14ac:dyDescent="0.3">
      <c r="A28" s="18" t="s">
        <v>30</v>
      </c>
      <c r="B28" s="18" t="s">
        <v>598</v>
      </c>
      <c r="C28" s="18" t="s">
        <v>175</v>
      </c>
      <c r="D28" s="18" t="s">
        <v>571</v>
      </c>
      <c r="E28" s="18" t="s">
        <v>572</v>
      </c>
      <c r="F28" s="18" t="s">
        <v>609</v>
      </c>
      <c r="G28" s="18"/>
      <c r="H28" s="18" t="s">
        <v>105</v>
      </c>
      <c r="I28" s="18"/>
    </row>
    <row r="29" spans="1:9" x14ac:dyDescent="0.3">
      <c r="A29" s="18" t="s">
        <v>30</v>
      </c>
      <c r="B29" s="18" t="s">
        <v>598</v>
      </c>
      <c r="C29" s="18" t="s">
        <v>176</v>
      </c>
      <c r="D29" s="18" t="s">
        <v>571</v>
      </c>
      <c r="E29" s="18" t="s">
        <v>572</v>
      </c>
      <c r="F29" s="18" t="s">
        <v>610</v>
      </c>
      <c r="G29" s="18"/>
      <c r="H29" s="18" t="s">
        <v>94</v>
      </c>
      <c r="I29" s="18"/>
    </row>
    <row r="30" spans="1:9" x14ac:dyDescent="0.3">
      <c r="A30" s="18" t="s">
        <v>30</v>
      </c>
      <c r="B30" s="18" t="s">
        <v>598</v>
      </c>
      <c r="C30" s="18" t="s">
        <v>177</v>
      </c>
      <c r="D30" s="18" t="s">
        <v>571</v>
      </c>
      <c r="E30" s="18" t="s">
        <v>572</v>
      </c>
      <c r="F30" s="18" t="s">
        <v>611</v>
      </c>
      <c r="G30" s="18"/>
      <c r="H30" s="18" t="s">
        <v>94</v>
      </c>
      <c r="I30" s="18"/>
    </row>
    <row r="31" spans="1:9" x14ac:dyDescent="0.3">
      <c r="A31" s="18" t="s">
        <v>30</v>
      </c>
      <c r="B31" s="18" t="s">
        <v>598</v>
      </c>
      <c r="C31" s="18" t="s">
        <v>73</v>
      </c>
      <c r="D31" s="18" t="s">
        <v>571</v>
      </c>
      <c r="E31" s="18" t="s">
        <v>572</v>
      </c>
      <c r="F31" s="18" t="s">
        <v>583</v>
      </c>
      <c r="G31" s="18"/>
      <c r="H31" s="18" t="s">
        <v>94</v>
      </c>
      <c r="I31" s="18"/>
    </row>
    <row r="32" spans="1:9" ht="26.4" x14ac:dyDescent="0.3">
      <c r="A32" s="18" t="s">
        <v>30</v>
      </c>
      <c r="B32" s="18" t="s">
        <v>598</v>
      </c>
      <c r="C32" s="18" t="s">
        <v>178</v>
      </c>
      <c r="D32" s="18" t="s">
        <v>586</v>
      </c>
      <c r="E32" s="18" t="s">
        <v>593</v>
      </c>
      <c r="F32" s="18" t="s">
        <v>612</v>
      </c>
      <c r="G32" s="18"/>
      <c r="H32" s="18" t="s">
        <v>94</v>
      </c>
      <c r="I32" s="18"/>
    </row>
    <row r="33" spans="1:9" x14ac:dyDescent="0.3">
      <c r="A33" s="18" t="s">
        <v>30</v>
      </c>
      <c r="B33" s="18" t="s">
        <v>598</v>
      </c>
      <c r="C33" s="18" t="s">
        <v>179</v>
      </c>
      <c r="D33" s="18" t="s">
        <v>571</v>
      </c>
      <c r="E33" s="18" t="s">
        <v>593</v>
      </c>
      <c r="F33" s="18" t="s">
        <v>613</v>
      </c>
      <c r="G33" s="18"/>
      <c r="H33" s="18" t="s">
        <v>94</v>
      </c>
      <c r="I33" s="18"/>
    </row>
    <row r="34" spans="1:9" x14ac:dyDescent="0.3">
      <c r="A34" s="18" t="s">
        <v>32</v>
      </c>
      <c r="B34" s="18" t="s">
        <v>614</v>
      </c>
      <c r="C34" s="18" t="s">
        <v>340</v>
      </c>
      <c r="D34" s="18" t="s">
        <v>571</v>
      </c>
      <c r="E34" s="18" t="s">
        <v>572</v>
      </c>
      <c r="F34" s="18" t="s">
        <v>615</v>
      </c>
      <c r="G34" s="18"/>
      <c r="H34" s="18" t="s">
        <v>94</v>
      </c>
      <c r="I34" s="18" t="s">
        <v>574</v>
      </c>
    </row>
    <row r="35" spans="1:9" x14ac:dyDescent="0.3">
      <c r="A35" s="18" t="s">
        <v>32</v>
      </c>
      <c r="B35" s="18" t="s">
        <v>614</v>
      </c>
      <c r="C35" s="18" t="s">
        <v>341</v>
      </c>
      <c r="D35" s="18" t="s">
        <v>571</v>
      </c>
      <c r="E35" s="18" t="s">
        <v>572</v>
      </c>
      <c r="F35" s="18" t="s">
        <v>616</v>
      </c>
      <c r="G35" s="18"/>
      <c r="H35" s="18" t="s">
        <v>94</v>
      </c>
      <c r="I35" s="18"/>
    </row>
    <row r="36" spans="1:9" x14ac:dyDescent="0.3">
      <c r="A36" s="18" t="s">
        <v>32</v>
      </c>
      <c r="B36" s="18" t="s">
        <v>614</v>
      </c>
      <c r="C36" s="18" t="s">
        <v>342</v>
      </c>
      <c r="D36" s="18" t="s">
        <v>571</v>
      </c>
      <c r="E36" s="18" t="s">
        <v>572</v>
      </c>
      <c r="F36" s="18" t="s">
        <v>617</v>
      </c>
      <c r="G36" s="18" t="s">
        <v>597</v>
      </c>
      <c r="H36" s="18" t="s">
        <v>94</v>
      </c>
      <c r="I36" s="18"/>
    </row>
    <row r="37" spans="1:9" x14ac:dyDescent="0.3">
      <c r="A37" s="18" t="s">
        <v>32</v>
      </c>
      <c r="B37" s="18" t="s">
        <v>614</v>
      </c>
      <c r="C37" s="18" t="s">
        <v>343</v>
      </c>
      <c r="D37" s="18" t="s">
        <v>571</v>
      </c>
      <c r="E37" s="18" t="s">
        <v>572</v>
      </c>
      <c r="F37" s="18" t="s">
        <v>618</v>
      </c>
      <c r="G37" s="18"/>
      <c r="H37" s="18" t="s">
        <v>94</v>
      </c>
      <c r="I37" s="18"/>
    </row>
    <row r="38" spans="1:9" ht="26.4" x14ac:dyDescent="0.3">
      <c r="A38" s="18" t="s">
        <v>34</v>
      </c>
      <c r="B38" s="18" t="s">
        <v>619</v>
      </c>
      <c r="C38" s="18" t="s">
        <v>362</v>
      </c>
      <c r="D38" s="18" t="s">
        <v>571</v>
      </c>
      <c r="E38" s="18" t="s">
        <v>572</v>
      </c>
      <c r="F38" s="18" t="s">
        <v>620</v>
      </c>
      <c r="G38" s="18"/>
      <c r="H38" s="18" t="s">
        <v>94</v>
      </c>
      <c r="I38" s="18" t="s">
        <v>621</v>
      </c>
    </row>
    <row r="39" spans="1:9" ht="26.4" x14ac:dyDescent="0.3">
      <c r="A39" s="18" t="s">
        <v>34</v>
      </c>
      <c r="B39" s="18" t="s">
        <v>619</v>
      </c>
      <c r="C39" s="18" t="s">
        <v>363</v>
      </c>
      <c r="D39" s="18" t="s">
        <v>586</v>
      </c>
      <c r="E39" s="18" t="s">
        <v>572</v>
      </c>
      <c r="F39" s="18" t="s">
        <v>622</v>
      </c>
      <c r="G39" s="18"/>
      <c r="H39" s="18" t="s">
        <v>94</v>
      </c>
      <c r="I39" s="18"/>
    </row>
    <row r="40" spans="1:9" ht="39.6" x14ac:dyDescent="0.3">
      <c r="A40" s="18" t="s">
        <v>34</v>
      </c>
      <c r="B40" s="18" t="s">
        <v>619</v>
      </c>
      <c r="C40" s="18" t="s">
        <v>364</v>
      </c>
      <c r="D40" s="18" t="s">
        <v>571</v>
      </c>
      <c r="E40" s="18" t="s">
        <v>572</v>
      </c>
      <c r="F40" s="18" t="s">
        <v>623</v>
      </c>
      <c r="G40" s="18"/>
      <c r="H40" s="18" t="s">
        <v>94</v>
      </c>
      <c r="I40" s="18" t="s">
        <v>624</v>
      </c>
    </row>
    <row r="41" spans="1:9" x14ac:dyDescent="0.3">
      <c r="A41" s="18" t="s">
        <v>34</v>
      </c>
      <c r="B41" s="18" t="s">
        <v>619</v>
      </c>
      <c r="C41" s="18" t="s">
        <v>365</v>
      </c>
      <c r="D41" s="18" t="s">
        <v>571</v>
      </c>
      <c r="E41" s="18" t="s">
        <v>572</v>
      </c>
      <c r="F41" s="18" t="s">
        <v>625</v>
      </c>
      <c r="G41" s="18"/>
      <c r="H41" s="18" t="s">
        <v>94</v>
      </c>
      <c r="I41" s="18"/>
    </row>
    <row r="42" spans="1:9" x14ac:dyDescent="0.3">
      <c r="A42" s="18" t="s">
        <v>34</v>
      </c>
      <c r="B42" s="18" t="s">
        <v>619</v>
      </c>
      <c r="C42" s="18" t="s">
        <v>366</v>
      </c>
      <c r="D42" s="18" t="s">
        <v>571</v>
      </c>
      <c r="E42" s="18" t="s">
        <v>572</v>
      </c>
      <c r="F42" s="18" t="s">
        <v>626</v>
      </c>
      <c r="G42" s="18"/>
      <c r="H42" s="18" t="s">
        <v>94</v>
      </c>
      <c r="I42" s="18"/>
    </row>
    <row r="43" spans="1:9" x14ac:dyDescent="0.3">
      <c r="A43" s="18" t="s">
        <v>34</v>
      </c>
      <c r="B43" s="18" t="s">
        <v>619</v>
      </c>
      <c r="C43" s="18" t="s">
        <v>367</v>
      </c>
      <c r="D43" s="18" t="s">
        <v>571</v>
      </c>
      <c r="E43" s="18" t="s">
        <v>593</v>
      </c>
      <c r="F43" s="18" t="s">
        <v>627</v>
      </c>
      <c r="G43" s="18"/>
      <c r="H43" s="18" t="s">
        <v>94</v>
      </c>
      <c r="I43" s="18"/>
    </row>
    <row r="44" spans="1:9" x14ac:dyDescent="0.3">
      <c r="A44" s="18" t="s">
        <v>34</v>
      </c>
      <c r="B44" s="18" t="s">
        <v>619</v>
      </c>
      <c r="C44" s="18" t="s">
        <v>368</v>
      </c>
      <c r="D44" s="18" t="s">
        <v>571</v>
      </c>
      <c r="E44" s="18" t="s">
        <v>593</v>
      </c>
      <c r="F44" s="18" t="s">
        <v>628</v>
      </c>
      <c r="G44" s="18"/>
      <c r="H44" s="18" t="s">
        <v>94</v>
      </c>
      <c r="I44" s="18"/>
    </row>
    <row r="45" spans="1:9" ht="26.4" x14ac:dyDescent="0.3">
      <c r="A45" s="18" t="s">
        <v>34</v>
      </c>
      <c r="B45" s="18" t="s">
        <v>619</v>
      </c>
      <c r="C45" s="18" t="s">
        <v>340</v>
      </c>
      <c r="D45" s="18" t="s">
        <v>571</v>
      </c>
      <c r="E45" s="18" t="s">
        <v>572</v>
      </c>
      <c r="F45" s="18" t="s">
        <v>629</v>
      </c>
      <c r="G45" s="18"/>
      <c r="H45" s="18" t="s">
        <v>94</v>
      </c>
      <c r="I45" s="18" t="s">
        <v>630</v>
      </c>
    </row>
    <row r="46" spans="1:9" x14ac:dyDescent="0.3">
      <c r="A46" s="18" t="s">
        <v>34</v>
      </c>
      <c r="B46" s="18" t="s">
        <v>619</v>
      </c>
      <c r="C46" s="18" t="s">
        <v>369</v>
      </c>
      <c r="D46" s="18" t="s">
        <v>571</v>
      </c>
      <c r="E46" s="18" t="s">
        <v>572</v>
      </c>
      <c r="F46" s="18" t="s">
        <v>631</v>
      </c>
      <c r="G46" s="18" t="s">
        <v>632</v>
      </c>
      <c r="H46" s="18" t="s">
        <v>94</v>
      </c>
      <c r="I46" s="18"/>
    </row>
    <row r="47" spans="1:9" x14ac:dyDescent="0.3">
      <c r="A47" s="18" t="s">
        <v>34</v>
      </c>
      <c r="B47" s="18" t="s">
        <v>619</v>
      </c>
      <c r="C47" s="18" t="s">
        <v>370</v>
      </c>
      <c r="D47" s="18" t="s">
        <v>571</v>
      </c>
      <c r="E47" s="18" t="s">
        <v>572</v>
      </c>
      <c r="F47" s="18" t="s">
        <v>633</v>
      </c>
      <c r="G47" s="18"/>
      <c r="H47" s="18" t="s">
        <v>105</v>
      </c>
      <c r="I47" s="18"/>
    </row>
    <row r="48" spans="1:9" x14ac:dyDescent="0.3">
      <c r="A48" s="18" t="s">
        <v>38</v>
      </c>
      <c r="B48" s="18" t="s">
        <v>634</v>
      </c>
      <c r="C48" s="18" t="s">
        <v>401</v>
      </c>
      <c r="D48" s="18" t="s">
        <v>571</v>
      </c>
      <c r="E48" s="18" t="s">
        <v>572</v>
      </c>
      <c r="F48" s="18" t="s">
        <v>635</v>
      </c>
      <c r="G48" s="18"/>
      <c r="H48" s="18" t="s">
        <v>94</v>
      </c>
      <c r="I48" s="18" t="s">
        <v>574</v>
      </c>
    </row>
    <row r="49" spans="1:9" ht="26.4" x14ac:dyDescent="0.3">
      <c r="A49" s="18" t="s">
        <v>38</v>
      </c>
      <c r="B49" s="18" t="s">
        <v>634</v>
      </c>
      <c r="C49" s="18" t="s">
        <v>363</v>
      </c>
      <c r="D49" s="18" t="s">
        <v>586</v>
      </c>
      <c r="E49" s="18" t="s">
        <v>572</v>
      </c>
      <c r="F49" s="18" t="s">
        <v>636</v>
      </c>
      <c r="G49" s="18"/>
      <c r="H49" s="18" t="s">
        <v>94</v>
      </c>
      <c r="I49" s="18"/>
    </row>
    <row r="50" spans="1:9" x14ac:dyDescent="0.3">
      <c r="A50" s="18" t="s">
        <v>38</v>
      </c>
      <c r="B50" s="18" t="s">
        <v>634</v>
      </c>
      <c r="C50" s="18" t="s">
        <v>402</v>
      </c>
      <c r="D50" s="18" t="s">
        <v>571</v>
      </c>
      <c r="E50" s="18" t="s">
        <v>572</v>
      </c>
      <c r="F50" s="18" t="s">
        <v>637</v>
      </c>
      <c r="G50" s="18" t="s">
        <v>638</v>
      </c>
      <c r="H50" s="18" t="s">
        <v>94</v>
      </c>
      <c r="I50" s="18"/>
    </row>
    <row r="51" spans="1:9" x14ac:dyDescent="0.3">
      <c r="A51" s="18" t="s">
        <v>38</v>
      </c>
      <c r="B51" s="18" t="s">
        <v>634</v>
      </c>
      <c r="C51" s="18" t="s">
        <v>403</v>
      </c>
      <c r="D51" s="18" t="s">
        <v>571</v>
      </c>
      <c r="E51" s="18" t="s">
        <v>572</v>
      </c>
      <c r="F51" s="18" t="s">
        <v>639</v>
      </c>
      <c r="G51" s="18"/>
      <c r="H51" s="18" t="s">
        <v>94</v>
      </c>
      <c r="I51" s="18"/>
    </row>
    <row r="52" spans="1:9" x14ac:dyDescent="0.3">
      <c r="A52" s="18" t="s">
        <v>38</v>
      </c>
      <c r="B52" s="18" t="s">
        <v>634</v>
      </c>
      <c r="C52" s="18" t="s">
        <v>404</v>
      </c>
      <c r="D52" s="18" t="s">
        <v>571</v>
      </c>
      <c r="E52" s="18" t="s">
        <v>572</v>
      </c>
      <c r="F52" s="18" t="s">
        <v>640</v>
      </c>
      <c r="G52" s="18"/>
      <c r="H52" s="18" t="s">
        <v>94</v>
      </c>
      <c r="I52" s="18"/>
    </row>
    <row r="53" spans="1:9" x14ac:dyDescent="0.3">
      <c r="A53" s="18" t="s">
        <v>38</v>
      </c>
      <c r="B53" s="18" t="s">
        <v>634</v>
      </c>
      <c r="C53" s="18" t="s">
        <v>405</v>
      </c>
      <c r="D53" s="18" t="s">
        <v>571</v>
      </c>
      <c r="E53" s="18" t="s">
        <v>572</v>
      </c>
      <c r="F53" s="18" t="s">
        <v>641</v>
      </c>
      <c r="G53" s="18"/>
      <c r="H53" s="18" t="s">
        <v>94</v>
      </c>
      <c r="I53" s="18"/>
    </row>
    <row r="54" spans="1:9" x14ac:dyDescent="0.3">
      <c r="A54" s="18" t="s">
        <v>38</v>
      </c>
      <c r="B54" s="18" t="s">
        <v>634</v>
      </c>
      <c r="C54" s="18" t="s">
        <v>65</v>
      </c>
      <c r="D54" s="18" t="s">
        <v>571</v>
      </c>
      <c r="E54" s="18" t="s">
        <v>572</v>
      </c>
      <c r="F54" s="18" t="s">
        <v>642</v>
      </c>
      <c r="G54" s="18" t="s">
        <v>643</v>
      </c>
      <c r="H54" s="18" t="s">
        <v>94</v>
      </c>
      <c r="I54" s="18"/>
    </row>
    <row r="55" spans="1:9" x14ac:dyDescent="0.3">
      <c r="A55" s="18" t="s">
        <v>38</v>
      </c>
      <c r="B55" s="18" t="s">
        <v>634</v>
      </c>
      <c r="C55" s="18" t="s">
        <v>406</v>
      </c>
      <c r="D55" s="18" t="s">
        <v>571</v>
      </c>
      <c r="E55" s="18" t="s">
        <v>572</v>
      </c>
      <c r="F55" s="18" t="s">
        <v>644</v>
      </c>
      <c r="G55" s="18"/>
      <c r="H55" s="18" t="s">
        <v>94</v>
      </c>
      <c r="I55" s="18"/>
    </row>
    <row r="56" spans="1:9" ht="26.4" x14ac:dyDescent="0.3">
      <c r="A56" s="18" t="s">
        <v>38</v>
      </c>
      <c r="B56" s="18" t="s">
        <v>634</v>
      </c>
      <c r="C56" s="18" t="s">
        <v>407</v>
      </c>
      <c r="D56" s="18" t="s">
        <v>571</v>
      </c>
      <c r="E56" s="18" t="s">
        <v>572</v>
      </c>
      <c r="F56" s="18" t="s">
        <v>645</v>
      </c>
      <c r="G56" s="18"/>
      <c r="H56" s="18" t="s">
        <v>105</v>
      </c>
      <c r="I56" s="18" t="s">
        <v>646</v>
      </c>
    </row>
    <row r="57" spans="1:9" ht="26.4" x14ac:dyDescent="0.3">
      <c r="A57" s="18" t="s">
        <v>38</v>
      </c>
      <c r="B57" s="18" t="s">
        <v>634</v>
      </c>
      <c r="C57" s="18" t="s">
        <v>408</v>
      </c>
      <c r="D57" s="18" t="s">
        <v>586</v>
      </c>
      <c r="E57" s="18" t="s">
        <v>572</v>
      </c>
      <c r="F57" s="18" t="s">
        <v>647</v>
      </c>
      <c r="G57" s="18"/>
      <c r="H57" s="18" t="s">
        <v>105</v>
      </c>
      <c r="I57" s="18"/>
    </row>
    <row r="58" spans="1:9" ht="26.4" x14ac:dyDescent="0.3">
      <c r="A58" s="18" t="s">
        <v>38</v>
      </c>
      <c r="B58" s="18" t="s">
        <v>634</v>
      </c>
      <c r="C58" s="18" t="s">
        <v>409</v>
      </c>
      <c r="D58" s="18" t="s">
        <v>586</v>
      </c>
      <c r="E58" s="18" t="s">
        <v>572</v>
      </c>
      <c r="F58" s="18" t="s">
        <v>648</v>
      </c>
      <c r="G58" s="18"/>
      <c r="H58" s="18" t="s">
        <v>105</v>
      </c>
      <c r="I58" s="18"/>
    </row>
    <row r="59" spans="1:9" x14ac:dyDescent="0.3">
      <c r="A59" s="18" t="s">
        <v>38</v>
      </c>
      <c r="B59" s="18" t="s">
        <v>634</v>
      </c>
      <c r="C59" s="18" t="s">
        <v>72</v>
      </c>
      <c r="D59" s="18" t="s">
        <v>571</v>
      </c>
      <c r="E59" s="18" t="s">
        <v>572</v>
      </c>
      <c r="F59" s="18" t="s">
        <v>649</v>
      </c>
      <c r="G59" s="18" t="s">
        <v>582</v>
      </c>
      <c r="H59" s="18" t="s">
        <v>94</v>
      </c>
      <c r="I59" s="18"/>
    </row>
    <row r="60" spans="1:9" x14ac:dyDescent="0.3">
      <c r="A60" s="18" t="s">
        <v>38</v>
      </c>
      <c r="B60" s="18" t="s">
        <v>634</v>
      </c>
      <c r="C60" s="18" t="s">
        <v>410</v>
      </c>
      <c r="D60" s="18" t="s">
        <v>571</v>
      </c>
      <c r="E60" s="18" t="s">
        <v>572</v>
      </c>
      <c r="F60" s="18" t="s">
        <v>650</v>
      </c>
      <c r="G60" s="18"/>
      <c r="H60" s="18" t="s">
        <v>105</v>
      </c>
      <c r="I60" s="18" t="s">
        <v>651</v>
      </c>
    </row>
    <row r="61" spans="1:9" ht="26.4" x14ac:dyDescent="0.3">
      <c r="A61" s="18" t="s">
        <v>38</v>
      </c>
      <c r="B61" s="18" t="s">
        <v>634</v>
      </c>
      <c r="C61" s="18" t="s">
        <v>411</v>
      </c>
      <c r="D61" s="18" t="s">
        <v>571</v>
      </c>
      <c r="E61" s="18" t="s">
        <v>572</v>
      </c>
      <c r="F61" s="18" t="s">
        <v>652</v>
      </c>
      <c r="G61" s="18"/>
      <c r="H61" s="18" t="s">
        <v>105</v>
      </c>
      <c r="I61" s="18" t="s">
        <v>653</v>
      </c>
    </row>
    <row r="62" spans="1:9" x14ac:dyDescent="0.3">
      <c r="A62" s="18" t="s">
        <v>38</v>
      </c>
      <c r="B62" s="18" t="s">
        <v>634</v>
      </c>
      <c r="C62" s="18" t="s">
        <v>14</v>
      </c>
      <c r="D62" s="18" t="s">
        <v>571</v>
      </c>
      <c r="E62" s="18" t="s">
        <v>572</v>
      </c>
      <c r="F62" s="18" t="s">
        <v>654</v>
      </c>
      <c r="G62" s="18" t="s">
        <v>655</v>
      </c>
      <c r="H62" s="18" t="s">
        <v>94</v>
      </c>
      <c r="I62" s="18"/>
    </row>
    <row r="63" spans="1:9" x14ac:dyDescent="0.3">
      <c r="A63" s="18" t="s">
        <v>38</v>
      </c>
      <c r="B63" s="18" t="s">
        <v>634</v>
      </c>
      <c r="C63" s="18" t="s">
        <v>412</v>
      </c>
      <c r="D63" s="18" t="s">
        <v>589</v>
      </c>
      <c r="E63" s="18" t="s">
        <v>593</v>
      </c>
      <c r="F63" s="18" t="s">
        <v>656</v>
      </c>
      <c r="G63" s="18"/>
      <c r="H63" s="18" t="s">
        <v>94</v>
      </c>
      <c r="I63" s="18"/>
    </row>
    <row r="64" spans="1:9" x14ac:dyDescent="0.3">
      <c r="A64" s="18" t="s">
        <v>38</v>
      </c>
      <c r="B64" s="18" t="s">
        <v>634</v>
      </c>
      <c r="C64" s="18" t="s">
        <v>413</v>
      </c>
      <c r="D64" s="18" t="s">
        <v>571</v>
      </c>
      <c r="E64" s="18" t="s">
        <v>593</v>
      </c>
      <c r="F64" s="18" t="s">
        <v>657</v>
      </c>
      <c r="G64" s="18"/>
      <c r="H64" s="18" t="s">
        <v>94</v>
      </c>
      <c r="I64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17</vt:i4>
      </vt:variant>
    </vt:vector>
  </HeadingPairs>
  <TitlesOfParts>
    <vt:vector size="26" baseType="lpstr">
      <vt:lpstr>00_LEIA-ME</vt:lpstr>
      <vt:lpstr>Matriz_Comunicacao</vt:lpstr>
      <vt:lpstr>Lista_Mestra</vt:lpstr>
      <vt:lpstr>Elementos_Controlo</vt:lpstr>
      <vt:lpstr>Verificacao_Documental</vt:lpstr>
      <vt:lpstr>Resumo_Atividade_4_2</vt:lpstr>
      <vt:lpstr>Comunicacoes_Externas</vt:lpstr>
      <vt:lpstr>Listas</vt:lpstr>
      <vt:lpstr>Dicionario_Dados</vt:lpstr>
      <vt:lpstr>DataRef</vt:lpstr>
      <vt:lpstr>lst_CE_Estado</vt:lpstr>
      <vt:lpstr>lst_CE_Sentido</vt:lpstr>
      <vt:lpstr>lst_CE_Tipo</vt:lpstr>
      <vt:lpstr>lst_DataReferencia</vt:lpstr>
      <vt:lpstr>lst_EstadoDoc</vt:lpstr>
      <vt:lpstr>lst_Funcao</vt:lpstr>
      <vt:lpstr>lst_OKNOK</vt:lpstr>
      <vt:lpstr>lst_Processo</vt:lpstr>
      <vt:lpstr>lst_SimNao</vt:lpstr>
      <vt:lpstr>lst_Tipo</vt:lpstr>
      <vt:lpstr>lst_TipoDoc</vt:lpstr>
      <vt:lpstr>Comunicacoes_Externas!Títulos_de_Impressão</vt:lpstr>
      <vt:lpstr>Elementos_Controlo!Títulos_de_Impressão</vt:lpstr>
      <vt:lpstr>Lista_Mestra!Títulos_de_Impressão</vt:lpstr>
      <vt:lpstr>Matriz_Comunicacao!Títulos_de_Impressão</vt:lpstr>
      <vt:lpstr>Verificacao_Documental!Títulos_de_Impressão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RG-SGA-09 Comunicação Ambiental e Controlo da Informação Documentada</dc:title>
  <dc:subject>SGA NP EN ISO 14001:2026 — Plasticom</dc:subject>
  <dc:creator>Gestor(a) do SGA / EHS</dc:creator>
  <cp:lastModifiedBy>Aline Meireles</cp:lastModifiedBy>
  <dcterms:created xsi:type="dcterms:W3CDTF">2026-09-30T09:57:13Z</dcterms:created>
  <dcterms:modified xsi:type="dcterms:W3CDTF">2026-09-30T09:57:40Z</dcterms:modified>
</cp:coreProperties>
</file>