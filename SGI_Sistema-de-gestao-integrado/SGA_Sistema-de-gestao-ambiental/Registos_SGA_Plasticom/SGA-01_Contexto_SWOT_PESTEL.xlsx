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57BDB234-F175-4306-8FBC-513A9A3A7477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ESTEL" sheetId="2" r:id="rId2"/>
    <sheet name="SWOT" sheetId="3" r:id="rId3"/>
    <sheet name="Matriz_TOWS" sheetId="4" r:id="rId4"/>
    <sheet name="Cinco_Forcas" sheetId="5" r:id="rId5"/>
    <sheet name="Vista_SWOT" sheetId="6" r:id="rId6"/>
    <sheet name="Partes_Interessadas" sheetId="7" r:id="rId7"/>
    <sheet name="Listas" sheetId="8" r:id="rId8"/>
    <sheet name="Dicionario_Dados" sheetId="9" r:id="rId9"/>
  </sheets>
  <definedNames>
    <definedName name="DataRef">Listas!$A$3</definedName>
    <definedName name="lst_Classificacao">Listas!$E$3:$E$5</definedName>
    <definedName name="lst_CondicaoAmbiental">Listas!$C$3:$C$8</definedName>
    <definedName name="lst_Cruzamento">Listas!$O$3:$O$6</definedName>
    <definedName name="lst_DataReferencia">Listas!$A$3:$A$3</definedName>
    <definedName name="lst_Dimensao">Listas!$B$3:$B$8</definedName>
    <definedName name="lst_Direcao">Listas!$D$3:$D$6</definedName>
    <definedName name="lst_Escala13">Listas!$H$3:$H$5</definedName>
    <definedName name="lst_ESG">Listas!$M$3:$M$7</definedName>
    <definedName name="lst_Funcao">Listas!$N$3:$N$24</definedName>
    <definedName name="lst_Horizonte">Listas!$G$3:$G$5</definedName>
    <definedName name="lst_PI_Cond">Listas!$Q$3:$Q$8</definedName>
    <definedName name="lst_PI_Nivel">Listas!$S$3:$S$5</definedName>
    <definedName name="lst_PI_Obrig">Listas!$T$3:$T$5</definedName>
    <definedName name="lst_PI_SimNao">Listas!$R$3:$R$4</definedName>
    <definedName name="lst_PI_Tipo">Listas!$P$3:$P$4</definedName>
    <definedName name="lst_Processo">Listas!$K$3:$K$18</definedName>
    <definedName name="lst_Quadrante">Listas!$I$3:$I$6</definedName>
    <definedName name="lst_SimNao">Listas!$J$3:$J$4</definedName>
    <definedName name="lst_Tema">Listas!$L$3:$L$18</definedName>
    <definedName name="lst_Tendencia">Listas!$F$3:$F$5</definedName>
    <definedName name="_xlnm.Print_Titles" localSheetId="4">Cinco_Forcas!$4:$4</definedName>
    <definedName name="_xlnm.Print_Titles" localSheetId="3">Matriz_TOWS!$1:$1</definedName>
    <definedName name="_xlnm.Print_Titles" localSheetId="6">Partes_Interessadas!$4:$4</definedName>
    <definedName name="_xlnm.Print_Titles" localSheetId="1">PESTEL!$1:$1</definedName>
    <definedName name="_xlnm.Print_Titles" localSheetId="2">SWOT!$1:$1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0" i="7" l="1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P24" i="3"/>
  <c r="C24" i="3"/>
  <c r="P23" i="3"/>
  <c r="C23" i="3"/>
  <c r="P22" i="3"/>
  <c r="C22" i="3"/>
  <c r="P21" i="3"/>
  <c r="C21" i="3"/>
  <c r="P20" i="3"/>
  <c r="C20" i="3"/>
  <c r="P19" i="3"/>
  <c r="C19" i="3"/>
  <c r="P18" i="3"/>
  <c r="C18" i="3"/>
  <c r="P17" i="3"/>
  <c r="C17" i="3"/>
  <c r="P16" i="3"/>
  <c r="C16" i="3"/>
  <c r="P15" i="3"/>
  <c r="C15" i="3"/>
  <c r="P14" i="3"/>
  <c r="C14" i="3"/>
  <c r="P13" i="3"/>
  <c r="C13" i="3"/>
  <c r="P12" i="3"/>
  <c r="C12" i="3"/>
  <c r="P11" i="3"/>
  <c r="C11" i="3"/>
  <c r="P10" i="3"/>
  <c r="C10" i="3"/>
  <c r="P9" i="3"/>
  <c r="C9" i="3"/>
  <c r="P8" i="3"/>
  <c r="C8" i="3"/>
  <c r="P7" i="3"/>
  <c r="C7" i="3"/>
  <c r="P6" i="3"/>
  <c r="C6" i="3"/>
  <c r="P5" i="3"/>
  <c r="C5" i="3"/>
  <c r="P4" i="3"/>
  <c r="C4" i="3"/>
  <c r="P3" i="3"/>
  <c r="C3" i="3"/>
  <c r="P2" i="3"/>
  <c r="B19" i="6" s="1"/>
  <c r="C2" i="3"/>
  <c r="X21" i="2"/>
  <c r="M21" i="2"/>
  <c r="N21" i="2" s="1"/>
  <c r="X20" i="2"/>
  <c r="M20" i="2"/>
  <c r="N20" i="2" s="1"/>
  <c r="X19" i="2"/>
  <c r="M19" i="2"/>
  <c r="N19" i="2" s="1"/>
  <c r="X18" i="2"/>
  <c r="N18" i="2"/>
  <c r="M18" i="2"/>
  <c r="X17" i="2"/>
  <c r="M17" i="2"/>
  <c r="N17" i="2" s="1"/>
  <c r="X16" i="2"/>
  <c r="M16" i="2"/>
  <c r="N16" i="2" s="1"/>
  <c r="X15" i="2"/>
  <c r="M15" i="2"/>
  <c r="N15" i="2" s="1"/>
  <c r="X14" i="2"/>
  <c r="N14" i="2"/>
  <c r="M14" i="2"/>
  <c r="X13" i="2"/>
  <c r="M13" i="2"/>
  <c r="N13" i="2" s="1"/>
  <c r="X12" i="2"/>
  <c r="M12" i="2"/>
  <c r="N12" i="2" s="1"/>
  <c r="X11" i="2"/>
  <c r="M11" i="2"/>
  <c r="N11" i="2" s="1"/>
  <c r="X10" i="2"/>
  <c r="N10" i="2"/>
  <c r="M10" i="2"/>
  <c r="X9" i="2"/>
  <c r="M9" i="2"/>
  <c r="N9" i="2" s="1"/>
  <c r="X8" i="2"/>
  <c r="M8" i="2"/>
  <c r="N8" i="2" s="1"/>
  <c r="X7" i="2"/>
  <c r="M7" i="2"/>
  <c r="N7" i="2" s="1"/>
  <c r="X6" i="2"/>
  <c r="N6" i="2"/>
  <c r="M6" i="2"/>
  <c r="X5" i="2"/>
  <c r="M5" i="2"/>
  <c r="N5" i="2" s="1"/>
  <c r="X4" i="2"/>
  <c r="M4" i="2"/>
  <c r="N4" i="2" s="1"/>
  <c r="X3" i="2"/>
  <c r="M3" i="2"/>
  <c r="N3" i="2" s="1"/>
  <c r="X2" i="2"/>
  <c r="N2" i="2"/>
  <c r="M2" i="2"/>
  <c r="A6" i="6" l="1"/>
  <c r="A8" i="6"/>
  <c r="A10" i="6"/>
  <c r="A14" i="6"/>
  <c r="A16" i="6"/>
  <c r="A18" i="6"/>
  <c r="A20" i="6"/>
  <c r="B6" i="6"/>
  <c r="B8" i="6"/>
  <c r="B10" i="6"/>
  <c r="B14" i="6"/>
  <c r="B16" i="6"/>
  <c r="B18" i="6"/>
  <c r="B20" i="6"/>
  <c r="A5" i="6"/>
  <c r="A7" i="6"/>
  <c r="A9" i="6"/>
  <c r="A11" i="6"/>
  <c r="A15" i="6"/>
  <c r="A17" i="6"/>
  <c r="A19" i="6"/>
  <c r="B5" i="6"/>
  <c r="B7" i="6"/>
  <c r="B9" i="6"/>
  <c r="B11" i="6"/>
  <c r="B15" i="6"/>
  <c r="B1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Identificador único do fator PESTEL.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Dimensão PESTEL.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Nome curto do fator externo.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Descrição do fator e do seu estado atual.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Condição ambiental da cláusula 4.1 da ISO 14001:2026 a que o fator se refere.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Dupla perspetiva 2026: a organização afeta o ambiente, o ambiente afeta a organização, ou ambos.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Como o fator afeta os resultados pretendidos do SGA.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Se o fator gera risco, oportunidade ou ambos.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Tendência observada.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Horizonte temporal do efeito.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Probabilidade de afetar o SGA (1 baixa – 3 alta).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Impacto no SGA (1 baixo – 3 alto).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Probabilidade × Impacto (1-9).
[calculado]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Alta ≥6; Média 3-5; Baixa ≤2.
[calculado]</t>
        </r>
      </text>
    </comment>
    <comment ref="O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Fonte de informação usada para acompanhar o fator.</t>
        </r>
      </text>
    </comment>
    <comment ref="P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Resposta estratégica prevista.</t>
        </r>
      </text>
    </comment>
    <comment ref="Q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Item SWOT relacionado.</t>
        </r>
      </text>
    </comment>
    <comment ref="R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Risco/oportunidade gerado no RG-SGA-02.</t>
        </r>
      </text>
    </comment>
    <comment ref="S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Parte interessada mais relacionada (4.2).</t>
        </r>
      </text>
    </comment>
    <comment ref="T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Tema ambiental.</t>
        </r>
      </text>
    </comment>
    <comment ref="U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Pilar ESG.</t>
        </r>
      </text>
    </comment>
    <comment ref="V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Função responsável por monitorizar o fator.</t>
        </r>
      </text>
    </comment>
    <comment ref="W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Data da análise.</t>
        </r>
      </text>
    </comment>
    <comment ref="X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Revisão anual (antes da Revisão pela Gestão).
[calculado]</t>
        </r>
      </text>
    </comment>
    <comment ref="Y1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SGA (ambiental) ou SGI (qualidade/SST, vindo do RG-SGA-02).</t>
        </r>
      </text>
    </comment>
    <comment ref="Z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Riscos/oportunidades do registo corporativo RG-SGA-02 (R-nn / O-nn).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Identificador único do item SWOT.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Quadrante SWOT.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Interno (Força/Fraqueza) ou Externo (Oportunidade/Ameaça).
[calculado]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Descrição aplicada à Plasticom.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Dado ou fonte que sustenta o item.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Implicação para o sistema de gestão ambiental.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Processo mais afetado.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Tema ambiental.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Fator PESTEL de origem (itens externos).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Tratamento no registo de riscos: risco ou oportunidade.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ID no registo RG-SGA-02.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Item escolhido para a Atividade 3.1 (1 por quadrante).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Estratégia/resposta.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Indicador de acompanhamento.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Data da análise SWOT.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Chave técnica (quadrante|ordem) usada pela Vista_SWOT.
[calculado]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SGA ou SGI (qualidade/SST, vindo do RG-SGA-02).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Riscos/oportunidades do RG-SGA-02 (R-nn / O-nn).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Identificador da estratégia cruzada.</t>
        </r>
      </text>
    </comment>
    <comment ref="B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Tipo de cruzamento TOWS.</t>
        </r>
      </text>
    </comment>
    <comment ref="C1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IDs SWOT/PESTEL combinados (separados por ';').</t>
        </r>
      </text>
    </comment>
    <comment ref="D1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Estratégia resultante.</t>
        </r>
      </text>
    </comment>
    <comment ref="E1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Objetivo ambiental derivado.</t>
        </r>
      </text>
    </comment>
    <comment ref="F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Prazo.</t>
        </r>
      </text>
    </comment>
    <comment ref="G1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Responsável.</t>
        </r>
      </text>
    </comment>
    <comment ref="H1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Indicador de sucesso.</t>
        </r>
      </text>
    </comment>
    <comment ref="I1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Riscos/oportunidades do RG-SGA-02 (R-nn / O-nn).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G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Riscos/oportunidades do RG-SGA-02 (R-nn / O-nn).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Identificador da parte interessada.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Parte interessada.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Interna ou externa.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Categoria.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Necessidades e expectativas relevantes para o SGA (4.2 b).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Condição ambiental a que a expectativa se liga (ISO 14001:2026, 4.2 Nota 1).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Se a parte é relevante para o SGA (4.2 a).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Se a necessidade/expectativa é tratada como obrigação de conformidade (4.2 c).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Legal ou voluntária (compromisso que a organização decidiu cumprir).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Requisitos legais associados (';').</t>
        </r>
      </text>
    </comment>
    <comment ref="K4" authorId="0" shapeId="0" xr:uid="{00000000-0006-0000-0600-00000B000000}">
      <text>
        <r>
          <rPr>
            <sz val="11"/>
            <color theme="1"/>
            <rFont val="Calibri"/>
            <family val="2"/>
            <scheme val="minor"/>
          </rPr>
          <t>Como a expectativa é acompanhada.</t>
        </r>
      </text>
    </comment>
    <comment ref="L4" authorId="0" shapeId="0" xr:uid="{00000000-0006-0000-0600-00000C000000}">
      <text>
        <r>
          <rPr>
            <sz val="11"/>
            <color theme="1"/>
            <rFont val="Calibri"/>
            <family val="2"/>
            <scheme val="minor"/>
          </rPr>
          <t>Frequência de acompanhamento.</t>
        </r>
      </text>
    </comment>
    <comment ref="M4" authorId="0" shapeId="0" xr:uid="{00000000-0006-0000-0600-00000D000000}">
      <text>
        <r>
          <rPr>
            <sz val="11"/>
            <color theme="1"/>
            <rFont val="Calibri"/>
            <family val="2"/>
            <scheme val="minor"/>
          </rPr>
          <t>Influência sobre a organização.</t>
        </r>
      </text>
    </comment>
    <comment ref="N4" authorId="0" shapeId="0" xr:uid="{00000000-0006-0000-0600-00000E000000}">
      <text>
        <r>
          <rPr>
            <sz val="11"/>
            <color theme="1"/>
            <rFont val="Calibri"/>
            <family val="2"/>
            <scheme val="minor"/>
          </rPr>
          <t>Interesse / grau de afetação.</t>
        </r>
      </text>
    </comment>
    <comment ref="O4" authorId="0" shapeId="0" xr:uid="{00000000-0006-0000-0600-00000F000000}">
      <text>
        <r>
          <rPr>
            <sz val="11"/>
            <color theme="1"/>
            <rFont val="Calibri"/>
            <family val="2"/>
            <scheme val="minor"/>
          </rPr>
          <t>Matriz influência × interesse.
[calculado]</t>
        </r>
      </text>
    </comment>
    <comment ref="P4" authorId="0" shapeId="0" xr:uid="{00000000-0006-0000-0600-000010000000}">
      <text>
        <r>
          <rPr>
            <sz val="11"/>
            <color theme="1"/>
            <rFont val="Calibri"/>
            <family val="2"/>
            <scheme val="minor"/>
          </rPr>
          <t>Risco/oportunidade associado.</t>
        </r>
      </text>
    </comment>
    <comment ref="Q4" authorId="0" shapeId="0" xr:uid="{00000000-0006-0000-0600-000011000000}">
      <text>
        <r>
          <rPr>
            <sz val="11"/>
            <color theme="1"/>
            <rFont val="Calibri"/>
            <family val="2"/>
            <scheme val="minor"/>
          </rPr>
          <t>Responsável pela relação.</t>
        </r>
      </text>
    </comment>
    <comment ref="R4" authorId="0" shapeId="0" xr:uid="{00000000-0006-0000-0600-000012000000}">
      <text>
        <r>
          <rPr>
            <sz val="11"/>
            <color theme="1"/>
            <rFont val="Calibri"/>
            <family val="2"/>
            <scheme val="minor"/>
          </rPr>
          <t>Última revisão.</t>
        </r>
      </text>
    </comment>
    <comment ref="S4" authorId="0" shapeId="0" xr:uid="{00000000-0006-0000-0600-000013000000}">
      <text>
        <r>
          <rPr>
            <sz val="11"/>
            <color theme="1"/>
            <rFont val="Calibri"/>
            <family val="2"/>
            <scheme val="minor"/>
          </rPr>
          <t>Riscos/oportunidades do registo corporativo RG-SGA-02 (R-nn / O-nn).</t>
        </r>
      </text>
    </comment>
    <comment ref="T4" authorId="0" shapeId="0" xr:uid="{00000000-0006-0000-0600-000014000000}">
      <text>
        <r>
          <rPr>
            <sz val="11"/>
            <color theme="1"/>
            <rFont val="Calibri"/>
            <family val="2"/>
            <scheme val="minor"/>
          </rPr>
          <t>O que a parte teme ou valoriza (perceção do risco — vindo do RG-SGA-02).</t>
        </r>
      </text>
    </comment>
  </commentList>
</comments>
</file>

<file path=xl/sharedStrings.xml><?xml version="1.0" encoding="utf-8"?>
<sst xmlns="http://schemas.openxmlformats.org/spreadsheetml/2006/main" count="1992" uniqueCount="849">
  <si>
    <t>RG-SGA-01 — Contexto da Organização — PESTEL, SWOT, Partes Interessadas, 5 Forças e TOWS (SGA e SGI)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</si>
  <si>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</si>
  <si>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</si>
  <si>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</si>
  <si>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RG-SGA-01</t>
  </si>
  <si>
    <t>Título</t>
  </si>
  <si>
    <t>Contexto da Organização — PESTEL, SWOT, Partes Interessadas, 5 Forças e TOWS (SGA e SGI)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</si>
  <si>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</si>
  <si>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</si>
  <si>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</si>
  <si>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</si>
  <si>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</si>
  <si>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</si>
  <si>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</si>
  <si>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</si>
  <si>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</si>
  <si>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</si>
  <si>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</si>
  <si>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</si>
  <si>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</si>
  <si>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</si>
  <si>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</si>
  <si>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Registar as questões externas (PESTEL) e internas/externas (SWOT) relevantes para o SGA, incluindo a dupla perspetiva exigida pela ISO 14001:2026 (condições ambientais afetadas pela organização e que a afetam). Cada fraqueza, oportunidade e ameaça é convertida num risco ou oportunidade do registo RG-SGA-02.</t>
  </si>
  <si>
    <t>Atividades do curso</t>
  </si>
  <si>
    <t>Base da Atividade 3.1 (recuperação da SWOT da Atividade 2.1). Contexto 4.1/4.2.</t>
  </si>
  <si>
    <t>Requisitos ISO 14001:2026</t>
  </si>
  <si>
    <t>4.1 (questões externas/internas e condições ambientais: clima, poluição, recursos naturais, biodiversidade, saúde dos ecossistemas); 4.2; 6.1.4</t>
  </si>
  <si>
    <t>ESTRUTURA DO FICHEIRO</t>
  </si>
  <si>
    <t>PESTEL</t>
  </si>
  <si>
    <t>Registo das questões externas (PESTEL) com a dupla perspetiva ambiental da ISO 14001:2026.</t>
  </si>
  <si>
    <t>SWOT</t>
  </si>
  <si>
    <t>Registo SWOT (formato longo: um item por linha). Coluna Selecionado_Atv_3_1 marca os 4 itens da Atividade 3.1.</t>
  </si>
  <si>
    <t>Matriz_TOWS</t>
  </si>
  <si>
    <t>Cruzamento estratégico SWOT (TOWS) que liga o contexto aos objetivos ambientais e aos riscos do SGI.</t>
  </si>
  <si>
    <t>Cinco_Forcas</t>
  </si>
  <si>
    <t>Cinco forças competitivas (Porter) do sistema integrado, com ligação aos riscos/oportunidades do RG-SGA-02.</t>
  </si>
  <si>
    <t>Vista_SWOT</t>
  </si>
  <si>
    <t>Quadro SWOT 2×2 para impressão, calculado por fórmulas a partir de tbl_swot (não editar aqui).</t>
  </si>
  <si>
    <t>Partes_Interessadas</t>
  </si>
  <si>
    <t>Partes interessadas, necessidades e expectativas (incl. condições ambientais) e decisão sobre obrigações de conformidade (4.2).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</si>
  <si>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</si>
  <si>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</si>
  <si>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</si>
  <si>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</si>
  <si>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</si>
  <si>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</si>
  <si>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</si>
  <si>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</si>
  <si>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</si>
  <si>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</si>
  <si>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</si>
  <si>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</si>
  <si>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</si>
  <si>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</si>
  <si>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</si>
  <si>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</si>
  <si>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</si>
  <si>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</si>
  <si>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RG-SGA-02 Riscos e Oportunidades</t>
  </si>
  <si>
    <t>Coluna ID_RO liga ao risco ambiental (RO-xx); IDs_Risco_SGI liga aos riscos/oportunidades do registo corporativo (R-nn / O-nn).</t>
  </si>
  <si>
    <t>Fonte única do contexto</t>
  </si>
  <si>
    <t>Desde 24/09/2026 o contexto do sistema integrado (qualidade, SST e ambiente) regista-se só aqui; o RG-SGA-02 deixou de ter PESTEL/SWOT/partes interessadas/5 forças/TOWS próprios.</t>
  </si>
  <si>
    <t>RG-SGA-05 Objetivos</t>
  </si>
  <si>
    <t>A Matriz TOWS aponta os objetivos ambientais (OBJ-xx) derivados do cruzamento estratégico.</t>
  </si>
  <si>
    <t>ID_PESTEL</t>
  </si>
  <si>
    <t>Dimensao</t>
  </si>
  <si>
    <t>Fator_Externo</t>
  </si>
  <si>
    <t>Descricao</t>
  </si>
  <si>
    <t>Condicao_Ambiental_ISO2026</t>
  </si>
  <si>
    <t>Direcao_Efeito</t>
  </si>
  <si>
    <t>Efeito_no_SGA</t>
  </si>
  <si>
    <t>Classificacao</t>
  </si>
  <si>
    <t>Tendencia</t>
  </si>
  <si>
    <t>Horizonte</t>
  </si>
  <si>
    <t>Probabilidade_1a3</t>
  </si>
  <si>
    <t>Impacto_1a3</t>
  </si>
  <si>
    <t>Score</t>
  </si>
  <si>
    <t>Prioridade</t>
  </si>
  <si>
    <t>Fonte_Monitorizacao</t>
  </si>
  <si>
    <t>Resposta_Estrategica</t>
  </si>
  <si>
    <t>ID_SWOT</t>
  </si>
  <si>
    <t>ID_RO</t>
  </si>
  <si>
    <t>Parte_Interessada</t>
  </si>
  <si>
    <t>Tema</t>
  </si>
  <si>
    <t>ESG</t>
  </si>
  <si>
    <t>Dono</t>
  </si>
  <si>
    <t>Data_Avaliacao</t>
  </si>
  <si>
    <t>Proxima_Revisao</t>
  </si>
  <si>
    <t>Ambito</t>
  </si>
  <si>
    <t>IDs_Risco_SGI</t>
  </si>
  <si>
    <t>PES-01</t>
  </si>
  <si>
    <t>Político</t>
  </si>
  <si>
    <t>Pacto Ecológico Europeu, Clean Industrial Deal e PNEC 2030</t>
  </si>
  <si>
    <t>Metas europeias e nacionais de descarbonização e economia circular aumentam a exigência sobre emissões e eficiência da indústria.</t>
  </si>
  <si>
    <t>Clima</t>
  </si>
  <si>
    <t>Bidirecional</t>
  </si>
  <si>
    <t>Exige inventário de GEE e metas de redução no SGA.</t>
  </si>
  <si>
    <t>Risco e Oportunidade</t>
  </si>
  <si>
    <t>Crescente</t>
  </si>
  <si>
    <t>Médio (1-3 anos)</t>
  </si>
  <si>
    <t>Comissão Europeia; APA; associação setorial (APIP)</t>
  </si>
  <si>
    <t>Inventário GEE âmbitos 1-2 e plano de eficiência energética.</t>
  </si>
  <si>
    <t>SWT-F02</t>
  </si>
  <si>
    <t>RO-09</t>
  </si>
  <si>
    <t>Governo / reguladores</t>
  </si>
  <si>
    <t>Clima / GEE</t>
  </si>
  <si>
    <t>E + G</t>
  </si>
  <si>
    <t>Diretor Geral (Gestão de Topo)</t>
  </si>
  <si>
    <t>SGA</t>
  </si>
  <si>
    <t>R33; O5</t>
  </si>
  <si>
    <t>PES-02</t>
  </si>
  <si>
    <t>Económico</t>
  </si>
  <si>
    <t>Volatilidade do preço da eletricidade</t>
  </si>
  <si>
    <t>Injeção e sopro são eletrointensivos (≈ 7 GWh/ano); variações de preço afetam margem e retorno de projetos de eficiência.</t>
  </si>
  <si>
    <t>Não aplicável</t>
  </si>
  <si>
    <t>Aumenta o retorno financeiro das ações de eficiência energética.</t>
  </si>
  <si>
    <t>Risco</t>
  </si>
  <si>
    <t>Estável</t>
  </si>
  <si>
    <t>Curto (&lt;1 ano)</t>
  </si>
  <si>
    <t>Faturas; OMIE; Financeiro</t>
  </si>
  <si>
    <t>Submedição, caça a fugas de ar comprimido e avaliação de PPA/fotovoltaico.</t>
  </si>
  <si>
    <t>SWT-W01</t>
  </si>
  <si>
    <t>RO-02</t>
  </si>
  <si>
    <t>Acionistas / Gerência</t>
  </si>
  <si>
    <t>Energia</t>
  </si>
  <si>
    <t>Diretor Financeiro</t>
  </si>
  <si>
    <t>R25</t>
  </si>
  <si>
    <t>PES-03</t>
  </si>
  <si>
    <t>Preço e disponibilidade de PCR / rPET</t>
  </si>
  <si>
    <t>Prémio de preço do reciclado face ao virgem e oferta limitada de PCR de qualidade alimentar.</t>
  </si>
  <si>
    <t>Recursos naturais</t>
  </si>
  <si>
    <t>Ambiente → Organização</t>
  </si>
  <si>
    <t>Condiciona metas de conteúdo reciclado e pode aumentar o scrap.</t>
  </si>
  <si>
    <t>Compras; fornecedores SUP-004/SUP-002; índices de mercado</t>
  </si>
  <si>
    <t>Qualificar múltiplas fontes e ensaios DOE de materiais antes de mudar de fornecedor.</t>
  </si>
  <si>
    <t>SWT-T02</t>
  </si>
  <si>
    <t>RO-05</t>
  </si>
  <si>
    <t>Fornecedores</t>
  </si>
  <si>
    <t>Materiais e circularidade</t>
  </si>
  <si>
    <t>R14</t>
  </si>
  <si>
    <t>PES-04</t>
  </si>
  <si>
    <t>Social</t>
  </si>
  <si>
    <t>Clientes exigem embalagem circular e dados ambientais</t>
  </si>
  <si>
    <t>Marcas de cosmética, alimentar e farmacêutica pedem conteúdo reciclado, reciclabilidade, pegada de carbono e respostas a questionários ESG (CSRD/ESRS da cadeia de valor).</t>
  </si>
  <si>
    <t>Organização → Ambiente</t>
  </si>
  <si>
    <t>Transforma dados ambientais em requisito comercial.</t>
  </si>
  <si>
    <t>Oportunidade</t>
  </si>
  <si>
    <t>Pedidos de clientes; auditorias de clientes; questionários</t>
  </si>
  <si>
    <t>Programa Design for Recycling e ficha ambiental por família de produto.</t>
  </si>
  <si>
    <t>SWT-O01</t>
  </si>
  <si>
    <t>RO-03</t>
  </si>
  <si>
    <t>Clientes europeus</t>
  </si>
  <si>
    <t>Produto / embalagem</t>
  </si>
  <si>
    <t>E + S + G</t>
  </si>
  <si>
    <t>Gestor do SGA / EHS (Responsável Ambiental)</t>
  </si>
  <si>
    <t>O5</t>
  </si>
  <si>
    <t>PES-05</t>
  </si>
  <si>
    <t>Sensibilidade da comunidade a ruído e tráfego</t>
  </si>
  <si>
    <t>Zona industrial de Marinha Grande com habitações a ~250 m; compressores e camiões noturnos são fonte potencial de reclamações.</t>
  </si>
  <si>
    <t>Poluição</t>
  </si>
  <si>
    <t>Exige avaliação acústica e canal de reclamações.</t>
  </si>
  <si>
    <t>Registo de reclamações; Câmara Municipal</t>
  </si>
  <si>
    <t>Avaliação de ruído no recetor e janelas de expedição.</t>
  </si>
  <si>
    <t>SWT-W04</t>
  </si>
  <si>
    <t>RO-10</t>
  </si>
  <si>
    <t>Vizinhança / comunidade local</t>
  </si>
  <si>
    <t>Ruído</t>
  </si>
  <si>
    <t>E + S</t>
  </si>
  <si>
    <t>PES-06</t>
  </si>
  <si>
    <t>Tecnológico</t>
  </si>
  <si>
    <t>Monitorização digital, IoT e analytics</t>
  </si>
  <si>
    <t>Sensores de energia/caudal de baixo custo, integração no BI e IA permitem gestão ambiental em tempo quase real (reforçado pela ISO 14001:2026).</t>
  </si>
  <si>
    <t>Permite medir desempenho e eficácia do SGA (9.1.1).</t>
  </si>
  <si>
    <t>Fornecedores de automação; Data/TI</t>
  </si>
  <si>
    <t>Integrar dados ambientais no modelo de dados industrial.</t>
  </si>
  <si>
    <t>SWT-F01</t>
  </si>
  <si>
    <t>RO-01</t>
  </si>
  <si>
    <t>Governação e dados</t>
  </si>
  <si>
    <t>Diretor Industrial</t>
  </si>
  <si>
    <t>O3; O13</t>
  </si>
  <si>
    <t>PES-07</t>
  </si>
  <si>
    <t>Design for recycling, monomaterial e redução de peso</t>
  </si>
  <si>
    <t>Tecnologias de lightweighting e embalagens monomaterial PP/PE facilitam a reciclagem e reduzem polímero por unidade.</t>
  </si>
  <si>
    <t>Reduz impacte a montante e no fim de vida.</t>
  </si>
  <si>
    <t>R&amp;D; RecyClass; clientes</t>
  </si>
  <si>
    <t>Revisão de design das famílias prioritárias.</t>
  </si>
  <si>
    <t>PES-08</t>
  </si>
  <si>
    <t>Ambiental</t>
  </si>
  <si>
    <t>Ondas de calor mais frequentes</t>
  </si>
  <si>
    <t>Verões mais quentes aumentam a carga térmica dos moldes, o consumo do chiller e a evaporação da torre de arrefecimento.</t>
  </si>
  <si>
    <t>Aumenta consumo de energia e água no verão; risco para qualidade e continuidade.</t>
  </si>
  <si>
    <t>IPMA; dados de consumo mensais</t>
  </si>
  <si>
    <t>Normalizar indicadores pela temperatura e reforçar capacidade de arrefecimento.</t>
  </si>
  <si>
    <t>SWT-T01</t>
  </si>
  <si>
    <t>RO-04</t>
  </si>
  <si>
    <t>E</t>
  </si>
  <si>
    <t>R34</t>
  </si>
  <si>
    <t>PES-09</t>
  </si>
  <si>
    <t>Seca e escassez hídrica na região Centro</t>
  </si>
  <si>
    <t>Períodos de seca prolongada podem levar a restrições de uso de água de rede pela entidade gestora.</t>
  </si>
  <si>
    <t>Exige eficiência hídrica e plano de contingência para água de arrefecimento.</t>
  </si>
  <si>
    <t>Longo (&gt;3 anos)</t>
  </si>
  <si>
    <t>APA (monitorização de seca); entidade gestora de água</t>
  </si>
  <si>
    <t>Circuito fechado de arrefecimento e reservatório de reserva.</t>
  </si>
  <si>
    <t>Água e efluentes</t>
  </si>
  <si>
    <t>PES-10</t>
  </si>
  <si>
    <t>Risco de incêndio rural na envolvente florestal</t>
  </si>
  <si>
    <t>Proximidade ao Pinhal de Leiria (Mata Nacional afetada pelo grande incêndio de 2017); um incêndio na fábrica pode atingir a floresta e vice-versa.</t>
  </si>
  <si>
    <t>Biodiversidade</t>
  </si>
  <si>
    <t>Cenário de emergência com impacte em ecossistemas e continuidade.</t>
  </si>
  <si>
    <t>ANEPC; ICNF; Plano de Emergência Interno</t>
  </si>
  <si>
    <t>Faixa de gestão de combustível, retenção de águas de combate e simulacros.</t>
  </si>
  <si>
    <t>RO-08</t>
  </si>
  <si>
    <t>Biodiversidade e ecossistemas</t>
  </si>
  <si>
    <t>PES-11</t>
  </si>
  <si>
    <t>Poluição por microplásticos (perdas de granulado)</t>
  </si>
  <si>
    <t>Granulado perdido na descarga de silos e big bags pode chegar à rede pluvial, ao rio Lis e à costa, afetando ecossistemas aquáticos.</t>
  </si>
  <si>
    <t>Saúde dos ecossistemas</t>
  </si>
  <si>
    <t>Novo aspeto ambiental significativo e requisito legal emergente.</t>
  </si>
  <si>
    <t>ONG; Operation Clean Sweep; regulamento UE sobre granulados</t>
  </si>
  <si>
    <t>Programa de contenção de granulado (OCS) e inspeção de sarjetas.</t>
  </si>
  <si>
    <t>RO-07</t>
  </si>
  <si>
    <t>Perdas de granulado (microplásticos)</t>
  </si>
  <si>
    <t>PES-12</t>
  </si>
  <si>
    <t>Legal</t>
  </si>
  <si>
    <t>PPWR — Regulamento (UE) 2025/40 aplicável desde 12/08/2026</t>
  </si>
  <si>
    <t>Obrigações do fabricante de embalagens: documentação técnica, declaração UE de conformidade, limites de substâncias preocupantes, metas de conteúdo reciclado e reciclabilidade.</t>
  </si>
  <si>
    <t>Obrigação de conformidade nova com impacto comercial direto.</t>
  </si>
  <si>
    <t>EUR-Lex; APA; clientes</t>
  </si>
  <si>
    <t>Dossier técnico por família e plano de conformidade PPWR.</t>
  </si>
  <si>
    <t>RO-06</t>
  </si>
  <si>
    <t>Legal / conformidade</t>
  </si>
  <si>
    <t>PES-13</t>
  </si>
  <si>
    <t>Regulamento da UE sobre prevenção de perdas de granulados de plástico</t>
  </si>
  <si>
    <t>Adotado em 2025: obrigações de avaliação de risco, plano de gestão, contenção e (para grandes empresas) certificação por terceiros — confirmar n.º e datas de aplicação no EUR-Lex.</t>
  </si>
  <si>
    <t>Antecipar requisitos antes da data de aplicação.</t>
  </si>
  <si>
    <t>EUR-Lex; Plastics Europe</t>
  </si>
  <si>
    <t>Autoavaliação OCS e plano de contenção por ponto crítico.</t>
  </si>
  <si>
    <t>PES-14</t>
  </si>
  <si>
    <t>Fiscalização de resíduos (RGGR, e-GAR, MIRR)</t>
  </si>
  <si>
    <t>Fiscalização da IGAMAOT/APA sobre classificação LER, e-GAR e reporte anual MIRR.</t>
  </si>
  <si>
    <t>Exige rastreabilidade completa dos resíduos.</t>
  </si>
  <si>
    <t>APA/SILiAmb; IGAMAOT</t>
  </si>
  <si>
    <t>Pesagem por código LER e verificação mensal das e-GAR.</t>
  </si>
  <si>
    <t>Resíduos</t>
  </si>
  <si>
    <t>R31</t>
  </si>
  <si>
    <t>PES-15</t>
  </si>
  <si>
    <t>Alegações ambientais (Diretiva (UE) 2024/825)</t>
  </si>
  <si>
    <t>Proibição de alegações ambientais genéricas não comprovadas; clientes pedem prova de conteúdo reciclado e reciclabilidade.</t>
  </si>
  <si>
    <t>Exige evidência verificável para qualquer declaração ambiental de produto.</t>
  </si>
  <si>
    <t>EUR-Lex; clientes</t>
  </si>
  <si>
    <t>Só comunicar alegações com certificação (EuCertPlast/RecyClass).</t>
  </si>
  <si>
    <t>SWT-W02</t>
  </si>
  <si>
    <t>G</t>
  </si>
  <si>
    <t>PES-16</t>
  </si>
  <si>
    <t>Cultura de produtividade e passagem de turno</t>
  </si>
  <si>
    <t>Pressão por meta, passagem de turno e relato de quase-acidentes ainda fraco no chão de fábrica.</t>
  </si>
  <si>
    <t>Fadiga e handover elevam a rejeição do turno 2 (mais scrap) e escondem quase-acidentes.</t>
  </si>
  <si>
    <t>Rejeição por turno; registo de quase-acidentes</t>
  </si>
  <si>
    <t>Estudo de handover e registo de quase-acidentes sem culpa.</t>
  </si>
  <si>
    <t>Colaboradores</t>
  </si>
  <si>
    <t>S + G</t>
  </si>
  <si>
    <t>SGI</t>
  </si>
  <si>
    <t>R9; R28</t>
  </si>
  <si>
    <t>PES-17</t>
  </si>
  <si>
    <t>Recursos hídricos, químicos (REACH/CLP) e SST</t>
  </si>
  <si>
    <t>Títulos de utilização de recursos hídricos, condições de descarga, REACH/CLP e legislação de SST sobre agentes químicos.</t>
  </si>
  <si>
    <t>Cria obrigações de autorização, controlo e reporte (RG-SGA-04 LEG-03, LEG-06, LEG-22).</t>
  </si>
  <si>
    <t>Matriz legal (RG-SGA-04); RG-SGA-21</t>
  </si>
  <si>
    <t>Calendário de conformidade, verificação documental e gestão de químicos (PR-SGA-16).</t>
  </si>
  <si>
    <t>SWT-T03</t>
  </si>
  <si>
    <t>APA / CCDR Centro</t>
  </si>
  <si>
    <t>R29; R30; R32</t>
  </si>
  <si>
    <t>PES-18</t>
  </si>
  <si>
    <t>Requisitos de clientes (Cpk, rastreabilidade) e normas ISO 9001/14001/45001</t>
  </si>
  <si>
    <t>Clientes exigem capacidade de processo demonstrada, rastreabilidade ponta a ponta e sistemas de gestão certificados.</t>
  </si>
  <si>
    <t>Pressão por dados fiáveis e rastreabilidade, que também servem o SGA.</t>
  </si>
  <si>
    <t>Contratos; requisitos de clientes; auditorias</t>
  </si>
  <si>
    <t>Estratificar Cpk por máquina × molde e fechar a rastreabilidade.</t>
  </si>
  <si>
    <t>SWT-T04</t>
  </si>
  <si>
    <t>Clientes de cosmética (marcas UE)</t>
  </si>
  <si>
    <t>R17; R18</t>
  </si>
  <si>
    <t>PES-19</t>
  </si>
  <si>
    <t>Operação ibérica com clientes na UE (43% da receita fora de Portugal)</t>
  </si>
  <si>
    <t>Cadeia de abastecimento na Península Ibérica e clientes em vários países da UE com requisitos diferentes.</t>
  </si>
  <si>
    <t>Variação regulatória por país (ex.: RAP de embalagens) e pressão dos requisitos dos clientes.</t>
  </si>
  <si>
    <t>Contratos; RG-SGA-20 tbl_requisitos_pais</t>
  </si>
  <si>
    <t>Critérios mínimos comuns e análise por país e cliente.</t>
  </si>
  <si>
    <t>PES-20</t>
  </si>
  <si>
    <t>Sazonalidade da procura (pico set–nov) e concorrência por preço</t>
  </si>
  <si>
    <t>Procura de cosmética e higiene pessoal com pico previsível em setembro–novembro e margem pressionada (≈ € 0,13/un).</t>
  </si>
  <si>
    <t>O pico de velocidade (+15%) aumenta defeitos e scrap; permite planeamento antecipado.</t>
  </si>
  <si>
    <t>Vendas; histórico de duas temporadas</t>
  </si>
  <si>
    <t>Planeamento de capacidade e stock de segurança antes do pico.</t>
  </si>
  <si>
    <t>SWT-O05</t>
  </si>
  <si>
    <t>Acionistas / Direção</t>
  </si>
  <si>
    <t>O14; R15</t>
  </si>
  <si>
    <t>Quadrante</t>
  </si>
  <si>
    <t>Natureza</t>
  </si>
  <si>
    <t>Evidencia</t>
  </si>
  <si>
    <t>Implicacao_SGA</t>
  </si>
  <si>
    <t>Processo</t>
  </si>
  <si>
    <t>Converte_em</t>
  </si>
  <si>
    <t>Selecionado_Atv_3_1</t>
  </si>
  <si>
    <t>Estrategia</t>
  </si>
  <si>
    <t>Indicador</t>
  </si>
  <si>
    <t>Chave_Vista</t>
  </si>
  <si>
    <t>Força</t>
  </si>
  <si>
    <t>Cultura de dados industriais: OEE, SPC, AQL e rastreabilidade lote → ordem em 18 meses de dados (22 máquinas, 3 turnos) já integrados em Power BI.</t>
  </si>
  <si>
    <t>Dataset do projeto (datasets/silver); dashboards de produção e qualidade.</t>
  </si>
  <si>
    <t>Permite construir rapidamente indicadores ambientais por máquina, turno e lote.</t>
  </si>
  <si>
    <t>GER</t>
  </si>
  <si>
    <t>Sim</t>
  </si>
  <si>
    <t>Integrar consumos de energia, água e resíduos no modelo de dados industrial.</t>
  </si>
  <si>
    <t>N.º de KPIs ambientais com dados automáticos</t>
  </si>
  <si>
    <t>O3</t>
  </si>
  <si>
    <t>Processo 100% elétrico: sem caldeiras nem combustão in situ; empilhadores elétricos.</t>
  </si>
  <si>
    <t>Inventário de equipamentos; faturas (sem gás natural).</t>
  </si>
  <si>
    <t>Emissões diretas (âmbito 1) muito baixas; descarbonização depende da eletricidade.</t>
  </si>
  <si>
    <t>Não</t>
  </si>
  <si>
    <t>Contratar eletricidade com garantia de origem renovável / fotovoltaico.</t>
  </si>
  <si>
    <t>% energia renovável</t>
  </si>
  <si>
    <t>SWT-F03</t>
  </si>
  <si>
    <t>Moinhos junto às máquinas permitem reintegrar rebarbas e jitos (regrind) no próprio processo.</t>
  </si>
  <si>
    <t>Registos de moagem; boas práticas de produção.</t>
  </si>
  <si>
    <t>Reduz consumo de polímero virgem e resíduos plásticos enviados para fora.</t>
  </si>
  <si>
    <t>MOA</t>
  </si>
  <si>
    <t>RO-11</t>
  </si>
  <si>
    <t>Segregar scrap limpo por polímero/cor para aumentar a taxa de reintegração.</t>
  </si>
  <si>
    <t>% scrap reintegrado</t>
  </si>
  <si>
    <t>SWT-F04</t>
  </si>
  <si>
    <t>Experiência com resinas PCR (HDPE-PCR, rPET) e entrada em mercados alimentar e farmacêutico (2026).</t>
  </si>
  <si>
    <t>Portefólio FR-002-HDPE-PCR, rPET; clientes CUST-015 a CUST-018.</t>
  </si>
  <si>
    <t>Base técnica para responder às metas de conteúdo reciclado.</t>
  </si>
  <si>
    <t>RD</t>
  </si>
  <si>
    <t>Oferecer gama com conteúdo reciclado certificado.</t>
  </si>
  <si>
    <t>% vendas com PCR</t>
  </si>
  <si>
    <t>SWT-F05</t>
  </si>
  <si>
    <t>Processos identificados e rastreáveis: 4 processos, 18 máquinas, LotId e ProductBatch consistentes.</t>
  </si>
  <si>
    <t>Dataset do projeto (lotes e ordens).</t>
  </si>
  <si>
    <t>Facilita ligar aspetos, riscos e KPI por processo.</t>
  </si>
  <si>
    <t>Matriz aspeto → KPI → ação e rastreabilidade ponta a ponta (O12).</t>
  </si>
  <si>
    <t>% de aspetos com KPI</t>
  </si>
  <si>
    <t>O12</t>
  </si>
  <si>
    <t>SWT-F06</t>
  </si>
  <si>
    <t>Causas-raiz conhecidas com evidência causal forte (IM-002 com MSA e DOE; SS-001 e M-SOP-007 respondem à intervenção).</t>
  </si>
  <si>
    <t>Estudos DOE/MSA; registo de riscos R1–R8.</t>
  </si>
  <si>
    <t>Ações de alta confiança reduzem refugo, refação e o desperdício de polímero e energia.</t>
  </si>
  <si>
    <t>INJ</t>
  </si>
  <si>
    <t>Replicar a janela validada e a manutenção por condição (O1, O2).</t>
  </si>
  <si>
    <t>Short shot IM-002 (DPMO); lotes refeitos</t>
  </si>
  <si>
    <t>O1; O2</t>
  </si>
  <si>
    <t>SWT-F07</t>
  </si>
  <si>
    <t>Base de fornecedores diversificada: 7 de 8 fornecedores de resina com contrato anual ou plurianual.</t>
  </si>
  <si>
    <t>RG-SGA-11 tbl_fornecedores.</t>
  </si>
  <si>
    <t>Reduz a dependência do fornecedor spot e facilita exigir dados ambientais.</t>
  </si>
  <si>
    <t>CMP</t>
  </si>
  <si>
    <t>Cadeia de valor / fornecedores</t>
  </si>
  <si>
    <t>Consolidar contratos e scorecard (O8).</t>
  </si>
  <si>
    <t>% de lotes não aceites por fornecedor</t>
  </si>
  <si>
    <t>O8</t>
  </si>
  <si>
    <t>Fraqueza</t>
  </si>
  <si>
    <t>Não existe submedição de energia nem de água por processo ou máquina: os consumos só são conhecidos pela fatura global mensal.</t>
  </si>
  <si>
    <t>Fatura única de eletricidade e água; ausência de contadores parciais.</t>
  </si>
  <si>
    <t>Impede baselines por processo, metas robustas e prova de eficácia das ações (9.1.1).</t>
  </si>
  <si>
    <t>UTL</t>
  </si>
  <si>
    <t>Instalar analisadores de energia e contadores de água nos principais consumidores.</t>
  </si>
  <si>
    <t>% do consumo com submedição</t>
  </si>
  <si>
    <t>O6; R28; R34</t>
  </si>
  <si>
    <t>Dependência do fornecedor spot SUP-005 (PP/PVC) com lotes fora de especificação.</t>
  </si>
  <si>
    <t>Registos de inspeção de receção e reclamações a fornecedores.</t>
  </si>
  <si>
    <t>Mais scrap, retrabalho e alegações ambientais pouco fiáveis.</t>
  </si>
  <si>
    <t>Avaliação ambiental e de qualidade de fornecedores; migrar volumes para contratos.</t>
  </si>
  <si>
    <t>% compras a fornecedores avaliados</t>
  </si>
  <si>
    <t>R13; R6</t>
  </si>
  <si>
    <t>SWT-W03</t>
  </si>
  <si>
    <t>Taxa de rejeição ≈ 2,4% acima da meta de 2,0% e 31% de CAPA não eficazes.</t>
  </si>
  <si>
    <t>fact_production / fact_capa do projeto.</t>
  </si>
  <si>
    <t>Cada peça rejeitada desperdiça polímero, energia e água.</t>
  </si>
  <si>
    <t>Ligar a redução de scrap ao objetivo ambiental OBJ-02.</t>
  </si>
  <si>
    <t>kg scrap / 1.000 un</t>
  </si>
  <si>
    <t>R20</t>
  </si>
  <si>
    <t>Gestão informal da contenção de químicos, kits de derrame e granulado (sem registo de utilização nem stock mínimo).</t>
  </si>
  <si>
    <t>Rondas ambientais; NC-SGA-26-03.</t>
  </si>
  <si>
    <t>Risco de derrame não contido, perdas de granulado e não conformidade legal.</t>
  </si>
  <si>
    <t>ARQ</t>
  </si>
  <si>
    <t>Produtos químicos</t>
  </si>
  <si>
    <t>Formalizar rondas, stock mínimo de kits e registo de incidentes.</t>
  </si>
  <si>
    <t>% rondas conformes</t>
  </si>
  <si>
    <t>R30</t>
  </si>
  <si>
    <t>SWT-W05</t>
  </si>
  <si>
    <t>Dependência de dados de fornecedores: conteúdo reciclado, composição, carbono incorporado e reciclabilidade.</t>
  </si>
  <si>
    <t>Declarações incompletas (RG-SGA-21 tbl_declaracoes; RG-SGA-20).</t>
  </si>
  <si>
    <t>Risco de alegações ambientais incompletas e de lacunas PPWR/REACH.</t>
  </si>
  <si>
    <t>Questionário ESG e evidência documental (O7).</t>
  </si>
  <si>
    <t>% de fornecedores críticos avaliados</t>
  </si>
  <si>
    <t>O7; R33</t>
  </si>
  <si>
    <t>SWT-W06</t>
  </si>
  <si>
    <t>Parâmetros críticos não registados e capacidade de processo marginal (0% dos 190 grupos com Cpk ≥ 1,33).</t>
  </si>
  <si>
    <t>Estudo de capacidade 2026.</t>
  </si>
  <si>
    <t>Impede indicadores antecedentes; mais rejeição = mais polímero e energia desperdiçados.</t>
  </si>
  <si>
    <t>Instrumentar parâmetros e priorizar Cpk por Pareto.</t>
  </si>
  <si>
    <t>% de ordens com parâmetros registados</t>
  </si>
  <si>
    <t>R19; R17</t>
  </si>
  <si>
    <t>SWT-W07</t>
  </si>
  <si>
    <t>Disponibilidade abaixo da meta (87,4%): paragens por operador, ar comprimido, matéria-prima e ativos específicos.</t>
  </si>
  <si>
    <t>OEE do dataset.</t>
  </si>
  <si>
    <t>Limita a capacidade sem nova máquina; paragens por ar comprimido ligam-se às fugas (energia).</t>
  </si>
  <si>
    <t>Programa integrado de paragens (O4).</t>
  </si>
  <si>
    <t>Disponibilidade da fábrica (%)</t>
  </si>
  <si>
    <t>R3; R22; R23; R15; O4</t>
  </si>
  <si>
    <t>PPWR e procura de embalagens recicláveis com conteúdo reciclado por clientes europeus.</t>
  </si>
  <si>
    <t>Reg. (UE) 2025/40; pedidos de clientes 2026.</t>
  </si>
  <si>
    <t>Diferenciação comercial se a Plasticom demonstrar conformidade e desempenho.</t>
  </si>
  <si>
    <t>Programa Design for Recycling com dossier técnico por família.</t>
  </si>
  <si>
    <t>% famílias avaliadas</t>
  </si>
  <si>
    <t>O5; R33</t>
  </si>
  <si>
    <t>SWT-O02</t>
  </si>
  <si>
    <t>Autoconsumo fotovoltaico na cobertura (≈ 9.000 m² disponíveis) e contratos PPA renováveis.</t>
  </si>
  <si>
    <t>Estudo preliminar; área de cobertura.</t>
  </si>
  <si>
    <t>Reduz emissões do âmbito 2 e custo energético.</t>
  </si>
  <si>
    <t>Estudo de viabilidade de UPAC.</t>
  </si>
  <si>
    <t>MWh autoproduzidos</t>
  </si>
  <si>
    <t>SWT-O03</t>
  </si>
  <si>
    <t>Financiamento público para eficiência energética e economia circular (Portugal 2030, Fundo Ambiental).</t>
  </si>
  <si>
    <t>Avisos de candidatura abertos.</t>
  </si>
  <si>
    <t>Reduz o payback dos investimentos ambientais.</t>
  </si>
  <si>
    <t>ADM</t>
  </si>
  <si>
    <t>Candidatar submedição + fotovoltaico.</t>
  </si>
  <si>
    <t>€ financiados</t>
  </si>
  <si>
    <t>O6</t>
  </si>
  <si>
    <t>SWT-O04</t>
  </si>
  <si>
    <t>Visão artificial, dados e rastreabilidade para prevenir perdas em vez de inspecionar.</t>
  </si>
  <si>
    <t>Business case de visão (RG-SGA-02 O13).</t>
  </si>
  <si>
    <t>Menos refugo e custo de avaliação.</t>
  </si>
  <si>
    <t>SER</t>
  </si>
  <si>
    <t>Business case de visão e painel de KRI (O13, O3).</t>
  </si>
  <si>
    <t>Custo de avaliação (€)</t>
  </si>
  <si>
    <t>O13; O3</t>
  </si>
  <si>
    <t>Sazonalidade previsível da procura (pico set–nov).</t>
  </si>
  <si>
    <t>Histórico de vendas de duas temporadas.</t>
  </si>
  <si>
    <t>Planear capacidade e materiais evita picos de scrap.</t>
  </si>
  <si>
    <t>Planeamento de capacidade e materiais (O14).</t>
  </si>
  <si>
    <t>OTIF e rejeição em set–nov</t>
  </si>
  <si>
    <t>O14</t>
  </si>
  <si>
    <t>Ameaça</t>
  </si>
  <si>
    <t>Ondas de calor e escassez hídrica (alterações climáticas) afetam o arrefecimento de moldes, a água técnica e a continuidade.</t>
  </si>
  <si>
    <t>Dados de consumo de verão; alertas de seca.</t>
  </si>
  <si>
    <t>Mais consumo de energia e água no verão; risco de paragem e de defeitos.</t>
  </si>
  <si>
    <t>Plano de adaptação climática: arrefecimento eficiente e reserva de água.</t>
  </si>
  <si>
    <t>m³/1.000 un no verão</t>
  </si>
  <si>
    <t>Volatilidade de preço e qualidade do PCR/rPET.</t>
  </si>
  <si>
    <t>Mercado; reclamações a fornecedores.</t>
  </si>
  <si>
    <t>Pode limitar metas de conteúdo reciclado e aumentar scrap.</t>
  </si>
  <si>
    <t>Qualificar múltiplas fontes certificadas.</t>
  </si>
  <si>
    <t>N.º fornecedores PCR qualificados</t>
  </si>
  <si>
    <t>R14; R25</t>
  </si>
  <si>
    <t>Aumento da exigência regulatória (PPWR, granulados, resíduos) com risco de coimas e perda de clientes.</t>
  </si>
  <si>
    <t>Matriz legal RG-SGA-04.</t>
  </si>
  <si>
    <t>Obrigações novas exigem recursos e evidências.</t>
  </si>
  <si>
    <t>Calendário legal e revisão trimestral da conformidade.</t>
  </si>
  <si>
    <t>% obrigações conformes</t>
  </si>
  <si>
    <t>R31; R32; R29</t>
  </si>
  <si>
    <t>Clientes exigem Cpk, rastreabilidade e zero defeito, com risco de reclamação e devolução (CPMU 4,76).</t>
  </si>
  <si>
    <t>Reclamações de clientes.</t>
  </si>
  <si>
    <t>Devoluções geram transporte e resíduos adicionais.</t>
  </si>
  <si>
    <t>Indicadores antecedentes, Cpk por Pareto e rastreabilidade.</t>
  </si>
  <si>
    <t>CPMU e % de reclamações rastreáveis</t>
  </si>
  <si>
    <t>R16; R17; R18</t>
  </si>
  <si>
    <t>ID_TOWS</t>
  </si>
  <si>
    <t>Cruzamento</t>
  </si>
  <si>
    <t>IDs_Origem</t>
  </si>
  <si>
    <t>ID_Objetivo</t>
  </si>
  <si>
    <t>Prazo</t>
  </si>
  <si>
    <t>KPI</t>
  </si>
  <si>
    <t>TOWS-01</t>
  </si>
  <si>
    <t>SO (Força+Oportunidade)</t>
  </si>
  <si>
    <t>SWT-F01; SWT-O01; PES-06</t>
  </si>
  <si>
    <t>Usar a infraestrutura de dados existente para criar o painel ambiental e o dossier ambiental por família de produto.</t>
  </si>
  <si>
    <t>OBJ-04</t>
  </si>
  <si>
    <t>% KPIs ambientais com dados automáticos</t>
  </si>
  <si>
    <t>O3; O6</t>
  </si>
  <si>
    <t>TOWS-02</t>
  </si>
  <si>
    <t>ST (Força+Ameaça)</t>
  </si>
  <si>
    <t>SWT-F03; SWT-T02</t>
  </si>
  <si>
    <t>Aumentar a reintegração de scrap limpo para reduzir a dependência de PCR/virgem e o custo de material.</t>
  </si>
  <si>
    <t>OBJ-02</t>
  </si>
  <si>
    <t>Gerente de Produção</t>
  </si>
  <si>
    <t>R24; O10</t>
  </si>
  <si>
    <t>TOWS-03</t>
  </si>
  <si>
    <t>WO (Fraqueza+Oportunidade)</t>
  </si>
  <si>
    <t>SWT-W01; SWT-O03</t>
  </si>
  <si>
    <t>Candidatar a submedição de energia e água a financiamento e usá-la como base das metas de eficiência.</t>
  </si>
  <si>
    <t>OBJ-01</t>
  </si>
  <si>
    <t>Gerente de Manutenção</t>
  </si>
  <si>
    <t>% consumo submedido</t>
  </si>
  <si>
    <t>TOWS-04</t>
  </si>
  <si>
    <t>WT (Fraqueza+Ameaça)</t>
  </si>
  <si>
    <t>SWT-W04; SWT-T03; PES-13</t>
  </si>
  <si>
    <t>Programa de contenção de químicos e granulado (bacias, kits, OCS) antes da aplicação do regulamento de granulados.</t>
  </si>
  <si>
    <t>OBJ-06</t>
  </si>
  <si>
    <t>N.º ocorrências de perda de granulado</t>
  </si>
  <si>
    <t>R30; R29</t>
  </si>
  <si>
    <t>TOWS-05</t>
  </si>
  <si>
    <t>SWT-W01; SWT-T01</t>
  </si>
  <si>
    <t>Plano de adaptação climática: medir água e energia do arrefecimento e dimensionar reserva de água.</t>
  </si>
  <si>
    <t>OBJ-05</t>
  </si>
  <si>
    <t>m³/1.000 un</t>
  </si>
  <si>
    <t>TOWS-06</t>
  </si>
  <si>
    <t>SWT-W05; SWT-O01</t>
  </si>
  <si>
    <t>Programa de dados de fornecedores (qualidade e ambientais) para aumentar a rastreabilidade de materiais.</t>
  </si>
  <si>
    <t>Responsável de Compras</t>
  </si>
  <si>
    <t>% de fornecedores críticos avaliados (≥ 90%)</t>
  </si>
  <si>
    <t>TOWS-07</t>
  </si>
  <si>
    <t>SWT-F04; SWT-O01; PES-12</t>
  </si>
  <si>
    <t>Programa Design for Recycling para o portfólio: antecipar requisitos europeus e reduzir impactes de fim de vida.</t>
  </si>
  <si>
    <t>OBJ-07</t>
  </si>
  <si>
    <t>Responsável de R&amp;D</t>
  </si>
  <si>
    <t>% das famílias prioritárias avaliadas (100%)</t>
  </si>
  <si>
    <t>TOWS-08</t>
  </si>
  <si>
    <t>SWT-W06; SWT-T04</t>
  </si>
  <si>
    <t>Tratar primeiro as causas-raiz de maior evidência (IM-002, ISBM-003, SS-001, M-SOP-007, SUP-005): menos refação, scrap e reclamações.</t>
  </si>
  <si>
    <t>Gerente da Qualidade</t>
  </si>
  <si>
    <t>CPMU e taxa de rejeição</t>
  </si>
  <si>
    <t>R4; R1; R7; R2; R13</t>
  </si>
  <si>
    <t>CINCO FORÇAS COMPETITIVAS (PORTER)</t>
  </si>
  <si>
    <t>Contexto externo do SGI · Vindo do RG-SGA-02 (24/09/2026) — registar só aqui</t>
  </si>
  <si>
    <t>ID_Forca</t>
  </si>
  <si>
    <t>Forca_Competitiva</t>
  </si>
  <si>
    <t>Cenario_Evidencias</t>
  </si>
  <si>
    <t>Impacto_Organizacao</t>
  </si>
  <si>
    <t>Como_Monitorizar</t>
  </si>
  <si>
    <t>CF-01</t>
  </si>
  <si>
    <t>Poder negocial dos clientes</t>
  </si>
  <si>
    <t>Clientes de cosmética e higiene pessoal aumentam a exigência de Cpk, rastreabilidade, zero defeito, PPWR e dados ESG; carteira diversificada.</t>
  </si>
  <si>
    <t>Devoluções e auditorias; a diversificação reduz a dependência de um cliente.</t>
  </si>
  <si>
    <t>Inquérito de satisfação e reunião semestral (RG-SGA-02 Monitoramento: Clientes)</t>
  </si>
  <si>
    <t>CF-02</t>
  </si>
  <si>
    <t>Poder negocial dos fornecedores</t>
  </si>
  <si>
    <t>Resinas commodity concentradas em poucos petroquímicos; 1 fornecedor spot com mau desempenho; PCR/rPET com pouca oferta.</t>
  </si>
  <si>
    <t>Risco de custo, disponibilidade e qualidade; pouco poder de troca no reciclado.</t>
  </si>
  <si>
    <t>R13; R14; R25</t>
  </si>
  <si>
    <t>Reunião mensal e scorecard (RG-SGA-11; RG-SGA-02 Monitoramento: Fornecedores)</t>
  </si>
  <si>
    <t>CF-03</t>
  </si>
  <si>
    <t>Ameaça de novos entrantes</t>
  </si>
  <si>
    <t>Barreira baixa em frascos simples e alta em decoração (serigrafia, hot foil), qualidade e rastreabilidade.</t>
  </si>
  <si>
    <t>Pressão de preço nos produtos padrão; a decoração protege o portfólio.</t>
  </si>
  <si>
    <t>Relatório trimestral de mercado</t>
  </si>
  <si>
    <t>CF-04</t>
  </si>
  <si>
    <t>Ameaça de produtos substitutos</t>
  </si>
  <si>
    <t>Vidro, alumínio, recargas e embalagens monomaterial/recicladas substituem parte dos frascos.</t>
  </si>
  <si>
    <t>Pressão por design circular e oportunidade de conteúdo reciclado.</t>
  </si>
  <si>
    <t>CF-05</t>
  </si>
  <si>
    <t>Rivalidade entre concorrentes</t>
  </si>
  <si>
    <t>Concorrentes disputam preço; margem pressionada (preço unitário médio ≈ € 0,13).</t>
  </si>
  <si>
    <t>Reduzir perdas e refação para preservar margem (menos desperdício = menos impacte).</t>
  </si>
  <si>
    <t>O11; O4</t>
  </si>
  <si>
    <t>ANÁLISE SWOT — PLASTICOM (vista calculada)</t>
  </si>
  <si>
    <t>Itens marcados com ► foram selecionados para a Atividade 3.1. Editar a folha SWOT; esta vista atualiza sozinha.</t>
  </si>
  <si>
    <t>FORÇAS (internas, positivas)</t>
  </si>
  <si>
    <t>FRAQUEZAS (internas, negativas)</t>
  </si>
  <si>
    <t>OPORTUNIDADES (externas, positivas)</t>
  </si>
  <si>
    <t>AMEAÇAS (externas, negativas)</t>
  </si>
  <si>
    <t>PARTES INTERESSADAS — NECESSIDADES, EXPECTATIVAS E OBRIGAÇÕES DE CONFORMIDADE (4.2)</t>
  </si>
  <si>
    <t>ISO 14001:2026 4.2 c): quais necessidades se tornam obrigações de conformidade · Obrigações legais ligam ao RG-SGA-04</t>
  </si>
  <si>
    <t>ID_PI</t>
  </si>
  <si>
    <t>Tipo</t>
  </si>
  <si>
    <t>Categoria</t>
  </si>
  <si>
    <t>Necessidades_Expectativas</t>
  </si>
  <si>
    <t>Condicao_Ambiental</t>
  </si>
  <si>
    <t>Relevante</t>
  </si>
  <si>
    <t>Torna_se_Obrigacao</t>
  </si>
  <si>
    <t>Tipo_Obrigacao</t>
  </si>
  <si>
    <t>IDs_Legal</t>
  </si>
  <si>
    <t>Frequencia</t>
  </si>
  <si>
    <t>Influencia</t>
  </si>
  <si>
    <t>Interesse</t>
  </si>
  <si>
    <t>Data_Revisao</t>
  </si>
  <si>
    <t>Percepcao_Risco</t>
  </si>
  <si>
    <t>PI-01</t>
  </si>
  <si>
    <t>Interna</t>
  </si>
  <si>
    <t>Trabalhadores próprios (≈ 150, 3 turnos)</t>
  </si>
  <si>
    <t>Ambiente de trabalho sem exposição a solventes; formação; participação na melhoria.</t>
  </si>
  <si>
    <t>LEG-06</t>
  </si>
  <si>
    <t>Formação, DDS e comité SST/ambiente; caixa de sugestões Kaizen</t>
  </si>
  <si>
    <t>Mensal</t>
  </si>
  <si>
    <t>Média</t>
  </si>
  <si>
    <t>Alta</t>
  </si>
  <si>
    <t>Responsável de Recursos Humanos</t>
  </si>
  <si>
    <t>R9; R23; R28; R29</t>
  </si>
  <si>
    <t>Sentem pressão por meta e produtividade; o quase-acidente raramente é relatado.</t>
  </si>
  <si>
    <t>PI-02</t>
  </si>
  <si>
    <t>Representantes dos trabalhadores (SST/Ambiente)</t>
  </si>
  <si>
    <t>Representantes eleitos</t>
  </si>
  <si>
    <t>Ser consultados sobre alterações com impacto ambiental e de SST.</t>
  </si>
  <si>
    <t>Voluntária (compromisso assumido)</t>
  </si>
  <si>
    <t>Consulta formal nas alterações (RG-SGA-18)</t>
  </si>
  <si>
    <t>Por ocorrência</t>
  </si>
  <si>
    <t>PI-03</t>
  </si>
  <si>
    <t>Gestão de topo</t>
  </si>
  <si>
    <t>Continuidade, conformidade legal, custos de energia controlados, reputação.</t>
  </si>
  <si>
    <t>—</t>
  </si>
  <si>
    <t>Revisão pela gestão; painel mensal de KPI</t>
  </si>
  <si>
    <t>Trimestral</t>
  </si>
  <si>
    <t>R24; R25; O3; O4</t>
  </si>
  <si>
    <t>Esperam retorno dos investimentos em eficiência e menor custo da não-qualidade.</t>
  </si>
  <si>
    <t>PI-04</t>
  </si>
  <si>
    <t>Externa</t>
  </si>
  <si>
    <t>Clientes B2B</t>
  </si>
  <si>
    <t>Embalagens recicláveis com PCR, declaração PPWR, pegada de carbono, respostas EcoVadis/CDP.</t>
  </si>
  <si>
    <t>LEG-09</t>
  </si>
  <si>
    <t>Questionários ESG; reunião semestral de conta</t>
  </si>
  <si>
    <t>Semestral</t>
  </si>
  <si>
    <t>R16; R17; R18; R21; R33</t>
  </si>
  <si>
    <t>Um lote fora de especificação é visto como falha evitável (risco imposto ao cliente).</t>
  </si>
  <si>
    <t>PI-05</t>
  </si>
  <si>
    <t>Clientes alimentar e farmacêutico</t>
  </si>
  <si>
    <t>Clientes B2B (novas linhas 2026)</t>
  </si>
  <si>
    <t>Conformidade de materiais em contacto, rastreabilidade, ausência de PFAS e substâncias restritas.</t>
  </si>
  <si>
    <t>LEG-06; LEG-09</t>
  </si>
  <si>
    <t>Auditorias de cliente; especificações</t>
  </si>
  <si>
    <t>Anual</t>
  </si>
  <si>
    <t>PI-06</t>
  </si>
  <si>
    <t>Fornecedores de polímero e PCR</t>
  </si>
  <si>
    <t>Cadeia de abastecimento</t>
  </si>
  <si>
    <t>Previsibilidade das encomendas; critérios ambientais claros; prazos de pagamento.</t>
  </si>
  <si>
    <t>Avaliação anual (RG-SGA-11); reunião mensal</t>
  </si>
  <si>
    <t>R13; R14; O7; O8</t>
  </si>
  <si>
    <t>O fornecedor spot vê a relação como transacional.</t>
  </si>
  <si>
    <t>PI-07</t>
  </si>
  <si>
    <t>Operadores de gestão de resíduos</t>
  </si>
  <si>
    <t>Prestadores licenciados</t>
  </si>
  <si>
    <t>Resíduos segregados, classificados (LER) e com e-GAR corretas.</t>
  </si>
  <si>
    <t>LEG-01; LEG-13</t>
  </si>
  <si>
    <t>e-GAR; certificados de destino</t>
  </si>
  <si>
    <t>Por recolha</t>
  </si>
  <si>
    <t>Responsável de Armazém e Logística</t>
  </si>
  <si>
    <t>R31; O10</t>
  </si>
  <si>
    <t>Valorizam a segregação correta na origem.</t>
  </si>
  <si>
    <t>PI-08</t>
  </si>
  <si>
    <t>Autoridades ambientais</t>
  </si>
  <si>
    <t>Cumprimento de resíduos, emissões, licenças e comunicação de dados (MIRR, PRTR).</t>
  </si>
  <si>
    <t>LEG-01; LEG-04; LEG-12; LEG-13</t>
  </si>
  <si>
    <t>Relatórios legais; SILiAmb</t>
  </si>
  <si>
    <t>R30; R31; R32</t>
  </si>
  <si>
    <t>A não conformidade ambiental é vista como dano à coletividade, sem margem de tolerância.</t>
  </si>
  <si>
    <t>PI-09</t>
  </si>
  <si>
    <t>Câmara Municipal da Marinha Grande</t>
  </si>
  <si>
    <t>Autoridade local</t>
  </si>
  <si>
    <t>Cumprimento do RGR (ruído) e do regulamento municipal de drenagem.</t>
  </si>
  <si>
    <t>LEG-03; LEG-05</t>
  </si>
  <si>
    <t>Autorização de descarga; relatórios acústicos</t>
  </si>
  <si>
    <t>RO-12</t>
  </si>
  <si>
    <t>PI-10</t>
  </si>
  <si>
    <t>Entidade gestora de água e saneamento</t>
  </si>
  <si>
    <t>Serviço público</t>
  </si>
  <si>
    <t>Descarga dentro dos VLE; uso eficiente de água em seca.</t>
  </si>
  <si>
    <t>LEG-03</t>
  </si>
  <si>
    <t>Autocontrolo semestral; comunicação de descargas anómalas</t>
  </si>
  <si>
    <t>PI-11</t>
  </si>
  <si>
    <t>Comunidade / vizinhança (≈ 250 m)</t>
  </si>
  <si>
    <t>Recetores sensíveis</t>
  </si>
  <si>
    <t>Sem ruído noturno, odores ou tráfego excessivo; resposta rápida a reclamações.</t>
  </si>
  <si>
    <t>LEG-05</t>
  </si>
  <si>
    <t>Canal de reclamações; reunião anual</t>
  </si>
  <si>
    <t>R30; R34</t>
  </si>
  <si>
    <t>O risco imposto por decisões da empresa gera mais indignação do que um risco voluntário.</t>
  </si>
  <si>
    <t>PI-12</t>
  </si>
  <si>
    <t>Seguradora / banco</t>
  </si>
  <si>
    <t>Financiadores</t>
  </si>
  <si>
    <t>Controlo do risco de incêndio e de danos ambientais; financiamento verde.</t>
  </si>
  <si>
    <t>LEG-11</t>
  </si>
  <si>
    <t>Visita de risco anual; renovação da apólice</t>
  </si>
  <si>
    <t>Baixa</t>
  </si>
  <si>
    <t>R28; R30; R25</t>
  </si>
  <si>
    <t>Sensíveis a sinistros e a risco ambiental.</t>
  </si>
  <si>
    <t>PI-13</t>
  </si>
  <si>
    <t>Associação setorial (plásticos)</t>
  </si>
  <si>
    <t>Setor</t>
  </si>
  <si>
    <t>Adesão ao programa Operation Clean Sweep (zero perdas de granulado).</t>
  </si>
  <si>
    <t>LEG-10</t>
  </si>
  <si>
    <t>Relatório anual OCS</t>
  </si>
  <si>
    <t>PI-14</t>
  </si>
  <si>
    <t>ONG ambientais</t>
  </si>
  <si>
    <t>Sociedade civil</t>
  </si>
  <si>
    <t>Transparência sobre microplásticos e biodiversidade do Pinhal de Leiria.</t>
  </si>
  <si>
    <t>Monitorização de media e redes</t>
  </si>
  <si>
    <t>PI-15</t>
  </si>
  <si>
    <t>Bombeiros / Proteção Civil</t>
  </si>
  <si>
    <t>Emergência</t>
  </si>
  <si>
    <t>Medidas de autoproteção, plantas de emergência e retenção das águas de combate.</t>
  </si>
  <si>
    <t>Simulacro anual conjunto</t>
  </si>
  <si>
    <t>PI-16</t>
  </si>
  <si>
    <t>ACT — Autoridade para as Condições do Trabalho</t>
  </si>
  <si>
    <t>Autoridade de SST</t>
  </si>
  <si>
    <t>Cumprimento da legislação de SST: avaliação de riscos (incl. agentes químicos e CMR), máquinas, LOTO e formação.</t>
  </si>
  <si>
    <t>LEG-22</t>
  </si>
  <si>
    <t>Relatórios de SST; resposta a inspeções</t>
  </si>
  <si>
    <t>R28; R29</t>
  </si>
  <si>
    <t>Esperam avaliação de riscos registada e medidas de proteção coletiva antes do EPI.</t>
  </si>
  <si>
    <t>LISTAS CONTROLADAS (domínios de validação de dados) — editar aqui para alterar opções</t>
  </si>
  <si>
    <t>DataReferencia</t>
  </si>
  <si>
    <t>CondicaoAmbiental</t>
  </si>
  <si>
    <t>Direcao</t>
  </si>
  <si>
    <t>Escala13</t>
  </si>
  <si>
    <t>SimNao</t>
  </si>
  <si>
    <t>Funcao</t>
  </si>
  <si>
    <t>PI_Tipo</t>
  </si>
  <si>
    <t>PI_Cond</t>
  </si>
  <si>
    <t>PI_SimNao</t>
  </si>
  <si>
    <t>PI_Nivel</t>
  </si>
  <si>
    <t>PI_Obrig</t>
  </si>
  <si>
    <t>REC</t>
  </si>
  <si>
    <t>Decrescente</t>
  </si>
  <si>
    <t>SOP</t>
  </si>
  <si>
    <t>Emissões atmosféricas / COV</t>
  </si>
  <si>
    <t>HFS</t>
  </si>
  <si>
    <t>MAN</t>
  </si>
  <si>
    <t>Solo e águas subterrâneas</t>
  </si>
  <si>
    <t>PRS</t>
  </si>
  <si>
    <t>EXP</t>
  </si>
  <si>
    <t>LAB</t>
  </si>
  <si>
    <t>Operador de Serigrafia</t>
  </si>
  <si>
    <t>Operador de Injeção</t>
  </si>
  <si>
    <t>Operador de Sopro (ISBM)</t>
  </si>
  <si>
    <t>Operador de Hot Foil</t>
  </si>
  <si>
    <t>Técnico de Manutenção</t>
  </si>
  <si>
    <t>Técnico de Utilidades</t>
  </si>
  <si>
    <t>Operador de Armazém / Empilhador</t>
  </si>
  <si>
    <t>Chefe de Turno</t>
  </si>
  <si>
    <t>Auditor Interno do SGA</t>
  </si>
  <si>
    <t>Representante dos Trabalhadores (SST/Ambiente)</t>
  </si>
  <si>
    <t>Técnico de Qualidade/Ambiente</t>
  </si>
  <si>
    <t>Folha</t>
  </si>
  <si>
    <t>Tabela</t>
  </si>
  <si>
    <t>Coluna</t>
  </si>
  <si>
    <t>Origem</t>
  </si>
  <si>
    <t>Dominio_Unidade</t>
  </si>
  <si>
    <t>Obrigatorio</t>
  </si>
  <si>
    <t>Chave</t>
  </si>
  <si>
    <t>tbl_pestel</t>
  </si>
  <si>
    <t>Texto</t>
  </si>
  <si>
    <t>Entrada</t>
  </si>
  <si>
    <t>Identificador único do fator PESTEL.</t>
  </si>
  <si>
    <t>PES-nn</t>
  </si>
  <si>
    <t>PK</t>
  </si>
  <si>
    <t>Dimensão PESTEL.</t>
  </si>
  <si>
    <t>Lista lst_Dimensao</t>
  </si>
  <si>
    <t>Nome curto do fator externo.</t>
  </si>
  <si>
    <t>Descrição do fator e do seu estado atual.</t>
  </si>
  <si>
    <t>Condição ambiental da cláusula 4.1 da ISO 14001:2026 a que o fator se refere.</t>
  </si>
  <si>
    <t>Lista lst_CondicaoAmbiental</t>
  </si>
  <si>
    <t>Dupla perspetiva 2026: a organização afeta o ambiente, o ambiente afeta a organização, ou ambos.</t>
  </si>
  <si>
    <t>Lista lst_Direcao</t>
  </si>
  <si>
    <t>Como o fator afeta os resultados pretendidos do SGA.</t>
  </si>
  <si>
    <t>Se o fator gera risco, oportunidade ou ambos.</t>
  </si>
  <si>
    <t>Lista lst_Classificacao</t>
  </si>
  <si>
    <t>Tendência observada.</t>
  </si>
  <si>
    <t>Lista lst_Tendencia</t>
  </si>
  <si>
    <t>Horizonte temporal do efeito.</t>
  </si>
  <si>
    <t>Lista lst_Horizonte</t>
  </si>
  <si>
    <t>Inteiro</t>
  </si>
  <si>
    <t>Probabilidade de afetar o SGA (1 baixa – 3 alta).</t>
  </si>
  <si>
    <t>Lista lst_Escala13</t>
  </si>
  <si>
    <t>Impacto no SGA (1 baixo – 3 alto).</t>
  </si>
  <si>
    <t>Calculado (fórmula)</t>
  </si>
  <si>
    <t>Probabilidade × Impacto (1-9).</t>
  </si>
  <si>
    <t>Alta ≥6; Média 3-5; Baixa ≤2.</t>
  </si>
  <si>
    <t>Fonte de informação usada para acompanhar o fator.</t>
  </si>
  <si>
    <t>Resposta estratégica prevista.</t>
  </si>
  <si>
    <t>Item SWOT relacionado.</t>
  </si>
  <si>
    <t>FK → tbl_swot</t>
  </si>
  <si>
    <t>Risco/oportunidade gerado no RG-SGA-02.</t>
  </si>
  <si>
    <t>FK → RG-SGA-02</t>
  </si>
  <si>
    <t>Parte interessada mais relacionada (4.2).</t>
  </si>
  <si>
    <t>Tema ambiental.</t>
  </si>
  <si>
    <t>Lista lst_Tema</t>
  </si>
  <si>
    <t>Pilar ESG.</t>
  </si>
  <si>
    <t>Lista lst_ESG</t>
  </si>
  <si>
    <t>Função responsável por monitorizar o fator.</t>
  </si>
  <si>
    <t>Lista lst_Funcao</t>
  </si>
  <si>
    <t>Data (aaaa-mm-dd)</t>
  </si>
  <si>
    <t>Data da análise.</t>
  </si>
  <si>
    <t>Revisão anual (antes da Revisão pela Gestão).</t>
  </si>
  <si>
    <t>SGA (ambiental) ou SGI (qualidade/SST, vindo do RG-SGA-02).</t>
  </si>
  <si>
    <t>Riscos/oportunidades do registo corporativo RG-SGA-02 (R-nn / O-nn).</t>
  </si>
  <si>
    <t>FK → RG-SGA-02 tbRiscos/tbOportunidades</t>
  </si>
  <si>
    <t>tbl_swot</t>
  </si>
  <si>
    <t>Identificador único do item SWOT.</t>
  </si>
  <si>
    <t>SWT-Xnn (F força, W fraqueza, O oportunidade, T ameaça)</t>
  </si>
  <si>
    <t>Quadrante SWOT.</t>
  </si>
  <si>
    <t>Lista lst_Quadrante</t>
  </si>
  <si>
    <t>Interno (Força/Fraqueza) ou Externo (Oportunidade/Ameaça).</t>
  </si>
  <si>
    <t>Descrição aplicada à Plasticom.</t>
  </si>
  <si>
    <t>Dado ou fonte que sustenta o item.</t>
  </si>
  <si>
    <t>Implicação para o sistema de gestão ambiental.</t>
  </si>
  <si>
    <t>Processo mais afetado.</t>
  </si>
  <si>
    <t>Lista lst_Processo</t>
  </si>
  <si>
    <t>FK → dim processo</t>
  </si>
  <si>
    <t>Fator PESTEL de origem (itens externos).</t>
  </si>
  <si>
    <t>FK → tbl_pestel</t>
  </si>
  <si>
    <t>Tratamento no registo de riscos: risco ou oportunidade.</t>
  </si>
  <si>
    <t>ID no registo RG-SGA-02.</t>
  </si>
  <si>
    <t>Item escolhido para a Atividade 3.1 (1 por quadrante).</t>
  </si>
  <si>
    <t>Lista lst_SimNao</t>
  </si>
  <si>
    <t>Estratégia/resposta.</t>
  </si>
  <si>
    <t>Indicador de acompanhamento.</t>
  </si>
  <si>
    <t>Data da análise SWOT.</t>
  </si>
  <si>
    <t>Chave técnica (quadrante|ordem) usada pela Vista_SWOT.</t>
  </si>
  <si>
    <t>SGA ou SGI (qualidade/SST, vindo do RG-SGA-02).</t>
  </si>
  <si>
    <t>Riscos/oportunidades do RG-SGA-02 (R-nn / O-nn).</t>
  </si>
  <si>
    <t>tbl_tows</t>
  </si>
  <si>
    <t>Identificador da estratégia cruzada.</t>
  </si>
  <si>
    <t>Tipo de cruzamento TOWS.</t>
  </si>
  <si>
    <t>Lista lst_Cruzamento</t>
  </si>
  <si>
    <t>IDs SWOT/PESTEL combinados (separados por ';').</t>
  </si>
  <si>
    <t>Estratégia resultante.</t>
  </si>
  <si>
    <t>Objetivo ambiental derivado.</t>
  </si>
  <si>
    <t>FK → RG-SGA-05</t>
  </si>
  <si>
    <t>Prazo.</t>
  </si>
  <si>
    <t>Responsável.</t>
  </si>
  <si>
    <t>Indicador de sucesso.</t>
  </si>
  <si>
    <t>tbl_cinco_forcas</t>
  </si>
  <si>
    <t>tbl_partes_interessadas</t>
  </si>
  <si>
    <t>Identificador da parte interessada.</t>
  </si>
  <si>
    <t>Parte interessada.</t>
  </si>
  <si>
    <t>Interna ou externa.</t>
  </si>
  <si>
    <t>Lista lst_PI_Tipo</t>
  </si>
  <si>
    <t>Categoria.</t>
  </si>
  <si>
    <t>Necessidades e expectativas relevantes para o SGA (4.2 b).</t>
  </si>
  <si>
    <t>Condição ambiental a que a expectativa se liga (ISO 14001:2026, 4.2 Nota 1).</t>
  </si>
  <si>
    <t>Lista lst_PI_Cond</t>
  </si>
  <si>
    <t>Se a parte é relevante para o SGA (4.2 a).</t>
  </si>
  <si>
    <t>Lista lst_PI_SimNao</t>
  </si>
  <si>
    <t>Se a necessidade/expectativa é tratada como obrigação de conformidade (4.2 c).</t>
  </si>
  <si>
    <t>Legal ou voluntária (compromisso que a organização decidiu cumprir).</t>
  </si>
  <si>
    <t>Lista lst_PI_Obrig</t>
  </si>
  <si>
    <t>Requisitos legais associados (';').</t>
  </si>
  <si>
    <t>FK → tbl_legal</t>
  </si>
  <si>
    <t>Como a expectativa é acompanhada.</t>
  </si>
  <si>
    <t>Frequência de acompanhamento.</t>
  </si>
  <si>
    <t>Influência sobre a organização.</t>
  </si>
  <si>
    <t>Lista lst_PI_Nivel</t>
  </si>
  <si>
    <t>Interesse / grau de afetação.</t>
  </si>
  <si>
    <t>Matriz influência × interesse.</t>
  </si>
  <si>
    <t>Risco/oportunidade associado.</t>
  </si>
  <si>
    <t>Responsável pela relação.</t>
  </si>
  <si>
    <t>Última revisão.</t>
  </si>
  <si>
    <t>O que a parte teme ou valoriza (perceção do risco — vindo do RG-SGA-02).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</si>
</sst>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F2F3A"/>
      <name val="Arial"/>
    </font>
    <font>
      <i/>
      <sz val="10"/>
      <color rgb="FF4A5A60"/>
      <name val="Arial"/>
    </font>
    <font>
      <b/>
      <sz val="11"/>
      <color rgb="FF14532D"/>
      <name val="Arial"/>
    </font>
    <font>
      <b/>
      <sz val="11"/>
      <color rgb="FF7C3E00"/>
      <name val="Arial"/>
    </font>
    <font>
      <b/>
      <sz val="11"/>
      <color rgb="FF0B3A66"/>
      <name val="Arial"/>
    </font>
    <font>
      <b/>
      <sz val="11"/>
      <color rgb="FF7F1D1D"/>
      <name val="Arial"/>
    </font>
    <font>
      <b/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CDEBD3"/>
      </patternFill>
    </fill>
    <fill>
      <patternFill patternType="solid">
        <fgColor rgb="FFFCE4C4"/>
      </patternFill>
    </fill>
    <fill>
      <patternFill patternType="solid">
        <fgColor rgb="FFCFE2F3"/>
      </patternFill>
    </fill>
    <fill>
      <patternFill patternType="solid">
        <fgColor rgb="FFF4C7C3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9" fillId="9" borderId="0" xfId="0" applyFont="1" applyFill="1"/>
    <xf numFmtId="0" fontId="0" fillId="9" borderId="0" xfId="0" applyFill="1"/>
    <xf numFmtId="0" fontId="9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4" fontId="2" fillId="4" borderId="1" xfId="0" applyNumberFormat="1" applyFont="1" applyFill="1" applyBorder="1" applyAlignment="1">
      <alignment vertical="top" wrapText="1"/>
    </xf>
    <xf numFmtId="0" fontId="5" fillId="5" borderId="1" xfId="0" applyFont="1" applyFill="1" applyBorder="1"/>
    <xf numFmtId="0" fontId="6" fillId="6" borderId="1" xfId="0" applyFont="1" applyFill="1" applyBorder="1"/>
    <xf numFmtId="0" fontId="2" fillId="0" borderId="1" xfId="0" applyFont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9" fillId="0" borderId="0" xfId="0" applyFont="1"/>
    <xf numFmtId="0" fontId="1" fillId="2" borderId="0" xfId="0" applyFont="1" applyFill="1" applyAlignment="1">
      <alignment horizontal="center"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Normal" xfId="0" builtinId="0"/>
  </cellStyles>
  <dxfs count="17"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3B1F66"/>
        <name val="Arial"/>
      </font>
      <fill>
        <patternFill patternType="solid">
          <fgColor rgb="FFE4D7F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estel" displayName="tbl_pestel" ref="A1:Z21">
  <autoFilter ref="A1:Z21" xr:uid="{00000000-0009-0000-0100-000001000000}"/>
  <tableColumns count="26">
    <tableColumn id="1" xr3:uid="{00000000-0010-0000-0000-000001000000}" name="ID_PESTEL"/>
    <tableColumn id="2" xr3:uid="{00000000-0010-0000-0000-000002000000}" name="Dimensao"/>
    <tableColumn id="3" xr3:uid="{00000000-0010-0000-0000-000003000000}" name="Fator_Externo"/>
    <tableColumn id="4" xr3:uid="{00000000-0010-0000-0000-000004000000}" name="Descricao"/>
    <tableColumn id="5" xr3:uid="{00000000-0010-0000-0000-000005000000}" name="Condicao_Ambiental_ISO2026"/>
    <tableColumn id="6" xr3:uid="{00000000-0010-0000-0000-000006000000}" name="Direcao_Efeito"/>
    <tableColumn id="7" xr3:uid="{00000000-0010-0000-0000-000007000000}" name="Efeito_no_SGA"/>
    <tableColumn id="8" xr3:uid="{00000000-0010-0000-0000-000008000000}" name="Classificacao"/>
    <tableColumn id="9" xr3:uid="{00000000-0010-0000-0000-000009000000}" name="Tendencia"/>
    <tableColumn id="10" xr3:uid="{00000000-0010-0000-0000-00000A000000}" name="Horizonte"/>
    <tableColumn id="11" xr3:uid="{00000000-0010-0000-0000-00000B000000}" name="Probabilidade_1a3"/>
    <tableColumn id="12" xr3:uid="{00000000-0010-0000-0000-00000C000000}" name="Impacto_1a3"/>
    <tableColumn id="13" xr3:uid="{00000000-0010-0000-0000-00000D000000}" name="Score"/>
    <tableColumn id="14" xr3:uid="{00000000-0010-0000-0000-00000E000000}" name="Prioridade"/>
    <tableColumn id="15" xr3:uid="{00000000-0010-0000-0000-00000F000000}" name="Fonte_Monitorizacao"/>
    <tableColumn id="16" xr3:uid="{00000000-0010-0000-0000-000010000000}" name="Resposta_Estrategica"/>
    <tableColumn id="17" xr3:uid="{00000000-0010-0000-0000-000011000000}" name="ID_SWOT"/>
    <tableColumn id="18" xr3:uid="{00000000-0010-0000-0000-000012000000}" name="ID_RO"/>
    <tableColumn id="19" xr3:uid="{00000000-0010-0000-0000-000013000000}" name="Parte_Interessada"/>
    <tableColumn id="20" xr3:uid="{00000000-0010-0000-0000-000014000000}" name="Tema"/>
    <tableColumn id="21" xr3:uid="{00000000-0010-0000-0000-000015000000}" name="ESG"/>
    <tableColumn id="22" xr3:uid="{00000000-0010-0000-0000-000016000000}" name="Dono"/>
    <tableColumn id="23" xr3:uid="{00000000-0010-0000-0000-000017000000}" name="Data_Avaliacao"/>
    <tableColumn id="24" xr3:uid="{00000000-0010-0000-0000-000018000000}" name="Proxima_Revisao"/>
    <tableColumn id="25" xr3:uid="{00000000-0010-0000-0000-000019000000}" name="Ambito"/>
    <tableColumn id="26" xr3:uid="{00000000-0010-0000-0000-00001A000000}" name="IDs_Risco_SGI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wot" displayName="tbl_swot" ref="A1:R24">
  <autoFilter ref="A1:R24" xr:uid="{00000000-0009-0000-0100-000002000000}"/>
  <tableColumns count="18">
    <tableColumn id="1" xr3:uid="{00000000-0010-0000-0100-000001000000}" name="ID_SWOT"/>
    <tableColumn id="2" xr3:uid="{00000000-0010-0000-0100-000002000000}" name="Quadrante"/>
    <tableColumn id="3" xr3:uid="{00000000-0010-0000-0100-000003000000}" name="Natureza"/>
    <tableColumn id="4" xr3:uid="{00000000-0010-0000-0100-000004000000}" name="Descricao"/>
    <tableColumn id="5" xr3:uid="{00000000-0010-0000-0100-000005000000}" name="Evidencia"/>
    <tableColumn id="6" xr3:uid="{00000000-0010-0000-0100-000006000000}" name="Implicacao_SGA"/>
    <tableColumn id="7" xr3:uid="{00000000-0010-0000-0100-000007000000}" name="Processo"/>
    <tableColumn id="8" xr3:uid="{00000000-0010-0000-0100-000008000000}" name="Tema"/>
    <tableColumn id="9" xr3:uid="{00000000-0010-0000-0100-000009000000}" name="ID_PESTEL"/>
    <tableColumn id="10" xr3:uid="{00000000-0010-0000-0100-00000A000000}" name="Converte_em"/>
    <tableColumn id="11" xr3:uid="{00000000-0010-0000-0100-00000B000000}" name="ID_RO"/>
    <tableColumn id="12" xr3:uid="{00000000-0010-0000-0100-00000C000000}" name="Selecionado_Atv_3_1"/>
    <tableColumn id="13" xr3:uid="{00000000-0010-0000-0100-00000D000000}" name="Estrategia"/>
    <tableColumn id="14" xr3:uid="{00000000-0010-0000-0100-00000E000000}" name="Indicador"/>
    <tableColumn id="15" xr3:uid="{00000000-0010-0000-0100-00000F000000}" name="Data_Avaliacao"/>
    <tableColumn id="16" xr3:uid="{00000000-0010-0000-0100-000010000000}" name="Chave_Vista"/>
    <tableColumn id="17" xr3:uid="{00000000-0010-0000-0100-000011000000}" name="Ambito"/>
    <tableColumn id="18" xr3:uid="{00000000-0010-0000-0100-000012000000}" name="IDs_Risco_SGI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tows" displayName="tbl_tows" ref="A1:I9">
  <autoFilter ref="A1:I9" xr:uid="{00000000-0009-0000-0100-000003000000}"/>
  <tableColumns count="9">
    <tableColumn id="1" xr3:uid="{00000000-0010-0000-0200-000001000000}" name="ID_TOWS"/>
    <tableColumn id="2" xr3:uid="{00000000-0010-0000-0200-000002000000}" name="Cruzamento"/>
    <tableColumn id="3" xr3:uid="{00000000-0010-0000-0200-000003000000}" name="IDs_Origem"/>
    <tableColumn id="4" xr3:uid="{00000000-0010-0000-0200-000004000000}" name="Estrategia"/>
    <tableColumn id="5" xr3:uid="{00000000-0010-0000-0200-000005000000}" name="ID_Objetivo"/>
    <tableColumn id="6" xr3:uid="{00000000-0010-0000-0200-000006000000}" name="Prazo"/>
    <tableColumn id="7" xr3:uid="{00000000-0010-0000-0200-000007000000}" name="Dono"/>
    <tableColumn id="8" xr3:uid="{00000000-0010-0000-0200-000008000000}" name="KPI"/>
    <tableColumn id="9" xr3:uid="{00000000-0010-0000-0200-000009000000}" name="IDs_Risco_SGI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inco_forcas" displayName="tbl_cinco_forcas" ref="A4:I9">
  <autoFilter ref="A4:I9" xr:uid="{00000000-0009-0000-0100-000004000000}"/>
  <tableColumns count="9">
    <tableColumn id="1" xr3:uid="{00000000-0010-0000-0300-000001000000}" name="ID_Forca"/>
    <tableColumn id="2" xr3:uid="{00000000-0010-0000-0300-000002000000}" name="Forca_Competitiva"/>
    <tableColumn id="3" xr3:uid="{00000000-0010-0000-0300-000003000000}" name="Cenario_Evidencias"/>
    <tableColumn id="4" xr3:uid="{00000000-0010-0000-0300-000004000000}" name="Tendencia"/>
    <tableColumn id="5" xr3:uid="{00000000-0010-0000-0300-000005000000}" name="Impacto_Organizacao"/>
    <tableColumn id="6" xr3:uid="{00000000-0010-0000-0300-000006000000}" name="Classificacao"/>
    <tableColumn id="7" xr3:uid="{00000000-0010-0000-0300-000007000000}" name="IDs_Risco_SGI"/>
    <tableColumn id="8" xr3:uid="{00000000-0010-0000-0300-000008000000}" name="Como_Monitorizar"/>
    <tableColumn id="9" xr3:uid="{00000000-0010-0000-0300-000009000000}" name="Data_Avaliacao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partes_interessadas" displayName="tbl_partes_interessadas" ref="A4:T30">
  <autoFilter ref="A4:T30" xr:uid="{00000000-0009-0000-0100-000005000000}"/>
  <tableColumns count="20">
    <tableColumn id="1" xr3:uid="{00000000-0010-0000-0400-000001000000}" name="ID_PI"/>
    <tableColumn id="2" xr3:uid="{00000000-0010-0000-0400-000002000000}" name="Parte_Interessada"/>
    <tableColumn id="3" xr3:uid="{00000000-0010-0000-0400-000003000000}" name="Tipo"/>
    <tableColumn id="4" xr3:uid="{00000000-0010-0000-0400-000004000000}" name="Categoria"/>
    <tableColumn id="5" xr3:uid="{00000000-0010-0000-0400-000005000000}" name="Necessidades_Expectativas"/>
    <tableColumn id="6" xr3:uid="{00000000-0010-0000-0400-000006000000}" name="Condicao_Ambiental"/>
    <tableColumn id="7" xr3:uid="{00000000-0010-0000-0400-000007000000}" name="Relevante"/>
    <tableColumn id="8" xr3:uid="{00000000-0010-0000-0400-000008000000}" name="Torna_se_Obrigacao"/>
    <tableColumn id="9" xr3:uid="{00000000-0010-0000-0400-000009000000}" name="Tipo_Obrigacao"/>
    <tableColumn id="10" xr3:uid="{00000000-0010-0000-0400-00000A000000}" name="IDs_Legal"/>
    <tableColumn id="11" xr3:uid="{00000000-0010-0000-0400-00000B000000}" name="Como_Monitorizar"/>
    <tableColumn id="12" xr3:uid="{00000000-0010-0000-0400-00000C000000}" name="Frequencia"/>
    <tableColumn id="13" xr3:uid="{00000000-0010-0000-0400-00000D000000}" name="Influencia"/>
    <tableColumn id="14" xr3:uid="{00000000-0010-0000-0400-00000E000000}" name="Interesse"/>
    <tableColumn id="15" xr3:uid="{00000000-0010-0000-0400-00000F000000}" name="Estrategia"/>
    <tableColumn id="16" xr3:uid="{00000000-0010-0000-0400-000010000000}" name="ID_RO"/>
    <tableColumn id="17" xr3:uid="{00000000-0010-0000-0400-000011000000}" name="Dono"/>
    <tableColumn id="18" xr3:uid="{00000000-0010-0000-0400-000012000000}" name="Data_Revisao"/>
    <tableColumn id="19" xr3:uid="{00000000-0010-0000-0400-000013000000}" name="IDs_Risco_SGI"/>
    <tableColumn id="20" xr3:uid="{00000000-0010-0000-0400-000014000000}" name="Percepcao_Risco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dicionario" displayName="tbl_dicionario" ref="A1:I83">
  <autoFilter ref="A1:I83" xr:uid="{00000000-0009-0000-0100-000006000000}"/>
  <tableColumns count="9">
    <tableColumn id="1" xr3:uid="{00000000-0010-0000-0500-000001000000}" name="Folha"/>
    <tableColumn id="2" xr3:uid="{00000000-0010-0000-0500-000002000000}" name="Tabela"/>
    <tableColumn id="3" xr3:uid="{00000000-0010-0000-0500-000003000000}" name="Coluna"/>
    <tableColumn id="4" xr3:uid="{00000000-0010-0000-0500-000004000000}" name="Tipo"/>
    <tableColumn id="5" xr3:uid="{00000000-0010-0000-0500-000005000000}" name="Origem"/>
    <tableColumn id="6" xr3:uid="{00000000-0010-0000-0500-000006000000}" name="Descricao"/>
    <tableColumn id="7" xr3:uid="{00000000-0010-0000-0500-000007000000}" name="Dominio_Unidade"/>
    <tableColumn id="8" xr3:uid="{00000000-0010-0000-0500-000008000000}" name="Obrigatorio"/>
    <tableColumn id="9" xr3:uid="{00000000-0010-0000-05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1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6" spans="1:2" x14ac:dyDescent="0.3">
      <c r="A26" s="5" t="s">
        <v>38</v>
      </c>
      <c r="B26" s="6" t="s">
        <v>39</v>
      </c>
    </row>
    <row r="27" spans="1:2" x14ac:dyDescent="0.3">
      <c r="A27" s="5" t="s">
        <v>40</v>
      </c>
      <c r="B27" s="6" t="s">
        <v>41</v>
      </c>
    </row>
    <row r="28" spans="1:2" x14ac:dyDescent="0.3">
      <c r="A28" s="5" t="s">
        <v>42</v>
      </c>
      <c r="B28" s="6" t="s">
        <v>43</v>
      </c>
    </row>
    <row r="30" spans="1:2" x14ac:dyDescent="0.3">
      <c r="A30" s="3" t="s">
        <v>44</v>
      </c>
      <c r="B30" s="4"/>
    </row>
    <row r="31" spans="1:2" ht="26.4" x14ac:dyDescent="0.3">
      <c r="A31" s="5" t="s">
        <v>45</v>
      </c>
      <c r="B31" s="6" t="s">
        <v>46</v>
      </c>
    </row>
    <row r="32" spans="1:2" x14ac:dyDescent="0.3">
      <c r="A32" s="5" t="s">
        <v>47</v>
      </c>
      <c r="B32" s="6" t="s">
        <v>48</v>
      </c>
    </row>
    <row r="33" spans="1:2" x14ac:dyDescent="0.3">
      <c r="A33" s="5" t="s">
        <v>49</v>
      </c>
      <c r="B33" s="6" t="s">
        <v>50</v>
      </c>
    </row>
    <row r="34" spans="1:2" ht="26.4" x14ac:dyDescent="0.3">
      <c r="A34" s="5" t="s">
        <v>51</v>
      </c>
      <c r="B34" s="6" t="s">
        <v>52</v>
      </c>
    </row>
    <row r="35" spans="1:2" ht="26.4" x14ac:dyDescent="0.3">
      <c r="A35" s="5" t="s">
        <v>53</v>
      </c>
      <c r="B35" s="6" t="s">
        <v>54</v>
      </c>
    </row>
    <row r="36" spans="1:2" ht="26.4" x14ac:dyDescent="0.3">
      <c r="A36" s="5" t="s">
        <v>55</v>
      </c>
      <c r="B36" s="6" t="s">
        <v>56</v>
      </c>
    </row>
    <row r="38" spans="1:2" x14ac:dyDescent="0.3">
      <c r="A38" s="3" t="s">
        <v>57</v>
      </c>
      <c r="B38" s="4"/>
    </row>
    <row r="39" spans="1:2" ht="26.4" x14ac:dyDescent="0.3">
      <c r="A39" s="5" t="s">
        <v>58</v>
      </c>
      <c r="B39" s="6" t="s">
        <v>59</v>
      </c>
    </row>
    <row r="40" spans="1:2" ht="26.4" x14ac:dyDescent="0.3">
      <c r="A40" s="5" t="s">
        <v>60</v>
      </c>
      <c r="B40" s="6" t="s">
        <v>61</v>
      </c>
    </row>
    <row r="41" spans="1:2" x14ac:dyDescent="0.3">
      <c r="A41" s="5" t="s">
        <v>62</v>
      </c>
      <c r="B41" s="6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21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13" customWidth="1"/>
    <col min="3" max="3" width="34" customWidth="1"/>
    <col min="4" max="4" width="55" customWidth="1"/>
    <col min="5" max="6" width="20" customWidth="1"/>
    <col min="7" max="7" width="40" customWidth="1"/>
    <col min="8" max="8" width="15" customWidth="1"/>
    <col min="9" max="9" width="12" customWidth="1"/>
    <col min="10" max="10" width="15" customWidth="1"/>
    <col min="11" max="11" width="11" customWidth="1"/>
    <col min="12" max="12" width="10" customWidth="1"/>
    <col min="13" max="13" width="8" customWidth="1"/>
    <col min="14" max="14" width="10" customWidth="1"/>
    <col min="15" max="15" width="30" customWidth="1"/>
    <col min="16" max="16" width="42" customWidth="1"/>
    <col min="17" max="17" width="10" customWidth="1"/>
    <col min="18" max="18" width="9" customWidth="1"/>
    <col min="19" max="19" width="24" customWidth="1"/>
    <col min="20" max="20" width="22" customWidth="1"/>
    <col min="21" max="21" width="9" customWidth="1"/>
    <col min="22" max="22" width="28" customWidth="1"/>
    <col min="23" max="25" width="12" customWidth="1"/>
    <col min="26" max="26" width="16" customWidth="1"/>
  </cols>
  <sheetData>
    <row r="1" spans="1:26" ht="26.4" x14ac:dyDescent="0.3">
      <c r="A1" s="8" t="s">
        <v>64</v>
      </c>
      <c r="B1" s="8" t="s">
        <v>65</v>
      </c>
      <c r="C1" s="8" t="s">
        <v>66</v>
      </c>
      <c r="D1" s="8" t="s">
        <v>67</v>
      </c>
      <c r="E1" s="8" t="s">
        <v>68</v>
      </c>
      <c r="F1" s="8" t="s">
        <v>69</v>
      </c>
      <c r="G1" s="8" t="s">
        <v>70</v>
      </c>
      <c r="H1" s="8" t="s">
        <v>71</v>
      </c>
      <c r="I1" s="8" t="s">
        <v>72</v>
      </c>
      <c r="J1" s="8" t="s">
        <v>73</v>
      </c>
      <c r="K1" s="8" t="s">
        <v>74</v>
      </c>
      <c r="L1" s="8" t="s">
        <v>75</v>
      </c>
      <c r="M1" s="9" t="s">
        <v>76</v>
      </c>
      <c r="N1" s="9" t="s">
        <v>77</v>
      </c>
      <c r="O1" s="8" t="s">
        <v>78</v>
      </c>
      <c r="P1" s="8" t="s">
        <v>79</v>
      </c>
      <c r="Q1" s="8" t="s">
        <v>80</v>
      </c>
      <c r="R1" s="8" t="s">
        <v>81</v>
      </c>
      <c r="S1" s="8" t="s">
        <v>82</v>
      </c>
      <c r="T1" s="8" t="s">
        <v>83</v>
      </c>
      <c r="U1" s="8" t="s">
        <v>84</v>
      </c>
      <c r="V1" s="8" t="s">
        <v>85</v>
      </c>
      <c r="W1" s="8" t="s">
        <v>86</v>
      </c>
      <c r="X1" s="9" t="s">
        <v>87</v>
      </c>
      <c r="Y1" s="8" t="s">
        <v>88</v>
      </c>
      <c r="Z1" s="8" t="s">
        <v>89</v>
      </c>
    </row>
    <row r="2" spans="1:26" ht="60" customHeight="1" x14ac:dyDescent="0.3">
      <c r="A2" s="10" t="s">
        <v>90</v>
      </c>
      <c r="B2" s="10" t="s">
        <v>91</v>
      </c>
      <c r="C2" s="10" t="s">
        <v>92</v>
      </c>
      <c r="D2" s="10" t="s">
        <v>93</v>
      </c>
      <c r="E2" s="10" t="s">
        <v>94</v>
      </c>
      <c r="F2" s="10" t="s">
        <v>95</v>
      </c>
      <c r="G2" s="10" t="s">
        <v>96</v>
      </c>
      <c r="H2" s="10" t="s">
        <v>97</v>
      </c>
      <c r="I2" s="10" t="s">
        <v>98</v>
      </c>
      <c r="J2" s="10" t="s">
        <v>99</v>
      </c>
      <c r="K2" s="11">
        <v>3</v>
      </c>
      <c r="L2" s="11">
        <v>2</v>
      </c>
      <c r="M2" s="12">
        <f t="shared" ref="M2:M21" si="0">K2*L2</f>
        <v>6</v>
      </c>
      <c r="N2" s="13" t="str">
        <f t="shared" ref="N2:N21" si="1">IF(M2&gt;=6,"Alta",IF(M2&gt;=3,"Média","Baixa"))</f>
        <v>Alta</v>
      </c>
      <c r="O2" s="10" t="s">
        <v>100</v>
      </c>
      <c r="P2" s="10" t="s">
        <v>101</v>
      </c>
      <c r="Q2" s="10" t="s">
        <v>102</v>
      </c>
      <c r="R2" s="10" t="s">
        <v>103</v>
      </c>
      <c r="S2" s="10" t="s">
        <v>104</v>
      </c>
      <c r="T2" s="10" t="s">
        <v>105</v>
      </c>
      <c r="U2" s="10" t="s">
        <v>106</v>
      </c>
      <c r="V2" s="10" t="s">
        <v>107</v>
      </c>
      <c r="W2" s="14">
        <v>46097</v>
      </c>
      <c r="X2" s="15">
        <f t="shared" ref="X2:X21" si="2">EDATE(W2,12)</f>
        <v>46462</v>
      </c>
      <c r="Y2" s="10" t="s">
        <v>108</v>
      </c>
      <c r="Z2" s="10" t="s">
        <v>109</v>
      </c>
    </row>
    <row r="3" spans="1:26" ht="60" customHeight="1" x14ac:dyDescent="0.3">
      <c r="A3" s="10" t="s">
        <v>110</v>
      </c>
      <c r="B3" s="10" t="s">
        <v>111</v>
      </c>
      <c r="C3" s="10" t="s">
        <v>112</v>
      </c>
      <c r="D3" s="10" t="s">
        <v>113</v>
      </c>
      <c r="E3" s="10" t="s">
        <v>114</v>
      </c>
      <c r="F3" s="10" t="s">
        <v>114</v>
      </c>
      <c r="G3" s="10" t="s">
        <v>115</v>
      </c>
      <c r="H3" s="10" t="s">
        <v>116</v>
      </c>
      <c r="I3" s="10" t="s">
        <v>117</v>
      </c>
      <c r="J3" s="10" t="s">
        <v>118</v>
      </c>
      <c r="K3" s="11">
        <v>3</v>
      </c>
      <c r="L3" s="11">
        <v>3</v>
      </c>
      <c r="M3" s="12">
        <f t="shared" si="0"/>
        <v>9</v>
      </c>
      <c r="N3" s="13" t="str">
        <f t="shared" si="1"/>
        <v>Alta</v>
      </c>
      <c r="O3" s="10" t="s">
        <v>119</v>
      </c>
      <c r="P3" s="10" t="s">
        <v>120</v>
      </c>
      <c r="Q3" s="10" t="s">
        <v>121</v>
      </c>
      <c r="R3" s="10" t="s">
        <v>122</v>
      </c>
      <c r="S3" s="10" t="s">
        <v>123</v>
      </c>
      <c r="T3" s="10" t="s">
        <v>124</v>
      </c>
      <c r="U3" s="10" t="s">
        <v>106</v>
      </c>
      <c r="V3" s="10" t="s">
        <v>125</v>
      </c>
      <c r="W3" s="14">
        <v>46097</v>
      </c>
      <c r="X3" s="15">
        <f t="shared" si="2"/>
        <v>46462</v>
      </c>
      <c r="Y3" s="10" t="s">
        <v>108</v>
      </c>
      <c r="Z3" s="10" t="s">
        <v>126</v>
      </c>
    </row>
    <row r="4" spans="1:26" ht="60" customHeight="1" x14ac:dyDescent="0.3">
      <c r="A4" s="10" t="s">
        <v>127</v>
      </c>
      <c r="B4" s="10" t="s">
        <v>111</v>
      </c>
      <c r="C4" s="10" t="s">
        <v>128</v>
      </c>
      <c r="D4" s="10" t="s">
        <v>129</v>
      </c>
      <c r="E4" s="10" t="s">
        <v>130</v>
      </c>
      <c r="F4" s="10" t="s">
        <v>131</v>
      </c>
      <c r="G4" s="10" t="s">
        <v>132</v>
      </c>
      <c r="H4" s="10" t="s">
        <v>116</v>
      </c>
      <c r="I4" s="10" t="s">
        <v>98</v>
      </c>
      <c r="J4" s="10" t="s">
        <v>99</v>
      </c>
      <c r="K4" s="11">
        <v>3</v>
      </c>
      <c r="L4" s="11">
        <v>2</v>
      </c>
      <c r="M4" s="12">
        <f t="shared" si="0"/>
        <v>6</v>
      </c>
      <c r="N4" s="13" t="str">
        <f t="shared" si="1"/>
        <v>Alta</v>
      </c>
      <c r="O4" s="10" t="s">
        <v>133</v>
      </c>
      <c r="P4" s="10" t="s">
        <v>134</v>
      </c>
      <c r="Q4" s="10" t="s">
        <v>135</v>
      </c>
      <c r="R4" s="10" t="s">
        <v>136</v>
      </c>
      <c r="S4" s="10" t="s">
        <v>137</v>
      </c>
      <c r="T4" s="10" t="s">
        <v>138</v>
      </c>
      <c r="U4" s="10" t="s">
        <v>106</v>
      </c>
      <c r="V4" s="10" t="s">
        <v>125</v>
      </c>
      <c r="W4" s="14">
        <v>46097</v>
      </c>
      <c r="X4" s="15">
        <f t="shared" si="2"/>
        <v>46462</v>
      </c>
      <c r="Y4" s="10" t="s">
        <v>108</v>
      </c>
      <c r="Z4" s="10" t="s">
        <v>139</v>
      </c>
    </row>
    <row r="5" spans="1:26" ht="60" customHeight="1" x14ac:dyDescent="0.3">
      <c r="A5" s="10" t="s">
        <v>140</v>
      </c>
      <c r="B5" s="10" t="s">
        <v>141</v>
      </c>
      <c r="C5" s="10" t="s">
        <v>142</v>
      </c>
      <c r="D5" s="10" t="s">
        <v>143</v>
      </c>
      <c r="E5" s="10" t="s">
        <v>130</v>
      </c>
      <c r="F5" s="10" t="s">
        <v>144</v>
      </c>
      <c r="G5" s="10" t="s">
        <v>145</v>
      </c>
      <c r="H5" s="10" t="s">
        <v>146</v>
      </c>
      <c r="I5" s="10" t="s">
        <v>98</v>
      </c>
      <c r="J5" s="10" t="s">
        <v>118</v>
      </c>
      <c r="K5" s="11">
        <v>3</v>
      </c>
      <c r="L5" s="11">
        <v>3</v>
      </c>
      <c r="M5" s="12">
        <f t="shared" si="0"/>
        <v>9</v>
      </c>
      <c r="N5" s="13" t="str">
        <f t="shared" si="1"/>
        <v>Alta</v>
      </c>
      <c r="O5" s="10" t="s">
        <v>147</v>
      </c>
      <c r="P5" s="10" t="s">
        <v>148</v>
      </c>
      <c r="Q5" s="10" t="s">
        <v>149</v>
      </c>
      <c r="R5" s="10" t="s">
        <v>150</v>
      </c>
      <c r="S5" s="10" t="s">
        <v>151</v>
      </c>
      <c r="T5" s="10" t="s">
        <v>152</v>
      </c>
      <c r="U5" s="10" t="s">
        <v>153</v>
      </c>
      <c r="V5" s="10" t="s">
        <v>154</v>
      </c>
      <c r="W5" s="14">
        <v>46097</v>
      </c>
      <c r="X5" s="15">
        <f t="shared" si="2"/>
        <v>46462</v>
      </c>
      <c r="Y5" s="10" t="s">
        <v>108</v>
      </c>
      <c r="Z5" s="10" t="s">
        <v>155</v>
      </c>
    </row>
    <row r="6" spans="1:26" ht="60" customHeight="1" x14ac:dyDescent="0.3">
      <c r="A6" s="10" t="s">
        <v>156</v>
      </c>
      <c r="B6" s="10" t="s">
        <v>141</v>
      </c>
      <c r="C6" s="10" t="s">
        <v>157</v>
      </c>
      <c r="D6" s="10" t="s">
        <v>158</v>
      </c>
      <c r="E6" s="10" t="s">
        <v>159</v>
      </c>
      <c r="F6" s="10" t="s">
        <v>144</v>
      </c>
      <c r="G6" s="10" t="s">
        <v>160</v>
      </c>
      <c r="H6" s="10" t="s">
        <v>116</v>
      </c>
      <c r="I6" s="10" t="s">
        <v>117</v>
      </c>
      <c r="J6" s="10" t="s">
        <v>99</v>
      </c>
      <c r="K6" s="11">
        <v>2</v>
      </c>
      <c r="L6" s="11">
        <v>2</v>
      </c>
      <c r="M6" s="12">
        <f t="shared" si="0"/>
        <v>4</v>
      </c>
      <c r="N6" s="13" t="str">
        <f t="shared" si="1"/>
        <v>Média</v>
      </c>
      <c r="O6" s="10" t="s">
        <v>161</v>
      </c>
      <c r="P6" s="10" t="s">
        <v>162</v>
      </c>
      <c r="Q6" s="10" t="s">
        <v>163</v>
      </c>
      <c r="R6" s="10" t="s">
        <v>164</v>
      </c>
      <c r="S6" s="10" t="s">
        <v>165</v>
      </c>
      <c r="T6" s="10" t="s">
        <v>166</v>
      </c>
      <c r="U6" s="10" t="s">
        <v>167</v>
      </c>
      <c r="V6" s="10" t="s">
        <v>154</v>
      </c>
      <c r="W6" s="14">
        <v>46097</v>
      </c>
      <c r="X6" s="15">
        <f t="shared" si="2"/>
        <v>46462</v>
      </c>
      <c r="Y6" s="10" t="s">
        <v>108</v>
      </c>
      <c r="Z6" s="10"/>
    </row>
    <row r="7" spans="1:26" ht="60" customHeight="1" x14ac:dyDescent="0.3">
      <c r="A7" s="10" t="s">
        <v>168</v>
      </c>
      <c r="B7" s="10" t="s">
        <v>169</v>
      </c>
      <c r="C7" s="10" t="s">
        <v>170</v>
      </c>
      <c r="D7" s="10" t="s">
        <v>171</v>
      </c>
      <c r="E7" s="10" t="s">
        <v>114</v>
      </c>
      <c r="F7" s="10" t="s">
        <v>114</v>
      </c>
      <c r="G7" s="10" t="s">
        <v>172</v>
      </c>
      <c r="H7" s="10" t="s">
        <v>146</v>
      </c>
      <c r="I7" s="10" t="s">
        <v>98</v>
      </c>
      <c r="J7" s="10" t="s">
        <v>118</v>
      </c>
      <c r="K7" s="11">
        <v>3</v>
      </c>
      <c r="L7" s="11">
        <v>2</v>
      </c>
      <c r="M7" s="12">
        <f t="shared" si="0"/>
        <v>6</v>
      </c>
      <c r="N7" s="13" t="str">
        <f t="shared" si="1"/>
        <v>Alta</v>
      </c>
      <c r="O7" s="10" t="s">
        <v>173</v>
      </c>
      <c r="P7" s="10" t="s">
        <v>174</v>
      </c>
      <c r="Q7" s="10" t="s">
        <v>175</v>
      </c>
      <c r="R7" s="10" t="s">
        <v>176</v>
      </c>
      <c r="S7" s="10" t="s">
        <v>123</v>
      </c>
      <c r="T7" s="10" t="s">
        <v>177</v>
      </c>
      <c r="U7" s="10" t="s">
        <v>106</v>
      </c>
      <c r="V7" s="10" t="s">
        <v>178</v>
      </c>
      <c r="W7" s="14">
        <v>46097</v>
      </c>
      <c r="X7" s="15">
        <f t="shared" si="2"/>
        <v>46462</v>
      </c>
      <c r="Y7" s="10" t="s">
        <v>108</v>
      </c>
      <c r="Z7" s="10" t="s">
        <v>179</v>
      </c>
    </row>
    <row r="8" spans="1:26" ht="60" customHeight="1" x14ac:dyDescent="0.3">
      <c r="A8" s="10" t="s">
        <v>180</v>
      </c>
      <c r="B8" s="10" t="s">
        <v>169</v>
      </c>
      <c r="C8" s="10" t="s">
        <v>181</v>
      </c>
      <c r="D8" s="10" t="s">
        <v>182</v>
      </c>
      <c r="E8" s="10" t="s">
        <v>130</v>
      </c>
      <c r="F8" s="10" t="s">
        <v>144</v>
      </c>
      <c r="G8" s="10" t="s">
        <v>183</v>
      </c>
      <c r="H8" s="10" t="s">
        <v>146</v>
      </c>
      <c r="I8" s="10" t="s">
        <v>98</v>
      </c>
      <c r="J8" s="10" t="s">
        <v>99</v>
      </c>
      <c r="K8" s="11">
        <v>2</v>
      </c>
      <c r="L8" s="11">
        <v>3</v>
      </c>
      <c r="M8" s="12">
        <f t="shared" si="0"/>
        <v>6</v>
      </c>
      <c r="N8" s="13" t="str">
        <f t="shared" si="1"/>
        <v>Alta</v>
      </c>
      <c r="O8" s="10" t="s">
        <v>184</v>
      </c>
      <c r="P8" s="10" t="s">
        <v>185</v>
      </c>
      <c r="Q8" s="10" t="s">
        <v>149</v>
      </c>
      <c r="R8" s="10" t="s">
        <v>150</v>
      </c>
      <c r="S8" s="10" t="s">
        <v>151</v>
      </c>
      <c r="T8" s="10" t="s">
        <v>152</v>
      </c>
      <c r="U8" s="10" t="s">
        <v>106</v>
      </c>
      <c r="V8" s="10" t="s">
        <v>178</v>
      </c>
      <c r="W8" s="14">
        <v>46097</v>
      </c>
      <c r="X8" s="15">
        <f t="shared" si="2"/>
        <v>46462</v>
      </c>
      <c r="Y8" s="10" t="s">
        <v>108</v>
      </c>
      <c r="Z8" s="10"/>
    </row>
    <row r="9" spans="1:26" ht="60" customHeight="1" x14ac:dyDescent="0.3">
      <c r="A9" s="10" t="s">
        <v>186</v>
      </c>
      <c r="B9" s="10" t="s">
        <v>187</v>
      </c>
      <c r="C9" s="10" t="s">
        <v>188</v>
      </c>
      <c r="D9" s="10" t="s">
        <v>189</v>
      </c>
      <c r="E9" s="10" t="s">
        <v>94</v>
      </c>
      <c r="F9" s="10" t="s">
        <v>131</v>
      </c>
      <c r="G9" s="10" t="s">
        <v>190</v>
      </c>
      <c r="H9" s="10" t="s">
        <v>116</v>
      </c>
      <c r="I9" s="10" t="s">
        <v>98</v>
      </c>
      <c r="J9" s="10" t="s">
        <v>99</v>
      </c>
      <c r="K9" s="11">
        <v>3</v>
      </c>
      <c r="L9" s="11">
        <v>2</v>
      </c>
      <c r="M9" s="12">
        <f t="shared" si="0"/>
        <v>6</v>
      </c>
      <c r="N9" s="13" t="str">
        <f t="shared" si="1"/>
        <v>Alta</v>
      </c>
      <c r="O9" s="10" t="s">
        <v>191</v>
      </c>
      <c r="P9" s="10" t="s">
        <v>192</v>
      </c>
      <c r="Q9" s="10" t="s">
        <v>193</v>
      </c>
      <c r="R9" s="10" t="s">
        <v>194</v>
      </c>
      <c r="S9" s="10" t="s">
        <v>123</v>
      </c>
      <c r="T9" s="10" t="s">
        <v>105</v>
      </c>
      <c r="U9" s="10" t="s">
        <v>195</v>
      </c>
      <c r="V9" s="10" t="s">
        <v>154</v>
      </c>
      <c r="W9" s="14">
        <v>46097</v>
      </c>
      <c r="X9" s="15">
        <f t="shared" si="2"/>
        <v>46462</v>
      </c>
      <c r="Y9" s="10" t="s">
        <v>108</v>
      </c>
      <c r="Z9" s="10" t="s">
        <v>196</v>
      </c>
    </row>
    <row r="10" spans="1:26" ht="60" customHeight="1" x14ac:dyDescent="0.3">
      <c r="A10" s="10" t="s">
        <v>197</v>
      </c>
      <c r="B10" s="10" t="s">
        <v>187</v>
      </c>
      <c r="C10" s="10" t="s">
        <v>198</v>
      </c>
      <c r="D10" s="10" t="s">
        <v>199</v>
      </c>
      <c r="E10" s="10" t="s">
        <v>130</v>
      </c>
      <c r="F10" s="10" t="s">
        <v>95</v>
      </c>
      <c r="G10" s="10" t="s">
        <v>200</v>
      </c>
      <c r="H10" s="10" t="s">
        <v>116</v>
      </c>
      <c r="I10" s="10" t="s">
        <v>98</v>
      </c>
      <c r="J10" s="10" t="s">
        <v>201</v>
      </c>
      <c r="K10" s="11">
        <v>2</v>
      </c>
      <c r="L10" s="11">
        <v>2</v>
      </c>
      <c r="M10" s="12">
        <f t="shared" si="0"/>
        <v>4</v>
      </c>
      <c r="N10" s="13" t="str">
        <f t="shared" si="1"/>
        <v>Média</v>
      </c>
      <c r="O10" s="10" t="s">
        <v>202</v>
      </c>
      <c r="P10" s="10" t="s">
        <v>203</v>
      </c>
      <c r="Q10" s="10" t="s">
        <v>193</v>
      </c>
      <c r="R10" s="10" t="s">
        <v>194</v>
      </c>
      <c r="S10" s="10" t="s">
        <v>165</v>
      </c>
      <c r="T10" s="10" t="s">
        <v>204</v>
      </c>
      <c r="U10" s="10" t="s">
        <v>167</v>
      </c>
      <c r="V10" s="10" t="s">
        <v>154</v>
      </c>
      <c r="W10" s="14">
        <v>46097</v>
      </c>
      <c r="X10" s="15">
        <f t="shared" si="2"/>
        <v>46462</v>
      </c>
      <c r="Y10" s="10" t="s">
        <v>108</v>
      </c>
      <c r="Z10" s="10" t="s">
        <v>196</v>
      </c>
    </row>
    <row r="11" spans="1:26" ht="60" customHeight="1" x14ac:dyDescent="0.3">
      <c r="A11" s="10" t="s">
        <v>205</v>
      </c>
      <c r="B11" s="10" t="s">
        <v>187</v>
      </c>
      <c r="C11" s="10" t="s">
        <v>206</v>
      </c>
      <c r="D11" s="10" t="s">
        <v>207</v>
      </c>
      <c r="E11" s="10" t="s">
        <v>208</v>
      </c>
      <c r="F11" s="10" t="s">
        <v>95</v>
      </c>
      <c r="G11" s="10" t="s">
        <v>209</v>
      </c>
      <c r="H11" s="10" t="s">
        <v>116</v>
      </c>
      <c r="I11" s="10" t="s">
        <v>98</v>
      </c>
      <c r="J11" s="10" t="s">
        <v>99</v>
      </c>
      <c r="K11" s="11">
        <v>2</v>
      </c>
      <c r="L11" s="11">
        <v>3</v>
      </c>
      <c r="M11" s="12">
        <f t="shared" si="0"/>
        <v>6</v>
      </c>
      <c r="N11" s="13" t="str">
        <f t="shared" si="1"/>
        <v>Alta</v>
      </c>
      <c r="O11" s="10" t="s">
        <v>210</v>
      </c>
      <c r="P11" s="10" t="s">
        <v>211</v>
      </c>
      <c r="Q11" s="10" t="s">
        <v>193</v>
      </c>
      <c r="R11" s="10" t="s">
        <v>212</v>
      </c>
      <c r="S11" s="10" t="s">
        <v>165</v>
      </c>
      <c r="T11" s="10" t="s">
        <v>213</v>
      </c>
      <c r="U11" s="10" t="s">
        <v>167</v>
      </c>
      <c r="V11" s="10" t="s">
        <v>154</v>
      </c>
      <c r="W11" s="14">
        <v>46097</v>
      </c>
      <c r="X11" s="15">
        <f t="shared" si="2"/>
        <v>46462</v>
      </c>
      <c r="Y11" s="10" t="s">
        <v>108</v>
      </c>
      <c r="Z11" s="10"/>
    </row>
    <row r="12" spans="1:26" ht="60" customHeight="1" x14ac:dyDescent="0.3">
      <c r="A12" s="10" t="s">
        <v>214</v>
      </c>
      <c r="B12" s="10" t="s">
        <v>187</v>
      </c>
      <c r="C12" s="10" t="s">
        <v>215</v>
      </c>
      <c r="D12" s="10" t="s">
        <v>216</v>
      </c>
      <c r="E12" s="10" t="s">
        <v>217</v>
      </c>
      <c r="F12" s="10" t="s">
        <v>144</v>
      </c>
      <c r="G12" s="10" t="s">
        <v>218</v>
      </c>
      <c r="H12" s="10" t="s">
        <v>116</v>
      </c>
      <c r="I12" s="10" t="s">
        <v>98</v>
      </c>
      <c r="J12" s="10" t="s">
        <v>118</v>
      </c>
      <c r="K12" s="11">
        <v>2</v>
      </c>
      <c r="L12" s="11">
        <v>3</v>
      </c>
      <c r="M12" s="12">
        <f t="shared" si="0"/>
        <v>6</v>
      </c>
      <c r="N12" s="13" t="str">
        <f t="shared" si="1"/>
        <v>Alta</v>
      </c>
      <c r="O12" s="10" t="s">
        <v>219</v>
      </c>
      <c r="P12" s="10" t="s">
        <v>220</v>
      </c>
      <c r="Q12" s="10" t="s">
        <v>163</v>
      </c>
      <c r="R12" s="10" t="s">
        <v>221</v>
      </c>
      <c r="S12" s="10" t="s">
        <v>165</v>
      </c>
      <c r="T12" s="10" t="s">
        <v>222</v>
      </c>
      <c r="U12" s="10" t="s">
        <v>153</v>
      </c>
      <c r="V12" s="10" t="s">
        <v>154</v>
      </c>
      <c r="W12" s="14">
        <v>46097</v>
      </c>
      <c r="X12" s="15">
        <f t="shared" si="2"/>
        <v>46462</v>
      </c>
      <c r="Y12" s="10" t="s">
        <v>108</v>
      </c>
      <c r="Z12" s="10"/>
    </row>
    <row r="13" spans="1:26" ht="60" customHeight="1" x14ac:dyDescent="0.3">
      <c r="A13" s="10" t="s">
        <v>223</v>
      </c>
      <c r="B13" s="10" t="s">
        <v>224</v>
      </c>
      <c r="C13" s="10" t="s">
        <v>225</v>
      </c>
      <c r="D13" s="10" t="s">
        <v>226</v>
      </c>
      <c r="E13" s="10" t="s">
        <v>130</v>
      </c>
      <c r="F13" s="10" t="s">
        <v>144</v>
      </c>
      <c r="G13" s="10" t="s">
        <v>227</v>
      </c>
      <c r="H13" s="10" t="s">
        <v>97</v>
      </c>
      <c r="I13" s="10" t="s">
        <v>98</v>
      </c>
      <c r="J13" s="10" t="s">
        <v>118</v>
      </c>
      <c r="K13" s="11">
        <v>3</v>
      </c>
      <c r="L13" s="11">
        <v>3</v>
      </c>
      <c r="M13" s="12">
        <f t="shared" si="0"/>
        <v>9</v>
      </c>
      <c r="N13" s="13" t="str">
        <f t="shared" si="1"/>
        <v>Alta</v>
      </c>
      <c r="O13" s="10" t="s">
        <v>228</v>
      </c>
      <c r="P13" s="10" t="s">
        <v>229</v>
      </c>
      <c r="Q13" s="10" t="s">
        <v>149</v>
      </c>
      <c r="R13" s="10" t="s">
        <v>230</v>
      </c>
      <c r="S13" s="10" t="s">
        <v>151</v>
      </c>
      <c r="T13" s="10" t="s">
        <v>231</v>
      </c>
      <c r="U13" s="10" t="s">
        <v>106</v>
      </c>
      <c r="V13" s="10" t="s">
        <v>154</v>
      </c>
      <c r="W13" s="14">
        <v>46097</v>
      </c>
      <c r="X13" s="15">
        <f t="shared" si="2"/>
        <v>46462</v>
      </c>
      <c r="Y13" s="10" t="s">
        <v>108</v>
      </c>
      <c r="Z13" s="10"/>
    </row>
    <row r="14" spans="1:26" ht="60" customHeight="1" x14ac:dyDescent="0.3">
      <c r="A14" s="10" t="s">
        <v>232</v>
      </c>
      <c r="B14" s="10" t="s">
        <v>224</v>
      </c>
      <c r="C14" s="10" t="s">
        <v>233</v>
      </c>
      <c r="D14" s="10" t="s">
        <v>234</v>
      </c>
      <c r="E14" s="10" t="s">
        <v>217</v>
      </c>
      <c r="F14" s="10" t="s">
        <v>144</v>
      </c>
      <c r="G14" s="10" t="s">
        <v>235</v>
      </c>
      <c r="H14" s="10" t="s">
        <v>116</v>
      </c>
      <c r="I14" s="10" t="s">
        <v>98</v>
      </c>
      <c r="J14" s="10" t="s">
        <v>99</v>
      </c>
      <c r="K14" s="11">
        <v>3</v>
      </c>
      <c r="L14" s="11">
        <v>2</v>
      </c>
      <c r="M14" s="12">
        <f t="shared" si="0"/>
        <v>6</v>
      </c>
      <c r="N14" s="13" t="str">
        <f t="shared" si="1"/>
        <v>Alta</v>
      </c>
      <c r="O14" s="10" t="s">
        <v>236</v>
      </c>
      <c r="P14" s="10" t="s">
        <v>237</v>
      </c>
      <c r="Q14" s="10" t="s">
        <v>163</v>
      </c>
      <c r="R14" s="10" t="s">
        <v>221</v>
      </c>
      <c r="S14" s="10" t="s">
        <v>104</v>
      </c>
      <c r="T14" s="10" t="s">
        <v>222</v>
      </c>
      <c r="U14" s="10" t="s">
        <v>106</v>
      </c>
      <c r="V14" s="10" t="s">
        <v>154</v>
      </c>
      <c r="W14" s="14">
        <v>46097</v>
      </c>
      <c r="X14" s="15">
        <f t="shared" si="2"/>
        <v>46462</v>
      </c>
      <c r="Y14" s="10" t="s">
        <v>108</v>
      </c>
      <c r="Z14" s="10"/>
    </row>
    <row r="15" spans="1:26" ht="60" customHeight="1" x14ac:dyDescent="0.3">
      <c r="A15" s="10" t="s">
        <v>238</v>
      </c>
      <c r="B15" s="10" t="s">
        <v>224</v>
      </c>
      <c r="C15" s="10" t="s">
        <v>239</v>
      </c>
      <c r="D15" s="10" t="s">
        <v>240</v>
      </c>
      <c r="E15" s="10" t="s">
        <v>159</v>
      </c>
      <c r="F15" s="10" t="s">
        <v>144</v>
      </c>
      <c r="G15" s="10" t="s">
        <v>241</v>
      </c>
      <c r="H15" s="10" t="s">
        <v>116</v>
      </c>
      <c r="I15" s="10" t="s">
        <v>117</v>
      </c>
      <c r="J15" s="10" t="s">
        <v>118</v>
      </c>
      <c r="K15" s="11">
        <v>2</v>
      </c>
      <c r="L15" s="11">
        <v>2</v>
      </c>
      <c r="M15" s="12">
        <f t="shared" si="0"/>
        <v>4</v>
      </c>
      <c r="N15" s="13" t="str">
        <f t="shared" si="1"/>
        <v>Média</v>
      </c>
      <c r="O15" s="10" t="s">
        <v>242</v>
      </c>
      <c r="P15" s="10" t="s">
        <v>243</v>
      </c>
      <c r="Q15" s="10" t="s">
        <v>163</v>
      </c>
      <c r="R15" s="10" t="s">
        <v>164</v>
      </c>
      <c r="S15" s="10" t="s">
        <v>104</v>
      </c>
      <c r="T15" s="10" t="s">
        <v>244</v>
      </c>
      <c r="U15" s="10" t="s">
        <v>106</v>
      </c>
      <c r="V15" s="10" t="s">
        <v>154</v>
      </c>
      <c r="W15" s="14">
        <v>46097</v>
      </c>
      <c r="X15" s="15">
        <f t="shared" si="2"/>
        <v>46462</v>
      </c>
      <c r="Y15" s="10" t="s">
        <v>108</v>
      </c>
      <c r="Z15" s="10" t="s">
        <v>245</v>
      </c>
    </row>
    <row r="16" spans="1:26" ht="60" customHeight="1" x14ac:dyDescent="0.3">
      <c r="A16" s="10" t="s">
        <v>246</v>
      </c>
      <c r="B16" s="10" t="s">
        <v>224</v>
      </c>
      <c r="C16" s="10" t="s">
        <v>247</v>
      </c>
      <c r="D16" s="10" t="s">
        <v>248</v>
      </c>
      <c r="E16" s="10" t="s">
        <v>114</v>
      </c>
      <c r="F16" s="10" t="s">
        <v>114</v>
      </c>
      <c r="G16" s="10" t="s">
        <v>249</v>
      </c>
      <c r="H16" s="10" t="s">
        <v>116</v>
      </c>
      <c r="I16" s="10" t="s">
        <v>98</v>
      </c>
      <c r="J16" s="10" t="s">
        <v>118</v>
      </c>
      <c r="K16" s="11">
        <v>2</v>
      </c>
      <c r="L16" s="11">
        <v>2</v>
      </c>
      <c r="M16" s="12">
        <f t="shared" si="0"/>
        <v>4</v>
      </c>
      <c r="N16" s="13" t="str">
        <f t="shared" si="1"/>
        <v>Média</v>
      </c>
      <c r="O16" s="10" t="s">
        <v>250</v>
      </c>
      <c r="P16" s="10" t="s">
        <v>251</v>
      </c>
      <c r="Q16" s="10" t="s">
        <v>252</v>
      </c>
      <c r="R16" s="10" t="s">
        <v>136</v>
      </c>
      <c r="S16" s="10" t="s">
        <v>151</v>
      </c>
      <c r="T16" s="10" t="s">
        <v>152</v>
      </c>
      <c r="U16" s="10" t="s">
        <v>253</v>
      </c>
      <c r="V16" s="10" t="s">
        <v>154</v>
      </c>
      <c r="W16" s="14">
        <v>46097</v>
      </c>
      <c r="X16" s="15">
        <f t="shared" si="2"/>
        <v>46462</v>
      </c>
      <c r="Y16" s="10" t="s">
        <v>108</v>
      </c>
      <c r="Z16" s="10"/>
    </row>
    <row r="17" spans="1:26" ht="60" customHeight="1" x14ac:dyDescent="0.3">
      <c r="A17" s="10" t="s">
        <v>254</v>
      </c>
      <c r="B17" s="10" t="s">
        <v>141</v>
      </c>
      <c r="C17" s="10" t="s">
        <v>255</v>
      </c>
      <c r="D17" s="10" t="s">
        <v>256</v>
      </c>
      <c r="E17" s="10" t="s">
        <v>114</v>
      </c>
      <c r="F17" s="10" t="s">
        <v>114</v>
      </c>
      <c r="G17" s="10" t="s">
        <v>257</v>
      </c>
      <c r="H17" s="10" t="s">
        <v>116</v>
      </c>
      <c r="I17" s="10" t="s">
        <v>117</v>
      </c>
      <c r="J17" s="10" t="s">
        <v>118</v>
      </c>
      <c r="K17" s="11">
        <v>2</v>
      </c>
      <c r="L17" s="11">
        <v>2</v>
      </c>
      <c r="M17" s="12">
        <f t="shared" si="0"/>
        <v>4</v>
      </c>
      <c r="N17" s="13" t="str">
        <f t="shared" si="1"/>
        <v>Média</v>
      </c>
      <c r="O17" s="10" t="s">
        <v>258</v>
      </c>
      <c r="P17" s="10" t="s">
        <v>259</v>
      </c>
      <c r="Q17" s="10"/>
      <c r="R17" s="10"/>
      <c r="S17" s="10" t="s">
        <v>260</v>
      </c>
      <c r="T17" s="10" t="s">
        <v>177</v>
      </c>
      <c r="U17" s="10" t="s">
        <v>261</v>
      </c>
      <c r="V17" s="10" t="s">
        <v>154</v>
      </c>
      <c r="W17" s="14">
        <v>46097</v>
      </c>
      <c r="X17" s="15">
        <f t="shared" si="2"/>
        <v>46462</v>
      </c>
      <c r="Y17" s="10" t="s">
        <v>262</v>
      </c>
      <c r="Z17" s="10" t="s">
        <v>263</v>
      </c>
    </row>
    <row r="18" spans="1:26" ht="60" customHeight="1" x14ac:dyDescent="0.3">
      <c r="A18" s="10" t="s">
        <v>264</v>
      </c>
      <c r="B18" s="10" t="s">
        <v>224</v>
      </c>
      <c r="C18" s="10" t="s">
        <v>265</v>
      </c>
      <c r="D18" s="10" t="s">
        <v>266</v>
      </c>
      <c r="E18" s="10" t="s">
        <v>159</v>
      </c>
      <c r="F18" s="10" t="s">
        <v>144</v>
      </c>
      <c r="G18" s="10" t="s">
        <v>267</v>
      </c>
      <c r="H18" s="10" t="s">
        <v>116</v>
      </c>
      <c r="I18" s="10" t="s">
        <v>98</v>
      </c>
      <c r="J18" s="10" t="s">
        <v>118</v>
      </c>
      <c r="K18" s="11">
        <v>3</v>
      </c>
      <c r="L18" s="11">
        <v>3</v>
      </c>
      <c r="M18" s="12">
        <f t="shared" si="0"/>
        <v>9</v>
      </c>
      <c r="N18" s="13" t="str">
        <f t="shared" si="1"/>
        <v>Alta</v>
      </c>
      <c r="O18" s="10" t="s">
        <v>268</v>
      </c>
      <c r="P18" s="10" t="s">
        <v>269</v>
      </c>
      <c r="Q18" s="10" t="s">
        <v>270</v>
      </c>
      <c r="R18" s="10" t="s">
        <v>164</v>
      </c>
      <c r="S18" s="10" t="s">
        <v>271</v>
      </c>
      <c r="T18" s="10" t="s">
        <v>231</v>
      </c>
      <c r="U18" s="10" t="s">
        <v>106</v>
      </c>
      <c r="V18" s="10" t="s">
        <v>154</v>
      </c>
      <c r="W18" s="14">
        <v>46097</v>
      </c>
      <c r="X18" s="15">
        <f t="shared" si="2"/>
        <v>46462</v>
      </c>
      <c r="Y18" s="10" t="s">
        <v>262</v>
      </c>
      <c r="Z18" s="10" t="s">
        <v>272</v>
      </c>
    </row>
    <row r="19" spans="1:26" ht="60" customHeight="1" x14ac:dyDescent="0.3">
      <c r="A19" s="10" t="s">
        <v>273</v>
      </c>
      <c r="B19" s="10" t="s">
        <v>224</v>
      </c>
      <c r="C19" s="10" t="s">
        <v>274</v>
      </c>
      <c r="D19" s="10" t="s">
        <v>275</v>
      </c>
      <c r="E19" s="10" t="s">
        <v>114</v>
      </c>
      <c r="F19" s="10" t="s">
        <v>114</v>
      </c>
      <c r="G19" s="10" t="s">
        <v>276</v>
      </c>
      <c r="H19" s="10" t="s">
        <v>116</v>
      </c>
      <c r="I19" s="10" t="s">
        <v>98</v>
      </c>
      <c r="J19" s="10" t="s">
        <v>99</v>
      </c>
      <c r="K19" s="11">
        <v>3</v>
      </c>
      <c r="L19" s="11">
        <v>2</v>
      </c>
      <c r="M19" s="12">
        <f t="shared" si="0"/>
        <v>6</v>
      </c>
      <c r="N19" s="13" t="str">
        <f t="shared" si="1"/>
        <v>Alta</v>
      </c>
      <c r="O19" s="10" t="s">
        <v>277</v>
      </c>
      <c r="P19" s="10" t="s">
        <v>278</v>
      </c>
      <c r="Q19" s="10" t="s">
        <v>279</v>
      </c>
      <c r="R19" s="10"/>
      <c r="S19" s="10" t="s">
        <v>280</v>
      </c>
      <c r="T19" s="10" t="s">
        <v>177</v>
      </c>
      <c r="U19" s="10" t="s">
        <v>261</v>
      </c>
      <c r="V19" s="10" t="s">
        <v>154</v>
      </c>
      <c r="W19" s="14">
        <v>46097</v>
      </c>
      <c r="X19" s="15">
        <f t="shared" si="2"/>
        <v>46462</v>
      </c>
      <c r="Y19" s="10" t="s">
        <v>262</v>
      </c>
      <c r="Z19" s="10" t="s">
        <v>281</v>
      </c>
    </row>
    <row r="20" spans="1:26" ht="60" customHeight="1" x14ac:dyDescent="0.3">
      <c r="A20" s="10" t="s">
        <v>282</v>
      </c>
      <c r="B20" s="10" t="s">
        <v>111</v>
      </c>
      <c r="C20" s="10" t="s">
        <v>283</v>
      </c>
      <c r="D20" s="10" t="s">
        <v>284</v>
      </c>
      <c r="E20" s="10" t="s">
        <v>114</v>
      </c>
      <c r="F20" s="10" t="s">
        <v>114</v>
      </c>
      <c r="G20" s="10" t="s">
        <v>285</v>
      </c>
      <c r="H20" s="10" t="s">
        <v>116</v>
      </c>
      <c r="I20" s="10" t="s">
        <v>117</v>
      </c>
      <c r="J20" s="10" t="s">
        <v>99</v>
      </c>
      <c r="K20" s="11">
        <v>2</v>
      </c>
      <c r="L20" s="11">
        <v>2</v>
      </c>
      <c r="M20" s="12">
        <f t="shared" si="0"/>
        <v>4</v>
      </c>
      <c r="N20" s="13" t="str">
        <f t="shared" si="1"/>
        <v>Média</v>
      </c>
      <c r="O20" s="10" t="s">
        <v>286</v>
      </c>
      <c r="P20" s="10" t="s">
        <v>287</v>
      </c>
      <c r="Q20" s="10"/>
      <c r="R20" s="10"/>
      <c r="S20" s="10" t="s">
        <v>280</v>
      </c>
      <c r="T20" s="10" t="s">
        <v>152</v>
      </c>
      <c r="U20" s="10" t="s">
        <v>106</v>
      </c>
      <c r="V20" s="10" t="s">
        <v>125</v>
      </c>
      <c r="W20" s="14">
        <v>46097</v>
      </c>
      <c r="X20" s="15">
        <f t="shared" si="2"/>
        <v>46462</v>
      </c>
      <c r="Y20" s="10" t="s">
        <v>262</v>
      </c>
      <c r="Z20" s="10" t="s">
        <v>109</v>
      </c>
    </row>
    <row r="21" spans="1:26" ht="60" customHeight="1" x14ac:dyDescent="0.3">
      <c r="A21" s="10" t="s">
        <v>288</v>
      </c>
      <c r="B21" s="10" t="s">
        <v>111</v>
      </c>
      <c r="C21" s="10" t="s">
        <v>289</v>
      </c>
      <c r="D21" s="10" t="s">
        <v>290</v>
      </c>
      <c r="E21" s="10" t="s">
        <v>114</v>
      </c>
      <c r="F21" s="10" t="s">
        <v>114</v>
      </c>
      <c r="G21" s="10" t="s">
        <v>291</v>
      </c>
      <c r="H21" s="10" t="s">
        <v>97</v>
      </c>
      <c r="I21" s="10" t="s">
        <v>117</v>
      </c>
      <c r="J21" s="10" t="s">
        <v>118</v>
      </c>
      <c r="K21" s="11">
        <v>2</v>
      </c>
      <c r="L21" s="11">
        <v>2</v>
      </c>
      <c r="M21" s="12">
        <f t="shared" si="0"/>
        <v>4</v>
      </c>
      <c r="N21" s="13" t="str">
        <f t="shared" si="1"/>
        <v>Média</v>
      </c>
      <c r="O21" s="10" t="s">
        <v>292</v>
      </c>
      <c r="P21" s="10" t="s">
        <v>293</v>
      </c>
      <c r="Q21" s="10" t="s">
        <v>294</v>
      </c>
      <c r="R21" s="10"/>
      <c r="S21" s="10" t="s">
        <v>295</v>
      </c>
      <c r="T21" s="10" t="s">
        <v>138</v>
      </c>
      <c r="U21" s="10" t="s">
        <v>261</v>
      </c>
      <c r="V21" s="10" t="s">
        <v>125</v>
      </c>
      <c r="W21" s="14">
        <v>46097</v>
      </c>
      <c r="X21" s="15">
        <f t="shared" si="2"/>
        <v>46462</v>
      </c>
      <c r="Y21" s="10" t="s">
        <v>262</v>
      </c>
      <c r="Z21" s="10" t="s">
        <v>296</v>
      </c>
    </row>
  </sheetData>
  <conditionalFormatting sqref="H2:H221">
    <cfRule type="expression" dxfId="16" priority="4">
      <formula>ISNUMBER(SEARCH("Risco e",H2))</formula>
    </cfRule>
    <cfRule type="expression" dxfId="15" priority="5">
      <formula>ISNUMBER(SEARCH("Oportunidade",H2))</formula>
    </cfRule>
    <cfRule type="expression" dxfId="14" priority="6">
      <formula>ISNUMBER(SEARCH("Risco",H2))</formula>
    </cfRule>
  </conditionalFormatting>
  <conditionalFormatting sqref="N2:N221">
    <cfRule type="expression" dxfId="13" priority="1">
      <formula>ISNUMBER(SEARCH("Alta",N2))</formula>
    </cfRule>
    <cfRule type="expression" dxfId="12" priority="2">
      <formula>ISNUMBER(SEARCH("Média",N2))</formula>
    </cfRule>
    <cfRule type="expression" dxfId="11" priority="3">
      <formula>ISNUMBER(SEARCH("Baixa",N2))</formula>
    </cfRule>
  </conditionalFormatting>
  <dataValidations count="10">
    <dataValidation type="list" allowBlank="1" showErrorMessage="1" errorTitle="Valor inválido" error="Valor fora da lista controlada (ver folha Listas)." sqref="B2:B221" xr:uid="{00000000-0002-0000-0100-000000000000}">
      <formula1>lst_Dimensao</formula1>
    </dataValidation>
    <dataValidation type="list" allowBlank="1" showErrorMessage="1" errorTitle="Valor inválido" error="Valor fora da lista controlada (ver folha Listas)." sqref="E2:E221" xr:uid="{00000000-0002-0000-0100-000001000000}">
      <formula1>lst_CondicaoAmbiental</formula1>
    </dataValidation>
    <dataValidation type="list" allowBlank="1" showErrorMessage="1" errorTitle="Valor inválido" error="Valor fora da lista controlada (ver folha Listas)." sqref="F2:F221" xr:uid="{00000000-0002-0000-0100-000002000000}">
      <formula1>lst_Direcao</formula1>
    </dataValidation>
    <dataValidation type="list" allowBlank="1" showErrorMessage="1" errorTitle="Valor inválido" error="Valor fora da lista controlada (ver folha Listas)." sqref="H2:H221" xr:uid="{00000000-0002-0000-0100-000003000000}">
      <formula1>lst_Classificacao</formula1>
    </dataValidation>
    <dataValidation type="list" allowBlank="1" showErrorMessage="1" errorTitle="Valor inválido" error="Valor fora da lista controlada (ver folha Listas)." sqref="I2:I221" xr:uid="{00000000-0002-0000-0100-000004000000}">
      <formula1>lst_Tendencia</formula1>
    </dataValidation>
    <dataValidation type="list" allowBlank="1" showErrorMessage="1" errorTitle="Valor inválido" error="Valor fora da lista controlada (ver folha Listas)." sqref="J2:J221" xr:uid="{00000000-0002-0000-0100-000005000000}">
      <formula1>lst_Horizonte</formula1>
    </dataValidation>
    <dataValidation type="list" allowBlank="1" showErrorMessage="1" errorTitle="Valor inválido" error="Valor fora da lista controlada (ver folha Listas)." sqref="K2:L221" xr:uid="{00000000-0002-0000-0100-000006000000}">
      <formula1>lst_Escala13</formula1>
    </dataValidation>
    <dataValidation type="list" allowBlank="1" showErrorMessage="1" errorTitle="Valor inválido" error="Valor fora da lista controlada (ver folha Listas)." sqref="T2:T221" xr:uid="{00000000-0002-0000-0100-000008000000}">
      <formula1>lst_Tema</formula1>
    </dataValidation>
    <dataValidation type="list" allowBlank="1" showErrorMessage="1" errorTitle="Valor inválido" error="Valor fora da lista controlada (ver folha Listas)." sqref="U2:U221" xr:uid="{00000000-0002-0000-0100-000009000000}">
      <formula1>lst_ESG</formula1>
    </dataValidation>
    <dataValidation type="list" allowBlank="1" showErrorMessage="1" errorTitle="Valor inválido" error="Valor fora da lista controlada (ver folha Listas)." sqref="V2:V221" xr:uid="{00000000-0002-0000-0100-00000A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4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3" customWidth="1"/>
    <col min="3" max="3" width="10" customWidth="1"/>
    <col min="4" max="4" width="55" customWidth="1"/>
    <col min="5" max="5" width="36" customWidth="1"/>
    <col min="6" max="6" width="40" customWidth="1"/>
    <col min="7" max="7" width="10" customWidth="1"/>
    <col min="8" max="8" width="22" customWidth="1"/>
    <col min="9" max="9" width="10" customWidth="1"/>
    <col min="10" max="10" width="13" customWidth="1"/>
    <col min="11" max="11" width="8" customWidth="1"/>
    <col min="12" max="12" width="12" customWidth="1"/>
    <col min="13" max="13" width="42" customWidth="1"/>
    <col min="14" max="14" width="26" customWidth="1"/>
    <col min="15" max="15" width="12" customWidth="1"/>
    <col min="16" max="16" width="14" customWidth="1"/>
    <col min="17" max="17" width="9" customWidth="1"/>
    <col min="18" max="18" width="16" customWidth="1"/>
  </cols>
  <sheetData>
    <row r="1" spans="1:18" ht="26.4" x14ac:dyDescent="0.3">
      <c r="A1" s="8" t="s">
        <v>80</v>
      </c>
      <c r="B1" s="8" t="s">
        <v>297</v>
      </c>
      <c r="C1" s="9" t="s">
        <v>298</v>
      </c>
      <c r="D1" s="8" t="s">
        <v>67</v>
      </c>
      <c r="E1" s="8" t="s">
        <v>299</v>
      </c>
      <c r="F1" s="8" t="s">
        <v>300</v>
      </c>
      <c r="G1" s="8" t="s">
        <v>301</v>
      </c>
      <c r="H1" s="8" t="s">
        <v>83</v>
      </c>
      <c r="I1" s="8" t="s">
        <v>64</v>
      </c>
      <c r="J1" s="8" t="s">
        <v>302</v>
      </c>
      <c r="K1" s="8" t="s">
        <v>81</v>
      </c>
      <c r="L1" s="8" t="s">
        <v>303</v>
      </c>
      <c r="M1" s="8" t="s">
        <v>304</v>
      </c>
      <c r="N1" s="8" t="s">
        <v>305</v>
      </c>
      <c r="O1" s="8" t="s">
        <v>86</v>
      </c>
      <c r="P1" s="9" t="s">
        <v>306</v>
      </c>
      <c r="Q1" s="8" t="s">
        <v>88</v>
      </c>
      <c r="R1" s="8" t="s">
        <v>89</v>
      </c>
    </row>
    <row r="2" spans="1:18" ht="58.05" customHeight="1" x14ac:dyDescent="0.3">
      <c r="A2" s="10" t="s">
        <v>175</v>
      </c>
      <c r="B2" s="10" t="s">
        <v>307</v>
      </c>
      <c r="C2" s="13" t="str">
        <f t="shared" ref="C2:C24" si="0">IF(OR(B2="Força",B2="Fraqueza"),"Interno","Externo")</f>
        <v>Interno</v>
      </c>
      <c r="D2" s="10" t="s">
        <v>308</v>
      </c>
      <c r="E2" s="10" t="s">
        <v>309</v>
      </c>
      <c r="F2" s="10" t="s">
        <v>310</v>
      </c>
      <c r="G2" s="10" t="s">
        <v>311</v>
      </c>
      <c r="H2" s="10" t="s">
        <v>177</v>
      </c>
      <c r="I2" s="10" t="s">
        <v>168</v>
      </c>
      <c r="J2" s="10" t="s">
        <v>146</v>
      </c>
      <c r="K2" s="10" t="s">
        <v>176</v>
      </c>
      <c r="L2" s="10" t="s">
        <v>312</v>
      </c>
      <c r="M2" s="10" t="s">
        <v>313</v>
      </c>
      <c r="N2" s="10" t="s">
        <v>314</v>
      </c>
      <c r="O2" s="14">
        <v>46097</v>
      </c>
      <c r="P2" s="13" t="str">
        <f>B2&amp;"|"&amp;COUNTIF(INDEX($B$2:$B$24,1):B2,B2)</f>
        <v>Força|1</v>
      </c>
      <c r="Q2" s="10" t="s">
        <v>108</v>
      </c>
      <c r="R2" s="10" t="s">
        <v>315</v>
      </c>
    </row>
    <row r="3" spans="1:18" ht="58.05" customHeight="1" x14ac:dyDescent="0.3">
      <c r="A3" s="10" t="s">
        <v>102</v>
      </c>
      <c r="B3" s="10" t="s">
        <v>307</v>
      </c>
      <c r="C3" s="13" t="str">
        <f t="shared" si="0"/>
        <v>Interno</v>
      </c>
      <c r="D3" s="10" t="s">
        <v>316</v>
      </c>
      <c r="E3" s="10" t="s">
        <v>317</v>
      </c>
      <c r="F3" s="10" t="s">
        <v>318</v>
      </c>
      <c r="G3" s="10" t="s">
        <v>311</v>
      </c>
      <c r="H3" s="10" t="s">
        <v>105</v>
      </c>
      <c r="I3" s="10" t="s">
        <v>90</v>
      </c>
      <c r="J3" s="10" t="s">
        <v>146</v>
      </c>
      <c r="K3" s="10" t="s">
        <v>103</v>
      </c>
      <c r="L3" s="10" t="s">
        <v>319</v>
      </c>
      <c r="M3" s="10" t="s">
        <v>320</v>
      </c>
      <c r="N3" s="10" t="s">
        <v>321</v>
      </c>
      <c r="O3" s="14">
        <v>46097</v>
      </c>
      <c r="P3" s="13" t="str">
        <f>B3&amp;"|"&amp;COUNTIF(INDEX($B$2:$B$24,1):B3,B3)</f>
        <v>Força|2</v>
      </c>
      <c r="Q3" s="10" t="s">
        <v>108</v>
      </c>
      <c r="R3" s="10"/>
    </row>
    <row r="4" spans="1:18" ht="58.05" customHeight="1" x14ac:dyDescent="0.3">
      <c r="A4" s="10" t="s">
        <v>322</v>
      </c>
      <c r="B4" s="10" t="s">
        <v>307</v>
      </c>
      <c r="C4" s="13" t="str">
        <f t="shared" si="0"/>
        <v>Interno</v>
      </c>
      <c r="D4" s="10" t="s">
        <v>323</v>
      </c>
      <c r="E4" s="10" t="s">
        <v>324</v>
      </c>
      <c r="F4" s="10" t="s">
        <v>325</v>
      </c>
      <c r="G4" s="10" t="s">
        <v>326</v>
      </c>
      <c r="H4" s="10" t="s">
        <v>138</v>
      </c>
      <c r="I4" s="10"/>
      <c r="J4" s="10" t="s">
        <v>146</v>
      </c>
      <c r="K4" s="10" t="s">
        <v>327</v>
      </c>
      <c r="L4" s="10" t="s">
        <v>319</v>
      </c>
      <c r="M4" s="10" t="s">
        <v>328</v>
      </c>
      <c r="N4" s="10" t="s">
        <v>329</v>
      </c>
      <c r="O4" s="14">
        <v>46097</v>
      </c>
      <c r="P4" s="13" t="str">
        <f>B4&amp;"|"&amp;COUNTIF(INDEX($B$2:$B$24,1):B4,B4)</f>
        <v>Força|3</v>
      </c>
      <c r="Q4" s="10" t="s">
        <v>108</v>
      </c>
      <c r="R4" s="10"/>
    </row>
    <row r="5" spans="1:18" ht="58.05" customHeight="1" x14ac:dyDescent="0.3">
      <c r="A5" s="10" t="s">
        <v>330</v>
      </c>
      <c r="B5" s="10" t="s">
        <v>307</v>
      </c>
      <c r="C5" s="13" t="str">
        <f t="shared" si="0"/>
        <v>Interno</v>
      </c>
      <c r="D5" s="10" t="s">
        <v>331</v>
      </c>
      <c r="E5" s="10" t="s">
        <v>332</v>
      </c>
      <c r="F5" s="10" t="s">
        <v>333</v>
      </c>
      <c r="G5" s="10" t="s">
        <v>334</v>
      </c>
      <c r="H5" s="10" t="s">
        <v>138</v>
      </c>
      <c r="I5" s="10" t="s">
        <v>140</v>
      </c>
      <c r="J5" s="10" t="s">
        <v>146</v>
      </c>
      <c r="K5" s="10" t="s">
        <v>150</v>
      </c>
      <c r="L5" s="10" t="s">
        <v>319</v>
      </c>
      <c r="M5" s="10" t="s">
        <v>335</v>
      </c>
      <c r="N5" s="10" t="s">
        <v>336</v>
      </c>
      <c r="O5" s="14">
        <v>46097</v>
      </c>
      <c r="P5" s="13" t="str">
        <f>B5&amp;"|"&amp;COUNTIF(INDEX($B$2:$B$24,1):B5,B5)</f>
        <v>Força|4</v>
      </c>
      <c r="Q5" s="10" t="s">
        <v>108</v>
      </c>
      <c r="R5" s="10"/>
    </row>
    <row r="6" spans="1:18" ht="58.05" customHeight="1" x14ac:dyDescent="0.3">
      <c r="A6" s="10" t="s">
        <v>337</v>
      </c>
      <c r="B6" s="10" t="s">
        <v>307</v>
      </c>
      <c r="C6" s="13" t="str">
        <f t="shared" si="0"/>
        <v>Interno</v>
      </c>
      <c r="D6" s="10" t="s">
        <v>338</v>
      </c>
      <c r="E6" s="10" t="s">
        <v>339</v>
      </c>
      <c r="F6" s="10" t="s">
        <v>340</v>
      </c>
      <c r="G6" s="10" t="s">
        <v>311</v>
      </c>
      <c r="H6" s="10" t="s">
        <v>177</v>
      </c>
      <c r="I6" s="10"/>
      <c r="J6" s="10" t="s">
        <v>146</v>
      </c>
      <c r="K6" s="10"/>
      <c r="L6" s="10" t="s">
        <v>319</v>
      </c>
      <c r="M6" s="10" t="s">
        <v>341</v>
      </c>
      <c r="N6" s="10" t="s">
        <v>342</v>
      </c>
      <c r="O6" s="14">
        <v>46097</v>
      </c>
      <c r="P6" s="13" t="str">
        <f>B6&amp;"|"&amp;COUNTIF(INDEX($B$2:$B$24,1):B6,B6)</f>
        <v>Força|5</v>
      </c>
      <c r="Q6" s="10" t="s">
        <v>262</v>
      </c>
      <c r="R6" s="10" t="s">
        <v>343</v>
      </c>
    </row>
    <row r="7" spans="1:18" ht="58.05" customHeight="1" x14ac:dyDescent="0.3">
      <c r="A7" s="10" t="s">
        <v>344</v>
      </c>
      <c r="B7" s="10" t="s">
        <v>307</v>
      </c>
      <c r="C7" s="13" t="str">
        <f t="shared" si="0"/>
        <v>Interno</v>
      </c>
      <c r="D7" s="10" t="s">
        <v>345</v>
      </c>
      <c r="E7" s="10" t="s">
        <v>346</v>
      </c>
      <c r="F7" s="10" t="s">
        <v>347</v>
      </c>
      <c r="G7" s="10" t="s">
        <v>348</v>
      </c>
      <c r="H7" s="10" t="s">
        <v>138</v>
      </c>
      <c r="I7" s="10"/>
      <c r="J7" s="10" t="s">
        <v>146</v>
      </c>
      <c r="K7" s="10"/>
      <c r="L7" s="10" t="s">
        <v>319</v>
      </c>
      <c r="M7" s="10" t="s">
        <v>349</v>
      </c>
      <c r="N7" s="10" t="s">
        <v>350</v>
      </c>
      <c r="O7" s="14">
        <v>46097</v>
      </c>
      <c r="P7" s="13" t="str">
        <f>B7&amp;"|"&amp;COUNTIF(INDEX($B$2:$B$24,1):B7,B7)</f>
        <v>Força|6</v>
      </c>
      <c r="Q7" s="10" t="s">
        <v>262</v>
      </c>
      <c r="R7" s="10" t="s">
        <v>351</v>
      </c>
    </row>
    <row r="8" spans="1:18" ht="58.05" customHeight="1" x14ac:dyDescent="0.3">
      <c r="A8" s="10" t="s">
        <v>352</v>
      </c>
      <c r="B8" s="10" t="s">
        <v>307</v>
      </c>
      <c r="C8" s="13" t="str">
        <f t="shared" si="0"/>
        <v>Interno</v>
      </c>
      <c r="D8" s="10" t="s">
        <v>353</v>
      </c>
      <c r="E8" s="10" t="s">
        <v>354</v>
      </c>
      <c r="F8" s="10" t="s">
        <v>355</v>
      </c>
      <c r="G8" s="10" t="s">
        <v>356</v>
      </c>
      <c r="H8" s="10" t="s">
        <v>357</v>
      </c>
      <c r="I8" s="10"/>
      <c r="J8" s="10" t="s">
        <v>146</v>
      </c>
      <c r="K8" s="10"/>
      <c r="L8" s="10" t="s">
        <v>319</v>
      </c>
      <c r="M8" s="10" t="s">
        <v>358</v>
      </c>
      <c r="N8" s="10" t="s">
        <v>359</v>
      </c>
      <c r="O8" s="14">
        <v>46097</v>
      </c>
      <c r="P8" s="13" t="str">
        <f>B8&amp;"|"&amp;COUNTIF(INDEX($B$2:$B$24,1):B8,B8)</f>
        <v>Força|7</v>
      </c>
      <c r="Q8" s="10" t="s">
        <v>262</v>
      </c>
      <c r="R8" s="10" t="s">
        <v>360</v>
      </c>
    </row>
    <row r="9" spans="1:18" ht="58.05" customHeight="1" x14ac:dyDescent="0.3">
      <c r="A9" s="10" t="s">
        <v>121</v>
      </c>
      <c r="B9" s="10" t="s">
        <v>361</v>
      </c>
      <c r="C9" s="13" t="str">
        <f t="shared" si="0"/>
        <v>Interno</v>
      </c>
      <c r="D9" s="10" t="s">
        <v>362</v>
      </c>
      <c r="E9" s="10" t="s">
        <v>363</v>
      </c>
      <c r="F9" s="10" t="s">
        <v>364</v>
      </c>
      <c r="G9" s="10" t="s">
        <v>365</v>
      </c>
      <c r="H9" s="10" t="s">
        <v>124</v>
      </c>
      <c r="I9" s="10" t="s">
        <v>110</v>
      </c>
      <c r="J9" s="10" t="s">
        <v>116</v>
      </c>
      <c r="K9" s="10" t="s">
        <v>122</v>
      </c>
      <c r="L9" s="10" t="s">
        <v>312</v>
      </c>
      <c r="M9" s="10" t="s">
        <v>366</v>
      </c>
      <c r="N9" s="10" t="s">
        <v>367</v>
      </c>
      <c r="O9" s="14">
        <v>46097</v>
      </c>
      <c r="P9" s="13" t="str">
        <f>B9&amp;"|"&amp;COUNTIF(INDEX($B$2:$B$24,1):B9,B9)</f>
        <v>Fraqueza|1</v>
      </c>
      <c r="Q9" s="10" t="s">
        <v>108</v>
      </c>
      <c r="R9" s="10" t="s">
        <v>368</v>
      </c>
    </row>
    <row r="10" spans="1:18" ht="58.05" customHeight="1" x14ac:dyDescent="0.3">
      <c r="A10" s="10" t="s">
        <v>252</v>
      </c>
      <c r="B10" s="10" t="s">
        <v>361</v>
      </c>
      <c r="C10" s="13" t="str">
        <f t="shared" si="0"/>
        <v>Interno</v>
      </c>
      <c r="D10" s="10" t="s">
        <v>369</v>
      </c>
      <c r="E10" s="10" t="s">
        <v>370</v>
      </c>
      <c r="F10" s="10" t="s">
        <v>371</v>
      </c>
      <c r="G10" s="10" t="s">
        <v>356</v>
      </c>
      <c r="H10" s="10" t="s">
        <v>357</v>
      </c>
      <c r="I10" s="10" t="s">
        <v>246</v>
      </c>
      <c r="J10" s="10" t="s">
        <v>116</v>
      </c>
      <c r="K10" s="10" t="s">
        <v>136</v>
      </c>
      <c r="L10" s="10" t="s">
        <v>319</v>
      </c>
      <c r="M10" s="10" t="s">
        <v>372</v>
      </c>
      <c r="N10" s="10" t="s">
        <v>373</v>
      </c>
      <c r="O10" s="14">
        <v>46097</v>
      </c>
      <c r="P10" s="13" t="str">
        <f>B10&amp;"|"&amp;COUNTIF(INDEX($B$2:$B$24,1):B10,B10)</f>
        <v>Fraqueza|2</v>
      </c>
      <c r="Q10" s="10" t="s">
        <v>108</v>
      </c>
      <c r="R10" s="10" t="s">
        <v>374</v>
      </c>
    </row>
    <row r="11" spans="1:18" ht="58.05" customHeight="1" x14ac:dyDescent="0.3">
      <c r="A11" s="10" t="s">
        <v>375</v>
      </c>
      <c r="B11" s="10" t="s">
        <v>361</v>
      </c>
      <c r="C11" s="13" t="str">
        <f t="shared" si="0"/>
        <v>Interno</v>
      </c>
      <c r="D11" s="10" t="s">
        <v>376</v>
      </c>
      <c r="E11" s="10" t="s">
        <v>377</v>
      </c>
      <c r="F11" s="10" t="s">
        <v>378</v>
      </c>
      <c r="G11" s="10" t="s">
        <v>311</v>
      </c>
      <c r="H11" s="10" t="s">
        <v>138</v>
      </c>
      <c r="I11" s="10"/>
      <c r="J11" s="10" t="s">
        <v>116</v>
      </c>
      <c r="K11" s="10" t="s">
        <v>327</v>
      </c>
      <c r="L11" s="10" t="s">
        <v>319</v>
      </c>
      <c r="M11" s="10" t="s">
        <v>379</v>
      </c>
      <c r="N11" s="10" t="s">
        <v>380</v>
      </c>
      <c r="O11" s="14">
        <v>46097</v>
      </c>
      <c r="P11" s="13" t="str">
        <f>B11&amp;"|"&amp;COUNTIF(INDEX($B$2:$B$24,1):B11,B11)</f>
        <v>Fraqueza|3</v>
      </c>
      <c r="Q11" s="10" t="s">
        <v>108</v>
      </c>
      <c r="R11" s="10" t="s">
        <v>381</v>
      </c>
    </row>
    <row r="12" spans="1:18" ht="58.05" customHeight="1" x14ac:dyDescent="0.3">
      <c r="A12" s="10" t="s">
        <v>163</v>
      </c>
      <c r="B12" s="10" t="s">
        <v>361</v>
      </c>
      <c r="C12" s="13" t="str">
        <f t="shared" si="0"/>
        <v>Interno</v>
      </c>
      <c r="D12" s="10" t="s">
        <v>382</v>
      </c>
      <c r="E12" s="10" t="s">
        <v>383</v>
      </c>
      <c r="F12" s="10" t="s">
        <v>384</v>
      </c>
      <c r="G12" s="10" t="s">
        <v>385</v>
      </c>
      <c r="H12" s="10" t="s">
        <v>386</v>
      </c>
      <c r="I12" s="10" t="s">
        <v>214</v>
      </c>
      <c r="J12" s="10" t="s">
        <v>116</v>
      </c>
      <c r="K12" s="10" t="s">
        <v>221</v>
      </c>
      <c r="L12" s="10" t="s">
        <v>319</v>
      </c>
      <c r="M12" s="10" t="s">
        <v>387</v>
      </c>
      <c r="N12" s="10" t="s">
        <v>388</v>
      </c>
      <c r="O12" s="14">
        <v>46097</v>
      </c>
      <c r="P12" s="13" t="str">
        <f>B12&amp;"|"&amp;COUNTIF(INDEX($B$2:$B$24,1):B12,B12)</f>
        <v>Fraqueza|4</v>
      </c>
      <c r="Q12" s="10" t="s">
        <v>108</v>
      </c>
      <c r="R12" s="10" t="s">
        <v>389</v>
      </c>
    </row>
    <row r="13" spans="1:18" ht="58.05" customHeight="1" x14ac:dyDescent="0.3">
      <c r="A13" s="10" t="s">
        <v>390</v>
      </c>
      <c r="B13" s="10" t="s">
        <v>361</v>
      </c>
      <c r="C13" s="13" t="str">
        <f t="shared" si="0"/>
        <v>Interno</v>
      </c>
      <c r="D13" s="10" t="s">
        <v>391</v>
      </c>
      <c r="E13" s="10" t="s">
        <v>392</v>
      </c>
      <c r="F13" s="10" t="s">
        <v>393</v>
      </c>
      <c r="G13" s="10" t="s">
        <v>356</v>
      </c>
      <c r="H13" s="10" t="s">
        <v>357</v>
      </c>
      <c r="I13" s="10" t="s">
        <v>246</v>
      </c>
      <c r="J13" s="10" t="s">
        <v>116</v>
      </c>
      <c r="K13" s="10" t="s">
        <v>136</v>
      </c>
      <c r="L13" s="10" t="s">
        <v>319</v>
      </c>
      <c r="M13" s="10" t="s">
        <v>394</v>
      </c>
      <c r="N13" s="10" t="s">
        <v>395</v>
      </c>
      <c r="O13" s="14">
        <v>46097</v>
      </c>
      <c r="P13" s="13" t="str">
        <f>B13&amp;"|"&amp;COUNTIF(INDEX($B$2:$B$24,1):B13,B13)</f>
        <v>Fraqueza|5</v>
      </c>
      <c r="Q13" s="10" t="s">
        <v>262</v>
      </c>
      <c r="R13" s="10" t="s">
        <v>396</v>
      </c>
    </row>
    <row r="14" spans="1:18" ht="58.05" customHeight="1" x14ac:dyDescent="0.3">
      <c r="A14" s="10" t="s">
        <v>397</v>
      </c>
      <c r="B14" s="10" t="s">
        <v>361</v>
      </c>
      <c r="C14" s="13" t="str">
        <f t="shared" si="0"/>
        <v>Interno</v>
      </c>
      <c r="D14" s="10" t="s">
        <v>398</v>
      </c>
      <c r="E14" s="10" t="s">
        <v>399</v>
      </c>
      <c r="F14" s="10" t="s">
        <v>400</v>
      </c>
      <c r="G14" s="10" t="s">
        <v>311</v>
      </c>
      <c r="H14" s="10" t="s">
        <v>177</v>
      </c>
      <c r="I14" s="10"/>
      <c r="J14" s="10" t="s">
        <v>116</v>
      </c>
      <c r="K14" s="10"/>
      <c r="L14" s="10" t="s">
        <v>319</v>
      </c>
      <c r="M14" s="10" t="s">
        <v>401</v>
      </c>
      <c r="N14" s="10" t="s">
        <v>402</v>
      </c>
      <c r="O14" s="14">
        <v>46097</v>
      </c>
      <c r="P14" s="13" t="str">
        <f>B14&amp;"|"&amp;COUNTIF(INDEX($B$2:$B$24,1):B14,B14)</f>
        <v>Fraqueza|6</v>
      </c>
      <c r="Q14" s="10" t="s">
        <v>262</v>
      </c>
      <c r="R14" s="10" t="s">
        <v>403</v>
      </c>
    </row>
    <row r="15" spans="1:18" ht="58.05" customHeight="1" x14ac:dyDescent="0.3">
      <c r="A15" s="10" t="s">
        <v>404</v>
      </c>
      <c r="B15" s="10" t="s">
        <v>361</v>
      </c>
      <c r="C15" s="13" t="str">
        <f t="shared" si="0"/>
        <v>Interno</v>
      </c>
      <c r="D15" s="10" t="s">
        <v>405</v>
      </c>
      <c r="E15" s="10" t="s">
        <v>406</v>
      </c>
      <c r="F15" s="10" t="s">
        <v>407</v>
      </c>
      <c r="G15" s="10" t="s">
        <v>311</v>
      </c>
      <c r="H15" s="10" t="s">
        <v>124</v>
      </c>
      <c r="I15" s="10"/>
      <c r="J15" s="10" t="s">
        <v>116</v>
      </c>
      <c r="K15" s="10"/>
      <c r="L15" s="10" t="s">
        <v>319</v>
      </c>
      <c r="M15" s="10" t="s">
        <v>408</v>
      </c>
      <c r="N15" s="10" t="s">
        <v>409</v>
      </c>
      <c r="O15" s="14">
        <v>46097</v>
      </c>
      <c r="P15" s="13" t="str">
        <f>B15&amp;"|"&amp;COUNTIF(INDEX($B$2:$B$24,1):B15,B15)</f>
        <v>Fraqueza|7</v>
      </c>
      <c r="Q15" s="10" t="s">
        <v>262</v>
      </c>
      <c r="R15" s="10" t="s">
        <v>410</v>
      </c>
    </row>
    <row r="16" spans="1:18" ht="58.05" customHeight="1" x14ac:dyDescent="0.3">
      <c r="A16" s="10" t="s">
        <v>149</v>
      </c>
      <c r="B16" s="10" t="s">
        <v>146</v>
      </c>
      <c r="C16" s="13" t="str">
        <f t="shared" si="0"/>
        <v>Externo</v>
      </c>
      <c r="D16" s="10" t="s">
        <v>411</v>
      </c>
      <c r="E16" s="10" t="s">
        <v>412</v>
      </c>
      <c r="F16" s="10" t="s">
        <v>413</v>
      </c>
      <c r="G16" s="10" t="s">
        <v>334</v>
      </c>
      <c r="H16" s="10" t="s">
        <v>152</v>
      </c>
      <c r="I16" s="10" t="s">
        <v>223</v>
      </c>
      <c r="J16" s="10" t="s">
        <v>146</v>
      </c>
      <c r="K16" s="10" t="s">
        <v>150</v>
      </c>
      <c r="L16" s="10" t="s">
        <v>312</v>
      </c>
      <c r="M16" s="10" t="s">
        <v>414</v>
      </c>
      <c r="N16" s="10" t="s">
        <v>415</v>
      </c>
      <c r="O16" s="14">
        <v>46097</v>
      </c>
      <c r="P16" s="13" t="str">
        <f>B16&amp;"|"&amp;COUNTIF(INDEX($B$2:$B$24,1):B16,B16)</f>
        <v>Oportunidade|1</v>
      </c>
      <c r="Q16" s="10" t="s">
        <v>108</v>
      </c>
      <c r="R16" s="10" t="s">
        <v>416</v>
      </c>
    </row>
    <row r="17" spans="1:18" ht="58.05" customHeight="1" x14ac:dyDescent="0.3">
      <c r="A17" s="10" t="s">
        <v>417</v>
      </c>
      <c r="B17" s="10" t="s">
        <v>146</v>
      </c>
      <c r="C17" s="13" t="str">
        <f t="shared" si="0"/>
        <v>Externo</v>
      </c>
      <c r="D17" s="10" t="s">
        <v>418</v>
      </c>
      <c r="E17" s="10" t="s">
        <v>419</v>
      </c>
      <c r="F17" s="10" t="s">
        <v>420</v>
      </c>
      <c r="G17" s="10" t="s">
        <v>365</v>
      </c>
      <c r="H17" s="10" t="s">
        <v>124</v>
      </c>
      <c r="I17" s="10" t="s">
        <v>90</v>
      </c>
      <c r="J17" s="10" t="s">
        <v>146</v>
      </c>
      <c r="K17" s="10" t="s">
        <v>103</v>
      </c>
      <c r="L17" s="10" t="s">
        <v>319</v>
      </c>
      <c r="M17" s="10" t="s">
        <v>421</v>
      </c>
      <c r="N17" s="10" t="s">
        <v>422</v>
      </c>
      <c r="O17" s="14">
        <v>46097</v>
      </c>
      <c r="P17" s="13" t="str">
        <f>B17&amp;"|"&amp;COUNTIF(INDEX($B$2:$B$24,1):B17,B17)</f>
        <v>Oportunidade|2</v>
      </c>
      <c r="Q17" s="10" t="s">
        <v>108</v>
      </c>
      <c r="R17" s="10"/>
    </row>
    <row r="18" spans="1:18" ht="58.05" customHeight="1" x14ac:dyDescent="0.3">
      <c r="A18" s="10" t="s">
        <v>423</v>
      </c>
      <c r="B18" s="10" t="s">
        <v>146</v>
      </c>
      <c r="C18" s="13" t="str">
        <f t="shared" si="0"/>
        <v>Externo</v>
      </c>
      <c r="D18" s="10" t="s">
        <v>424</v>
      </c>
      <c r="E18" s="10" t="s">
        <v>425</v>
      </c>
      <c r="F18" s="10" t="s">
        <v>426</v>
      </c>
      <c r="G18" s="10" t="s">
        <v>427</v>
      </c>
      <c r="H18" s="10" t="s">
        <v>177</v>
      </c>
      <c r="I18" s="10" t="s">
        <v>90</v>
      </c>
      <c r="J18" s="10" t="s">
        <v>146</v>
      </c>
      <c r="K18" s="10" t="s">
        <v>103</v>
      </c>
      <c r="L18" s="10" t="s">
        <v>319</v>
      </c>
      <c r="M18" s="10" t="s">
        <v>428</v>
      </c>
      <c r="N18" s="10" t="s">
        <v>429</v>
      </c>
      <c r="O18" s="14">
        <v>46097</v>
      </c>
      <c r="P18" s="13" t="str">
        <f>B18&amp;"|"&amp;COUNTIF(INDEX($B$2:$B$24,1):B18,B18)</f>
        <v>Oportunidade|3</v>
      </c>
      <c r="Q18" s="10" t="s">
        <v>108</v>
      </c>
      <c r="R18" s="10" t="s">
        <v>430</v>
      </c>
    </row>
    <row r="19" spans="1:18" ht="58.05" customHeight="1" x14ac:dyDescent="0.3">
      <c r="A19" s="10" t="s">
        <v>431</v>
      </c>
      <c r="B19" s="10" t="s">
        <v>146</v>
      </c>
      <c r="C19" s="13" t="str">
        <f t="shared" si="0"/>
        <v>Externo</v>
      </c>
      <c r="D19" s="10" t="s">
        <v>432</v>
      </c>
      <c r="E19" s="10" t="s">
        <v>433</v>
      </c>
      <c r="F19" s="10" t="s">
        <v>434</v>
      </c>
      <c r="G19" s="10" t="s">
        <v>435</v>
      </c>
      <c r="H19" s="10" t="s">
        <v>177</v>
      </c>
      <c r="I19" s="10" t="s">
        <v>168</v>
      </c>
      <c r="J19" s="10" t="s">
        <v>146</v>
      </c>
      <c r="K19" s="10" t="s">
        <v>176</v>
      </c>
      <c r="L19" s="10" t="s">
        <v>319</v>
      </c>
      <c r="M19" s="10" t="s">
        <v>436</v>
      </c>
      <c r="N19" s="10" t="s">
        <v>437</v>
      </c>
      <c r="O19" s="14">
        <v>46097</v>
      </c>
      <c r="P19" s="13" t="str">
        <f>B19&amp;"|"&amp;COUNTIF(INDEX($B$2:$B$24,1):B19,B19)</f>
        <v>Oportunidade|4</v>
      </c>
      <c r="Q19" s="10" t="s">
        <v>262</v>
      </c>
      <c r="R19" s="10" t="s">
        <v>438</v>
      </c>
    </row>
    <row r="20" spans="1:18" ht="58.05" customHeight="1" x14ac:dyDescent="0.3">
      <c r="A20" s="10" t="s">
        <v>294</v>
      </c>
      <c r="B20" s="10" t="s">
        <v>146</v>
      </c>
      <c r="C20" s="13" t="str">
        <f t="shared" si="0"/>
        <v>Externo</v>
      </c>
      <c r="D20" s="10" t="s">
        <v>439</v>
      </c>
      <c r="E20" s="10" t="s">
        <v>440</v>
      </c>
      <c r="F20" s="10" t="s">
        <v>441</v>
      </c>
      <c r="G20" s="10" t="s">
        <v>311</v>
      </c>
      <c r="H20" s="10" t="s">
        <v>138</v>
      </c>
      <c r="I20" s="10" t="s">
        <v>288</v>
      </c>
      <c r="J20" s="10" t="s">
        <v>146</v>
      </c>
      <c r="K20" s="10"/>
      <c r="L20" s="10" t="s">
        <v>319</v>
      </c>
      <c r="M20" s="10" t="s">
        <v>442</v>
      </c>
      <c r="N20" s="10" t="s">
        <v>443</v>
      </c>
      <c r="O20" s="14">
        <v>46097</v>
      </c>
      <c r="P20" s="13" t="str">
        <f>B20&amp;"|"&amp;COUNTIF(INDEX($B$2:$B$24,1):B20,B20)</f>
        <v>Oportunidade|5</v>
      </c>
      <c r="Q20" s="10" t="s">
        <v>262</v>
      </c>
      <c r="R20" s="10" t="s">
        <v>444</v>
      </c>
    </row>
    <row r="21" spans="1:18" ht="58.05" customHeight="1" x14ac:dyDescent="0.3">
      <c r="A21" s="10" t="s">
        <v>193</v>
      </c>
      <c r="B21" s="10" t="s">
        <v>445</v>
      </c>
      <c r="C21" s="13" t="str">
        <f t="shared" si="0"/>
        <v>Externo</v>
      </c>
      <c r="D21" s="10" t="s">
        <v>446</v>
      </c>
      <c r="E21" s="10" t="s">
        <v>447</v>
      </c>
      <c r="F21" s="10" t="s">
        <v>448</v>
      </c>
      <c r="G21" s="10" t="s">
        <v>365</v>
      </c>
      <c r="H21" s="10" t="s">
        <v>105</v>
      </c>
      <c r="I21" s="10" t="s">
        <v>186</v>
      </c>
      <c r="J21" s="10" t="s">
        <v>116</v>
      </c>
      <c r="K21" s="10" t="s">
        <v>194</v>
      </c>
      <c r="L21" s="10" t="s">
        <v>312</v>
      </c>
      <c r="M21" s="10" t="s">
        <v>449</v>
      </c>
      <c r="N21" s="10" t="s">
        <v>450</v>
      </c>
      <c r="O21" s="14">
        <v>46097</v>
      </c>
      <c r="P21" s="13" t="str">
        <f>B21&amp;"|"&amp;COUNTIF(INDEX($B$2:$B$24,1):B21,B21)</f>
        <v>Ameaça|1</v>
      </c>
      <c r="Q21" s="10" t="s">
        <v>108</v>
      </c>
      <c r="R21" s="10" t="s">
        <v>196</v>
      </c>
    </row>
    <row r="22" spans="1:18" ht="58.05" customHeight="1" x14ac:dyDescent="0.3">
      <c r="A22" s="10" t="s">
        <v>135</v>
      </c>
      <c r="B22" s="10" t="s">
        <v>445</v>
      </c>
      <c r="C22" s="13" t="str">
        <f t="shared" si="0"/>
        <v>Externo</v>
      </c>
      <c r="D22" s="10" t="s">
        <v>451</v>
      </c>
      <c r="E22" s="10" t="s">
        <v>452</v>
      </c>
      <c r="F22" s="10" t="s">
        <v>453</v>
      </c>
      <c r="G22" s="10" t="s">
        <v>356</v>
      </c>
      <c r="H22" s="10" t="s">
        <v>138</v>
      </c>
      <c r="I22" s="10" t="s">
        <v>127</v>
      </c>
      <c r="J22" s="10" t="s">
        <v>116</v>
      </c>
      <c r="K22" s="10" t="s">
        <v>136</v>
      </c>
      <c r="L22" s="10" t="s">
        <v>319</v>
      </c>
      <c r="M22" s="10" t="s">
        <v>454</v>
      </c>
      <c r="N22" s="10" t="s">
        <v>455</v>
      </c>
      <c r="O22" s="14">
        <v>46097</v>
      </c>
      <c r="P22" s="13" t="str">
        <f>B22&amp;"|"&amp;COUNTIF(INDEX($B$2:$B$24,1):B22,B22)</f>
        <v>Ameaça|2</v>
      </c>
      <c r="Q22" s="10" t="s">
        <v>108</v>
      </c>
      <c r="R22" s="10" t="s">
        <v>456</v>
      </c>
    </row>
    <row r="23" spans="1:18" ht="58.05" customHeight="1" x14ac:dyDescent="0.3">
      <c r="A23" s="10" t="s">
        <v>270</v>
      </c>
      <c r="B23" s="10" t="s">
        <v>445</v>
      </c>
      <c r="C23" s="13" t="str">
        <f t="shared" si="0"/>
        <v>Externo</v>
      </c>
      <c r="D23" s="10" t="s">
        <v>457</v>
      </c>
      <c r="E23" s="10" t="s">
        <v>458</v>
      </c>
      <c r="F23" s="10" t="s">
        <v>459</v>
      </c>
      <c r="G23" s="10" t="s">
        <v>311</v>
      </c>
      <c r="H23" s="10" t="s">
        <v>231</v>
      </c>
      <c r="I23" s="10" t="s">
        <v>223</v>
      </c>
      <c r="J23" s="10" t="s">
        <v>116</v>
      </c>
      <c r="K23" s="10" t="s">
        <v>230</v>
      </c>
      <c r="L23" s="10" t="s">
        <v>319</v>
      </c>
      <c r="M23" s="10" t="s">
        <v>460</v>
      </c>
      <c r="N23" s="10" t="s">
        <v>461</v>
      </c>
      <c r="O23" s="14">
        <v>46097</v>
      </c>
      <c r="P23" s="13" t="str">
        <f>B23&amp;"|"&amp;COUNTIF(INDEX($B$2:$B$24,1):B23,B23)</f>
        <v>Ameaça|3</v>
      </c>
      <c r="Q23" s="10" t="s">
        <v>108</v>
      </c>
      <c r="R23" s="10" t="s">
        <v>462</v>
      </c>
    </row>
    <row r="24" spans="1:18" ht="58.05" customHeight="1" x14ac:dyDescent="0.3">
      <c r="A24" s="10" t="s">
        <v>279</v>
      </c>
      <c r="B24" s="10" t="s">
        <v>445</v>
      </c>
      <c r="C24" s="13" t="str">
        <f t="shared" si="0"/>
        <v>Externo</v>
      </c>
      <c r="D24" s="10" t="s">
        <v>463</v>
      </c>
      <c r="E24" s="10" t="s">
        <v>464</v>
      </c>
      <c r="F24" s="10" t="s">
        <v>465</v>
      </c>
      <c r="G24" s="10" t="s">
        <v>311</v>
      </c>
      <c r="H24" s="10" t="s">
        <v>152</v>
      </c>
      <c r="I24" s="10" t="s">
        <v>273</v>
      </c>
      <c r="J24" s="10" t="s">
        <v>116</v>
      </c>
      <c r="K24" s="10"/>
      <c r="L24" s="10" t="s">
        <v>319</v>
      </c>
      <c r="M24" s="10" t="s">
        <v>466</v>
      </c>
      <c r="N24" s="10" t="s">
        <v>467</v>
      </c>
      <c r="O24" s="14">
        <v>46097</v>
      </c>
      <c r="P24" s="13" t="str">
        <f>B24&amp;"|"&amp;COUNTIF(INDEX($B$2:$B$24,1):B24,B24)</f>
        <v>Ameaça|4</v>
      </c>
      <c r="Q24" s="10" t="s">
        <v>262</v>
      </c>
      <c r="R24" s="10" t="s">
        <v>468</v>
      </c>
    </row>
  </sheetData>
  <conditionalFormatting sqref="B2:B224">
    <cfRule type="expression" dxfId="10" priority="1">
      <formula>ISNUMBER(SEARCH("Força",B2))</formula>
    </cfRule>
    <cfRule type="expression" dxfId="9" priority="2">
      <formula>ISNUMBER(SEARCH("Fraqueza",B2))</formula>
    </cfRule>
    <cfRule type="expression" dxfId="8" priority="3">
      <formula>ISNUMBER(SEARCH("Oportunidade",B2))</formula>
    </cfRule>
    <cfRule type="expression" dxfId="7" priority="4">
      <formula>ISNUMBER(SEARCH("Ameaça",B2))</formula>
    </cfRule>
  </conditionalFormatting>
  <conditionalFormatting sqref="L2:L224">
    <cfRule type="expression" dxfId="6" priority="5">
      <formula>ISNUMBER(SEARCH("Sim",L2))</formula>
    </cfRule>
  </conditionalFormatting>
  <dataValidations count="5">
    <dataValidation type="list" allowBlank="1" showErrorMessage="1" errorTitle="Valor inválido" error="Valor fora da lista controlada (ver folha Listas)." sqref="B2:B224" xr:uid="{00000000-0002-0000-0200-000000000000}">
      <formula1>lst_Quadrante</formula1>
    </dataValidation>
    <dataValidation type="list" allowBlank="1" showErrorMessage="1" errorTitle="Valor inválido" error="Valor fora da lista controlada (ver folha Listas)." sqref="G2:G224" xr:uid="{00000000-0002-0000-0200-000001000000}">
      <formula1>lst_Processo</formula1>
    </dataValidation>
    <dataValidation type="list" allowBlank="1" showErrorMessage="1" errorTitle="Valor inválido" error="Valor fora da lista controlada (ver folha Listas)." sqref="H2:H224" xr:uid="{00000000-0002-0000-0200-000002000000}">
      <formula1>lst_Tema</formula1>
    </dataValidation>
    <dataValidation type="list" allowBlank="1" showErrorMessage="1" errorTitle="Valor inválido" error="Valor fora da lista controlada (ver folha Listas)." sqref="J2:J224" xr:uid="{00000000-0002-0000-0200-000003000000}">
      <formula1>lst_Classificacao</formula1>
    </dataValidation>
    <dataValidation type="list" allowBlank="1" showErrorMessage="1" errorTitle="Valor inválido" error="Valor fora da lista controlada (ver folha Listas)." sqref="L2:L224" xr:uid="{00000000-0002-0000-0200-000004000000}">
      <formula1>lst_SimNao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9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24" customWidth="1"/>
    <col min="3" max="3" width="26" customWidth="1"/>
    <col min="4" max="4" width="60" customWidth="1"/>
    <col min="5" max="5" width="10" customWidth="1"/>
    <col min="6" max="6" width="12" customWidth="1"/>
    <col min="7" max="8" width="30" customWidth="1"/>
    <col min="9" max="9" width="16" customWidth="1"/>
  </cols>
  <sheetData>
    <row r="1" spans="1:9" ht="26.4" x14ac:dyDescent="0.3">
      <c r="A1" s="8" t="s">
        <v>469</v>
      </c>
      <c r="B1" s="8" t="s">
        <v>470</v>
      </c>
      <c r="C1" s="8" t="s">
        <v>471</v>
      </c>
      <c r="D1" s="8" t="s">
        <v>304</v>
      </c>
      <c r="E1" s="8" t="s">
        <v>472</v>
      </c>
      <c r="F1" s="8" t="s">
        <v>473</v>
      </c>
      <c r="G1" s="8" t="s">
        <v>85</v>
      </c>
      <c r="H1" s="8" t="s">
        <v>474</v>
      </c>
      <c r="I1" s="8" t="s">
        <v>89</v>
      </c>
    </row>
    <row r="2" spans="1:9" ht="48" customHeight="1" x14ac:dyDescent="0.3">
      <c r="A2" s="10" t="s">
        <v>475</v>
      </c>
      <c r="B2" s="10" t="s">
        <v>476</v>
      </c>
      <c r="C2" s="10" t="s">
        <v>477</v>
      </c>
      <c r="D2" s="10" t="s">
        <v>478</v>
      </c>
      <c r="E2" s="10" t="s">
        <v>479</v>
      </c>
      <c r="F2" s="14">
        <v>46387</v>
      </c>
      <c r="G2" s="10" t="s">
        <v>154</v>
      </c>
      <c r="H2" s="10" t="s">
        <v>480</v>
      </c>
      <c r="I2" s="10" t="s">
        <v>481</v>
      </c>
    </row>
    <row r="3" spans="1:9" ht="48" customHeight="1" x14ac:dyDescent="0.3">
      <c r="A3" s="10" t="s">
        <v>482</v>
      </c>
      <c r="B3" s="10" t="s">
        <v>483</v>
      </c>
      <c r="C3" s="10" t="s">
        <v>484</v>
      </c>
      <c r="D3" s="10" t="s">
        <v>485</v>
      </c>
      <c r="E3" s="10" t="s">
        <v>486</v>
      </c>
      <c r="F3" s="14">
        <v>46568</v>
      </c>
      <c r="G3" s="10" t="s">
        <v>487</v>
      </c>
      <c r="H3" s="10" t="s">
        <v>329</v>
      </c>
      <c r="I3" s="10" t="s">
        <v>488</v>
      </c>
    </row>
    <row r="4" spans="1:9" ht="48" customHeight="1" x14ac:dyDescent="0.3">
      <c r="A4" s="10" t="s">
        <v>489</v>
      </c>
      <c r="B4" s="10" t="s">
        <v>490</v>
      </c>
      <c r="C4" s="10" t="s">
        <v>491</v>
      </c>
      <c r="D4" s="10" t="s">
        <v>492</v>
      </c>
      <c r="E4" s="10" t="s">
        <v>493</v>
      </c>
      <c r="F4" s="14">
        <v>46387</v>
      </c>
      <c r="G4" s="10" t="s">
        <v>494</v>
      </c>
      <c r="H4" s="10" t="s">
        <v>495</v>
      </c>
      <c r="I4" s="10"/>
    </row>
    <row r="5" spans="1:9" ht="48" customHeight="1" x14ac:dyDescent="0.3">
      <c r="A5" s="10" t="s">
        <v>496</v>
      </c>
      <c r="B5" s="10" t="s">
        <v>497</v>
      </c>
      <c r="C5" s="10" t="s">
        <v>498</v>
      </c>
      <c r="D5" s="10" t="s">
        <v>499</v>
      </c>
      <c r="E5" s="10" t="s">
        <v>500</v>
      </c>
      <c r="F5" s="14">
        <v>46477</v>
      </c>
      <c r="G5" s="10" t="s">
        <v>154</v>
      </c>
      <c r="H5" s="10" t="s">
        <v>501</v>
      </c>
      <c r="I5" s="10" t="s">
        <v>502</v>
      </c>
    </row>
    <row r="6" spans="1:9" ht="48" customHeight="1" x14ac:dyDescent="0.3">
      <c r="A6" s="10" t="s">
        <v>503</v>
      </c>
      <c r="B6" s="10" t="s">
        <v>497</v>
      </c>
      <c r="C6" s="10" t="s">
        <v>504</v>
      </c>
      <c r="D6" s="10" t="s">
        <v>505</v>
      </c>
      <c r="E6" s="10" t="s">
        <v>506</v>
      </c>
      <c r="F6" s="14">
        <v>46752</v>
      </c>
      <c r="G6" s="10" t="s">
        <v>178</v>
      </c>
      <c r="H6" s="10" t="s">
        <v>507</v>
      </c>
      <c r="I6" s="10"/>
    </row>
    <row r="7" spans="1:9" ht="48" customHeight="1" x14ac:dyDescent="0.3">
      <c r="A7" s="10" t="s">
        <v>508</v>
      </c>
      <c r="B7" s="10" t="s">
        <v>490</v>
      </c>
      <c r="C7" s="10" t="s">
        <v>509</v>
      </c>
      <c r="D7" s="10" t="s">
        <v>510</v>
      </c>
      <c r="E7" s="10"/>
      <c r="F7" s="14">
        <v>46660</v>
      </c>
      <c r="G7" s="10" t="s">
        <v>511</v>
      </c>
      <c r="H7" s="10" t="s">
        <v>512</v>
      </c>
      <c r="I7" s="10" t="s">
        <v>396</v>
      </c>
    </row>
    <row r="8" spans="1:9" ht="48" customHeight="1" x14ac:dyDescent="0.3">
      <c r="A8" s="10" t="s">
        <v>513</v>
      </c>
      <c r="B8" s="10" t="s">
        <v>476</v>
      </c>
      <c r="C8" s="10" t="s">
        <v>514</v>
      </c>
      <c r="D8" s="10" t="s">
        <v>515</v>
      </c>
      <c r="E8" s="10" t="s">
        <v>516</v>
      </c>
      <c r="F8" s="14">
        <v>46934</v>
      </c>
      <c r="G8" s="10" t="s">
        <v>517</v>
      </c>
      <c r="H8" s="10" t="s">
        <v>518</v>
      </c>
      <c r="I8" s="10" t="s">
        <v>416</v>
      </c>
    </row>
    <row r="9" spans="1:9" ht="48" customHeight="1" x14ac:dyDescent="0.3">
      <c r="A9" s="10" t="s">
        <v>519</v>
      </c>
      <c r="B9" s="10" t="s">
        <v>497</v>
      </c>
      <c r="C9" s="10" t="s">
        <v>520</v>
      </c>
      <c r="D9" s="10" t="s">
        <v>521</v>
      </c>
      <c r="E9" s="10"/>
      <c r="F9" s="14">
        <v>46477</v>
      </c>
      <c r="G9" s="10" t="s">
        <v>522</v>
      </c>
      <c r="H9" s="10" t="s">
        <v>523</v>
      </c>
      <c r="I9" s="10" t="s">
        <v>524</v>
      </c>
    </row>
  </sheetData>
  <dataValidations count="2">
    <dataValidation type="list" allowBlank="1" showErrorMessage="1" errorTitle="Valor inválido" error="Valor fora da lista controlada (ver folha Listas)." sqref="B2:B209" xr:uid="{00000000-0002-0000-0300-000000000000}">
      <formula1>lst_Cruzamento</formula1>
    </dataValidation>
    <dataValidation type="list" allowBlank="1" showErrorMessage="1" errorTitle="Valor inválido" error="Valor fora da lista controlada (ver folha Listas)." sqref="G2:G209" xr:uid="{00000000-0002-0000-0300-000001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9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28" customWidth="1"/>
    <col min="3" max="3" width="60" customWidth="1"/>
    <col min="4" max="4" width="11" customWidth="1"/>
    <col min="5" max="5" width="46" customWidth="1"/>
    <col min="6" max="6" width="14" customWidth="1"/>
    <col min="7" max="7" width="16" customWidth="1"/>
    <col min="8" max="8" width="44" customWidth="1"/>
    <col min="9" max="9" width="12" customWidth="1"/>
  </cols>
  <sheetData>
    <row r="1" spans="1:9" ht="17.399999999999999" x14ac:dyDescent="0.3">
      <c r="A1" s="1" t="s">
        <v>525</v>
      </c>
    </row>
    <row r="2" spans="1:9" x14ac:dyDescent="0.3">
      <c r="A2" s="2" t="s">
        <v>526</v>
      </c>
    </row>
    <row r="4" spans="1:9" ht="26.4" x14ac:dyDescent="0.3">
      <c r="A4" s="8" t="s">
        <v>527</v>
      </c>
      <c r="B4" s="8" t="s">
        <v>528</v>
      </c>
      <c r="C4" s="8" t="s">
        <v>529</v>
      </c>
      <c r="D4" s="8" t="s">
        <v>72</v>
      </c>
      <c r="E4" s="8" t="s">
        <v>530</v>
      </c>
      <c r="F4" s="8" t="s">
        <v>71</v>
      </c>
      <c r="G4" s="8" t="s">
        <v>89</v>
      </c>
      <c r="H4" s="8" t="s">
        <v>531</v>
      </c>
      <c r="I4" s="8" t="s">
        <v>86</v>
      </c>
    </row>
    <row r="5" spans="1:9" ht="48" customHeight="1" x14ac:dyDescent="0.3">
      <c r="A5" s="10" t="s">
        <v>532</v>
      </c>
      <c r="B5" s="10" t="s">
        <v>533</v>
      </c>
      <c r="C5" s="10" t="s">
        <v>534</v>
      </c>
      <c r="D5" s="10" t="s">
        <v>98</v>
      </c>
      <c r="E5" s="10" t="s">
        <v>535</v>
      </c>
      <c r="F5" s="10" t="s">
        <v>116</v>
      </c>
      <c r="G5" s="10" t="s">
        <v>468</v>
      </c>
      <c r="H5" s="10" t="s">
        <v>536</v>
      </c>
      <c r="I5" s="14">
        <v>46097</v>
      </c>
    </row>
    <row r="6" spans="1:9" ht="48" customHeight="1" x14ac:dyDescent="0.3">
      <c r="A6" s="10" t="s">
        <v>537</v>
      </c>
      <c r="B6" s="10" t="s">
        <v>538</v>
      </c>
      <c r="C6" s="10" t="s">
        <v>539</v>
      </c>
      <c r="D6" s="10" t="s">
        <v>117</v>
      </c>
      <c r="E6" s="10" t="s">
        <v>540</v>
      </c>
      <c r="F6" s="10" t="s">
        <v>116</v>
      </c>
      <c r="G6" s="10" t="s">
        <v>541</v>
      </c>
      <c r="H6" s="10" t="s">
        <v>542</v>
      </c>
      <c r="I6" s="14">
        <v>46097</v>
      </c>
    </row>
    <row r="7" spans="1:9" ht="48" customHeight="1" x14ac:dyDescent="0.3">
      <c r="A7" s="10" t="s">
        <v>543</v>
      </c>
      <c r="B7" s="10" t="s">
        <v>544</v>
      </c>
      <c r="C7" s="10" t="s">
        <v>545</v>
      </c>
      <c r="D7" s="10" t="s">
        <v>117</v>
      </c>
      <c r="E7" s="10" t="s">
        <v>546</v>
      </c>
      <c r="F7" s="10" t="s">
        <v>116</v>
      </c>
      <c r="G7" s="10"/>
      <c r="H7" s="10" t="s">
        <v>547</v>
      </c>
      <c r="I7" s="14">
        <v>46097</v>
      </c>
    </row>
    <row r="8" spans="1:9" ht="48" customHeight="1" x14ac:dyDescent="0.3">
      <c r="A8" s="10" t="s">
        <v>548</v>
      </c>
      <c r="B8" s="10" t="s">
        <v>549</v>
      </c>
      <c r="C8" s="10" t="s">
        <v>550</v>
      </c>
      <c r="D8" s="10" t="s">
        <v>98</v>
      </c>
      <c r="E8" s="10" t="s">
        <v>551</v>
      </c>
      <c r="F8" s="10" t="s">
        <v>146</v>
      </c>
      <c r="G8" s="10" t="s">
        <v>155</v>
      </c>
      <c r="H8" s="10" t="s">
        <v>547</v>
      </c>
      <c r="I8" s="14">
        <v>46097</v>
      </c>
    </row>
    <row r="9" spans="1:9" ht="48" customHeight="1" x14ac:dyDescent="0.3">
      <c r="A9" s="10" t="s">
        <v>552</v>
      </c>
      <c r="B9" s="10" t="s">
        <v>553</v>
      </c>
      <c r="C9" s="10" t="s">
        <v>554</v>
      </c>
      <c r="D9" s="10" t="s">
        <v>98</v>
      </c>
      <c r="E9" s="10" t="s">
        <v>555</v>
      </c>
      <c r="F9" s="10" t="s">
        <v>146</v>
      </c>
      <c r="G9" s="10" t="s">
        <v>556</v>
      </c>
      <c r="H9" s="10" t="s">
        <v>547</v>
      </c>
      <c r="I9" s="14">
        <v>46097</v>
      </c>
    </row>
  </sheetData>
  <conditionalFormatting sqref="F5:F209">
    <cfRule type="expression" dxfId="5" priority="1">
      <formula>ISNUMBER(SEARCH("Oportunidade",F5))</formula>
    </cfRule>
    <cfRule type="expression" dxfId="4" priority="2">
      <formula>ISNUMBER(SEARCH("Risco",F5))</formula>
    </cfRule>
  </conditionalFormatting>
  <dataValidations count="2">
    <dataValidation type="list" allowBlank="1" showErrorMessage="1" errorTitle="Valor inválido" error="Valor fora da lista controlada (ver folha Listas)." sqref="D5:D209" xr:uid="{00000000-0002-0000-0400-000000000000}">
      <formula1>lst_Tendencia</formula1>
    </dataValidation>
    <dataValidation type="list" allowBlank="1" showErrorMessage="1" errorTitle="Valor inválido" error="Valor fora da lista controlada (ver folha Listas)." sqref="F5:F209" xr:uid="{00000000-0002-0000-0400-000001000000}">
      <formula1>lst_Classificacao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20"/>
  <sheetViews>
    <sheetView showGridLines="0" workbookViewId="0"/>
  </sheetViews>
  <sheetFormatPr defaultRowHeight="14.4" x14ac:dyDescent="0.3"/>
  <cols>
    <col min="1" max="2" width="70" customWidth="1"/>
  </cols>
  <sheetData>
    <row r="1" spans="1:2" ht="17.399999999999999" x14ac:dyDescent="0.3">
      <c r="A1" s="1" t="s">
        <v>557</v>
      </c>
    </row>
    <row r="2" spans="1:2" x14ac:dyDescent="0.3">
      <c r="A2" s="2" t="s">
        <v>558</v>
      </c>
    </row>
    <row r="4" spans="1:2" x14ac:dyDescent="0.3">
      <c r="A4" s="16" t="s">
        <v>559</v>
      </c>
      <c r="B4" s="17" t="s">
        <v>560</v>
      </c>
    </row>
    <row r="5" spans="1:2" ht="42" customHeight="1" x14ac:dyDescent="0.3">
      <c r="A5" s="18" t="str">
        <f>IFERROR(IF(INDEX(SWOT!$L$2:$L$24,MATCH("Força|1",SWOT!$P$2:$P$24,0))="Sim","► ","• ")&amp;INDEX(SWOT!$A$2:$A$24,MATCH("Força|1",SWOT!$P$2:$P$24,0))&amp;" — "&amp;INDEX(SWOT!$D$2:$D$24,MATCH("Força|1",SWOT!$P$2:$P$24,0)),"")</f>
        <v>► SWT-F01 — Cultura de dados industriais: OEE, SPC, AQL e rastreabilidade lote → ordem em 18 meses de dados (22 máquinas, 3 turnos) já integrados em Power BI.</v>
      </c>
      <c r="B5" s="18" t="str">
        <f>IFERROR(IF(INDEX(SWOT!$L$2:$L$24,MATCH("Fraqueza|1",SWOT!$P$2:$P$24,0))="Sim","► ","• ")&amp;INDEX(SWOT!$A$2:$A$24,MATCH("Fraqueza|1",SWOT!$P$2:$P$24,0))&amp;" — "&amp;INDEX(SWOT!$D$2:$D$24,MATCH("Fraqueza|1",SWOT!$P$2:$P$24,0)),"")</f>
        <v>► SWT-W01 — Não existe submedição de energia nem de água por processo ou máquina: os consumos só são conhecidos pela fatura global mensal.</v>
      </c>
    </row>
    <row r="6" spans="1:2" ht="42" customHeight="1" x14ac:dyDescent="0.3">
      <c r="A6" s="18" t="str">
        <f>IFERROR(IF(INDEX(SWOT!$L$2:$L$24,MATCH("Força|2",SWOT!$P$2:$P$24,0))="Sim","► ","• ")&amp;INDEX(SWOT!$A$2:$A$24,MATCH("Força|2",SWOT!$P$2:$P$24,0))&amp;" — "&amp;INDEX(SWOT!$D$2:$D$24,MATCH("Força|2",SWOT!$P$2:$P$24,0)),"")</f>
        <v>• SWT-F02 — Processo 100% elétrico: sem caldeiras nem combustão in situ; empilhadores elétricos.</v>
      </c>
      <c r="B6" s="18" t="str">
        <f>IFERROR(IF(INDEX(SWOT!$L$2:$L$24,MATCH("Fraqueza|2",SWOT!$P$2:$P$24,0))="Sim","► ","• ")&amp;INDEX(SWOT!$A$2:$A$24,MATCH("Fraqueza|2",SWOT!$P$2:$P$24,0))&amp;" — "&amp;INDEX(SWOT!$D$2:$D$24,MATCH("Fraqueza|2",SWOT!$P$2:$P$24,0)),"")</f>
        <v>• SWT-W02 — Dependência do fornecedor spot SUP-005 (PP/PVC) com lotes fora de especificação.</v>
      </c>
    </row>
    <row r="7" spans="1:2" ht="42" customHeight="1" x14ac:dyDescent="0.3">
      <c r="A7" s="18" t="str">
        <f>IFERROR(IF(INDEX(SWOT!$L$2:$L$24,MATCH("Força|3",SWOT!$P$2:$P$24,0))="Sim","► ","• ")&amp;INDEX(SWOT!$A$2:$A$24,MATCH("Força|3",SWOT!$P$2:$P$24,0))&amp;" — "&amp;INDEX(SWOT!$D$2:$D$24,MATCH("Força|3",SWOT!$P$2:$P$24,0)),"")</f>
        <v>• SWT-F03 — Moinhos junto às máquinas permitem reintegrar rebarbas e jitos (regrind) no próprio processo.</v>
      </c>
      <c r="B7" s="18" t="str">
        <f>IFERROR(IF(INDEX(SWOT!$L$2:$L$24,MATCH("Fraqueza|3",SWOT!$P$2:$P$24,0))="Sim","► ","• ")&amp;INDEX(SWOT!$A$2:$A$24,MATCH("Fraqueza|3",SWOT!$P$2:$P$24,0))&amp;" — "&amp;INDEX(SWOT!$D$2:$D$24,MATCH("Fraqueza|3",SWOT!$P$2:$P$24,0)),"")</f>
        <v>• SWT-W03 — Taxa de rejeição ≈ 2,4% acima da meta de 2,0% e 31% de CAPA não eficazes.</v>
      </c>
    </row>
    <row r="8" spans="1:2" ht="42" customHeight="1" x14ac:dyDescent="0.3">
      <c r="A8" s="18" t="str">
        <f>IFERROR(IF(INDEX(SWOT!$L$2:$L$24,MATCH("Força|4",SWOT!$P$2:$P$24,0))="Sim","► ","• ")&amp;INDEX(SWOT!$A$2:$A$24,MATCH("Força|4",SWOT!$P$2:$P$24,0))&amp;" — "&amp;INDEX(SWOT!$D$2:$D$24,MATCH("Força|4",SWOT!$P$2:$P$24,0)),"")</f>
        <v>• SWT-F04 — Experiência com resinas PCR (HDPE-PCR, rPET) e entrada em mercados alimentar e farmacêutico (2026).</v>
      </c>
      <c r="B8" s="18" t="str">
        <f>IFERROR(IF(INDEX(SWOT!$L$2:$L$24,MATCH("Fraqueza|4",SWOT!$P$2:$P$24,0))="Sim","► ","• ")&amp;INDEX(SWOT!$A$2:$A$24,MATCH("Fraqueza|4",SWOT!$P$2:$P$24,0))&amp;" — "&amp;INDEX(SWOT!$D$2:$D$24,MATCH("Fraqueza|4",SWOT!$P$2:$P$24,0)),"")</f>
        <v>• SWT-W04 — Gestão informal da contenção de químicos, kits de derrame e granulado (sem registo de utilização nem stock mínimo).</v>
      </c>
    </row>
    <row r="9" spans="1:2" ht="42" customHeight="1" x14ac:dyDescent="0.3">
      <c r="A9" s="18" t="str">
        <f>IFERROR(IF(INDEX(SWOT!$L$2:$L$24,MATCH("Força|5",SWOT!$P$2:$P$24,0))="Sim","► ","• ")&amp;INDEX(SWOT!$A$2:$A$24,MATCH("Força|5",SWOT!$P$2:$P$24,0))&amp;" — "&amp;INDEX(SWOT!$D$2:$D$24,MATCH("Força|5",SWOT!$P$2:$P$24,0)),"")</f>
        <v>• SWT-F05 — Processos identificados e rastreáveis: 4 processos, 18 máquinas, LotId e ProductBatch consistentes.</v>
      </c>
      <c r="B9" s="18" t="str">
        <f>IFERROR(IF(INDEX(SWOT!$L$2:$L$24,MATCH("Fraqueza|5",SWOT!$P$2:$P$24,0))="Sim","► ","• ")&amp;INDEX(SWOT!$A$2:$A$24,MATCH("Fraqueza|5",SWOT!$P$2:$P$24,0))&amp;" — "&amp;INDEX(SWOT!$D$2:$D$24,MATCH("Fraqueza|5",SWOT!$P$2:$P$24,0)),"")</f>
        <v>• SWT-W05 — Dependência de dados de fornecedores: conteúdo reciclado, composição, carbono incorporado e reciclabilidade.</v>
      </c>
    </row>
    <row r="10" spans="1:2" ht="42" customHeight="1" x14ac:dyDescent="0.3">
      <c r="A10" s="18" t="str">
        <f>IFERROR(IF(INDEX(SWOT!$L$2:$L$24,MATCH("Força|6",SWOT!$P$2:$P$24,0))="Sim","► ","• ")&amp;INDEX(SWOT!$A$2:$A$24,MATCH("Força|6",SWOT!$P$2:$P$24,0))&amp;" — "&amp;INDEX(SWOT!$D$2:$D$24,MATCH("Força|6",SWOT!$P$2:$P$24,0)),"")</f>
        <v>• SWT-F06 — Causas-raiz conhecidas com evidência causal forte (IM-002 com MSA e DOE; SS-001 e M-SOP-007 respondem à intervenção).</v>
      </c>
      <c r="B10" s="18" t="str">
        <f>IFERROR(IF(INDEX(SWOT!$L$2:$L$24,MATCH("Fraqueza|6",SWOT!$P$2:$P$24,0))="Sim","► ","• ")&amp;INDEX(SWOT!$A$2:$A$24,MATCH("Fraqueza|6",SWOT!$P$2:$P$24,0))&amp;" — "&amp;INDEX(SWOT!$D$2:$D$24,MATCH("Fraqueza|6",SWOT!$P$2:$P$24,0)),"")</f>
        <v>• SWT-W06 — Parâmetros críticos não registados e capacidade de processo marginal (0% dos 190 grupos com Cpk ≥ 1,33).</v>
      </c>
    </row>
    <row r="11" spans="1:2" ht="42" customHeight="1" x14ac:dyDescent="0.3">
      <c r="A11" s="18" t="str">
        <f>IFERROR(IF(INDEX(SWOT!$L$2:$L$24,MATCH("Força|7",SWOT!$P$2:$P$24,0))="Sim","► ","• ")&amp;INDEX(SWOT!$A$2:$A$24,MATCH("Força|7",SWOT!$P$2:$P$24,0))&amp;" — "&amp;INDEX(SWOT!$D$2:$D$24,MATCH("Força|7",SWOT!$P$2:$P$24,0)),"")</f>
        <v>• SWT-F07 — Base de fornecedores diversificada: 7 de 8 fornecedores de resina com contrato anual ou plurianual.</v>
      </c>
      <c r="B11" s="18" t="str">
        <f>IFERROR(IF(INDEX(SWOT!$L$2:$L$24,MATCH("Fraqueza|7",SWOT!$P$2:$P$24,0))="Sim","► ","• ")&amp;INDEX(SWOT!$A$2:$A$24,MATCH("Fraqueza|7",SWOT!$P$2:$P$24,0))&amp;" — "&amp;INDEX(SWOT!$D$2:$D$24,MATCH("Fraqueza|7",SWOT!$P$2:$P$24,0)),"")</f>
        <v>• SWT-W07 — Disponibilidade abaixo da meta (87,4%): paragens por operador, ar comprimido, matéria-prima e ativos específicos.</v>
      </c>
    </row>
    <row r="13" spans="1:2" x14ac:dyDescent="0.3">
      <c r="A13" s="19" t="s">
        <v>561</v>
      </c>
      <c r="B13" s="20" t="s">
        <v>562</v>
      </c>
    </row>
    <row r="14" spans="1:2" ht="42" customHeight="1" x14ac:dyDescent="0.3">
      <c r="A14" s="18" t="str">
        <f>IFERROR(IF(INDEX(SWOT!$L$2:$L$24,MATCH("Oportunidade|1",SWOT!$P$2:$P$24,0))="Sim","► ","• ")&amp;INDEX(SWOT!$A$2:$A$24,MATCH("Oportunidade|1",SWOT!$P$2:$P$24,0))&amp;" — "&amp;INDEX(SWOT!$D$2:$D$24,MATCH("Oportunidade|1",SWOT!$P$2:$P$24,0)),"")</f>
        <v>► SWT-O01 — PPWR e procura de embalagens recicláveis com conteúdo reciclado por clientes europeus.</v>
      </c>
      <c r="B14" s="18" t="str">
        <f>IFERROR(IF(INDEX(SWOT!$L$2:$L$24,MATCH("Ameaça|1",SWOT!$P$2:$P$24,0))="Sim","► ","• ")&amp;INDEX(SWOT!$A$2:$A$24,MATCH("Ameaça|1",SWOT!$P$2:$P$24,0))&amp;" — "&amp;INDEX(SWOT!$D$2:$D$24,MATCH("Ameaça|1",SWOT!$P$2:$P$24,0)),"")</f>
        <v>► SWT-T01 — Ondas de calor e escassez hídrica (alterações climáticas) afetam o arrefecimento de moldes, a água técnica e a continuidade.</v>
      </c>
    </row>
    <row r="15" spans="1:2" ht="42" customHeight="1" x14ac:dyDescent="0.3">
      <c r="A15" s="18" t="str">
        <f>IFERROR(IF(INDEX(SWOT!$L$2:$L$24,MATCH("Oportunidade|2",SWOT!$P$2:$P$24,0))="Sim","► ","• ")&amp;INDEX(SWOT!$A$2:$A$24,MATCH("Oportunidade|2",SWOT!$P$2:$P$24,0))&amp;" — "&amp;INDEX(SWOT!$D$2:$D$24,MATCH("Oportunidade|2",SWOT!$P$2:$P$24,0)),"")</f>
        <v>• SWT-O02 — Autoconsumo fotovoltaico na cobertura (≈ 9.000 m² disponíveis) e contratos PPA renováveis.</v>
      </c>
      <c r="B15" s="18" t="str">
        <f>IFERROR(IF(INDEX(SWOT!$L$2:$L$24,MATCH("Ameaça|2",SWOT!$P$2:$P$24,0))="Sim","► ","• ")&amp;INDEX(SWOT!$A$2:$A$24,MATCH("Ameaça|2",SWOT!$P$2:$P$24,0))&amp;" — "&amp;INDEX(SWOT!$D$2:$D$24,MATCH("Ameaça|2",SWOT!$P$2:$P$24,0)),"")</f>
        <v>• SWT-T02 — Volatilidade de preço e qualidade do PCR/rPET.</v>
      </c>
    </row>
    <row r="16" spans="1:2" ht="42" customHeight="1" x14ac:dyDescent="0.3">
      <c r="A16" s="18" t="str">
        <f>IFERROR(IF(INDEX(SWOT!$L$2:$L$24,MATCH("Oportunidade|3",SWOT!$P$2:$P$24,0))="Sim","► ","• ")&amp;INDEX(SWOT!$A$2:$A$24,MATCH("Oportunidade|3",SWOT!$P$2:$P$24,0))&amp;" — "&amp;INDEX(SWOT!$D$2:$D$24,MATCH("Oportunidade|3",SWOT!$P$2:$P$24,0)),"")</f>
        <v>• SWT-O03 — Financiamento público para eficiência energética e economia circular (Portugal 2030, Fundo Ambiental).</v>
      </c>
      <c r="B16" s="18" t="str">
        <f>IFERROR(IF(INDEX(SWOT!$L$2:$L$24,MATCH("Ameaça|3",SWOT!$P$2:$P$24,0))="Sim","► ","• ")&amp;INDEX(SWOT!$A$2:$A$24,MATCH("Ameaça|3",SWOT!$P$2:$P$24,0))&amp;" — "&amp;INDEX(SWOT!$D$2:$D$24,MATCH("Ameaça|3",SWOT!$P$2:$P$24,0)),"")</f>
        <v>• SWT-T03 — Aumento da exigência regulatória (PPWR, granulados, resíduos) com risco de coimas e perda de clientes.</v>
      </c>
    </row>
    <row r="17" spans="1:2" ht="42" customHeight="1" x14ac:dyDescent="0.3">
      <c r="A17" s="18" t="str">
        <f>IFERROR(IF(INDEX(SWOT!$L$2:$L$24,MATCH("Oportunidade|4",SWOT!$P$2:$P$24,0))="Sim","► ","• ")&amp;INDEX(SWOT!$A$2:$A$24,MATCH("Oportunidade|4",SWOT!$P$2:$P$24,0))&amp;" — "&amp;INDEX(SWOT!$D$2:$D$24,MATCH("Oportunidade|4",SWOT!$P$2:$P$24,0)),"")</f>
        <v>• SWT-O04 — Visão artificial, dados e rastreabilidade para prevenir perdas em vez de inspecionar.</v>
      </c>
      <c r="B17" s="18" t="str">
        <f>IFERROR(IF(INDEX(SWOT!$L$2:$L$24,MATCH("Ameaça|4",SWOT!$P$2:$P$24,0))="Sim","► ","• ")&amp;INDEX(SWOT!$A$2:$A$24,MATCH("Ameaça|4",SWOT!$P$2:$P$24,0))&amp;" — "&amp;INDEX(SWOT!$D$2:$D$24,MATCH("Ameaça|4",SWOT!$P$2:$P$24,0)),"")</f>
        <v>• SWT-T04 — Clientes exigem Cpk, rastreabilidade e zero defeito, com risco de reclamação e devolução (CPMU 4,76).</v>
      </c>
    </row>
    <row r="18" spans="1:2" ht="42" customHeight="1" x14ac:dyDescent="0.3">
      <c r="A18" s="18" t="str">
        <f>IFERROR(IF(INDEX(SWOT!$L$2:$L$24,MATCH("Oportunidade|5",SWOT!$P$2:$P$24,0))="Sim","► ","• ")&amp;INDEX(SWOT!$A$2:$A$24,MATCH("Oportunidade|5",SWOT!$P$2:$P$24,0))&amp;" — "&amp;INDEX(SWOT!$D$2:$D$24,MATCH("Oportunidade|5",SWOT!$P$2:$P$24,0)),"")</f>
        <v>• SWT-O05 — Sazonalidade previsível da procura (pico set–nov).</v>
      </c>
      <c r="B18" s="18" t="str">
        <f>IFERROR(IF(INDEX(SWOT!$L$2:$L$24,MATCH("Ameaça|5",SWOT!$P$2:$P$24,0))="Sim","► ","• ")&amp;INDEX(SWOT!$A$2:$A$24,MATCH("Ameaça|5",SWOT!$P$2:$P$24,0))&amp;" — "&amp;INDEX(SWOT!$D$2:$D$24,MATCH("Ameaça|5",SWOT!$P$2:$P$24,0)),"")</f>
        <v/>
      </c>
    </row>
    <row r="19" spans="1:2" ht="42" customHeight="1" x14ac:dyDescent="0.3">
      <c r="A19" s="18" t="str">
        <f>IFERROR(IF(INDEX(SWOT!$L$2:$L$24,MATCH("Oportunidade|6",SWOT!$P$2:$P$24,0))="Sim","► ","• ")&amp;INDEX(SWOT!$A$2:$A$24,MATCH("Oportunidade|6",SWOT!$P$2:$P$24,0))&amp;" — "&amp;INDEX(SWOT!$D$2:$D$24,MATCH("Oportunidade|6",SWOT!$P$2:$P$24,0)),"")</f>
        <v/>
      </c>
      <c r="B19" s="18" t="str">
        <f>IFERROR(IF(INDEX(SWOT!$L$2:$L$24,MATCH("Ameaça|6",SWOT!$P$2:$P$24,0))="Sim","► ","• ")&amp;INDEX(SWOT!$A$2:$A$24,MATCH("Ameaça|6",SWOT!$P$2:$P$24,0))&amp;" — "&amp;INDEX(SWOT!$D$2:$D$24,MATCH("Ameaça|6",SWOT!$P$2:$P$24,0)),"")</f>
        <v/>
      </c>
    </row>
    <row r="20" spans="1:2" ht="42" customHeight="1" x14ac:dyDescent="0.3">
      <c r="A20" s="18" t="str">
        <f>IFERROR(IF(INDEX(SWOT!$L$2:$L$24,MATCH("Oportunidade|7",SWOT!$P$2:$P$24,0))="Sim","► ","• ")&amp;INDEX(SWOT!$A$2:$A$24,MATCH("Oportunidade|7",SWOT!$P$2:$P$24,0))&amp;" — "&amp;INDEX(SWOT!$D$2:$D$24,MATCH("Oportunidade|7",SWOT!$P$2:$P$24,0)),"")</f>
        <v/>
      </c>
      <c r="B20" s="18" t="str">
        <f>IFERROR(IF(INDEX(SWOT!$L$2:$L$24,MATCH("Ameaça|7",SWOT!$P$2:$P$24,0))="Sim","► ","• ")&amp;INDEX(SWOT!$A$2:$A$24,MATCH("Ameaça|7",SWOT!$P$2:$P$24,0))&amp;" — "&amp;INDEX(SWOT!$D$2:$D$24,MATCH("Ameaça|7",SWOT!$P$2:$P$24,0)),"")</f>
        <v/>
      </c>
    </row>
  </sheetData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30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7" customWidth="1"/>
    <col min="2" max="2" width="30" customWidth="1"/>
    <col min="3" max="3" width="9" customWidth="1"/>
    <col min="4" max="4" width="24" customWidth="1"/>
    <col min="5" max="5" width="50" customWidth="1"/>
    <col min="6" max="6" width="18" customWidth="1"/>
    <col min="7" max="7" width="8" customWidth="1"/>
    <col min="8" max="8" width="9" customWidth="1"/>
    <col min="9" max="9" width="22" customWidth="1"/>
    <col min="10" max="10" width="18" customWidth="1"/>
    <col min="11" max="11" width="34" customWidth="1"/>
    <col min="12" max="12" width="12" customWidth="1"/>
    <col min="13" max="14" width="9" customWidth="1"/>
    <col min="15" max="15" width="20" customWidth="1"/>
    <col min="16" max="16" width="8" customWidth="1"/>
    <col min="17" max="17" width="26" customWidth="1"/>
    <col min="18" max="18" width="11" customWidth="1"/>
    <col min="19" max="19" width="18" customWidth="1"/>
    <col min="20" max="20" width="44" customWidth="1"/>
  </cols>
  <sheetData>
    <row r="1" spans="1:20" ht="17.399999999999999" x14ac:dyDescent="0.3">
      <c r="A1" s="1" t="s">
        <v>563</v>
      </c>
    </row>
    <row r="2" spans="1:20" x14ac:dyDescent="0.3">
      <c r="A2" s="2" t="s">
        <v>564</v>
      </c>
    </row>
    <row r="4" spans="1:20" ht="39.6" x14ac:dyDescent="0.3">
      <c r="A4" s="8" t="s">
        <v>565</v>
      </c>
      <c r="B4" s="8" t="s">
        <v>82</v>
      </c>
      <c r="C4" s="8" t="s">
        <v>566</v>
      </c>
      <c r="D4" s="8" t="s">
        <v>567</v>
      </c>
      <c r="E4" s="8" t="s">
        <v>568</v>
      </c>
      <c r="F4" s="8" t="s">
        <v>569</v>
      </c>
      <c r="G4" s="8" t="s">
        <v>570</v>
      </c>
      <c r="H4" s="8" t="s">
        <v>571</v>
      </c>
      <c r="I4" s="8" t="s">
        <v>572</v>
      </c>
      <c r="J4" s="8" t="s">
        <v>573</v>
      </c>
      <c r="K4" s="8" t="s">
        <v>531</v>
      </c>
      <c r="L4" s="8" t="s">
        <v>574</v>
      </c>
      <c r="M4" s="8" t="s">
        <v>575</v>
      </c>
      <c r="N4" s="8" t="s">
        <v>576</v>
      </c>
      <c r="O4" s="9" t="s">
        <v>304</v>
      </c>
      <c r="P4" s="8" t="s">
        <v>81</v>
      </c>
      <c r="Q4" s="8" t="s">
        <v>85</v>
      </c>
      <c r="R4" s="8" t="s">
        <v>577</v>
      </c>
      <c r="S4" s="8" t="s">
        <v>89</v>
      </c>
      <c r="T4" s="8" t="s">
        <v>578</v>
      </c>
    </row>
    <row r="5" spans="1:20" ht="45" customHeight="1" x14ac:dyDescent="0.3">
      <c r="A5" s="10" t="s">
        <v>579</v>
      </c>
      <c r="B5" s="10" t="s">
        <v>260</v>
      </c>
      <c r="C5" s="10" t="s">
        <v>580</v>
      </c>
      <c r="D5" s="10" t="s">
        <v>581</v>
      </c>
      <c r="E5" s="10" t="s">
        <v>582</v>
      </c>
      <c r="F5" s="10" t="s">
        <v>159</v>
      </c>
      <c r="G5" s="10" t="s">
        <v>312</v>
      </c>
      <c r="H5" s="10" t="s">
        <v>312</v>
      </c>
      <c r="I5" s="10" t="s">
        <v>224</v>
      </c>
      <c r="J5" s="10" t="s">
        <v>583</v>
      </c>
      <c r="K5" s="10" t="s">
        <v>584</v>
      </c>
      <c r="L5" s="10" t="s">
        <v>585</v>
      </c>
      <c r="M5" s="10" t="s">
        <v>586</v>
      </c>
      <c r="N5" s="10" t="s">
        <v>587</v>
      </c>
      <c r="O5" s="13" t="str">
        <f t="shared" ref="O5:O30" si="0">IF(A5="","",IF(AND(M5="Alta",N5="Alta"),"Gerir de perto",IF(M5="Alta","Manter satisfeita",IF(N5="Alta","Manter informada","Monitorizar"))))</f>
        <v>Manter informada</v>
      </c>
      <c r="P5" s="10" t="s">
        <v>164</v>
      </c>
      <c r="Q5" s="10" t="s">
        <v>588</v>
      </c>
      <c r="R5" s="14">
        <v>46289</v>
      </c>
      <c r="S5" s="10" t="s">
        <v>589</v>
      </c>
      <c r="T5" s="10" t="s">
        <v>590</v>
      </c>
    </row>
    <row r="6" spans="1:20" ht="45" customHeight="1" x14ac:dyDescent="0.3">
      <c r="A6" s="10" t="s">
        <v>591</v>
      </c>
      <c r="B6" s="10" t="s">
        <v>592</v>
      </c>
      <c r="C6" s="10" t="s">
        <v>580</v>
      </c>
      <c r="D6" s="10" t="s">
        <v>593</v>
      </c>
      <c r="E6" s="10" t="s">
        <v>594</v>
      </c>
      <c r="F6" s="10" t="s">
        <v>114</v>
      </c>
      <c r="G6" s="10" t="s">
        <v>312</v>
      </c>
      <c r="H6" s="10" t="s">
        <v>312</v>
      </c>
      <c r="I6" s="10" t="s">
        <v>595</v>
      </c>
      <c r="J6" s="10"/>
      <c r="K6" s="10" t="s">
        <v>596</v>
      </c>
      <c r="L6" s="10" t="s">
        <v>597</v>
      </c>
      <c r="M6" s="10" t="s">
        <v>586</v>
      </c>
      <c r="N6" s="10" t="s">
        <v>586</v>
      </c>
      <c r="O6" s="13" t="str">
        <f t="shared" si="0"/>
        <v>Monitorizar</v>
      </c>
      <c r="P6" s="10"/>
      <c r="Q6" s="10" t="s">
        <v>588</v>
      </c>
      <c r="R6" s="14">
        <v>46289</v>
      </c>
      <c r="S6" s="10"/>
      <c r="T6" s="10"/>
    </row>
    <row r="7" spans="1:20" ht="45" customHeight="1" x14ac:dyDescent="0.3">
      <c r="A7" s="10" t="s">
        <v>598</v>
      </c>
      <c r="B7" s="10" t="s">
        <v>295</v>
      </c>
      <c r="C7" s="10" t="s">
        <v>580</v>
      </c>
      <c r="D7" s="10" t="s">
        <v>599</v>
      </c>
      <c r="E7" s="10" t="s">
        <v>600</v>
      </c>
      <c r="F7" s="10" t="s">
        <v>94</v>
      </c>
      <c r="G7" s="10" t="s">
        <v>312</v>
      </c>
      <c r="H7" s="10" t="s">
        <v>319</v>
      </c>
      <c r="I7" s="10" t="s">
        <v>601</v>
      </c>
      <c r="J7" s="10"/>
      <c r="K7" s="10" t="s">
        <v>602</v>
      </c>
      <c r="L7" s="10" t="s">
        <v>603</v>
      </c>
      <c r="M7" s="10" t="s">
        <v>587</v>
      </c>
      <c r="N7" s="10" t="s">
        <v>587</v>
      </c>
      <c r="O7" s="13" t="str">
        <f t="shared" si="0"/>
        <v>Gerir de perto</v>
      </c>
      <c r="P7" s="10" t="s">
        <v>122</v>
      </c>
      <c r="Q7" s="10" t="s">
        <v>154</v>
      </c>
      <c r="R7" s="14">
        <v>46289</v>
      </c>
      <c r="S7" s="10" t="s">
        <v>604</v>
      </c>
      <c r="T7" s="10" t="s">
        <v>605</v>
      </c>
    </row>
    <row r="8" spans="1:20" ht="45" customHeight="1" x14ac:dyDescent="0.3">
      <c r="A8" s="10" t="s">
        <v>606</v>
      </c>
      <c r="B8" s="10" t="s">
        <v>280</v>
      </c>
      <c r="C8" s="10" t="s">
        <v>607</v>
      </c>
      <c r="D8" s="10" t="s">
        <v>608</v>
      </c>
      <c r="E8" s="10" t="s">
        <v>609</v>
      </c>
      <c r="F8" s="10" t="s">
        <v>130</v>
      </c>
      <c r="G8" s="10" t="s">
        <v>312</v>
      </c>
      <c r="H8" s="10" t="s">
        <v>312</v>
      </c>
      <c r="I8" s="10" t="s">
        <v>595</v>
      </c>
      <c r="J8" s="10" t="s">
        <v>610</v>
      </c>
      <c r="K8" s="10" t="s">
        <v>611</v>
      </c>
      <c r="L8" s="10" t="s">
        <v>612</v>
      </c>
      <c r="M8" s="10" t="s">
        <v>587</v>
      </c>
      <c r="N8" s="10" t="s">
        <v>587</v>
      </c>
      <c r="O8" s="13" t="str">
        <f t="shared" si="0"/>
        <v>Gerir de perto</v>
      </c>
      <c r="P8" s="10" t="s">
        <v>150</v>
      </c>
      <c r="Q8" s="10" t="s">
        <v>517</v>
      </c>
      <c r="R8" s="14">
        <v>46289</v>
      </c>
      <c r="S8" s="10" t="s">
        <v>613</v>
      </c>
      <c r="T8" s="10" t="s">
        <v>614</v>
      </c>
    </row>
    <row r="9" spans="1:20" ht="45" customHeight="1" x14ac:dyDescent="0.3">
      <c r="A9" s="10" t="s">
        <v>615</v>
      </c>
      <c r="B9" s="10" t="s">
        <v>616</v>
      </c>
      <c r="C9" s="10" t="s">
        <v>607</v>
      </c>
      <c r="D9" s="10" t="s">
        <v>617</v>
      </c>
      <c r="E9" s="10" t="s">
        <v>618</v>
      </c>
      <c r="F9" s="10" t="s">
        <v>159</v>
      </c>
      <c r="G9" s="10" t="s">
        <v>312</v>
      </c>
      <c r="H9" s="10" t="s">
        <v>312</v>
      </c>
      <c r="I9" s="10" t="s">
        <v>224</v>
      </c>
      <c r="J9" s="10" t="s">
        <v>619</v>
      </c>
      <c r="K9" s="10" t="s">
        <v>620</v>
      </c>
      <c r="L9" s="10" t="s">
        <v>621</v>
      </c>
      <c r="M9" s="10" t="s">
        <v>587</v>
      </c>
      <c r="N9" s="10" t="s">
        <v>587</v>
      </c>
      <c r="O9" s="13" t="str">
        <f t="shared" si="0"/>
        <v>Gerir de perto</v>
      </c>
      <c r="P9" s="10" t="s">
        <v>230</v>
      </c>
      <c r="Q9" s="10" t="s">
        <v>522</v>
      </c>
      <c r="R9" s="14">
        <v>46289</v>
      </c>
      <c r="S9" s="10" t="s">
        <v>613</v>
      </c>
      <c r="T9" s="10" t="s">
        <v>614</v>
      </c>
    </row>
    <row r="10" spans="1:20" ht="45" customHeight="1" x14ac:dyDescent="0.3">
      <c r="A10" s="10" t="s">
        <v>622</v>
      </c>
      <c r="B10" s="10" t="s">
        <v>623</v>
      </c>
      <c r="C10" s="10" t="s">
        <v>607</v>
      </c>
      <c r="D10" s="10" t="s">
        <v>624</v>
      </c>
      <c r="E10" s="10" t="s">
        <v>625</v>
      </c>
      <c r="F10" s="10" t="s">
        <v>130</v>
      </c>
      <c r="G10" s="10" t="s">
        <v>312</v>
      </c>
      <c r="H10" s="10" t="s">
        <v>319</v>
      </c>
      <c r="I10" s="10" t="s">
        <v>601</v>
      </c>
      <c r="J10" s="10"/>
      <c r="K10" s="10" t="s">
        <v>626</v>
      </c>
      <c r="L10" s="10" t="s">
        <v>585</v>
      </c>
      <c r="M10" s="10" t="s">
        <v>586</v>
      </c>
      <c r="N10" s="10" t="s">
        <v>586</v>
      </c>
      <c r="O10" s="13" t="str">
        <f t="shared" si="0"/>
        <v>Monitorizar</v>
      </c>
      <c r="P10" s="10" t="s">
        <v>136</v>
      </c>
      <c r="Q10" s="10" t="s">
        <v>511</v>
      </c>
      <c r="R10" s="14">
        <v>46289</v>
      </c>
      <c r="S10" s="10" t="s">
        <v>627</v>
      </c>
      <c r="T10" s="10" t="s">
        <v>628</v>
      </c>
    </row>
    <row r="11" spans="1:20" ht="45" customHeight="1" x14ac:dyDescent="0.3">
      <c r="A11" s="10" t="s">
        <v>629</v>
      </c>
      <c r="B11" s="10" t="s">
        <v>630</v>
      </c>
      <c r="C11" s="10" t="s">
        <v>607</v>
      </c>
      <c r="D11" s="10" t="s">
        <v>631</v>
      </c>
      <c r="E11" s="10" t="s">
        <v>632</v>
      </c>
      <c r="F11" s="10" t="s">
        <v>159</v>
      </c>
      <c r="G11" s="10" t="s">
        <v>312</v>
      </c>
      <c r="H11" s="10" t="s">
        <v>312</v>
      </c>
      <c r="I11" s="10" t="s">
        <v>224</v>
      </c>
      <c r="J11" s="10" t="s">
        <v>633</v>
      </c>
      <c r="K11" s="10" t="s">
        <v>634</v>
      </c>
      <c r="L11" s="10" t="s">
        <v>635</v>
      </c>
      <c r="M11" s="10" t="s">
        <v>586</v>
      </c>
      <c r="N11" s="10" t="s">
        <v>586</v>
      </c>
      <c r="O11" s="13" t="str">
        <f t="shared" si="0"/>
        <v>Monitorizar</v>
      </c>
      <c r="P11" s="10"/>
      <c r="Q11" s="10" t="s">
        <v>636</v>
      </c>
      <c r="R11" s="14">
        <v>46289</v>
      </c>
      <c r="S11" s="10" t="s">
        <v>637</v>
      </c>
      <c r="T11" s="10" t="s">
        <v>638</v>
      </c>
    </row>
    <row r="12" spans="1:20" ht="45" customHeight="1" x14ac:dyDescent="0.3">
      <c r="A12" s="10" t="s">
        <v>639</v>
      </c>
      <c r="B12" s="10" t="s">
        <v>271</v>
      </c>
      <c r="C12" s="10" t="s">
        <v>607</v>
      </c>
      <c r="D12" s="10" t="s">
        <v>640</v>
      </c>
      <c r="E12" s="10" t="s">
        <v>641</v>
      </c>
      <c r="F12" s="10" t="s">
        <v>159</v>
      </c>
      <c r="G12" s="10" t="s">
        <v>312</v>
      </c>
      <c r="H12" s="10" t="s">
        <v>312</v>
      </c>
      <c r="I12" s="10" t="s">
        <v>224</v>
      </c>
      <c r="J12" s="10" t="s">
        <v>642</v>
      </c>
      <c r="K12" s="10" t="s">
        <v>643</v>
      </c>
      <c r="L12" s="10" t="s">
        <v>621</v>
      </c>
      <c r="M12" s="10" t="s">
        <v>587</v>
      </c>
      <c r="N12" s="10" t="s">
        <v>586</v>
      </c>
      <c r="O12" s="13" t="str">
        <f t="shared" si="0"/>
        <v>Manter satisfeita</v>
      </c>
      <c r="P12" s="10" t="s">
        <v>230</v>
      </c>
      <c r="Q12" s="10" t="s">
        <v>107</v>
      </c>
      <c r="R12" s="14">
        <v>46289</v>
      </c>
      <c r="S12" s="10" t="s">
        <v>644</v>
      </c>
      <c r="T12" s="10" t="s">
        <v>645</v>
      </c>
    </row>
    <row r="13" spans="1:20" ht="45" customHeight="1" x14ac:dyDescent="0.3">
      <c r="A13" s="10" t="s">
        <v>646</v>
      </c>
      <c r="B13" s="10" t="s">
        <v>647</v>
      </c>
      <c r="C13" s="10" t="s">
        <v>607</v>
      </c>
      <c r="D13" s="10" t="s">
        <v>648</v>
      </c>
      <c r="E13" s="10" t="s">
        <v>649</v>
      </c>
      <c r="F13" s="10" t="s">
        <v>159</v>
      </c>
      <c r="G13" s="10" t="s">
        <v>312</v>
      </c>
      <c r="H13" s="10" t="s">
        <v>312</v>
      </c>
      <c r="I13" s="10" t="s">
        <v>224</v>
      </c>
      <c r="J13" s="10" t="s">
        <v>650</v>
      </c>
      <c r="K13" s="10" t="s">
        <v>651</v>
      </c>
      <c r="L13" s="10" t="s">
        <v>597</v>
      </c>
      <c r="M13" s="10" t="s">
        <v>586</v>
      </c>
      <c r="N13" s="10" t="s">
        <v>586</v>
      </c>
      <c r="O13" s="13" t="str">
        <f t="shared" si="0"/>
        <v>Monitorizar</v>
      </c>
      <c r="P13" s="10" t="s">
        <v>652</v>
      </c>
      <c r="Q13" s="10" t="s">
        <v>107</v>
      </c>
      <c r="R13" s="14">
        <v>46289</v>
      </c>
      <c r="S13" s="10"/>
      <c r="T13" s="10"/>
    </row>
    <row r="14" spans="1:20" ht="45" customHeight="1" x14ac:dyDescent="0.3">
      <c r="A14" s="10" t="s">
        <v>653</v>
      </c>
      <c r="B14" s="10" t="s">
        <v>654</v>
      </c>
      <c r="C14" s="10" t="s">
        <v>607</v>
      </c>
      <c r="D14" s="10" t="s">
        <v>655</v>
      </c>
      <c r="E14" s="10" t="s">
        <v>656</v>
      </c>
      <c r="F14" s="10" t="s">
        <v>130</v>
      </c>
      <c r="G14" s="10" t="s">
        <v>312</v>
      </c>
      <c r="H14" s="10" t="s">
        <v>312</v>
      </c>
      <c r="I14" s="10" t="s">
        <v>224</v>
      </c>
      <c r="J14" s="10" t="s">
        <v>657</v>
      </c>
      <c r="K14" s="10" t="s">
        <v>658</v>
      </c>
      <c r="L14" s="10" t="s">
        <v>612</v>
      </c>
      <c r="M14" s="10" t="s">
        <v>586</v>
      </c>
      <c r="N14" s="10" t="s">
        <v>586</v>
      </c>
      <c r="O14" s="13" t="str">
        <f t="shared" si="0"/>
        <v>Monitorizar</v>
      </c>
      <c r="P14" s="10" t="s">
        <v>194</v>
      </c>
      <c r="Q14" s="10" t="s">
        <v>494</v>
      </c>
      <c r="R14" s="14">
        <v>46289</v>
      </c>
      <c r="S14" s="10"/>
      <c r="T14" s="10"/>
    </row>
    <row r="15" spans="1:20" ht="45" customHeight="1" x14ac:dyDescent="0.3">
      <c r="A15" s="10" t="s">
        <v>659</v>
      </c>
      <c r="B15" s="10" t="s">
        <v>660</v>
      </c>
      <c r="C15" s="10" t="s">
        <v>607</v>
      </c>
      <c r="D15" s="10" t="s">
        <v>661</v>
      </c>
      <c r="E15" s="10" t="s">
        <v>662</v>
      </c>
      <c r="F15" s="10" t="s">
        <v>217</v>
      </c>
      <c r="G15" s="10" t="s">
        <v>312</v>
      </c>
      <c r="H15" s="10" t="s">
        <v>312</v>
      </c>
      <c r="I15" s="10" t="s">
        <v>595</v>
      </c>
      <c r="J15" s="10" t="s">
        <v>663</v>
      </c>
      <c r="K15" s="10" t="s">
        <v>664</v>
      </c>
      <c r="L15" s="10" t="s">
        <v>621</v>
      </c>
      <c r="M15" s="10" t="s">
        <v>586</v>
      </c>
      <c r="N15" s="10" t="s">
        <v>587</v>
      </c>
      <c r="O15" s="13" t="str">
        <f t="shared" si="0"/>
        <v>Manter informada</v>
      </c>
      <c r="P15" s="10" t="s">
        <v>652</v>
      </c>
      <c r="Q15" s="10" t="s">
        <v>107</v>
      </c>
      <c r="R15" s="14">
        <v>46289</v>
      </c>
      <c r="S15" s="10" t="s">
        <v>665</v>
      </c>
      <c r="T15" s="10" t="s">
        <v>666</v>
      </c>
    </row>
    <row r="16" spans="1:20" ht="45" customHeight="1" x14ac:dyDescent="0.3">
      <c r="A16" s="10" t="s">
        <v>667</v>
      </c>
      <c r="B16" s="10" t="s">
        <v>668</v>
      </c>
      <c r="C16" s="10" t="s">
        <v>607</v>
      </c>
      <c r="D16" s="10" t="s">
        <v>669</v>
      </c>
      <c r="E16" s="10" t="s">
        <v>670</v>
      </c>
      <c r="F16" s="10" t="s">
        <v>94</v>
      </c>
      <c r="G16" s="10" t="s">
        <v>312</v>
      </c>
      <c r="H16" s="10" t="s">
        <v>312</v>
      </c>
      <c r="I16" s="10" t="s">
        <v>595</v>
      </c>
      <c r="J16" s="10" t="s">
        <v>671</v>
      </c>
      <c r="K16" s="10" t="s">
        <v>672</v>
      </c>
      <c r="L16" s="10" t="s">
        <v>621</v>
      </c>
      <c r="M16" s="10" t="s">
        <v>586</v>
      </c>
      <c r="N16" s="10" t="s">
        <v>673</v>
      </c>
      <c r="O16" s="13" t="str">
        <f t="shared" si="0"/>
        <v>Monitorizar</v>
      </c>
      <c r="P16" s="10" t="s">
        <v>212</v>
      </c>
      <c r="Q16" s="10" t="s">
        <v>125</v>
      </c>
      <c r="R16" s="14">
        <v>46289</v>
      </c>
      <c r="S16" s="10" t="s">
        <v>674</v>
      </c>
      <c r="T16" s="10" t="s">
        <v>675</v>
      </c>
    </row>
    <row r="17" spans="1:20" ht="45" customHeight="1" x14ac:dyDescent="0.3">
      <c r="A17" s="10" t="s">
        <v>676</v>
      </c>
      <c r="B17" s="10" t="s">
        <v>677</v>
      </c>
      <c r="C17" s="10" t="s">
        <v>607</v>
      </c>
      <c r="D17" s="10" t="s">
        <v>678</v>
      </c>
      <c r="E17" s="10" t="s">
        <v>679</v>
      </c>
      <c r="F17" s="10" t="s">
        <v>217</v>
      </c>
      <c r="G17" s="10" t="s">
        <v>312</v>
      </c>
      <c r="H17" s="10" t="s">
        <v>312</v>
      </c>
      <c r="I17" s="10" t="s">
        <v>595</v>
      </c>
      <c r="J17" s="10" t="s">
        <v>680</v>
      </c>
      <c r="K17" s="10" t="s">
        <v>681</v>
      </c>
      <c r="L17" s="10" t="s">
        <v>621</v>
      </c>
      <c r="M17" s="10" t="s">
        <v>673</v>
      </c>
      <c r="N17" s="10" t="s">
        <v>586</v>
      </c>
      <c r="O17" s="13" t="str">
        <f t="shared" si="0"/>
        <v>Monitorizar</v>
      </c>
      <c r="P17" s="10" t="s">
        <v>221</v>
      </c>
      <c r="Q17" s="10" t="s">
        <v>107</v>
      </c>
      <c r="R17" s="14">
        <v>46289</v>
      </c>
      <c r="S17" s="10"/>
      <c r="T17" s="10"/>
    </row>
    <row r="18" spans="1:20" ht="45" customHeight="1" x14ac:dyDescent="0.3">
      <c r="A18" s="10" t="s">
        <v>682</v>
      </c>
      <c r="B18" s="10" t="s">
        <v>683</v>
      </c>
      <c r="C18" s="10" t="s">
        <v>607</v>
      </c>
      <c r="D18" s="10" t="s">
        <v>684</v>
      </c>
      <c r="E18" s="10" t="s">
        <v>685</v>
      </c>
      <c r="F18" s="10" t="s">
        <v>208</v>
      </c>
      <c r="G18" s="10" t="s">
        <v>312</v>
      </c>
      <c r="H18" s="10" t="s">
        <v>319</v>
      </c>
      <c r="I18" s="10" t="s">
        <v>601</v>
      </c>
      <c r="J18" s="10"/>
      <c r="K18" s="10" t="s">
        <v>686</v>
      </c>
      <c r="L18" s="10" t="s">
        <v>603</v>
      </c>
      <c r="M18" s="10" t="s">
        <v>673</v>
      </c>
      <c r="N18" s="10" t="s">
        <v>586</v>
      </c>
      <c r="O18" s="13" t="str">
        <f t="shared" si="0"/>
        <v>Monitorizar</v>
      </c>
      <c r="P18" s="10" t="s">
        <v>221</v>
      </c>
      <c r="Q18" s="10" t="s">
        <v>107</v>
      </c>
      <c r="R18" s="14">
        <v>46289</v>
      </c>
      <c r="S18" s="10"/>
      <c r="T18" s="10"/>
    </row>
    <row r="19" spans="1:20" ht="45" customHeight="1" x14ac:dyDescent="0.3">
      <c r="A19" s="10" t="s">
        <v>687</v>
      </c>
      <c r="B19" s="10" t="s">
        <v>688</v>
      </c>
      <c r="C19" s="10" t="s">
        <v>607</v>
      </c>
      <c r="D19" s="10" t="s">
        <v>689</v>
      </c>
      <c r="E19" s="10" t="s">
        <v>690</v>
      </c>
      <c r="F19" s="10" t="s">
        <v>208</v>
      </c>
      <c r="G19" s="10" t="s">
        <v>312</v>
      </c>
      <c r="H19" s="10" t="s">
        <v>312</v>
      </c>
      <c r="I19" s="10" t="s">
        <v>224</v>
      </c>
      <c r="J19" s="10" t="s">
        <v>671</v>
      </c>
      <c r="K19" s="10" t="s">
        <v>691</v>
      </c>
      <c r="L19" s="10" t="s">
        <v>621</v>
      </c>
      <c r="M19" s="10" t="s">
        <v>586</v>
      </c>
      <c r="N19" s="10" t="s">
        <v>673</v>
      </c>
      <c r="O19" s="13" t="str">
        <f t="shared" si="0"/>
        <v>Monitorizar</v>
      </c>
      <c r="P19" s="10" t="s">
        <v>212</v>
      </c>
      <c r="Q19" s="10" t="s">
        <v>178</v>
      </c>
      <c r="R19" s="14">
        <v>46289</v>
      </c>
      <c r="S19" s="10"/>
      <c r="T19" s="10"/>
    </row>
    <row r="20" spans="1:20" ht="45" customHeight="1" x14ac:dyDescent="0.3">
      <c r="A20" s="10" t="s">
        <v>692</v>
      </c>
      <c r="B20" s="10" t="s">
        <v>693</v>
      </c>
      <c r="C20" s="10" t="s">
        <v>607</v>
      </c>
      <c r="D20" s="10" t="s">
        <v>694</v>
      </c>
      <c r="E20" s="10" t="s">
        <v>695</v>
      </c>
      <c r="F20" s="10" t="s">
        <v>114</v>
      </c>
      <c r="G20" s="10" t="s">
        <v>312</v>
      </c>
      <c r="H20" s="10" t="s">
        <v>312</v>
      </c>
      <c r="I20" s="10" t="s">
        <v>224</v>
      </c>
      <c r="J20" s="10" t="s">
        <v>696</v>
      </c>
      <c r="K20" s="10" t="s">
        <v>697</v>
      </c>
      <c r="L20" s="10" t="s">
        <v>597</v>
      </c>
      <c r="M20" s="10" t="s">
        <v>587</v>
      </c>
      <c r="N20" s="10" t="s">
        <v>586</v>
      </c>
      <c r="O20" s="13" t="str">
        <f t="shared" si="0"/>
        <v>Manter satisfeita</v>
      </c>
      <c r="P20" s="10"/>
      <c r="Q20" s="10" t="s">
        <v>588</v>
      </c>
      <c r="R20" s="14">
        <v>46289</v>
      </c>
      <c r="S20" s="10" t="s">
        <v>698</v>
      </c>
      <c r="T20" s="10" t="s">
        <v>699</v>
      </c>
    </row>
    <row r="21" spans="1:20" ht="45" customHeight="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3" t="str">
        <f t="shared" si="0"/>
        <v/>
      </c>
      <c r="P21" s="10"/>
      <c r="Q21" s="10"/>
      <c r="R21" s="14"/>
      <c r="S21" s="10"/>
      <c r="T21" s="10"/>
    </row>
    <row r="22" spans="1:20" ht="45" customHeight="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3" t="str">
        <f t="shared" si="0"/>
        <v/>
      </c>
      <c r="P22" s="10"/>
      <c r="Q22" s="10"/>
      <c r="R22" s="14"/>
      <c r="S22" s="10"/>
      <c r="T22" s="10"/>
    </row>
    <row r="23" spans="1:20" ht="45" customHeigh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3" t="str">
        <f t="shared" si="0"/>
        <v/>
      </c>
      <c r="P23" s="10"/>
      <c r="Q23" s="10"/>
      <c r="R23" s="14"/>
      <c r="S23" s="10"/>
      <c r="T23" s="10"/>
    </row>
    <row r="24" spans="1:20" ht="45" customHeight="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3" t="str">
        <f t="shared" si="0"/>
        <v/>
      </c>
      <c r="P24" s="10"/>
      <c r="Q24" s="10"/>
      <c r="R24" s="14"/>
      <c r="S24" s="10"/>
      <c r="T24" s="10"/>
    </row>
    <row r="25" spans="1:20" ht="45" customHeight="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3" t="str">
        <f t="shared" si="0"/>
        <v/>
      </c>
      <c r="P25" s="10"/>
      <c r="Q25" s="10"/>
      <c r="R25" s="14"/>
      <c r="S25" s="10"/>
      <c r="T25" s="10"/>
    </row>
    <row r="26" spans="1:20" ht="45" customHeight="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3" t="str">
        <f t="shared" si="0"/>
        <v/>
      </c>
      <c r="P26" s="10"/>
      <c r="Q26" s="10"/>
      <c r="R26" s="14"/>
      <c r="S26" s="10"/>
      <c r="T26" s="10"/>
    </row>
    <row r="27" spans="1:20" ht="45" customHeight="1" x14ac:dyDescent="0.3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3" t="str">
        <f t="shared" si="0"/>
        <v/>
      </c>
      <c r="P27" s="10"/>
      <c r="Q27" s="10"/>
      <c r="R27" s="14"/>
      <c r="S27" s="10"/>
      <c r="T27" s="10"/>
    </row>
    <row r="28" spans="1:20" ht="45" customHeight="1" x14ac:dyDescent="0.3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3" t="str">
        <f t="shared" si="0"/>
        <v/>
      </c>
      <c r="P28" s="10"/>
      <c r="Q28" s="10"/>
      <c r="R28" s="14"/>
      <c r="S28" s="10"/>
      <c r="T28" s="10"/>
    </row>
    <row r="29" spans="1:20" ht="45" customHeight="1" x14ac:dyDescent="0.3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3" t="str">
        <f t="shared" si="0"/>
        <v/>
      </c>
      <c r="P29" s="10"/>
      <c r="Q29" s="10"/>
      <c r="R29" s="14"/>
      <c r="S29" s="10"/>
      <c r="T29" s="10"/>
    </row>
    <row r="30" spans="1:20" ht="45" customHeight="1" x14ac:dyDescent="0.3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3" t="str">
        <f t="shared" si="0"/>
        <v/>
      </c>
      <c r="P30" s="10"/>
      <c r="Q30" s="10"/>
      <c r="R30" s="14"/>
      <c r="S30" s="10"/>
      <c r="T30" s="10"/>
    </row>
  </sheetData>
  <conditionalFormatting sqref="H5:H230">
    <cfRule type="expression" dxfId="3" priority="1">
      <formula>ISNUMBER(SEARCH("Sim",H5))</formula>
    </cfRule>
  </conditionalFormatting>
  <conditionalFormatting sqref="O5:O230">
    <cfRule type="expression" dxfId="2" priority="2">
      <formula>ISNUMBER(SEARCH("perto",O5))</formula>
    </cfRule>
    <cfRule type="expression" dxfId="1" priority="3">
      <formula>ISNUMBER(SEARCH("satisfeita",O5))</formula>
    </cfRule>
    <cfRule type="expression" dxfId="0" priority="4">
      <formula>ISNUMBER(SEARCH("informada",O5))</formula>
    </cfRule>
  </conditionalFormatting>
  <dataValidations count="6">
    <dataValidation type="list" allowBlank="1" showErrorMessage="1" errorTitle="Valor inválido" error="Valor fora da lista controlada (ver folha Listas)." sqref="C5:C230" xr:uid="{00000000-0002-0000-0600-000000000000}">
      <formula1>lst_PI_Tipo</formula1>
    </dataValidation>
    <dataValidation type="list" allowBlank="1" showErrorMessage="1" errorTitle="Valor inválido" error="Valor fora da lista controlada (ver folha Listas)." sqref="F5:F230" xr:uid="{00000000-0002-0000-0600-000001000000}">
      <formula1>lst_PI_Cond</formula1>
    </dataValidation>
    <dataValidation type="list" allowBlank="1" showErrorMessage="1" errorTitle="Valor inválido" error="Valor fora da lista controlada (ver folha Listas)." sqref="G5:H230" xr:uid="{00000000-0002-0000-0600-000002000000}">
      <formula1>lst_PI_SimNao</formula1>
    </dataValidation>
    <dataValidation type="list" allowBlank="1" showErrorMessage="1" errorTitle="Valor inválido" error="Valor fora da lista controlada (ver folha Listas)." sqref="I5:I230" xr:uid="{00000000-0002-0000-0600-000004000000}">
      <formula1>lst_PI_Obrig</formula1>
    </dataValidation>
    <dataValidation type="list" allowBlank="1" showErrorMessage="1" errorTitle="Valor inválido" error="Valor fora da lista controlada (ver folha Listas)." sqref="M5:N230" xr:uid="{00000000-0002-0000-0600-000005000000}">
      <formula1>lst_PI_Nivel</formula1>
    </dataValidation>
    <dataValidation type="list" allowBlank="1" showErrorMessage="1" errorTitle="Valor inválido" error="Valor fora da lista controlada (ver folha Listas)." sqref="Q5:Q230" xr:uid="{00000000-0002-0000-0600-000007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2" width="16" customWidth="1"/>
    <col min="3" max="4" width="24" customWidth="1"/>
    <col min="5" max="5" width="22" customWidth="1"/>
    <col min="6" max="6" width="16" customWidth="1"/>
    <col min="7" max="7" width="18" customWidth="1"/>
    <col min="8" max="11" width="16" customWidth="1"/>
    <col min="12" max="12" width="38" customWidth="1"/>
    <col min="13" max="13" width="16" customWidth="1"/>
    <col min="14" max="14" width="48" customWidth="1"/>
    <col min="15" max="15" width="28" customWidth="1"/>
    <col min="16" max="16" width="16" customWidth="1"/>
    <col min="17" max="17" width="24" customWidth="1"/>
    <col min="18" max="19" width="16" customWidth="1"/>
    <col min="20" max="20" width="35" customWidth="1"/>
  </cols>
  <sheetData>
    <row r="1" spans="1:20" x14ac:dyDescent="0.3">
      <c r="A1" s="21" t="s">
        <v>700</v>
      </c>
    </row>
    <row r="2" spans="1:20" x14ac:dyDescent="0.3">
      <c r="A2" s="22" t="s">
        <v>701</v>
      </c>
      <c r="B2" s="22" t="s">
        <v>65</v>
      </c>
      <c r="C2" s="22" t="s">
        <v>702</v>
      </c>
      <c r="D2" s="22" t="s">
        <v>703</v>
      </c>
      <c r="E2" s="22" t="s">
        <v>71</v>
      </c>
      <c r="F2" s="22" t="s">
        <v>72</v>
      </c>
      <c r="G2" s="22" t="s">
        <v>73</v>
      </c>
      <c r="H2" s="22" t="s">
        <v>704</v>
      </c>
      <c r="I2" s="22" t="s">
        <v>297</v>
      </c>
      <c r="J2" s="22" t="s">
        <v>705</v>
      </c>
      <c r="K2" s="22" t="s">
        <v>301</v>
      </c>
      <c r="L2" s="22" t="s">
        <v>83</v>
      </c>
      <c r="M2" s="22" t="s">
        <v>84</v>
      </c>
      <c r="N2" s="22" t="s">
        <v>706</v>
      </c>
      <c r="O2" s="22" t="s">
        <v>470</v>
      </c>
      <c r="P2" s="22" t="s">
        <v>707</v>
      </c>
      <c r="Q2" s="22" t="s">
        <v>708</v>
      </c>
      <c r="R2" s="22" t="s">
        <v>709</v>
      </c>
      <c r="S2" s="22" t="s">
        <v>710</v>
      </c>
      <c r="T2" s="22" t="s">
        <v>711</v>
      </c>
    </row>
    <row r="3" spans="1:20" x14ac:dyDescent="0.3">
      <c r="A3" s="23">
        <v>46387</v>
      </c>
      <c r="B3" s="6" t="s">
        <v>91</v>
      </c>
      <c r="C3" s="6" t="s">
        <v>94</v>
      </c>
      <c r="D3" s="6" t="s">
        <v>144</v>
      </c>
      <c r="E3" s="6" t="s">
        <v>116</v>
      </c>
      <c r="F3" s="6" t="s">
        <v>98</v>
      </c>
      <c r="G3" s="6" t="s">
        <v>118</v>
      </c>
      <c r="H3" s="6">
        <v>1</v>
      </c>
      <c r="I3" s="6" t="s">
        <v>307</v>
      </c>
      <c r="J3" s="6" t="s">
        <v>312</v>
      </c>
      <c r="K3" s="6" t="s">
        <v>712</v>
      </c>
      <c r="L3" s="6" t="s">
        <v>124</v>
      </c>
      <c r="M3" s="6" t="s">
        <v>195</v>
      </c>
      <c r="N3" s="6" t="s">
        <v>107</v>
      </c>
      <c r="O3" s="6" t="s">
        <v>476</v>
      </c>
      <c r="P3" s="6" t="s">
        <v>580</v>
      </c>
      <c r="Q3" s="6" t="s">
        <v>159</v>
      </c>
      <c r="R3" s="6" t="s">
        <v>312</v>
      </c>
      <c r="S3" s="6" t="s">
        <v>587</v>
      </c>
      <c r="T3" s="6" t="s">
        <v>224</v>
      </c>
    </row>
    <row r="4" spans="1:20" x14ac:dyDescent="0.3">
      <c r="B4" s="6" t="s">
        <v>111</v>
      </c>
      <c r="C4" s="6" t="s">
        <v>159</v>
      </c>
      <c r="D4" s="6" t="s">
        <v>131</v>
      </c>
      <c r="E4" s="6" t="s">
        <v>146</v>
      </c>
      <c r="F4" s="6" t="s">
        <v>117</v>
      </c>
      <c r="G4" s="6" t="s">
        <v>99</v>
      </c>
      <c r="H4" s="6">
        <v>2</v>
      </c>
      <c r="I4" s="6" t="s">
        <v>361</v>
      </c>
      <c r="J4" s="6" t="s">
        <v>319</v>
      </c>
      <c r="K4" s="6" t="s">
        <v>385</v>
      </c>
      <c r="L4" s="6" t="s">
        <v>204</v>
      </c>
      <c r="M4" s="6" t="s">
        <v>167</v>
      </c>
      <c r="N4" s="6" t="s">
        <v>178</v>
      </c>
      <c r="O4" s="6" t="s">
        <v>483</v>
      </c>
      <c r="P4" s="6" t="s">
        <v>607</v>
      </c>
      <c r="Q4" s="6" t="s">
        <v>130</v>
      </c>
      <c r="R4" s="6" t="s">
        <v>319</v>
      </c>
      <c r="S4" s="6" t="s">
        <v>586</v>
      </c>
      <c r="T4" s="6" t="s">
        <v>595</v>
      </c>
    </row>
    <row r="5" spans="1:20" x14ac:dyDescent="0.3">
      <c r="B5" s="6" t="s">
        <v>141</v>
      </c>
      <c r="C5" s="6" t="s">
        <v>130</v>
      </c>
      <c r="D5" s="6" t="s">
        <v>95</v>
      </c>
      <c r="E5" s="6" t="s">
        <v>97</v>
      </c>
      <c r="F5" s="6" t="s">
        <v>713</v>
      </c>
      <c r="G5" s="6" t="s">
        <v>201</v>
      </c>
      <c r="H5" s="6">
        <v>3</v>
      </c>
      <c r="I5" s="6" t="s">
        <v>146</v>
      </c>
      <c r="K5" s="6" t="s">
        <v>348</v>
      </c>
      <c r="L5" s="6" t="s">
        <v>244</v>
      </c>
      <c r="M5" s="6" t="s">
        <v>106</v>
      </c>
      <c r="N5" s="6" t="s">
        <v>154</v>
      </c>
      <c r="O5" s="6" t="s">
        <v>490</v>
      </c>
      <c r="Q5" s="6" t="s">
        <v>94</v>
      </c>
      <c r="S5" s="6" t="s">
        <v>673</v>
      </c>
      <c r="T5" s="6" t="s">
        <v>601</v>
      </c>
    </row>
    <row r="6" spans="1:20" x14ac:dyDescent="0.3">
      <c r="B6" s="6" t="s">
        <v>169</v>
      </c>
      <c r="C6" s="6" t="s">
        <v>208</v>
      </c>
      <c r="D6" s="6" t="s">
        <v>114</v>
      </c>
      <c r="I6" s="6" t="s">
        <v>445</v>
      </c>
      <c r="K6" s="6" t="s">
        <v>714</v>
      </c>
      <c r="L6" s="6" t="s">
        <v>715</v>
      </c>
      <c r="M6" s="6" t="s">
        <v>153</v>
      </c>
      <c r="N6" s="6" t="s">
        <v>487</v>
      </c>
      <c r="O6" s="6" t="s">
        <v>497</v>
      </c>
      <c r="Q6" s="6" t="s">
        <v>208</v>
      </c>
    </row>
    <row r="7" spans="1:20" x14ac:dyDescent="0.3">
      <c r="B7" s="6" t="s">
        <v>187</v>
      </c>
      <c r="C7" s="6" t="s">
        <v>217</v>
      </c>
      <c r="K7" s="6" t="s">
        <v>435</v>
      </c>
      <c r="L7" s="6" t="s">
        <v>105</v>
      </c>
      <c r="M7" s="6" t="s">
        <v>261</v>
      </c>
      <c r="N7" s="6" t="s">
        <v>494</v>
      </c>
      <c r="Q7" s="6" t="s">
        <v>217</v>
      </c>
    </row>
    <row r="8" spans="1:20" x14ac:dyDescent="0.3">
      <c r="B8" s="6" t="s">
        <v>224</v>
      </c>
      <c r="C8" s="6" t="s">
        <v>114</v>
      </c>
      <c r="K8" s="6" t="s">
        <v>716</v>
      </c>
      <c r="L8" s="6" t="s">
        <v>138</v>
      </c>
      <c r="N8" s="6" t="s">
        <v>522</v>
      </c>
      <c r="Q8" s="6" t="s">
        <v>114</v>
      </c>
    </row>
    <row r="9" spans="1:20" x14ac:dyDescent="0.3">
      <c r="K9" s="6" t="s">
        <v>326</v>
      </c>
      <c r="L9" s="6" t="s">
        <v>386</v>
      </c>
      <c r="N9" s="6" t="s">
        <v>636</v>
      </c>
    </row>
    <row r="10" spans="1:20" x14ac:dyDescent="0.3">
      <c r="K10" s="6" t="s">
        <v>365</v>
      </c>
      <c r="L10" s="6" t="s">
        <v>166</v>
      </c>
      <c r="N10" s="6" t="s">
        <v>511</v>
      </c>
    </row>
    <row r="11" spans="1:20" x14ac:dyDescent="0.3">
      <c r="K11" s="6" t="s">
        <v>717</v>
      </c>
      <c r="L11" s="6" t="s">
        <v>718</v>
      </c>
      <c r="N11" s="6" t="s">
        <v>517</v>
      </c>
    </row>
    <row r="12" spans="1:20" x14ac:dyDescent="0.3">
      <c r="K12" s="6" t="s">
        <v>719</v>
      </c>
      <c r="L12" s="6" t="s">
        <v>213</v>
      </c>
      <c r="N12" s="6" t="s">
        <v>588</v>
      </c>
    </row>
    <row r="13" spans="1:20" x14ac:dyDescent="0.3">
      <c r="K13" s="6" t="s">
        <v>720</v>
      </c>
      <c r="L13" s="6" t="s">
        <v>222</v>
      </c>
      <c r="N13" s="6" t="s">
        <v>125</v>
      </c>
    </row>
    <row r="14" spans="1:20" x14ac:dyDescent="0.3">
      <c r="K14" s="6" t="s">
        <v>721</v>
      </c>
      <c r="L14" s="6" t="s">
        <v>689</v>
      </c>
      <c r="N14" s="6" t="s">
        <v>722</v>
      </c>
    </row>
    <row r="15" spans="1:20" x14ac:dyDescent="0.3">
      <c r="K15" s="6" t="s">
        <v>334</v>
      </c>
      <c r="L15" s="6" t="s">
        <v>231</v>
      </c>
      <c r="N15" s="6" t="s">
        <v>723</v>
      </c>
    </row>
    <row r="16" spans="1:20" x14ac:dyDescent="0.3">
      <c r="K16" s="6" t="s">
        <v>356</v>
      </c>
      <c r="L16" s="6" t="s">
        <v>177</v>
      </c>
      <c r="N16" s="6" t="s">
        <v>724</v>
      </c>
    </row>
    <row r="17" spans="11:14" x14ac:dyDescent="0.3">
      <c r="K17" s="6" t="s">
        <v>427</v>
      </c>
      <c r="L17" s="6" t="s">
        <v>357</v>
      </c>
      <c r="N17" s="6" t="s">
        <v>725</v>
      </c>
    </row>
    <row r="18" spans="11:14" x14ac:dyDescent="0.3">
      <c r="K18" s="6" t="s">
        <v>311</v>
      </c>
      <c r="L18" s="6" t="s">
        <v>152</v>
      </c>
      <c r="N18" s="6" t="s">
        <v>726</v>
      </c>
    </row>
    <row r="19" spans="11:14" x14ac:dyDescent="0.3">
      <c r="N19" s="6" t="s">
        <v>727</v>
      </c>
    </row>
    <row r="20" spans="11:14" x14ac:dyDescent="0.3">
      <c r="N20" s="6" t="s">
        <v>728</v>
      </c>
    </row>
    <row r="21" spans="11:14" x14ac:dyDescent="0.3">
      <c r="N21" s="6" t="s">
        <v>729</v>
      </c>
    </row>
    <row r="22" spans="11:14" x14ac:dyDescent="0.3">
      <c r="N22" s="6" t="s">
        <v>730</v>
      </c>
    </row>
    <row r="23" spans="11:14" x14ac:dyDescent="0.3">
      <c r="N23" s="6" t="s">
        <v>731</v>
      </c>
    </row>
    <row r="24" spans="11:14" x14ac:dyDescent="0.3">
      <c r="N24" s="6" t="s">
        <v>732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733</v>
      </c>
      <c r="B1" s="8" t="s">
        <v>734</v>
      </c>
      <c r="C1" s="8" t="s">
        <v>735</v>
      </c>
      <c r="D1" s="8" t="s">
        <v>566</v>
      </c>
      <c r="E1" s="8" t="s">
        <v>736</v>
      </c>
      <c r="F1" s="8" t="s">
        <v>67</v>
      </c>
      <c r="G1" s="8" t="s">
        <v>737</v>
      </c>
      <c r="H1" s="8" t="s">
        <v>738</v>
      </c>
      <c r="I1" s="8" t="s">
        <v>739</v>
      </c>
    </row>
    <row r="2" spans="1:9" x14ac:dyDescent="0.3">
      <c r="A2" s="18" t="s">
        <v>28</v>
      </c>
      <c r="B2" s="18" t="s">
        <v>740</v>
      </c>
      <c r="C2" s="18" t="s">
        <v>64</v>
      </c>
      <c r="D2" s="18" t="s">
        <v>741</v>
      </c>
      <c r="E2" s="18" t="s">
        <v>742</v>
      </c>
      <c r="F2" s="18" t="s">
        <v>743</v>
      </c>
      <c r="G2" s="18" t="s">
        <v>744</v>
      </c>
      <c r="H2" s="18" t="s">
        <v>312</v>
      </c>
      <c r="I2" s="18" t="s">
        <v>745</v>
      </c>
    </row>
    <row r="3" spans="1:9" x14ac:dyDescent="0.3">
      <c r="A3" s="18" t="s">
        <v>28</v>
      </c>
      <c r="B3" s="18" t="s">
        <v>740</v>
      </c>
      <c r="C3" s="18" t="s">
        <v>65</v>
      </c>
      <c r="D3" s="18" t="s">
        <v>741</v>
      </c>
      <c r="E3" s="18" t="s">
        <v>742</v>
      </c>
      <c r="F3" s="18" t="s">
        <v>746</v>
      </c>
      <c r="G3" s="18" t="s">
        <v>747</v>
      </c>
      <c r="H3" s="18" t="s">
        <v>312</v>
      </c>
      <c r="I3" s="18"/>
    </row>
    <row r="4" spans="1:9" x14ac:dyDescent="0.3">
      <c r="A4" s="18" t="s">
        <v>28</v>
      </c>
      <c r="B4" s="18" t="s">
        <v>740</v>
      </c>
      <c r="C4" s="18" t="s">
        <v>66</v>
      </c>
      <c r="D4" s="18" t="s">
        <v>741</v>
      </c>
      <c r="E4" s="18" t="s">
        <v>742</v>
      </c>
      <c r="F4" s="18" t="s">
        <v>748</v>
      </c>
      <c r="G4" s="18"/>
      <c r="H4" s="18" t="s">
        <v>312</v>
      </c>
      <c r="I4" s="18"/>
    </row>
    <row r="5" spans="1:9" x14ac:dyDescent="0.3">
      <c r="A5" s="18" t="s">
        <v>28</v>
      </c>
      <c r="B5" s="18" t="s">
        <v>740</v>
      </c>
      <c r="C5" s="18" t="s">
        <v>67</v>
      </c>
      <c r="D5" s="18" t="s">
        <v>741</v>
      </c>
      <c r="E5" s="18" t="s">
        <v>742</v>
      </c>
      <c r="F5" s="18" t="s">
        <v>749</v>
      </c>
      <c r="G5" s="18"/>
      <c r="H5" s="18" t="s">
        <v>312</v>
      </c>
      <c r="I5" s="18"/>
    </row>
    <row r="6" spans="1:9" x14ac:dyDescent="0.3">
      <c r="A6" s="18" t="s">
        <v>28</v>
      </c>
      <c r="B6" s="18" t="s">
        <v>740</v>
      </c>
      <c r="C6" s="18" t="s">
        <v>68</v>
      </c>
      <c r="D6" s="18" t="s">
        <v>741</v>
      </c>
      <c r="E6" s="18" t="s">
        <v>742</v>
      </c>
      <c r="F6" s="18" t="s">
        <v>750</v>
      </c>
      <c r="G6" s="18" t="s">
        <v>751</v>
      </c>
      <c r="H6" s="18" t="s">
        <v>312</v>
      </c>
      <c r="I6" s="18"/>
    </row>
    <row r="7" spans="1:9" ht="26.4" x14ac:dyDescent="0.3">
      <c r="A7" s="18" t="s">
        <v>28</v>
      </c>
      <c r="B7" s="18" t="s">
        <v>740</v>
      </c>
      <c r="C7" s="18" t="s">
        <v>69</v>
      </c>
      <c r="D7" s="18" t="s">
        <v>741</v>
      </c>
      <c r="E7" s="18" t="s">
        <v>742</v>
      </c>
      <c r="F7" s="18" t="s">
        <v>752</v>
      </c>
      <c r="G7" s="18" t="s">
        <v>753</v>
      </c>
      <c r="H7" s="18" t="s">
        <v>312</v>
      </c>
      <c r="I7" s="18"/>
    </row>
    <row r="8" spans="1:9" x14ac:dyDescent="0.3">
      <c r="A8" s="18" t="s">
        <v>28</v>
      </c>
      <c r="B8" s="18" t="s">
        <v>740</v>
      </c>
      <c r="C8" s="18" t="s">
        <v>70</v>
      </c>
      <c r="D8" s="18" t="s">
        <v>741</v>
      </c>
      <c r="E8" s="18" t="s">
        <v>742</v>
      </c>
      <c r="F8" s="18" t="s">
        <v>754</v>
      </c>
      <c r="G8" s="18"/>
      <c r="H8" s="18" t="s">
        <v>312</v>
      </c>
      <c r="I8" s="18"/>
    </row>
    <row r="9" spans="1:9" x14ac:dyDescent="0.3">
      <c r="A9" s="18" t="s">
        <v>28</v>
      </c>
      <c r="B9" s="18" t="s">
        <v>740</v>
      </c>
      <c r="C9" s="18" t="s">
        <v>71</v>
      </c>
      <c r="D9" s="18" t="s">
        <v>741</v>
      </c>
      <c r="E9" s="18" t="s">
        <v>742</v>
      </c>
      <c r="F9" s="18" t="s">
        <v>755</v>
      </c>
      <c r="G9" s="18" t="s">
        <v>756</v>
      </c>
      <c r="H9" s="18" t="s">
        <v>312</v>
      </c>
      <c r="I9" s="18"/>
    </row>
    <row r="10" spans="1:9" x14ac:dyDescent="0.3">
      <c r="A10" s="18" t="s">
        <v>28</v>
      </c>
      <c r="B10" s="18" t="s">
        <v>740</v>
      </c>
      <c r="C10" s="18" t="s">
        <v>72</v>
      </c>
      <c r="D10" s="18" t="s">
        <v>741</v>
      </c>
      <c r="E10" s="18" t="s">
        <v>742</v>
      </c>
      <c r="F10" s="18" t="s">
        <v>757</v>
      </c>
      <c r="G10" s="18" t="s">
        <v>758</v>
      </c>
      <c r="H10" s="18" t="s">
        <v>312</v>
      </c>
      <c r="I10" s="18"/>
    </row>
    <row r="11" spans="1:9" x14ac:dyDescent="0.3">
      <c r="A11" s="18" t="s">
        <v>28</v>
      </c>
      <c r="B11" s="18" t="s">
        <v>740</v>
      </c>
      <c r="C11" s="18" t="s">
        <v>73</v>
      </c>
      <c r="D11" s="18" t="s">
        <v>741</v>
      </c>
      <c r="E11" s="18" t="s">
        <v>742</v>
      </c>
      <c r="F11" s="18" t="s">
        <v>759</v>
      </c>
      <c r="G11" s="18" t="s">
        <v>760</v>
      </c>
      <c r="H11" s="18" t="s">
        <v>312</v>
      </c>
      <c r="I11" s="18"/>
    </row>
    <row r="12" spans="1:9" x14ac:dyDescent="0.3">
      <c r="A12" s="18" t="s">
        <v>28</v>
      </c>
      <c r="B12" s="18" t="s">
        <v>740</v>
      </c>
      <c r="C12" s="18" t="s">
        <v>74</v>
      </c>
      <c r="D12" s="18" t="s">
        <v>761</v>
      </c>
      <c r="E12" s="18" t="s">
        <v>742</v>
      </c>
      <c r="F12" s="18" t="s">
        <v>762</v>
      </c>
      <c r="G12" s="18" t="s">
        <v>763</v>
      </c>
      <c r="H12" s="18" t="s">
        <v>312</v>
      </c>
      <c r="I12" s="18"/>
    </row>
    <row r="13" spans="1:9" x14ac:dyDescent="0.3">
      <c r="A13" s="18" t="s">
        <v>28</v>
      </c>
      <c r="B13" s="18" t="s">
        <v>740</v>
      </c>
      <c r="C13" s="18" t="s">
        <v>75</v>
      </c>
      <c r="D13" s="18" t="s">
        <v>761</v>
      </c>
      <c r="E13" s="18" t="s">
        <v>742</v>
      </c>
      <c r="F13" s="18" t="s">
        <v>764</v>
      </c>
      <c r="G13" s="18" t="s">
        <v>763</v>
      </c>
      <c r="H13" s="18" t="s">
        <v>312</v>
      </c>
      <c r="I13" s="18"/>
    </row>
    <row r="14" spans="1:9" x14ac:dyDescent="0.3">
      <c r="A14" s="18" t="s">
        <v>28</v>
      </c>
      <c r="B14" s="18" t="s">
        <v>740</v>
      </c>
      <c r="C14" s="18" t="s">
        <v>76</v>
      </c>
      <c r="D14" s="18" t="s">
        <v>761</v>
      </c>
      <c r="E14" s="18" t="s">
        <v>765</v>
      </c>
      <c r="F14" s="18" t="s">
        <v>766</v>
      </c>
      <c r="G14" s="18"/>
      <c r="H14" s="18" t="s">
        <v>312</v>
      </c>
      <c r="I14" s="18"/>
    </row>
    <row r="15" spans="1:9" x14ac:dyDescent="0.3">
      <c r="A15" s="18" t="s">
        <v>28</v>
      </c>
      <c r="B15" s="18" t="s">
        <v>740</v>
      </c>
      <c r="C15" s="18" t="s">
        <v>77</v>
      </c>
      <c r="D15" s="18" t="s">
        <v>741</v>
      </c>
      <c r="E15" s="18" t="s">
        <v>765</v>
      </c>
      <c r="F15" s="18" t="s">
        <v>767</v>
      </c>
      <c r="G15" s="18"/>
      <c r="H15" s="18" t="s">
        <v>312</v>
      </c>
      <c r="I15" s="18"/>
    </row>
    <row r="16" spans="1:9" x14ac:dyDescent="0.3">
      <c r="A16" s="18" t="s">
        <v>28</v>
      </c>
      <c r="B16" s="18" t="s">
        <v>740</v>
      </c>
      <c r="C16" s="18" t="s">
        <v>78</v>
      </c>
      <c r="D16" s="18" t="s">
        <v>741</v>
      </c>
      <c r="E16" s="18" t="s">
        <v>742</v>
      </c>
      <c r="F16" s="18" t="s">
        <v>768</v>
      </c>
      <c r="G16" s="18"/>
      <c r="H16" s="18" t="s">
        <v>312</v>
      </c>
      <c r="I16" s="18"/>
    </row>
    <row r="17" spans="1:9" x14ac:dyDescent="0.3">
      <c r="A17" s="18" t="s">
        <v>28</v>
      </c>
      <c r="B17" s="18" t="s">
        <v>740</v>
      </c>
      <c r="C17" s="18" t="s">
        <v>79</v>
      </c>
      <c r="D17" s="18" t="s">
        <v>741</v>
      </c>
      <c r="E17" s="18" t="s">
        <v>742</v>
      </c>
      <c r="F17" s="18" t="s">
        <v>769</v>
      </c>
      <c r="G17" s="18"/>
      <c r="H17" s="18" t="s">
        <v>312</v>
      </c>
      <c r="I17" s="18"/>
    </row>
    <row r="18" spans="1:9" ht="26.4" x14ac:dyDescent="0.3">
      <c r="A18" s="18" t="s">
        <v>28</v>
      </c>
      <c r="B18" s="18" t="s">
        <v>740</v>
      </c>
      <c r="C18" s="18" t="s">
        <v>80</v>
      </c>
      <c r="D18" s="18" t="s">
        <v>741</v>
      </c>
      <c r="E18" s="18" t="s">
        <v>742</v>
      </c>
      <c r="F18" s="18" t="s">
        <v>770</v>
      </c>
      <c r="G18" s="18"/>
      <c r="H18" s="18" t="s">
        <v>312</v>
      </c>
      <c r="I18" s="18" t="s">
        <v>771</v>
      </c>
    </row>
    <row r="19" spans="1:9" ht="26.4" x14ac:dyDescent="0.3">
      <c r="A19" s="18" t="s">
        <v>28</v>
      </c>
      <c r="B19" s="18" t="s">
        <v>740</v>
      </c>
      <c r="C19" s="18" t="s">
        <v>81</v>
      </c>
      <c r="D19" s="18" t="s">
        <v>741</v>
      </c>
      <c r="E19" s="18" t="s">
        <v>742</v>
      </c>
      <c r="F19" s="18" t="s">
        <v>772</v>
      </c>
      <c r="G19" s="18"/>
      <c r="H19" s="18" t="s">
        <v>312</v>
      </c>
      <c r="I19" s="18" t="s">
        <v>773</v>
      </c>
    </row>
    <row r="20" spans="1:9" x14ac:dyDescent="0.3">
      <c r="A20" s="18" t="s">
        <v>28</v>
      </c>
      <c r="B20" s="18" t="s">
        <v>740</v>
      </c>
      <c r="C20" s="18" t="s">
        <v>82</v>
      </c>
      <c r="D20" s="18" t="s">
        <v>741</v>
      </c>
      <c r="E20" s="18" t="s">
        <v>742</v>
      </c>
      <c r="F20" s="18" t="s">
        <v>774</v>
      </c>
      <c r="G20" s="18"/>
      <c r="H20" s="18" t="s">
        <v>312</v>
      </c>
      <c r="I20" s="18"/>
    </row>
    <row r="21" spans="1:9" x14ac:dyDescent="0.3">
      <c r="A21" s="18" t="s">
        <v>28</v>
      </c>
      <c r="B21" s="18" t="s">
        <v>740</v>
      </c>
      <c r="C21" s="18" t="s">
        <v>83</v>
      </c>
      <c r="D21" s="18" t="s">
        <v>741</v>
      </c>
      <c r="E21" s="18" t="s">
        <v>742</v>
      </c>
      <c r="F21" s="18" t="s">
        <v>775</v>
      </c>
      <c r="G21" s="18" t="s">
        <v>776</v>
      </c>
      <c r="H21" s="18" t="s">
        <v>312</v>
      </c>
      <c r="I21" s="18"/>
    </row>
    <row r="22" spans="1:9" x14ac:dyDescent="0.3">
      <c r="A22" s="18" t="s">
        <v>28</v>
      </c>
      <c r="B22" s="18" t="s">
        <v>740</v>
      </c>
      <c r="C22" s="18" t="s">
        <v>84</v>
      </c>
      <c r="D22" s="18" t="s">
        <v>741</v>
      </c>
      <c r="E22" s="18" t="s">
        <v>742</v>
      </c>
      <c r="F22" s="18" t="s">
        <v>777</v>
      </c>
      <c r="G22" s="18" t="s">
        <v>778</v>
      </c>
      <c r="H22" s="18" t="s">
        <v>312</v>
      </c>
      <c r="I22" s="18"/>
    </row>
    <row r="23" spans="1:9" x14ac:dyDescent="0.3">
      <c r="A23" s="18" t="s">
        <v>28</v>
      </c>
      <c r="B23" s="18" t="s">
        <v>740</v>
      </c>
      <c r="C23" s="18" t="s">
        <v>85</v>
      </c>
      <c r="D23" s="18" t="s">
        <v>741</v>
      </c>
      <c r="E23" s="18" t="s">
        <v>742</v>
      </c>
      <c r="F23" s="18" t="s">
        <v>779</v>
      </c>
      <c r="G23" s="18" t="s">
        <v>780</v>
      </c>
      <c r="H23" s="18" t="s">
        <v>312</v>
      </c>
      <c r="I23" s="18"/>
    </row>
    <row r="24" spans="1:9" ht="26.4" x14ac:dyDescent="0.3">
      <c r="A24" s="18" t="s">
        <v>28</v>
      </c>
      <c r="B24" s="18" t="s">
        <v>740</v>
      </c>
      <c r="C24" s="18" t="s">
        <v>86</v>
      </c>
      <c r="D24" s="18" t="s">
        <v>781</v>
      </c>
      <c r="E24" s="18" t="s">
        <v>742</v>
      </c>
      <c r="F24" s="18" t="s">
        <v>782</v>
      </c>
      <c r="G24" s="18"/>
      <c r="H24" s="18" t="s">
        <v>312</v>
      </c>
      <c r="I24" s="18"/>
    </row>
    <row r="25" spans="1:9" ht="26.4" x14ac:dyDescent="0.3">
      <c r="A25" s="18" t="s">
        <v>28</v>
      </c>
      <c r="B25" s="18" t="s">
        <v>740</v>
      </c>
      <c r="C25" s="18" t="s">
        <v>87</v>
      </c>
      <c r="D25" s="18" t="s">
        <v>781</v>
      </c>
      <c r="E25" s="18" t="s">
        <v>765</v>
      </c>
      <c r="F25" s="18" t="s">
        <v>783</v>
      </c>
      <c r="G25" s="18"/>
      <c r="H25" s="18" t="s">
        <v>312</v>
      </c>
      <c r="I25" s="18"/>
    </row>
    <row r="26" spans="1:9" x14ac:dyDescent="0.3">
      <c r="A26" s="18" t="s">
        <v>28</v>
      </c>
      <c r="B26" s="18" t="s">
        <v>740</v>
      </c>
      <c r="C26" s="18" t="s">
        <v>88</v>
      </c>
      <c r="D26" s="18" t="s">
        <v>741</v>
      </c>
      <c r="E26" s="18" t="s">
        <v>742</v>
      </c>
      <c r="F26" s="18" t="s">
        <v>784</v>
      </c>
      <c r="G26" s="18"/>
      <c r="H26" s="18" t="s">
        <v>312</v>
      </c>
      <c r="I26" s="18"/>
    </row>
    <row r="27" spans="1:9" ht="52.8" x14ac:dyDescent="0.3">
      <c r="A27" s="18" t="s">
        <v>28</v>
      </c>
      <c r="B27" s="18" t="s">
        <v>740</v>
      </c>
      <c r="C27" s="18" t="s">
        <v>89</v>
      </c>
      <c r="D27" s="18" t="s">
        <v>741</v>
      </c>
      <c r="E27" s="18" t="s">
        <v>742</v>
      </c>
      <c r="F27" s="18" t="s">
        <v>785</v>
      </c>
      <c r="G27" s="18"/>
      <c r="H27" s="18" t="s">
        <v>319</v>
      </c>
      <c r="I27" s="18" t="s">
        <v>786</v>
      </c>
    </row>
    <row r="28" spans="1:9" ht="26.4" x14ac:dyDescent="0.3">
      <c r="A28" s="18" t="s">
        <v>30</v>
      </c>
      <c r="B28" s="18" t="s">
        <v>787</v>
      </c>
      <c r="C28" s="18" t="s">
        <v>80</v>
      </c>
      <c r="D28" s="18" t="s">
        <v>741</v>
      </c>
      <c r="E28" s="18" t="s">
        <v>742</v>
      </c>
      <c r="F28" s="18" t="s">
        <v>788</v>
      </c>
      <c r="G28" s="18" t="s">
        <v>789</v>
      </c>
      <c r="H28" s="18" t="s">
        <v>312</v>
      </c>
      <c r="I28" s="18" t="s">
        <v>745</v>
      </c>
    </row>
    <row r="29" spans="1:9" x14ac:dyDescent="0.3">
      <c r="A29" s="18" t="s">
        <v>30</v>
      </c>
      <c r="B29" s="18" t="s">
        <v>787</v>
      </c>
      <c r="C29" s="18" t="s">
        <v>297</v>
      </c>
      <c r="D29" s="18" t="s">
        <v>741</v>
      </c>
      <c r="E29" s="18" t="s">
        <v>742</v>
      </c>
      <c r="F29" s="18" t="s">
        <v>790</v>
      </c>
      <c r="G29" s="18" t="s">
        <v>791</v>
      </c>
      <c r="H29" s="18" t="s">
        <v>312</v>
      </c>
      <c r="I29" s="18"/>
    </row>
    <row r="30" spans="1:9" x14ac:dyDescent="0.3">
      <c r="A30" s="18" t="s">
        <v>30</v>
      </c>
      <c r="B30" s="18" t="s">
        <v>787</v>
      </c>
      <c r="C30" s="18" t="s">
        <v>298</v>
      </c>
      <c r="D30" s="18" t="s">
        <v>741</v>
      </c>
      <c r="E30" s="18" t="s">
        <v>765</v>
      </c>
      <c r="F30" s="18" t="s">
        <v>792</v>
      </c>
      <c r="G30" s="18"/>
      <c r="H30" s="18" t="s">
        <v>312</v>
      </c>
      <c r="I30" s="18"/>
    </row>
    <row r="31" spans="1:9" x14ac:dyDescent="0.3">
      <c r="A31" s="18" t="s">
        <v>30</v>
      </c>
      <c r="B31" s="18" t="s">
        <v>787</v>
      </c>
      <c r="C31" s="18" t="s">
        <v>67</v>
      </c>
      <c r="D31" s="18" t="s">
        <v>741</v>
      </c>
      <c r="E31" s="18" t="s">
        <v>742</v>
      </c>
      <c r="F31" s="18" t="s">
        <v>793</v>
      </c>
      <c r="G31" s="18"/>
      <c r="H31" s="18" t="s">
        <v>312</v>
      </c>
      <c r="I31" s="18"/>
    </row>
    <row r="32" spans="1:9" x14ac:dyDescent="0.3">
      <c r="A32" s="18" t="s">
        <v>30</v>
      </c>
      <c r="B32" s="18" t="s">
        <v>787</v>
      </c>
      <c r="C32" s="18" t="s">
        <v>299</v>
      </c>
      <c r="D32" s="18" t="s">
        <v>741</v>
      </c>
      <c r="E32" s="18" t="s">
        <v>742</v>
      </c>
      <c r="F32" s="18" t="s">
        <v>794</v>
      </c>
      <c r="G32" s="18"/>
      <c r="H32" s="18" t="s">
        <v>312</v>
      </c>
      <c r="I32" s="18"/>
    </row>
    <row r="33" spans="1:9" x14ac:dyDescent="0.3">
      <c r="A33" s="18" t="s">
        <v>30</v>
      </c>
      <c r="B33" s="18" t="s">
        <v>787</v>
      </c>
      <c r="C33" s="18" t="s">
        <v>300</v>
      </c>
      <c r="D33" s="18" t="s">
        <v>741</v>
      </c>
      <c r="E33" s="18" t="s">
        <v>742</v>
      </c>
      <c r="F33" s="18" t="s">
        <v>795</v>
      </c>
      <c r="G33" s="18"/>
      <c r="H33" s="18" t="s">
        <v>312</v>
      </c>
      <c r="I33" s="18"/>
    </row>
    <row r="34" spans="1:9" ht="26.4" x14ac:dyDescent="0.3">
      <c r="A34" s="18" t="s">
        <v>30</v>
      </c>
      <c r="B34" s="18" t="s">
        <v>787</v>
      </c>
      <c r="C34" s="18" t="s">
        <v>301</v>
      </c>
      <c r="D34" s="18" t="s">
        <v>741</v>
      </c>
      <c r="E34" s="18" t="s">
        <v>742</v>
      </c>
      <c r="F34" s="18" t="s">
        <v>796</v>
      </c>
      <c r="G34" s="18" t="s">
        <v>797</v>
      </c>
      <c r="H34" s="18" t="s">
        <v>312</v>
      </c>
      <c r="I34" s="18" t="s">
        <v>798</v>
      </c>
    </row>
    <row r="35" spans="1:9" x14ac:dyDescent="0.3">
      <c r="A35" s="18" t="s">
        <v>30</v>
      </c>
      <c r="B35" s="18" t="s">
        <v>787</v>
      </c>
      <c r="C35" s="18" t="s">
        <v>83</v>
      </c>
      <c r="D35" s="18" t="s">
        <v>741</v>
      </c>
      <c r="E35" s="18" t="s">
        <v>742</v>
      </c>
      <c r="F35" s="18" t="s">
        <v>775</v>
      </c>
      <c r="G35" s="18" t="s">
        <v>776</v>
      </c>
      <c r="H35" s="18" t="s">
        <v>312</v>
      </c>
      <c r="I35" s="18"/>
    </row>
    <row r="36" spans="1:9" ht="26.4" x14ac:dyDescent="0.3">
      <c r="A36" s="18" t="s">
        <v>30</v>
      </c>
      <c r="B36" s="18" t="s">
        <v>787</v>
      </c>
      <c r="C36" s="18" t="s">
        <v>64</v>
      </c>
      <c r="D36" s="18" t="s">
        <v>741</v>
      </c>
      <c r="E36" s="18" t="s">
        <v>742</v>
      </c>
      <c r="F36" s="18" t="s">
        <v>799</v>
      </c>
      <c r="G36" s="18"/>
      <c r="H36" s="18" t="s">
        <v>319</v>
      </c>
      <c r="I36" s="18" t="s">
        <v>800</v>
      </c>
    </row>
    <row r="37" spans="1:9" x14ac:dyDescent="0.3">
      <c r="A37" s="18" t="s">
        <v>30</v>
      </c>
      <c r="B37" s="18" t="s">
        <v>787</v>
      </c>
      <c r="C37" s="18" t="s">
        <v>302</v>
      </c>
      <c r="D37" s="18" t="s">
        <v>741</v>
      </c>
      <c r="E37" s="18" t="s">
        <v>742</v>
      </c>
      <c r="F37" s="18" t="s">
        <v>801</v>
      </c>
      <c r="G37" s="18" t="s">
        <v>756</v>
      </c>
      <c r="H37" s="18" t="s">
        <v>312</v>
      </c>
      <c r="I37" s="18"/>
    </row>
    <row r="38" spans="1:9" ht="26.4" x14ac:dyDescent="0.3">
      <c r="A38" s="18" t="s">
        <v>30</v>
      </c>
      <c r="B38" s="18" t="s">
        <v>787</v>
      </c>
      <c r="C38" s="18" t="s">
        <v>81</v>
      </c>
      <c r="D38" s="18" t="s">
        <v>741</v>
      </c>
      <c r="E38" s="18" t="s">
        <v>742</v>
      </c>
      <c r="F38" s="18" t="s">
        <v>802</v>
      </c>
      <c r="G38" s="18"/>
      <c r="H38" s="18" t="s">
        <v>312</v>
      </c>
      <c r="I38" s="18" t="s">
        <v>773</v>
      </c>
    </row>
    <row r="39" spans="1:9" x14ac:dyDescent="0.3">
      <c r="A39" s="18" t="s">
        <v>30</v>
      </c>
      <c r="B39" s="18" t="s">
        <v>787</v>
      </c>
      <c r="C39" s="18" t="s">
        <v>303</v>
      </c>
      <c r="D39" s="18" t="s">
        <v>741</v>
      </c>
      <c r="E39" s="18" t="s">
        <v>742</v>
      </c>
      <c r="F39" s="18" t="s">
        <v>803</v>
      </c>
      <c r="G39" s="18" t="s">
        <v>804</v>
      </c>
      <c r="H39" s="18" t="s">
        <v>312</v>
      </c>
      <c r="I39" s="18"/>
    </row>
    <row r="40" spans="1:9" x14ac:dyDescent="0.3">
      <c r="A40" s="18" t="s">
        <v>30</v>
      </c>
      <c r="B40" s="18" t="s">
        <v>787</v>
      </c>
      <c r="C40" s="18" t="s">
        <v>304</v>
      </c>
      <c r="D40" s="18" t="s">
        <v>741</v>
      </c>
      <c r="E40" s="18" t="s">
        <v>742</v>
      </c>
      <c r="F40" s="18" t="s">
        <v>805</v>
      </c>
      <c r="G40" s="18"/>
      <c r="H40" s="18" t="s">
        <v>312</v>
      </c>
      <c r="I40" s="18"/>
    </row>
    <row r="41" spans="1:9" x14ac:dyDescent="0.3">
      <c r="A41" s="18" t="s">
        <v>30</v>
      </c>
      <c r="B41" s="18" t="s">
        <v>787</v>
      </c>
      <c r="C41" s="18" t="s">
        <v>305</v>
      </c>
      <c r="D41" s="18" t="s">
        <v>741</v>
      </c>
      <c r="E41" s="18" t="s">
        <v>742</v>
      </c>
      <c r="F41" s="18" t="s">
        <v>806</v>
      </c>
      <c r="G41" s="18"/>
      <c r="H41" s="18" t="s">
        <v>312</v>
      </c>
      <c r="I41" s="18"/>
    </row>
    <row r="42" spans="1:9" ht="26.4" x14ac:dyDescent="0.3">
      <c r="A42" s="18" t="s">
        <v>30</v>
      </c>
      <c r="B42" s="18" t="s">
        <v>787</v>
      </c>
      <c r="C42" s="18" t="s">
        <v>86</v>
      </c>
      <c r="D42" s="18" t="s">
        <v>781</v>
      </c>
      <c r="E42" s="18" t="s">
        <v>742</v>
      </c>
      <c r="F42" s="18" t="s">
        <v>807</v>
      </c>
      <c r="G42" s="18"/>
      <c r="H42" s="18" t="s">
        <v>312</v>
      </c>
      <c r="I42" s="18"/>
    </row>
    <row r="43" spans="1:9" x14ac:dyDescent="0.3">
      <c r="A43" s="18" t="s">
        <v>30</v>
      </c>
      <c r="B43" s="18" t="s">
        <v>787</v>
      </c>
      <c r="C43" s="18" t="s">
        <v>306</v>
      </c>
      <c r="D43" s="18" t="s">
        <v>741</v>
      </c>
      <c r="E43" s="18" t="s">
        <v>765</v>
      </c>
      <c r="F43" s="18" t="s">
        <v>808</v>
      </c>
      <c r="G43" s="18"/>
      <c r="H43" s="18" t="s">
        <v>312</v>
      </c>
      <c r="I43" s="18"/>
    </row>
    <row r="44" spans="1:9" x14ac:dyDescent="0.3">
      <c r="A44" s="18" t="s">
        <v>30</v>
      </c>
      <c r="B44" s="18" t="s">
        <v>787</v>
      </c>
      <c r="C44" s="18" t="s">
        <v>88</v>
      </c>
      <c r="D44" s="18" t="s">
        <v>741</v>
      </c>
      <c r="E44" s="18" t="s">
        <v>742</v>
      </c>
      <c r="F44" s="18" t="s">
        <v>809</v>
      </c>
      <c r="G44" s="18"/>
      <c r="H44" s="18" t="s">
        <v>312</v>
      </c>
      <c r="I44" s="18"/>
    </row>
    <row r="45" spans="1:9" ht="52.8" x14ac:dyDescent="0.3">
      <c r="A45" s="18" t="s">
        <v>30</v>
      </c>
      <c r="B45" s="18" t="s">
        <v>787</v>
      </c>
      <c r="C45" s="18" t="s">
        <v>89</v>
      </c>
      <c r="D45" s="18" t="s">
        <v>741</v>
      </c>
      <c r="E45" s="18" t="s">
        <v>742</v>
      </c>
      <c r="F45" s="18" t="s">
        <v>810</v>
      </c>
      <c r="G45" s="18"/>
      <c r="H45" s="18" t="s">
        <v>319</v>
      </c>
      <c r="I45" s="18" t="s">
        <v>786</v>
      </c>
    </row>
    <row r="46" spans="1:9" x14ac:dyDescent="0.3">
      <c r="A46" s="18" t="s">
        <v>32</v>
      </c>
      <c r="B46" s="18" t="s">
        <v>811</v>
      </c>
      <c r="C46" s="18" t="s">
        <v>469</v>
      </c>
      <c r="D46" s="18" t="s">
        <v>741</v>
      </c>
      <c r="E46" s="18" t="s">
        <v>742</v>
      </c>
      <c r="F46" s="18" t="s">
        <v>812</v>
      </c>
      <c r="G46" s="18"/>
      <c r="H46" s="18" t="s">
        <v>312</v>
      </c>
      <c r="I46" s="18" t="s">
        <v>745</v>
      </c>
    </row>
    <row r="47" spans="1:9" x14ac:dyDescent="0.3">
      <c r="A47" s="18" t="s">
        <v>32</v>
      </c>
      <c r="B47" s="18" t="s">
        <v>811</v>
      </c>
      <c r="C47" s="18" t="s">
        <v>470</v>
      </c>
      <c r="D47" s="18" t="s">
        <v>741</v>
      </c>
      <c r="E47" s="18" t="s">
        <v>742</v>
      </c>
      <c r="F47" s="18" t="s">
        <v>813</v>
      </c>
      <c r="G47" s="18" t="s">
        <v>814</v>
      </c>
      <c r="H47" s="18" t="s">
        <v>312</v>
      </c>
      <c r="I47" s="18"/>
    </row>
    <row r="48" spans="1:9" x14ac:dyDescent="0.3">
      <c r="A48" s="18" t="s">
        <v>32</v>
      </c>
      <c r="B48" s="18" t="s">
        <v>811</v>
      </c>
      <c r="C48" s="18" t="s">
        <v>471</v>
      </c>
      <c r="D48" s="18" t="s">
        <v>741</v>
      </c>
      <c r="E48" s="18" t="s">
        <v>742</v>
      </c>
      <c r="F48" s="18" t="s">
        <v>815</v>
      </c>
      <c r="G48" s="18"/>
      <c r="H48" s="18" t="s">
        <v>312</v>
      </c>
      <c r="I48" s="18"/>
    </row>
    <row r="49" spans="1:9" x14ac:dyDescent="0.3">
      <c r="A49" s="18" t="s">
        <v>32</v>
      </c>
      <c r="B49" s="18" t="s">
        <v>811</v>
      </c>
      <c r="C49" s="18" t="s">
        <v>304</v>
      </c>
      <c r="D49" s="18" t="s">
        <v>741</v>
      </c>
      <c r="E49" s="18" t="s">
        <v>742</v>
      </c>
      <c r="F49" s="18" t="s">
        <v>816</v>
      </c>
      <c r="G49" s="18"/>
      <c r="H49" s="18" t="s">
        <v>312</v>
      </c>
      <c r="I49" s="18"/>
    </row>
    <row r="50" spans="1:9" ht="26.4" x14ac:dyDescent="0.3">
      <c r="A50" s="18" t="s">
        <v>32</v>
      </c>
      <c r="B50" s="18" t="s">
        <v>811</v>
      </c>
      <c r="C50" s="18" t="s">
        <v>472</v>
      </c>
      <c r="D50" s="18" t="s">
        <v>741</v>
      </c>
      <c r="E50" s="18" t="s">
        <v>742</v>
      </c>
      <c r="F50" s="18" t="s">
        <v>817</v>
      </c>
      <c r="G50" s="18"/>
      <c r="H50" s="18" t="s">
        <v>312</v>
      </c>
      <c r="I50" s="18" t="s">
        <v>818</v>
      </c>
    </row>
    <row r="51" spans="1:9" ht="26.4" x14ac:dyDescent="0.3">
      <c r="A51" s="18" t="s">
        <v>32</v>
      </c>
      <c r="B51" s="18" t="s">
        <v>811</v>
      </c>
      <c r="C51" s="18" t="s">
        <v>473</v>
      </c>
      <c r="D51" s="18" t="s">
        <v>781</v>
      </c>
      <c r="E51" s="18" t="s">
        <v>742</v>
      </c>
      <c r="F51" s="18" t="s">
        <v>819</v>
      </c>
      <c r="G51" s="18"/>
      <c r="H51" s="18" t="s">
        <v>312</v>
      </c>
      <c r="I51" s="18"/>
    </row>
    <row r="52" spans="1:9" x14ac:dyDescent="0.3">
      <c r="A52" s="18" t="s">
        <v>32</v>
      </c>
      <c r="B52" s="18" t="s">
        <v>811</v>
      </c>
      <c r="C52" s="18" t="s">
        <v>85</v>
      </c>
      <c r="D52" s="18" t="s">
        <v>741</v>
      </c>
      <c r="E52" s="18" t="s">
        <v>742</v>
      </c>
      <c r="F52" s="18" t="s">
        <v>820</v>
      </c>
      <c r="G52" s="18" t="s">
        <v>780</v>
      </c>
      <c r="H52" s="18" t="s">
        <v>312</v>
      </c>
      <c r="I52" s="18"/>
    </row>
    <row r="53" spans="1:9" x14ac:dyDescent="0.3">
      <c r="A53" s="18" t="s">
        <v>32</v>
      </c>
      <c r="B53" s="18" t="s">
        <v>811</v>
      </c>
      <c r="C53" s="18" t="s">
        <v>474</v>
      </c>
      <c r="D53" s="18" t="s">
        <v>741</v>
      </c>
      <c r="E53" s="18" t="s">
        <v>742</v>
      </c>
      <c r="F53" s="18" t="s">
        <v>821</v>
      </c>
      <c r="G53" s="18"/>
      <c r="H53" s="18" t="s">
        <v>312</v>
      </c>
      <c r="I53" s="18"/>
    </row>
    <row r="54" spans="1:9" ht="52.8" x14ac:dyDescent="0.3">
      <c r="A54" s="18" t="s">
        <v>32</v>
      </c>
      <c r="B54" s="18" t="s">
        <v>811</v>
      </c>
      <c r="C54" s="18" t="s">
        <v>89</v>
      </c>
      <c r="D54" s="18" t="s">
        <v>741</v>
      </c>
      <c r="E54" s="18" t="s">
        <v>742</v>
      </c>
      <c r="F54" s="18" t="s">
        <v>810</v>
      </c>
      <c r="G54" s="18"/>
      <c r="H54" s="18" t="s">
        <v>319</v>
      </c>
      <c r="I54" s="18" t="s">
        <v>786</v>
      </c>
    </row>
    <row r="55" spans="1:9" x14ac:dyDescent="0.3">
      <c r="A55" s="18" t="s">
        <v>34</v>
      </c>
      <c r="B55" s="18" t="s">
        <v>822</v>
      </c>
      <c r="C55" s="18" t="s">
        <v>527</v>
      </c>
      <c r="D55" s="18" t="s">
        <v>741</v>
      </c>
      <c r="E55" s="18" t="s">
        <v>742</v>
      </c>
      <c r="F55" s="18"/>
      <c r="G55" s="18"/>
      <c r="H55" s="18" t="s">
        <v>312</v>
      </c>
      <c r="I55" s="18" t="s">
        <v>745</v>
      </c>
    </row>
    <row r="56" spans="1:9" x14ac:dyDescent="0.3">
      <c r="A56" s="18" t="s">
        <v>34</v>
      </c>
      <c r="B56" s="18" t="s">
        <v>822</v>
      </c>
      <c r="C56" s="18" t="s">
        <v>528</v>
      </c>
      <c r="D56" s="18" t="s">
        <v>741</v>
      </c>
      <c r="E56" s="18" t="s">
        <v>742</v>
      </c>
      <c r="F56" s="18"/>
      <c r="G56" s="18"/>
      <c r="H56" s="18" t="s">
        <v>312</v>
      </c>
      <c r="I56" s="18"/>
    </row>
    <row r="57" spans="1:9" x14ac:dyDescent="0.3">
      <c r="A57" s="18" t="s">
        <v>34</v>
      </c>
      <c r="B57" s="18" t="s">
        <v>822</v>
      </c>
      <c r="C57" s="18" t="s">
        <v>529</v>
      </c>
      <c r="D57" s="18" t="s">
        <v>741</v>
      </c>
      <c r="E57" s="18" t="s">
        <v>742</v>
      </c>
      <c r="F57" s="18"/>
      <c r="G57" s="18"/>
      <c r="H57" s="18" t="s">
        <v>312</v>
      </c>
      <c r="I57" s="18"/>
    </row>
    <row r="58" spans="1:9" x14ac:dyDescent="0.3">
      <c r="A58" s="18" t="s">
        <v>34</v>
      </c>
      <c r="B58" s="18" t="s">
        <v>822</v>
      </c>
      <c r="C58" s="18" t="s">
        <v>72</v>
      </c>
      <c r="D58" s="18" t="s">
        <v>741</v>
      </c>
      <c r="E58" s="18" t="s">
        <v>742</v>
      </c>
      <c r="F58" s="18"/>
      <c r="G58" s="18" t="s">
        <v>758</v>
      </c>
      <c r="H58" s="18" t="s">
        <v>312</v>
      </c>
      <c r="I58" s="18"/>
    </row>
    <row r="59" spans="1:9" x14ac:dyDescent="0.3">
      <c r="A59" s="18" t="s">
        <v>34</v>
      </c>
      <c r="B59" s="18" t="s">
        <v>822</v>
      </c>
      <c r="C59" s="18" t="s">
        <v>530</v>
      </c>
      <c r="D59" s="18" t="s">
        <v>741</v>
      </c>
      <c r="E59" s="18" t="s">
        <v>742</v>
      </c>
      <c r="F59" s="18"/>
      <c r="G59" s="18"/>
      <c r="H59" s="18" t="s">
        <v>312</v>
      </c>
      <c r="I59" s="18"/>
    </row>
    <row r="60" spans="1:9" x14ac:dyDescent="0.3">
      <c r="A60" s="18" t="s">
        <v>34</v>
      </c>
      <c r="B60" s="18" t="s">
        <v>822</v>
      </c>
      <c r="C60" s="18" t="s">
        <v>71</v>
      </c>
      <c r="D60" s="18" t="s">
        <v>741</v>
      </c>
      <c r="E60" s="18" t="s">
        <v>742</v>
      </c>
      <c r="F60" s="18"/>
      <c r="G60" s="18" t="s">
        <v>756</v>
      </c>
      <c r="H60" s="18" t="s">
        <v>312</v>
      </c>
      <c r="I60" s="18"/>
    </row>
    <row r="61" spans="1:9" ht="52.8" x14ac:dyDescent="0.3">
      <c r="A61" s="18" t="s">
        <v>34</v>
      </c>
      <c r="B61" s="18" t="s">
        <v>822</v>
      </c>
      <c r="C61" s="18" t="s">
        <v>89</v>
      </c>
      <c r="D61" s="18" t="s">
        <v>741</v>
      </c>
      <c r="E61" s="18" t="s">
        <v>742</v>
      </c>
      <c r="F61" s="18" t="s">
        <v>810</v>
      </c>
      <c r="G61" s="18"/>
      <c r="H61" s="18" t="s">
        <v>319</v>
      </c>
      <c r="I61" s="18" t="s">
        <v>786</v>
      </c>
    </row>
    <row r="62" spans="1:9" x14ac:dyDescent="0.3">
      <c r="A62" s="18" t="s">
        <v>34</v>
      </c>
      <c r="B62" s="18" t="s">
        <v>822</v>
      </c>
      <c r="C62" s="18" t="s">
        <v>531</v>
      </c>
      <c r="D62" s="18" t="s">
        <v>741</v>
      </c>
      <c r="E62" s="18" t="s">
        <v>742</v>
      </c>
      <c r="F62" s="18"/>
      <c r="G62" s="18"/>
      <c r="H62" s="18" t="s">
        <v>312</v>
      </c>
      <c r="I62" s="18"/>
    </row>
    <row r="63" spans="1:9" ht="26.4" x14ac:dyDescent="0.3">
      <c r="A63" s="18" t="s">
        <v>34</v>
      </c>
      <c r="B63" s="18" t="s">
        <v>822</v>
      </c>
      <c r="C63" s="18" t="s">
        <v>86</v>
      </c>
      <c r="D63" s="18" t="s">
        <v>781</v>
      </c>
      <c r="E63" s="18" t="s">
        <v>742</v>
      </c>
      <c r="F63" s="18"/>
      <c r="G63" s="18"/>
      <c r="H63" s="18" t="s">
        <v>312</v>
      </c>
      <c r="I63" s="18"/>
    </row>
    <row r="64" spans="1:9" x14ac:dyDescent="0.3">
      <c r="A64" s="18" t="s">
        <v>38</v>
      </c>
      <c r="B64" s="18" t="s">
        <v>823</v>
      </c>
      <c r="C64" s="18" t="s">
        <v>565</v>
      </c>
      <c r="D64" s="18" t="s">
        <v>741</v>
      </c>
      <c r="E64" s="18" t="s">
        <v>742</v>
      </c>
      <c r="F64" s="18" t="s">
        <v>824</v>
      </c>
      <c r="G64" s="18"/>
      <c r="H64" s="18" t="s">
        <v>312</v>
      </c>
      <c r="I64" s="18" t="s">
        <v>745</v>
      </c>
    </row>
    <row r="65" spans="1:9" x14ac:dyDescent="0.3">
      <c r="A65" s="18" t="s">
        <v>38</v>
      </c>
      <c r="B65" s="18" t="s">
        <v>823</v>
      </c>
      <c r="C65" s="18" t="s">
        <v>82</v>
      </c>
      <c r="D65" s="18" t="s">
        <v>741</v>
      </c>
      <c r="E65" s="18" t="s">
        <v>742</v>
      </c>
      <c r="F65" s="18" t="s">
        <v>825</v>
      </c>
      <c r="G65" s="18"/>
      <c r="H65" s="18" t="s">
        <v>312</v>
      </c>
      <c r="I65" s="18"/>
    </row>
    <row r="66" spans="1:9" x14ac:dyDescent="0.3">
      <c r="A66" s="18" t="s">
        <v>38</v>
      </c>
      <c r="B66" s="18" t="s">
        <v>823</v>
      </c>
      <c r="C66" s="18" t="s">
        <v>566</v>
      </c>
      <c r="D66" s="18" t="s">
        <v>741</v>
      </c>
      <c r="E66" s="18" t="s">
        <v>742</v>
      </c>
      <c r="F66" s="18" t="s">
        <v>826</v>
      </c>
      <c r="G66" s="18" t="s">
        <v>827</v>
      </c>
      <c r="H66" s="18" t="s">
        <v>312</v>
      </c>
      <c r="I66" s="18"/>
    </row>
    <row r="67" spans="1:9" x14ac:dyDescent="0.3">
      <c r="A67" s="18" t="s">
        <v>38</v>
      </c>
      <c r="B67" s="18" t="s">
        <v>823</v>
      </c>
      <c r="C67" s="18" t="s">
        <v>567</v>
      </c>
      <c r="D67" s="18" t="s">
        <v>741</v>
      </c>
      <c r="E67" s="18" t="s">
        <v>742</v>
      </c>
      <c r="F67" s="18" t="s">
        <v>828</v>
      </c>
      <c r="G67" s="18"/>
      <c r="H67" s="18" t="s">
        <v>312</v>
      </c>
      <c r="I67" s="18"/>
    </row>
    <row r="68" spans="1:9" x14ac:dyDescent="0.3">
      <c r="A68" s="18" t="s">
        <v>38</v>
      </c>
      <c r="B68" s="18" t="s">
        <v>823</v>
      </c>
      <c r="C68" s="18" t="s">
        <v>568</v>
      </c>
      <c r="D68" s="18" t="s">
        <v>741</v>
      </c>
      <c r="E68" s="18" t="s">
        <v>742</v>
      </c>
      <c r="F68" s="18" t="s">
        <v>829</v>
      </c>
      <c r="G68" s="18"/>
      <c r="H68" s="18" t="s">
        <v>312</v>
      </c>
      <c r="I68" s="18"/>
    </row>
    <row r="69" spans="1:9" x14ac:dyDescent="0.3">
      <c r="A69" s="18" t="s">
        <v>38</v>
      </c>
      <c r="B69" s="18" t="s">
        <v>823</v>
      </c>
      <c r="C69" s="18" t="s">
        <v>569</v>
      </c>
      <c r="D69" s="18" t="s">
        <v>741</v>
      </c>
      <c r="E69" s="18" t="s">
        <v>742</v>
      </c>
      <c r="F69" s="18" t="s">
        <v>830</v>
      </c>
      <c r="G69" s="18" t="s">
        <v>831</v>
      </c>
      <c r="H69" s="18" t="s">
        <v>312</v>
      </c>
      <c r="I69" s="18"/>
    </row>
    <row r="70" spans="1:9" x14ac:dyDescent="0.3">
      <c r="A70" s="18" t="s">
        <v>38</v>
      </c>
      <c r="B70" s="18" t="s">
        <v>823</v>
      </c>
      <c r="C70" s="18" t="s">
        <v>570</v>
      </c>
      <c r="D70" s="18" t="s">
        <v>741</v>
      </c>
      <c r="E70" s="18" t="s">
        <v>742</v>
      </c>
      <c r="F70" s="18" t="s">
        <v>832</v>
      </c>
      <c r="G70" s="18" t="s">
        <v>833</v>
      </c>
      <c r="H70" s="18" t="s">
        <v>312</v>
      </c>
      <c r="I70" s="18"/>
    </row>
    <row r="71" spans="1:9" x14ac:dyDescent="0.3">
      <c r="A71" s="18" t="s">
        <v>38</v>
      </c>
      <c r="B71" s="18" t="s">
        <v>823</v>
      </c>
      <c r="C71" s="18" t="s">
        <v>571</v>
      </c>
      <c r="D71" s="18" t="s">
        <v>741</v>
      </c>
      <c r="E71" s="18" t="s">
        <v>742</v>
      </c>
      <c r="F71" s="18" t="s">
        <v>834</v>
      </c>
      <c r="G71" s="18" t="s">
        <v>833</v>
      </c>
      <c r="H71" s="18" t="s">
        <v>312</v>
      </c>
      <c r="I71" s="18"/>
    </row>
    <row r="72" spans="1:9" x14ac:dyDescent="0.3">
      <c r="A72" s="18" t="s">
        <v>38</v>
      </c>
      <c r="B72" s="18" t="s">
        <v>823</v>
      </c>
      <c r="C72" s="18" t="s">
        <v>572</v>
      </c>
      <c r="D72" s="18" t="s">
        <v>741</v>
      </c>
      <c r="E72" s="18" t="s">
        <v>742</v>
      </c>
      <c r="F72" s="18" t="s">
        <v>835</v>
      </c>
      <c r="G72" s="18" t="s">
        <v>836</v>
      </c>
      <c r="H72" s="18" t="s">
        <v>312</v>
      </c>
      <c r="I72" s="18"/>
    </row>
    <row r="73" spans="1:9" ht="26.4" x14ac:dyDescent="0.3">
      <c r="A73" s="18" t="s">
        <v>38</v>
      </c>
      <c r="B73" s="18" t="s">
        <v>823</v>
      </c>
      <c r="C73" s="18" t="s">
        <v>573</v>
      </c>
      <c r="D73" s="18" t="s">
        <v>741</v>
      </c>
      <c r="E73" s="18" t="s">
        <v>742</v>
      </c>
      <c r="F73" s="18" t="s">
        <v>837</v>
      </c>
      <c r="G73" s="18"/>
      <c r="H73" s="18" t="s">
        <v>319</v>
      </c>
      <c r="I73" s="18" t="s">
        <v>838</v>
      </c>
    </row>
    <row r="74" spans="1:9" x14ac:dyDescent="0.3">
      <c r="A74" s="18" t="s">
        <v>38</v>
      </c>
      <c r="B74" s="18" t="s">
        <v>823</v>
      </c>
      <c r="C74" s="18" t="s">
        <v>531</v>
      </c>
      <c r="D74" s="18" t="s">
        <v>741</v>
      </c>
      <c r="E74" s="18" t="s">
        <v>742</v>
      </c>
      <c r="F74" s="18" t="s">
        <v>839</v>
      </c>
      <c r="G74" s="18"/>
      <c r="H74" s="18" t="s">
        <v>312</v>
      </c>
      <c r="I74" s="18"/>
    </row>
    <row r="75" spans="1:9" x14ac:dyDescent="0.3">
      <c r="A75" s="18" t="s">
        <v>38</v>
      </c>
      <c r="B75" s="18" t="s">
        <v>823</v>
      </c>
      <c r="C75" s="18" t="s">
        <v>574</v>
      </c>
      <c r="D75" s="18" t="s">
        <v>741</v>
      </c>
      <c r="E75" s="18" t="s">
        <v>742</v>
      </c>
      <c r="F75" s="18" t="s">
        <v>840</v>
      </c>
      <c r="G75" s="18"/>
      <c r="H75" s="18" t="s">
        <v>312</v>
      </c>
      <c r="I75" s="18"/>
    </row>
    <row r="76" spans="1:9" x14ac:dyDescent="0.3">
      <c r="A76" s="18" t="s">
        <v>38</v>
      </c>
      <c r="B76" s="18" t="s">
        <v>823</v>
      </c>
      <c r="C76" s="18" t="s">
        <v>575</v>
      </c>
      <c r="D76" s="18" t="s">
        <v>741</v>
      </c>
      <c r="E76" s="18" t="s">
        <v>742</v>
      </c>
      <c r="F76" s="18" t="s">
        <v>841</v>
      </c>
      <c r="G76" s="18" t="s">
        <v>842</v>
      </c>
      <c r="H76" s="18" t="s">
        <v>312</v>
      </c>
      <c r="I76" s="18"/>
    </row>
    <row r="77" spans="1:9" x14ac:dyDescent="0.3">
      <c r="A77" s="18" t="s">
        <v>38</v>
      </c>
      <c r="B77" s="18" t="s">
        <v>823</v>
      </c>
      <c r="C77" s="18" t="s">
        <v>576</v>
      </c>
      <c r="D77" s="18" t="s">
        <v>741</v>
      </c>
      <c r="E77" s="18" t="s">
        <v>742</v>
      </c>
      <c r="F77" s="18" t="s">
        <v>843</v>
      </c>
      <c r="G77" s="18" t="s">
        <v>842</v>
      </c>
      <c r="H77" s="18" t="s">
        <v>312</v>
      </c>
      <c r="I77" s="18"/>
    </row>
    <row r="78" spans="1:9" x14ac:dyDescent="0.3">
      <c r="A78" s="18" t="s">
        <v>38</v>
      </c>
      <c r="B78" s="18" t="s">
        <v>823</v>
      </c>
      <c r="C78" s="18" t="s">
        <v>304</v>
      </c>
      <c r="D78" s="18" t="s">
        <v>741</v>
      </c>
      <c r="E78" s="18" t="s">
        <v>765</v>
      </c>
      <c r="F78" s="18" t="s">
        <v>844</v>
      </c>
      <c r="G78" s="18"/>
      <c r="H78" s="18" t="s">
        <v>312</v>
      </c>
      <c r="I78" s="18"/>
    </row>
    <row r="79" spans="1:9" ht="26.4" x14ac:dyDescent="0.3">
      <c r="A79" s="18" t="s">
        <v>38</v>
      </c>
      <c r="B79" s="18" t="s">
        <v>823</v>
      </c>
      <c r="C79" s="18" t="s">
        <v>81</v>
      </c>
      <c r="D79" s="18" t="s">
        <v>741</v>
      </c>
      <c r="E79" s="18" t="s">
        <v>742</v>
      </c>
      <c r="F79" s="18" t="s">
        <v>845</v>
      </c>
      <c r="G79" s="18"/>
      <c r="H79" s="18" t="s">
        <v>319</v>
      </c>
      <c r="I79" s="18" t="s">
        <v>773</v>
      </c>
    </row>
    <row r="80" spans="1:9" x14ac:dyDescent="0.3">
      <c r="A80" s="18" t="s">
        <v>38</v>
      </c>
      <c r="B80" s="18" t="s">
        <v>823</v>
      </c>
      <c r="C80" s="18" t="s">
        <v>85</v>
      </c>
      <c r="D80" s="18" t="s">
        <v>741</v>
      </c>
      <c r="E80" s="18" t="s">
        <v>742</v>
      </c>
      <c r="F80" s="18" t="s">
        <v>846</v>
      </c>
      <c r="G80" s="18" t="s">
        <v>780</v>
      </c>
      <c r="H80" s="18" t="s">
        <v>312</v>
      </c>
      <c r="I80" s="18"/>
    </row>
    <row r="81" spans="1:9" ht="26.4" x14ac:dyDescent="0.3">
      <c r="A81" s="18" t="s">
        <v>38</v>
      </c>
      <c r="B81" s="18" t="s">
        <v>823</v>
      </c>
      <c r="C81" s="18" t="s">
        <v>577</v>
      </c>
      <c r="D81" s="18" t="s">
        <v>781</v>
      </c>
      <c r="E81" s="18" t="s">
        <v>742</v>
      </c>
      <c r="F81" s="18" t="s">
        <v>847</v>
      </c>
      <c r="G81" s="18"/>
      <c r="H81" s="18" t="s">
        <v>312</v>
      </c>
      <c r="I81" s="18"/>
    </row>
    <row r="82" spans="1:9" ht="52.8" x14ac:dyDescent="0.3">
      <c r="A82" s="18" t="s">
        <v>38</v>
      </c>
      <c r="B82" s="18" t="s">
        <v>823</v>
      </c>
      <c r="C82" s="18" t="s">
        <v>89</v>
      </c>
      <c r="D82" s="18" t="s">
        <v>741</v>
      </c>
      <c r="E82" s="18" t="s">
        <v>742</v>
      </c>
      <c r="F82" s="18" t="s">
        <v>785</v>
      </c>
      <c r="G82" s="18"/>
      <c r="H82" s="18" t="s">
        <v>319</v>
      </c>
      <c r="I82" s="18" t="s">
        <v>786</v>
      </c>
    </row>
    <row r="83" spans="1:9" x14ac:dyDescent="0.3">
      <c r="A83" s="18" t="s">
        <v>38</v>
      </c>
      <c r="B83" s="18" t="s">
        <v>823</v>
      </c>
      <c r="C83" s="18" t="s">
        <v>578</v>
      </c>
      <c r="D83" s="18" t="s">
        <v>741</v>
      </c>
      <c r="E83" s="18" t="s">
        <v>742</v>
      </c>
      <c r="F83" s="18" t="s">
        <v>848</v>
      </c>
      <c r="G83" s="18"/>
      <c r="H83" s="18" t="s">
        <v>319</v>
      </c>
      <c r="I83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26</vt:i4>
      </vt:variant>
    </vt:vector>
  </HeadingPairs>
  <TitlesOfParts>
    <vt:vector size="35" baseType="lpstr">
      <vt:lpstr>00_LEIA-ME</vt:lpstr>
      <vt:lpstr>PESTEL</vt:lpstr>
      <vt:lpstr>SWOT</vt:lpstr>
      <vt:lpstr>Matriz_TOWS</vt:lpstr>
      <vt:lpstr>Cinco_Forcas</vt:lpstr>
      <vt:lpstr>Vista_SWOT</vt:lpstr>
      <vt:lpstr>Partes_Interessadas</vt:lpstr>
      <vt:lpstr>Listas</vt:lpstr>
      <vt:lpstr>Dicionario_Dados</vt:lpstr>
      <vt:lpstr>DataRef</vt:lpstr>
      <vt:lpstr>lst_Classificacao</vt:lpstr>
      <vt:lpstr>lst_CondicaoAmbiental</vt:lpstr>
      <vt:lpstr>lst_Cruzamento</vt:lpstr>
      <vt:lpstr>lst_DataReferencia</vt:lpstr>
      <vt:lpstr>lst_Dimensao</vt:lpstr>
      <vt:lpstr>lst_Direcao</vt:lpstr>
      <vt:lpstr>lst_Escala13</vt:lpstr>
      <vt:lpstr>lst_ESG</vt:lpstr>
      <vt:lpstr>lst_Funcao</vt:lpstr>
      <vt:lpstr>lst_Horizonte</vt:lpstr>
      <vt:lpstr>lst_PI_Cond</vt:lpstr>
      <vt:lpstr>lst_PI_Nivel</vt:lpstr>
      <vt:lpstr>lst_PI_Obrig</vt:lpstr>
      <vt:lpstr>lst_PI_SimNao</vt:lpstr>
      <vt:lpstr>lst_PI_Tipo</vt:lpstr>
      <vt:lpstr>lst_Processo</vt:lpstr>
      <vt:lpstr>lst_Quadrante</vt:lpstr>
      <vt:lpstr>lst_SimNao</vt:lpstr>
      <vt:lpstr>lst_Tema</vt:lpstr>
      <vt:lpstr>lst_Tendencia</vt:lpstr>
      <vt:lpstr>Cinco_Forcas!Títulos_de_Impressão</vt:lpstr>
      <vt:lpstr>Matriz_TOWS!Títulos_de_Impressão</vt:lpstr>
      <vt:lpstr>Partes_Interessadas!Títulos_de_Impressão</vt:lpstr>
      <vt:lpstr>PESTEL!Títulos_de_Impressão</vt:lpstr>
      <vt:lpstr>SWOT!Títulos_de_Impressão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RG-SGA-01 Contexto da Organização — PESTEL, SWOT, Partes Interessadas, 5 Forças e TOWS (SGA e SGI)</dc:title>
  <dc:subject>SGA NP EN ISO 14001:2026 — Plasticom</dc:subject>
  <dc:creator>Gestor(a) do SGA / EHS</dc:creator>
  <cp:lastModifiedBy>Aline Meireles</cp:lastModifiedBy>
  <dcterms:created xsi:type="dcterms:W3CDTF">2026-09-30T16:48:39Z</dcterms:created>
  <dcterms:modified xsi:type="dcterms:W3CDTF">2026-09-30T16:48:55Z</dcterms:modified>
</cp:coreProperties>
</file>