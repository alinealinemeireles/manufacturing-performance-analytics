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D0A3D5DA-E8E0-45FD-9DA6-76974E3C4922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enarios" sheetId="2" r:id="rId2"/>
    <sheet name="IT_Passos" sheetId="3" r:id="rId3"/>
    <sheet name="Meios_Resposta" sheetId="4" r:id="rId4"/>
    <sheet name="Simulacros" sheetId="5" r:id="rId5"/>
    <sheet name="IT-SGA-01_Derrames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Escala13">Listas!$B$3:$B$5</definedName>
    <definedName name="lst_Fase">Listas!$D$3:$D$13</definedName>
    <definedName name="lst_Funcao">Listas!$C$3:$C$24</definedName>
    <definedName name="lst_ResultadoSim">Listas!$E$3:$E$6</definedName>
    <definedName name="_xlnm.Print_Titles" localSheetId="1">Cenarios!$4:$4</definedName>
    <definedName name="_xlnm.Print_Titles" localSheetId="2">IT_Passos!$1:$1</definedName>
    <definedName name="_xlnm.Print_Titles" localSheetId="3">Meios_Resposta!$1:$1</definedName>
    <definedName name="_xlnm.Print_Titles" localSheetId="4">Simulacros!$1:$1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Q10" i="2"/>
  <c r="R10" i="2" s="1"/>
  <c r="I10" i="2"/>
  <c r="J10" i="2" s="1"/>
  <c r="Q9" i="2"/>
  <c r="R9" i="2" s="1"/>
  <c r="I9" i="2"/>
  <c r="J9" i="2" s="1"/>
  <c r="R8" i="2"/>
  <c r="Q8" i="2"/>
  <c r="I8" i="2"/>
  <c r="J8" i="2" s="1"/>
  <c r="Q7" i="2"/>
  <c r="R7" i="2" s="1"/>
  <c r="I7" i="2"/>
  <c r="J7" i="2" s="1"/>
  <c r="Q6" i="2"/>
  <c r="R6" i="2" s="1"/>
  <c r="I6" i="2"/>
  <c r="J6" i="2" s="1"/>
  <c r="Q5" i="2"/>
  <c r="R5" i="2" s="1"/>
  <c r="I5" i="2"/>
  <c r="J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Cenário.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Cenário de emergência.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Onde.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Causas prováveis.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Impacte ambiental potencial.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Aspetos associados.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1 remota – 3 frequente.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1 local/contida – 3 externa/grave.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 × G (1-9).
[calculado]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Prioridade do cenário.
[calculado]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Medidas preventivas.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Meios de resposta.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IT aplicável.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Quem coordena.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A quem comunicar.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Frequência de simulacro.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Data do último simulacro realizado.
[calculado]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Alerta de teste periódico (8.2).
[calculado]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Cenário da Atividade 4.5.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Instrução de trabalho.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N.º do passo.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Fase da resposta.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O que fazer.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Quem.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Tempo-alvo acumulado desde o alerta (min).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Equipamento/material necessário.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Meio de resposta.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Equipamento.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Onde está.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Cenário.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Última verificação (ronda).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Estado na última verificação.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Dias desde a verificação.
[calculado]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Verificação mensal no mínimo.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Simulacro.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Cenário.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Situação simulada.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N.º participantes.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Tempo de evacuação (min).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Tempo até contenção / fecho da válvula (min).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Resultados e lições.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Ação resultante.</t>
        </r>
      </text>
    </comment>
  </commentList>
</comments>
</file>

<file path=xl/sharedStrings.xml><?xml version="1.0" encoding="utf-8"?>
<sst xmlns="http://schemas.openxmlformats.org/spreadsheetml/2006/main" count="702" uniqueCount="365">
  <si>
    <t>RG-SGA-12 — Preparação e Resposta a Emergências Ambientais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</si>
  <si>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</si>
  <si>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</si>
  <si>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</si>
  <si>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RG-SGA-12</t>
  </si>
  <si>
    <t>Título</t>
  </si>
  <si>
    <t>Preparação e Resposta a Emergências Ambientais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</si>
  <si>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</si>
  <si>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</si>
  <si>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</si>
  <si>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</si>
  <si>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</si>
  <si>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</si>
  <si>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</si>
  <si>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</si>
  <si>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</si>
  <si>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</si>
  <si>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</si>
  <si>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</si>
  <si>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</si>
  <si>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</si>
  <si>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</si>
  <si>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Identificar os cenários de emergência ambiental credíveis, avaliá-los, definir prevenção, meios e resposta (instrução de trabalho passo a passo com tempos-alvo), inventariar os meios críticos e registar simulacros com tempos reais para avaliar a eficácia.</t>
  </si>
  <si>
    <t>Atividades do curso</t>
  </si>
  <si>
    <t>Atividade 4.5 — Definição de Cenário de Emergência e Resposta: cenário EMG-01 (derrame de produtos químicos), Instrução de Trabalho IT-SGA-01 rev. 01 e equipamento crítico (kit antipoluição).</t>
  </si>
  <si>
    <t>Requisitos ISO 14001:2026</t>
  </si>
  <si>
    <t>8.2 Preparação e resposta a emergências (alinhada com 6.1.2 — situações de emergência potenciais, ISO 14001:2026); 7.2; 7.4</t>
  </si>
  <si>
    <t>ESTRUTURA DO FICHEIRO</t>
  </si>
  <si>
    <t>Cenarios</t>
  </si>
  <si>
    <t>Cenários de emergência ambiental avaliados (P × G) com meios, IT e alerta de simulacro.</t>
  </si>
  <si>
    <t>IT_Passos</t>
  </si>
  <si>
    <t>Passos da IT-SGA-01 rev. 01 em formato de tabela (base da instrução impressa).</t>
  </si>
  <si>
    <t>Meios_Resposta</t>
  </si>
  <si>
    <t>Inventário de meios críticos de resposta e estado da última verificação.</t>
  </si>
  <si>
    <t>Simulacros</t>
  </si>
  <si>
    <t>Registo de simulacros com tempos medidos (eficácia da resposta).</t>
  </si>
  <si>
    <t>IT-SGA-01_Derrames</t>
  </si>
  <si>
    <t>Instrução de Trabalho IT-SGA-01 rev. 01 — Resposta a derrames de produtos químicos (formato de impressão/fórum).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</si>
  <si>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</si>
  <si>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</si>
  <si>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</si>
  <si>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</si>
  <si>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</si>
  <si>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</si>
  <si>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</si>
  <si>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</si>
  <si>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</si>
  <si>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</si>
  <si>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</si>
  <si>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</si>
  <si>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</si>
  <si>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</si>
  <si>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</si>
  <si>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</si>
  <si>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</si>
  <si>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</si>
  <si>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RG-SGA-03 Aspetos</t>
  </si>
  <si>
    <t>Aspetos em condição de emergência (AA-005, AA-017, AA-034...).</t>
  </si>
  <si>
    <t>RG-SGA-07 NC</t>
  </si>
  <si>
    <t>NC-SGA-26-03 (kit) e NC-SGA-26-09 (simulacros) originaram a revisão 01 da IT-SGA-01.</t>
  </si>
  <si>
    <t>CENÁRIOS DE EMERGÊNCIA AMBIENTAL — PLASTICOM</t>
  </si>
  <si>
    <t>Criticidade = Probabilidade × Gravidade · Alerta calculado face à frequência de simulacro</t>
  </si>
  <si>
    <t>ID_Cenario</t>
  </si>
  <si>
    <t>Cenario</t>
  </si>
  <si>
    <t>Local</t>
  </si>
  <si>
    <t>Causas</t>
  </si>
  <si>
    <t>Impacte_Potencial</t>
  </si>
  <si>
    <t>IDs_Aspetos</t>
  </si>
  <si>
    <t>Probabilidade</t>
  </si>
  <si>
    <t>Gravidade</t>
  </si>
  <si>
    <t>Criticidade</t>
  </si>
  <si>
    <t>Prioridade</t>
  </si>
  <si>
    <t>Prevencao</t>
  </si>
  <si>
    <t>Instrucao_Trabalho</t>
  </si>
  <si>
    <t>Responsavel</t>
  </si>
  <si>
    <t>Comunicacao</t>
  </si>
  <si>
    <t>Freq_Simulacro</t>
  </si>
  <si>
    <t>Ultimo_Simulacro</t>
  </si>
  <si>
    <t>Alerta</t>
  </si>
  <si>
    <t>Selecionado_Atv_4_5</t>
  </si>
  <si>
    <t>EMG-01</t>
  </si>
  <si>
    <t>Derrame de produtos químicos (tintas, solventes, óleos)</t>
  </si>
  <si>
    <t>Armazém de químicos; serigrafia; oficina</t>
  </si>
  <si>
    <t>Queda na movimentação; rotura de embalagem; trasfega sem bacia</t>
  </si>
  <si>
    <t>Contaminação do solo e da água (rede pluvial → rio Lis); emissão de COV; resíduo perigoso</t>
  </si>
  <si>
    <t>AA-005; AA-017</t>
  </si>
  <si>
    <t>Bacias de retenção; recipientes fechados; kits selados; formação FOR-03</t>
  </si>
  <si>
    <t>Kits antipoluição KIT-01 a KIT-05; tampões de sarjeta; EPI</t>
  </si>
  <si>
    <t>IT-SGA-01</t>
  </si>
  <si>
    <t>Chefe de turno + Gestor do SGA</t>
  </si>
  <si>
    <t>Interna imediata; entidade gestora e APA se atingir a rede</t>
  </si>
  <si>
    <t>Semestral</t>
  </si>
  <si>
    <t>Sim</t>
  </si>
  <si>
    <t>EMG-02</t>
  </si>
  <si>
    <t>Incêndio no armazém de matérias-primas / granulado</t>
  </si>
  <si>
    <t>Armazém de MP e silos</t>
  </si>
  <si>
    <t>Curto-circuito; trabalho a quente; propagação de incêndio rural</t>
  </si>
  <si>
    <t>Fumos tóxicos; águas de combate contaminadas; dano à floresta envolvente</t>
  </si>
  <si>
    <t>AA-034</t>
  </si>
  <si>
    <t>Deteção automática; SCIE; faixa de gestão de combustível; licença de trabalhos a quente</t>
  </si>
  <si>
    <t>Extintores; RIA; válvula de corte pluvial VC-01; bacia de retenção de águas de combate</t>
  </si>
  <si>
    <t>IT-SGA-02</t>
  </si>
  <si>
    <t>Chefe de emergência</t>
  </si>
  <si>
    <t>112 / bombeiros; ANEPC; vizinhos; APA</t>
  </si>
  <si>
    <t>Anual</t>
  </si>
  <si>
    <t>Não</t>
  </si>
  <si>
    <t>EMG-03</t>
  </si>
  <si>
    <t>Fuga de óleo hidráulico em máquina</t>
  </si>
  <si>
    <t>Injeção e sopro (ISBM-005)</t>
  </si>
  <si>
    <t>Mangueira envelhecida; vedante; sobrepressão</t>
  </si>
  <si>
    <t>Contaminação do solo; resíduo perigoso</t>
  </si>
  <si>
    <t>AA-009; AA-013</t>
  </si>
  <si>
    <t>Manutenção por horas de operação; tabuleiros de retenção</t>
  </si>
  <si>
    <t>Absorventes; tabuleiro; kit KIT-02</t>
  </si>
  <si>
    <t>Técnico de Manutenção</t>
  </si>
  <si>
    <t>Interna</t>
  </si>
  <si>
    <t>EMG-04</t>
  </si>
  <si>
    <t>Fuga de gás fluorado (chiller CH-01)</t>
  </si>
  <si>
    <t>Utilidades</t>
  </si>
  <si>
    <t>Corrosão; vibração; falha de brasagem</t>
  </si>
  <si>
    <t>Emissão de GEE (R410A, GWP 2088)</t>
  </si>
  <si>
    <t>AA-025</t>
  </si>
  <si>
    <t>Controlo de fugas semestral por técnico certificado</t>
  </si>
  <si>
    <t>Detetor de fugas; contacto do técnico certificado</t>
  </si>
  <si>
    <t>—</t>
  </si>
  <si>
    <t>Gerente de Manutenção</t>
  </si>
  <si>
    <t>Interna; registo do equipamento</t>
  </si>
  <si>
    <t>EMG-05</t>
  </si>
  <si>
    <t>Descarga anómala de efluente (biocida da torre)</t>
  </si>
  <si>
    <t>Torre de arrefecimento TR-01</t>
  </si>
  <si>
    <t>Sobredosagem de biocida; purga descontrolada</t>
  </si>
  <si>
    <t>Contaminação do coletor e da ETAR municipal</t>
  </si>
  <si>
    <t>AA-024</t>
  </si>
  <si>
    <t>Dosagem automática com alarme</t>
  </si>
  <si>
    <t>Válvula de fecho da purga; recipientes para amostra</t>
  </si>
  <si>
    <t>Técnico de Utilidades</t>
  </si>
  <si>
    <t>Entidade gestora da drenagem</t>
  </si>
  <si>
    <t>EMG-06</t>
  </si>
  <si>
    <t>Perda massiva de granulado (big bag rasgado no exterior)</t>
  </si>
  <si>
    <t>Zona de descarga de big bags</t>
  </si>
  <si>
    <t>Rasgo do big bag; manobra de empilhador</t>
  </si>
  <si>
    <t>Microplásticos na rede pluvial e no meio aquático</t>
  </si>
  <si>
    <t>AA-003</t>
  </si>
  <si>
    <t>Tabuleiros de descarga; filtros de sarjeta</t>
  </si>
  <si>
    <t>Aspirador industrial; vassouras; tampões de sarjeta</t>
  </si>
  <si>
    <t>Operador de Armazém / Empilhador</t>
  </si>
  <si>
    <t>ID_IT</t>
  </si>
  <si>
    <t>Passo</t>
  </si>
  <si>
    <t>Fase</t>
  </si>
  <si>
    <t>Acao</t>
  </si>
  <si>
    <t>Tempo_Alvo_min</t>
  </si>
  <si>
    <t>Recurso</t>
  </si>
  <si>
    <t>1. Alerta</t>
  </si>
  <si>
    <t>Dar o alerta: gritar 'DERRAME!' e avisar o chefe de turno (ext. 222). Se houver fogo, cheiro forte ou feridos, ligar 112 e ativar o alarme.</t>
  </si>
  <si>
    <t>Quem deteta</t>
  </si>
  <si>
    <t>Telefone interno / botoneira</t>
  </si>
  <si>
    <t>2. Proteção</t>
  </si>
  <si>
    <t>Afastar pessoas e fontes de ignição (parar máquinas próximas, não fumar, não usar telemóvel junto a solventes). Consultar a FDS do produto.</t>
  </si>
  <si>
    <t>Quem deteta + chefe de turno</t>
  </si>
  <si>
    <t>FDS no ponto de uso</t>
  </si>
  <si>
    <t>3. Proteção</t>
  </si>
  <si>
    <t>Vestir o EPI do kit: luvas nitrílicas, óculos, máscara se o produto for volátil.</t>
  </si>
  <si>
    <t>Equipa de 1.ª intervenção</t>
  </si>
  <si>
    <t>EPI do kit antipoluição</t>
  </si>
  <si>
    <t>4. Parar a fonte</t>
  </si>
  <si>
    <t>Se for seguro: levantar o recipiente, fechar a válvula ou colocar o recipiente danificado dentro de uma bacia.</t>
  </si>
  <si>
    <t>Bacia de retenção móvel</t>
  </si>
  <si>
    <t>5. Contenção</t>
  </si>
  <si>
    <t>Tapar as sarjetas e ralos próximos com o tampão do kit e rodear o derrame com as barreiras absorventes (do exterior para o interior).</t>
  </si>
  <si>
    <t>Tampões de sarjeta; barreiras</t>
  </si>
  <si>
    <t>6. Absorção</t>
  </si>
  <si>
    <t>Cobrir o líquido com almofadas/granulado absorvente até não haver líquido livre. Não usar água.</t>
  </si>
  <si>
    <t>Almofadas e granulado absorvente</t>
  </si>
  <si>
    <t>7. Recolha</t>
  </si>
  <si>
    <t>Recolher o absorvente com a pá antifaísca para o saco/contentor do kit; fechar e etiquetar como LER 15 02 02* (ou 08 03 12* para tinta).</t>
  </si>
  <si>
    <t>Pá antifaísca; sacos; etiquetas LER</t>
  </si>
  <si>
    <t>8. Encaminhamento</t>
  </si>
  <si>
    <t>Colocar o contentor no parque de resíduos perigosos (em bacia, fechado) e informar o Responsável de Armazém.</t>
  </si>
  <si>
    <t>Operador + Responsável de Armazém</t>
  </si>
  <si>
    <t>Parque de resíduos perigosos</t>
  </si>
  <si>
    <t>9. Comunicação</t>
  </si>
  <si>
    <t>Se o produto chegou à rede pluvial ou ao solo não impermeável: fechar a válvula de corte VC-01, avisar o Gestor do SGA, que comunica à entidade gestora/APA.</t>
  </si>
  <si>
    <t>Válvula de corte VC-01; lista de contactos</t>
  </si>
  <si>
    <t>10. Pós-uso (obrigatório)</t>
  </si>
  <si>
    <t>Registar o incidente (formulário INC), pedir a reposição do kit ao armazém e voltar a selar o kit com selo numerado. O kit nunca fica incompleto.</t>
  </si>
  <si>
    <t>Quem usou o kit + Responsável de Armazém</t>
  </si>
  <si>
    <t>Formulário INC; stock mínimo de 2 kits; selos numerados</t>
  </si>
  <si>
    <t>11. Investigação</t>
  </si>
  <si>
    <t>O Gestor do SGA investiga a causa (5 Porquês) e abre ação no PAM se necessário.</t>
  </si>
  <si>
    <t>Gestor do SGA</t>
  </si>
  <si>
    <t>RG-SGA-07 / RG-SGA-06</t>
  </si>
  <si>
    <t>ID_Meio</t>
  </si>
  <si>
    <t>Descricao</t>
  </si>
  <si>
    <t>Localizacao</t>
  </si>
  <si>
    <t>Ultima_Verificacao</t>
  </si>
  <si>
    <t>Dias_desde_Verif</t>
  </si>
  <si>
    <t>KIT-01</t>
  </si>
  <si>
    <t>Kit antipoluição 120 L</t>
  </si>
  <si>
    <t>Armazém de químicos</t>
  </si>
  <si>
    <t>Completo e selado (selo 00412)</t>
  </si>
  <si>
    <t>KIT-02</t>
  </si>
  <si>
    <t>Kit antipoluição 60 L</t>
  </si>
  <si>
    <t>Oficina de manutenção</t>
  </si>
  <si>
    <t>Completo e selado (selo 00413)</t>
  </si>
  <si>
    <t>KIT-03</t>
  </si>
  <si>
    <t>Zona injeção/serigrafia</t>
  </si>
  <si>
    <t>Completo e selado (selo 00447); verificação mensal com registo pós-uso (IT-SGA-01 rev. 01)</t>
  </si>
  <si>
    <t>KIT-04</t>
  </si>
  <si>
    <t>Serigrafia SS-002</t>
  </si>
  <si>
    <t>Completo e selado (selo 00415)</t>
  </si>
  <si>
    <t>KIT-05</t>
  </si>
  <si>
    <t>Parque de resíduos</t>
  </si>
  <si>
    <t>Completo e selado (selo 00416)</t>
  </si>
  <si>
    <t>VC-01</t>
  </si>
  <si>
    <t>Válvula de corte da rede pluvial</t>
  </si>
  <si>
    <t>Caixa de saída pluvial (portão sul)</t>
  </si>
  <si>
    <t>Operacional; manobra em 4 min no simulacro de 11/12/2026</t>
  </si>
  <si>
    <t>BR-01</t>
  </si>
  <si>
    <t>Bacia de retenção de águas de combate (300 m³)</t>
  </si>
  <si>
    <t>Logradouro sul</t>
  </si>
  <si>
    <t>Seca e limpa</t>
  </si>
  <si>
    <t>TMP-01</t>
  </si>
  <si>
    <t>Tampões de sarjeta magnéticos (6 un.)</t>
  </si>
  <si>
    <t>Armazém de químicos / kits</t>
  </si>
  <si>
    <t>Em bom estado</t>
  </si>
  <si>
    <t>ID_Simulacro</t>
  </si>
  <si>
    <t>Data</t>
  </si>
  <si>
    <t>Participantes</t>
  </si>
  <si>
    <t>Tempo_Evacuacao_min</t>
  </si>
  <si>
    <t>Tempo_Contencao_min</t>
  </si>
  <si>
    <t>Licoes_Aprendidas</t>
  </si>
  <si>
    <t>Resultado</t>
  </si>
  <si>
    <t>ID_PAM</t>
  </si>
  <si>
    <t>SIM-2025-01</t>
  </si>
  <si>
    <t>Incêndio no armazém de MP</t>
  </si>
  <si>
    <t>Evacuação em 6 min (meta ≤ 8 min). Válvula de corte fechada em 9 min (meta ≤ 5 min): chave guardada na portaria.</t>
  </si>
  <si>
    <t>Parcialmente eficaz</t>
  </si>
  <si>
    <t>PAM-26-21</t>
  </si>
  <si>
    <t>SIM-2026-01</t>
  </si>
  <si>
    <t>Big bag rasgado na zona de descarga</t>
  </si>
  <si>
    <t>Granulado recolhido em 25 min; 1 sarjeta sem filtro.</t>
  </si>
  <si>
    <t>PAM-26-11</t>
  </si>
  <si>
    <t>SIM-2026-02</t>
  </si>
  <si>
    <t>Derrame de 20 L de solvente no armazém de químicos</t>
  </si>
  <si>
    <t>Contenção com o KIT-01 em 7 min (meta ≤ 10 min); tampões de sarjeta colocados; registo pós-uso da IT-SGA-01 rev. 01 cumprido.</t>
  </si>
  <si>
    <t>Eficaz</t>
  </si>
  <si>
    <t>SIM-2026-03</t>
  </si>
  <si>
    <t>Incêndio no armazém de MP com retenção das águas de combate</t>
  </si>
  <si>
    <t>Evacuação em 5 min; VC-01 fechada em 4 min (meta ≤ 5 min) com a chave na caixa junto à portaria; BR-01 disponível.</t>
  </si>
  <si>
    <t>PLASTICOM</t>
  </si>
  <si>
    <t>INSTRUÇÃO DE TRABALHO — RESPOSTA A DERRAMES DE PRODUTOS QUÍMICOS</t>
  </si>
  <si>
    <t>IT-SGA-01 rev. 01</t>
  </si>
  <si>
    <t>Plasticom — Unidade 1 (Marinha Grande, Portugal) · NP EN ISO 14001:2026</t>
  </si>
  <si>
    <t>Rev. 01 · 31/12/2026</t>
  </si>
  <si>
    <t>Objetivo</t>
  </si>
  <si>
    <t>Conter, recolher e comunicar qualquer derrame de tinta, solvente, óleo ou outro químico, evitando que chegue ao solo, à rede pluvial ou ao rio Lis.</t>
  </si>
  <si>
    <t>Âmbito</t>
  </si>
  <si>
    <t>Armazém de químicos, serigrafia, hot foil, oficina de manutenção, injeção, sopro e parque de resíduos. Derrames até ≈ 200 L; acima disso ou com fogo: ativar o Plano de Emergência Interno (112).</t>
  </si>
  <si>
    <t>Cenário</t>
  </si>
  <si>
    <t>EMG-01 — Derrame de produtos químicos (aspetos AA-005 e AA-017, condição de EMERGÊNCIA).</t>
  </si>
  <si>
    <t>Equipamento crítico</t>
  </si>
  <si>
    <t>KIT ANTIPOLUIÇÃO (selado): 12 almofadas absorventes, 2 barreiras, granulado absorvente, tampão de sarjeta, pá antifaísca, sacos e etiquetas LER, luvas nitrílicas, óculos, máscara, esta instrução. Localização: KIT-01 a KIT-05 (ver planta).</t>
  </si>
  <si>
    <t>Alteração rev. 01</t>
  </si>
  <si>
    <t>Acrescentado o passo 10 (pós-uso obrigatório: registar, repor, selar) e a verificação semanal do selo e conteúdo — resposta à NC-SGA-26-03.</t>
  </si>
  <si>
    <t>O que fazer</t>
  </si>
  <si>
    <t>Quem</t>
  </si>
  <si>
    <t>Até (min)</t>
  </si>
  <si>
    <t>NUNCA</t>
  </si>
  <si>
    <t>Lavar o derrame com água para a sarjeta · deixar o kit incompleto ou sem selo · misturar absorventes contaminados com lixo comum.</t>
  </si>
  <si>
    <t>Contactos</t>
  </si>
  <si>
    <t>Chefe de turno ext. 222 · Gestor do SGA 912 000 101 · Portaria (válvula de corte VC-01) ext. 200 · Emergência 112.</t>
  </si>
  <si>
    <t>Aprovação</t>
  </si>
  <si>
    <t>Elaborado: Gestor do SGA/EHS · Aprovado: Diretor Industrial · Data: 23/09/2026 · Substitui: rev. 00 (24/05/2024)</t>
  </si>
  <si>
    <t>LISTAS CONTROLADAS (domínios de validação de dados) — editar aqui para alterar opções</t>
  </si>
  <si>
    <t>DataReferencia</t>
  </si>
  <si>
    <t>Escala13</t>
  </si>
  <si>
    <t>Funcao</t>
  </si>
  <si>
    <t>ResultadoSim</t>
  </si>
  <si>
    <t>Diretor Geral (Gestão de Topo)</t>
  </si>
  <si>
    <t>Diretor Industrial</t>
  </si>
  <si>
    <t>Gestor do SGA / EHS (Responsável Ambiental)</t>
  </si>
  <si>
    <t>Não eficaz</t>
  </si>
  <si>
    <t>Gerente de Produção</t>
  </si>
  <si>
    <t>Planeado</t>
  </si>
  <si>
    <t>Gerente da Qualidade</t>
  </si>
  <si>
    <t>Responsável de Armazém e Logística</t>
  </si>
  <si>
    <t>Responsável de Compras</t>
  </si>
  <si>
    <t>Responsável de R&amp;D</t>
  </si>
  <si>
    <t>Responsável de Recursos Humanos</t>
  </si>
  <si>
    <t>Diretor Financeiro</t>
  </si>
  <si>
    <t>Operador de Serigrafia</t>
  </si>
  <si>
    <t>Operador de Injeção</t>
  </si>
  <si>
    <t>Operador de Sopro (ISBM)</t>
  </si>
  <si>
    <t>Operador de Hot Foil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</si>
  <si>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</si>
  <si>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</si>
  <si>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</si>
  <si>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</si>
  <si>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</si>
  <si>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</si>
  <si>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</si>
  <si>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</si>
  <si>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</si>
  <si>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</si>
  <si>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</si>
  <si>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</si>
  <si>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tbl_cenarios</t>
  </si>
  <si>
    <t>Texto</t>
  </si>
  <si>
    <t>Entrada</t>
  </si>
  <si>
    <t>Cenário.</t>
  </si>
  <si>
    <t>PK</t>
  </si>
  <si>
    <t>Cenário de emergência.</t>
  </si>
  <si>
    <t>Onde.</t>
  </si>
  <si>
    <t>Causas prováveis.</t>
  </si>
  <si>
    <t>Impacte ambiental potencial.</t>
  </si>
  <si>
    <t>Aspetos associados.</t>
  </si>
  <si>
    <t>FK → RG-SGA-03</t>
  </si>
  <si>
    <t>Inteiro</t>
  </si>
  <si>
    <t>1 remota – 3 frequente.</t>
  </si>
  <si>
    <t>Lista lst_Escala13</t>
  </si>
  <si>
    <t>1 local/contida – 3 externa/grave.</t>
  </si>
  <si>
    <t>Calculado (fórmula)</t>
  </si>
  <si>
    <t>P × G (1-9).</t>
  </si>
  <si>
    <t>Prioridade do cenário.</t>
  </si>
  <si>
    <t>Medidas preventivas.</t>
  </si>
  <si>
    <t>Meios de resposta.</t>
  </si>
  <si>
    <t>IT aplicável.</t>
  </si>
  <si>
    <t>Quem coordena.</t>
  </si>
  <si>
    <t>A quem comunicar.</t>
  </si>
  <si>
    <t>Frequência de simulacro.</t>
  </si>
  <si>
    <t>Data (aaaa-mm-dd)</t>
  </si>
  <si>
    <t>Data do último simulacro realizado.</t>
  </si>
  <si>
    <t>Alerta de teste periódico (8.2).</t>
  </si>
  <si>
    <t>Cenário da Atividade 4.5.</t>
  </si>
  <si>
    <t>tbl_it_passos</t>
  </si>
  <si>
    <t>Instrução de trabalho.</t>
  </si>
  <si>
    <t>FK</t>
  </si>
  <si>
    <t>N.º do passo.</t>
  </si>
  <si>
    <t>Fase da resposta.</t>
  </si>
  <si>
    <t>Lista lst_Fase</t>
  </si>
  <si>
    <t>O que fazer.</t>
  </si>
  <si>
    <t>Quem.</t>
  </si>
  <si>
    <t>Tempo-alvo acumulado desde o alerta (min).</t>
  </si>
  <si>
    <t>Equipamento/material necessário.</t>
  </si>
  <si>
    <t>tbl_meios</t>
  </si>
  <si>
    <t>Meio de resposta.</t>
  </si>
  <si>
    <t>Equipamento.</t>
  </si>
  <si>
    <t>Onde está.</t>
  </si>
  <si>
    <t>FK → tbl_cenarios</t>
  </si>
  <si>
    <t>Última verificação (ronda).</t>
  </si>
  <si>
    <t>Estado na última verificação.</t>
  </si>
  <si>
    <t>Dias desde a verificação.</t>
  </si>
  <si>
    <t>Verificação mensal no mínimo.</t>
  </si>
  <si>
    <t>tbl_simulacros</t>
  </si>
  <si>
    <t>Simulacro.</t>
  </si>
  <si>
    <t>Data.</t>
  </si>
  <si>
    <t>Situação simulada.</t>
  </si>
  <si>
    <t>N.º participantes.</t>
  </si>
  <si>
    <t>Tempo de evacuação (min).</t>
  </si>
  <si>
    <t>Tempo até contenção / fecho da válvula (min).</t>
  </si>
  <si>
    <t>Resultados e lições.</t>
  </si>
  <si>
    <t>Resultado.</t>
  </si>
  <si>
    <t>Lista lst_ResultadoSim</t>
  </si>
  <si>
    <t>Ação resultante.</t>
  </si>
  <si>
    <t>FK → RG-SGA-06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</si>
</sst>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  <fill>
      <patternFill patternType="solid">
        <fgColor rgb="FFFFF2B3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7" fillId="5" borderId="0" xfId="0" applyFont="1" applyFill="1"/>
    <xf numFmtId="0" fontId="0" fillId="5" borderId="0" xfId="0" applyFill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2" xfId="0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7" fillId="5" borderId="1" xfId="0" applyFont="1" applyFill="1" applyBorder="1" applyAlignment="1">
      <alignment vertical="top" wrapText="1"/>
    </xf>
  </cellXfs>
  <cellStyles count="1">
    <cellStyle name="Normal" xfId="0" builtinId="0"/>
  </cellStyles>
  <dxfs count="13"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enarios" displayName="tbl_cenarios" ref="A4:S10">
  <autoFilter ref="A4:S10" xr:uid="{00000000-0009-0000-0100-000001000000}"/>
  <tableColumns count="19">
    <tableColumn id="1" xr3:uid="{00000000-0010-0000-0000-000001000000}" name="ID_Cenario"/>
    <tableColumn id="2" xr3:uid="{00000000-0010-0000-0000-000002000000}" name="Cenario"/>
    <tableColumn id="3" xr3:uid="{00000000-0010-0000-0000-000003000000}" name="Local"/>
    <tableColumn id="4" xr3:uid="{00000000-0010-0000-0000-000004000000}" name="Causas"/>
    <tableColumn id="5" xr3:uid="{00000000-0010-0000-0000-000005000000}" name="Impacte_Potencial"/>
    <tableColumn id="6" xr3:uid="{00000000-0010-0000-0000-000006000000}" name="IDs_Aspetos"/>
    <tableColumn id="7" xr3:uid="{00000000-0010-0000-0000-000007000000}" name="Probabilidade"/>
    <tableColumn id="8" xr3:uid="{00000000-0010-0000-0000-000008000000}" name="Gravidade"/>
    <tableColumn id="9" xr3:uid="{00000000-0010-0000-0000-000009000000}" name="Criticidade"/>
    <tableColumn id="10" xr3:uid="{00000000-0010-0000-0000-00000A000000}" name="Prioridade"/>
    <tableColumn id="11" xr3:uid="{00000000-0010-0000-0000-00000B000000}" name="Prevencao"/>
    <tableColumn id="12" xr3:uid="{00000000-0010-0000-0000-00000C000000}" name="Meios_Resposta"/>
    <tableColumn id="13" xr3:uid="{00000000-0010-0000-0000-00000D000000}" name="Instrucao_Trabalho"/>
    <tableColumn id="14" xr3:uid="{00000000-0010-0000-0000-00000E000000}" name="Responsavel"/>
    <tableColumn id="15" xr3:uid="{00000000-0010-0000-0000-00000F000000}" name="Comunicacao"/>
    <tableColumn id="16" xr3:uid="{00000000-0010-0000-0000-000010000000}" name="Freq_Simulacro"/>
    <tableColumn id="17" xr3:uid="{00000000-0010-0000-0000-000011000000}" name="Ultimo_Simulacro"/>
    <tableColumn id="18" xr3:uid="{00000000-0010-0000-0000-000012000000}" name="Alerta"/>
    <tableColumn id="19" xr3:uid="{00000000-0010-0000-0000-000013000000}" name="Selecionado_Atv_4_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t_passos" displayName="tbl_it_passos" ref="A1:G12">
  <autoFilter ref="A1:G12" xr:uid="{00000000-0009-0000-0100-000002000000}"/>
  <tableColumns count="7">
    <tableColumn id="1" xr3:uid="{00000000-0010-0000-0100-000001000000}" name="ID_IT"/>
    <tableColumn id="2" xr3:uid="{00000000-0010-0000-0100-000002000000}" name="Passo"/>
    <tableColumn id="3" xr3:uid="{00000000-0010-0000-0100-000003000000}" name="Fase"/>
    <tableColumn id="4" xr3:uid="{00000000-0010-0000-0100-000004000000}" name="Acao"/>
    <tableColumn id="5" xr3:uid="{00000000-0010-0000-0100-000005000000}" name="Responsavel"/>
    <tableColumn id="6" xr3:uid="{00000000-0010-0000-0100-000006000000}" name="Tempo_Alvo_min"/>
    <tableColumn id="7" xr3:uid="{00000000-0010-0000-0100-000007000000}" name="Recurs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eios" displayName="tbl_meios" ref="A1:H9">
  <autoFilter ref="A1:H9" xr:uid="{00000000-0009-0000-0100-000003000000}"/>
  <tableColumns count="8">
    <tableColumn id="1" xr3:uid="{00000000-0010-0000-0200-000001000000}" name="ID_Meio"/>
    <tableColumn id="2" xr3:uid="{00000000-0010-0000-0200-000002000000}" name="Descricao"/>
    <tableColumn id="3" xr3:uid="{00000000-0010-0000-0200-000003000000}" name="Localizacao"/>
    <tableColumn id="4" xr3:uid="{00000000-0010-0000-0200-000004000000}" name="ID_Cenario"/>
    <tableColumn id="5" xr3:uid="{00000000-0010-0000-0200-000005000000}" name="Ultima_Verificacao"/>
    <tableColumn id="6" xr3:uid="{00000000-0010-0000-0200-000006000000}" name="Estado"/>
    <tableColumn id="7" xr3:uid="{00000000-0010-0000-0200-000007000000}" name="Dias_desde_Verif"/>
    <tableColumn id="8" xr3:uid="{00000000-0010-0000-0200-000008000000}" name="Alert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imulacros" displayName="tbl_simulacros" ref="A1:J5">
  <autoFilter ref="A1:J5" xr:uid="{00000000-0009-0000-0100-000004000000}"/>
  <tableColumns count="10">
    <tableColumn id="1" xr3:uid="{00000000-0010-0000-0300-000001000000}" name="ID_Simulacro"/>
    <tableColumn id="2" xr3:uid="{00000000-0010-0000-0300-000002000000}" name="Data"/>
    <tableColumn id="3" xr3:uid="{00000000-0010-0000-0300-000003000000}" name="ID_Cenario"/>
    <tableColumn id="4" xr3:uid="{00000000-0010-0000-0300-000004000000}" name="Descricao"/>
    <tableColumn id="5" xr3:uid="{00000000-0010-0000-0300-000005000000}" name="Participantes"/>
    <tableColumn id="6" xr3:uid="{00000000-0010-0000-0300-000006000000}" name="Tempo_Evacuacao_min"/>
    <tableColumn id="7" xr3:uid="{00000000-0010-0000-0300-000007000000}" name="Tempo_Contencao_min"/>
    <tableColumn id="8" xr3:uid="{00000000-0010-0000-0300-000008000000}" name="Licoes_Aprendidas"/>
    <tableColumn id="9" xr3:uid="{00000000-0010-0000-0300-000009000000}" name="Resultado"/>
    <tableColumn id="10" xr3:uid="{00000000-0010-0000-0300-00000A000000}" name="ID_PAM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cionario" displayName="tbl_dicionario" ref="A1:I45">
  <autoFilter ref="A1:I45" xr:uid="{00000000-0009-0000-0100-000005000000}"/>
  <tableColumns count="9">
    <tableColumn id="1" xr3:uid="{00000000-0010-0000-0400-000001000000}" name="Folha"/>
    <tableColumn id="2" xr3:uid="{00000000-0010-0000-0400-000002000000}" name="Tabela"/>
    <tableColumn id="3" xr3:uid="{00000000-0010-0000-0400-000003000000}" name="Coluna"/>
    <tableColumn id="4" xr3:uid="{00000000-0010-0000-0400-000004000000}" name="Tipo"/>
    <tableColumn id="5" xr3:uid="{00000000-0010-0000-0400-000005000000}" name="Origem"/>
    <tableColumn id="6" xr3:uid="{00000000-0010-0000-0400-000006000000}" name="Descricao"/>
    <tableColumn id="7" xr3:uid="{00000000-0010-0000-0400-000007000000}" name="Dominio_Unidade"/>
    <tableColumn id="8" xr3:uid="{00000000-0010-0000-0400-000008000000}" name="Obrigatorio"/>
    <tableColumn id="9" xr3:uid="{00000000-0010-0000-04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26.4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4" customWidth="1"/>
    <col min="3" max="3" width="24" customWidth="1"/>
    <col min="4" max="4" width="30" customWidth="1"/>
    <col min="5" max="5" width="36" customWidth="1"/>
    <col min="6" max="6" width="12" customWidth="1"/>
    <col min="7" max="9" width="8" customWidth="1"/>
    <col min="10" max="10" width="9" customWidth="1"/>
    <col min="11" max="12" width="36" customWidth="1"/>
    <col min="13" max="13" width="10" customWidth="1"/>
    <col min="14" max="14" width="24" customWidth="1"/>
    <col min="15" max="15" width="30" customWidth="1"/>
    <col min="16" max="16" width="10" customWidth="1"/>
    <col min="17" max="17" width="11" customWidth="1"/>
    <col min="18" max="18" width="22" customWidth="1"/>
    <col min="19" max="19" width="9" customWidth="1"/>
  </cols>
  <sheetData>
    <row r="1" spans="1:19" ht="17.399999999999999" x14ac:dyDescent="0.3">
      <c r="A1" s="1" t="s">
        <v>60</v>
      </c>
    </row>
    <row r="2" spans="1:19" x14ac:dyDescent="0.3">
      <c r="A2" s="2" t="s">
        <v>61</v>
      </c>
    </row>
    <row r="4" spans="1:19" ht="39.6" x14ac:dyDescent="0.3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9" t="s">
        <v>70</v>
      </c>
      <c r="J4" s="9" t="s">
        <v>71</v>
      </c>
      <c r="K4" s="8" t="s">
        <v>72</v>
      </c>
      <c r="L4" s="8" t="s">
        <v>32</v>
      </c>
      <c r="M4" s="8" t="s">
        <v>73</v>
      </c>
      <c r="N4" s="8" t="s">
        <v>74</v>
      </c>
      <c r="O4" s="8" t="s">
        <v>75</v>
      </c>
      <c r="P4" s="8" t="s">
        <v>76</v>
      </c>
      <c r="Q4" s="9" t="s">
        <v>77</v>
      </c>
      <c r="R4" s="9" t="s">
        <v>78</v>
      </c>
      <c r="S4" s="8" t="s">
        <v>79</v>
      </c>
    </row>
    <row r="5" spans="1:19" ht="70.05" customHeight="1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1">
        <v>2</v>
      </c>
      <c r="H5" s="11">
        <v>3</v>
      </c>
      <c r="I5" s="12">
        <f t="shared" ref="I5:I10" si="0">G5*H5</f>
        <v>6</v>
      </c>
      <c r="J5" s="13" t="str">
        <f t="shared" ref="J5:J10" si="1">IF(I5&gt;=6,"Alta",IF(I5&gt;=3,"Média","Baixa"))</f>
        <v>Alta</v>
      </c>
      <c r="K5" s="10" t="s">
        <v>86</v>
      </c>
      <c r="L5" s="10" t="s">
        <v>87</v>
      </c>
      <c r="M5" s="10" t="s">
        <v>88</v>
      </c>
      <c r="N5" s="10" t="s">
        <v>89</v>
      </c>
      <c r="O5" s="10" t="s">
        <v>90</v>
      </c>
      <c r="P5" s="10" t="s">
        <v>91</v>
      </c>
      <c r="Q5" s="14">
        <f>IFERROR(IF(_xlfn.MAXIFS(tbl_simulacros[Data],tbl_simulacros[ID_Cenario],A5,tbl_simulacros[Resultado],"&lt;&gt;Planeado")=0,"",_xlfn.MAXIFS(tbl_simulacros[Data],tbl_simulacros[ID_Cenario],A5,tbl_simulacros[Resultado],"&lt;&gt;Planeado")),"")</f>
        <v>46352</v>
      </c>
      <c r="R5" s="13" t="str">
        <f t="shared" ref="R5:R10" si="2">IF(P5="—","",IF(OR(Q5="",Q5=0),"Nunca testado",IF(DataRef-Q5&gt;IF(P5="Semestral",183,365),"Simulacro em atraso","OK")))</f>
        <v>OK</v>
      </c>
      <c r="S5" s="10" t="s">
        <v>92</v>
      </c>
    </row>
    <row r="6" spans="1:19" ht="70.05" customHeight="1" x14ac:dyDescent="0.3">
      <c r="A6" s="10" t="s">
        <v>93</v>
      </c>
      <c r="B6" s="10" t="s">
        <v>94</v>
      </c>
      <c r="C6" s="10" t="s">
        <v>95</v>
      </c>
      <c r="D6" s="10" t="s">
        <v>96</v>
      </c>
      <c r="E6" s="10" t="s">
        <v>97</v>
      </c>
      <c r="F6" s="10" t="s">
        <v>98</v>
      </c>
      <c r="G6" s="11">
        <v>1</v>
      </c>
      <c r="H6" s="11">
        <v>3</v>
      </c>
      <c r="I6" s="12">
        <f t="shared" si="0"/>
        <v>3</v>
      </c>
      <c r="J6" s="13" t="str">
        <f t="shared" si="1"/>
        <v>Média</v>
      </c>
      <c r="K6" s="10" t="s">
        <v>99</v>
      </c>
      <c r="L6" s="10" t="s">
        <v>100</v>
      </c>
      <c r="M6" s="10" t="s">
        <v>101</v>
      </c>
      <c r="N6" s="10" t="s">
        <v>102</v>
      </c>
      <c r="O6" s="10" t="s">
        <v>103</v>
      </c>
      <c r="P6" s="10" t="s">
        <v>104</v>
      </c>
      <c r="Q6" s="14">
        <f>IFERROR(IF(_xlfn.MAXIFS(tbl_simulacros[Data],tbl_simulacros[ID_Cenario],A6,tbl_simulacros[Resultado],"&lt;&gt;Planeado")=0,"",_xlfn.MAXIFS(tbl_simulacros[Data],tbl_simulacros[ID_Cenario],A6,tbl_simulacros[Resultado],"&lt;&gt;Planeado")),"")</f>
        <v>46367</v>
      </c>
      <c r="R6" s="13" t="str">
        <f t="shared" si="2"/>
        <v>OK</v>
      </c>
      <c r="S6" s="10" t="s">
        <v>105</v>
      </c>
    </row>
    <row r="7" spans="1:19" ht="70.05" customHeight="1" x14ac:dyDescent="0.3">
      <c r="A7" s="10" t="s">
        <v>106</v>
      </c>
      <c r="B7" s="10" t="s">
        <v>107</v>
      </c>
      <c r="C7" s="10" t="s">
        <v>108</v>
      </c>
      <c r="D7" s="10" t="s">
        <v>109</v>
      </c>
      <c r="E7" s="10" t="s">
        <v>110</v>
      </c>
      <c r="F7" s="10" t="s">
        <v>111</v>
      </c>
      <c r="G7" s="11">
        <v>2</v>
      </c>
      <c r="H7" s="11">
        <v>2</v>
      </c>
      <c r="I7" s="12">
        <f t="shared" si="0"/>
        <v>4</v>
      </c>
      <c r="J7" s="13" t="str">
        <f t="shared" si="1"/>
        <v>Média</v>
      </c>
      <c r="K7" s="10" t="s">
        <v>112</v>
      </c>
      <c r="L7" s="10" t="s">
        <v>113</v>
      </c>
      <c r="M7" s="10" t="s">
        <v>88</v>
      </c>
      <c r="N7" s="10" t="s">
        <v>114</v>
      </c>
      <c r="O7" s="10" t="s">
        <v>115</v>
      </c>
      <c r="P7" s="10" t="s">
        <v>104</v>
      </c>
      <c r="Q7" s="14" t="str">
        <f>IFERROR(IF(_xlfn.MAXIFS(tbl_simulacros[Data],tbl_simulacros[ID_Cenario],A7,tbl_simulacros[Resultado],"&lt;&gt;Planeado")=0,"",_xlfn.MAXIFS(tbl_simulacros[Data],tbl_simulacros[ID_Cenario],A7,tbl_simulacros[Resultado],"&lt;&gt;Planeado")),"")</f>
        <v/>
      </c>
      <c r="R7" s="13" t="str">
        <f t="shared" si="2"/>
        <v>Nunca testado</v>
      </c>
      <c r="S7" s="10" t="s">
        <v>105</v>
      </c>
    </row>
    <row r="8" spans="1:19" ht="70.05" customHeight="1" x14ac:dyDescent="0.3">
      <c r="A8" s="10" t="s">
        <v>116</v>
      </c>
      <c r="B8" s="10" t="s">
        <v>117</v>
      </c>
      <c r="C8" s="10" t="s">
        <v>118</v>
      </c>
      <c r="D8" s="10" t="s">
        <v>119</v>
      </c>
      <c r="E8" s="10" t="s">
        <v>120</v>
      </c>
      <c r="F8" s="10" t="s">
        <v>121</v>
      </c>
      <c r="G8" s="11">
        <v>1</v>
      </c>
      <c r="H8" s="11">
        <v>2</v>
      </c>
      <c r="I8" s="12">
        <f t="shared" si="0"/>
        <v>2</v>
      </c>
      <c r="J8" s="13" t="str">
        <f t="shared" si="1"/>
        <v>Baixa</v>
      </c>
      <c r="K8" s="10" t="s">
        <v>122</v>
      </c>
      <c r="L8" s="10" t="s">
        <v>123</v>
      </c>
      <c r="M8" s="10" t="s">
        <v>124</v>
      </c>
      <c r="N8" s="10" t="s">
        <v>125</v>
      </c>
      <c r="O8" s="10" t="s">
        <v>126</v>
      </c>
      <c r="P8" s="10" t="s">
        <v>124</v>
      </c>
      <c r="Q8" s="14" t="str">
        <f>IFERROR(IF(_xlfn.MAXIFS(tbl_simulacros[Data],tbl_simulacros[ID_Cenario],A8,tbl_simulacros[Resultado],"&lt;&gt;Planeado")=0,"",_xlfn.MAXIFS(tbl_simulacros[Data],tbl_simulacros[ID_Cenario],A8,tbl_simulacros[Resultado],"&lt;&gt;Planeado")),"")</f>
        <v/>
      </c>
      <c r="R8" s="13" t="str">
        <f t="shared" si="2"/>
        <v/>
      </c>
      <c r="S8" s="10" t="s">
        <v>105</v>
      </c>
    </row>
    <row r="9" spans="1:19" ht="70.05" customHeight="1" x14ac:dyDescent="0.3">
      <c r="A9" s="10" t="s">
        <v>127</v>
      </c>
      <c r="B9" s="10" t="s">
        <v>128</v>
      </c>
      <c r="C9" s="10" t="s">
        <v>129</v>
      </c>
      <c r="D9" s="10" t="s">
        <v>130</v>
      </c>
      <c r="E9" s="10" t="s">
        <v>131</v>
      </c>
      <c r="F9" s="10" t="s">
        <v>132</v>
      </c>
      <c r="G9" s="11">
        <v>1</v>
      </c>
      <c r="H9" s="11">
        <v>2</v>
      </c>
      <c r="I9" s="12">
        <f t="shared" si="0"/>
        <v>2</v>
      </c>
      <c r="J9" s="13" t="str">
        <f t="shared" si="1"/>
        <v>Baixa</v>
      </c>
      <c r="K9" s="10" t="s">
        <v>133</v>
      </c>
      <c r="L9" s="10" t="s">
        <v>134</v>
      </c>
      <c r="M9" s="10" t="s">
        <v>124</v>
      </c>
      <c r="N9" s="10" t="s">
        <v>135</v>
      </c>
      <c r="O9" s="10" t="s">
        <v>136</v>
      </c>
      <c r="P9" s="10" t="s">
        <v>104</v>
      </c>
      <c r="Q9" s="14" t="str">
        <f>IFERROR(IF(_xlfn.MAXIFS(tbl_simulacros[Data],tbl_simulacros[ID_Cenario],A9,tbl_simulacros[Resultado],"&lt;&gt;Planeado")=0,"",_xlfn.MAXIFS(tbl_simulacros[Data],tbl_simulacros[ID_Cenario],A9,tbl_simulacros[Resultado],"&lt;&gt;Planeado")),"")</f>
        <v/>
      </c>
      <c r="R9" s="13" t="str">
        <f t="shared" si="2"/>
        <v>Nunca testado</v>
      </c>
      <c r="S9" s="10" t="s">
        <v>105</v>
      </c>
    </row>
    <row r="10" spans="1:19" ht="70.05" customHeight="1" x14ac:dyDescent="0.3">
      <c r="A10" s="10" t="s">
        <v>137</v>
      </c>
      <c r="B10" s="10" t="s">
        <v>138</v>
      </c>
      <c r="C10" s="10" t="s">
        <v>139</v>
      </c>
      <c r="D10" s="10" t="s">
        <v>140</v>
      </c>
      <c r="E10" s="10" t="s">
        <v>141</v>
      </c>
      <c r="F10" s="10" t="s">
        <v>142</v>
      </c>
      <c r="G10" s="11">
        <v>2</v>
      </c>
      <c r="H10" s="11">
        <v>2</v>
      </c>
      <c r="I10" s="12">
        <f t="shared" si="0"/>
        <v>4</v>
      </c>
      <c r="J10" s="13" t="str">
        <f t="shared" si="1"/>
        <v>Média</v>
      </c>
      <c r="K10" s="10" t="s">
        <v>143</v>
      </c>
      <c r="L10" s="10" t="s">
        <v>144</v>
      </c>
      <c r="M10" s="10" t="s">
        <v>88</v>
      </c>
      <c r="N10" s="10" t="s">
        <v>145</v>
      </c>
      <c r="O10" s="10" t="s">
        <v>115</v>
      </c>
      <c r="P10" s="10" t="s">
        <v>104</v>
      </c>
      <c r="Q10" s="14">
        <f>IFERROR(IF(_xlfn.MAXIFS(tbl_simulacros[Data],tbl_simulacros[ID_Cenario],A10,tbl_simulacros[Resultado],"&lt;&gt;Planeado")=0,"",_xlfn.MAXIFS(tbl_simulacros[Data],tbl_simulacros[ID_Cenario],A10,tbl_simulacros[Resultado],"&lt;&gt;Planeado")),"")</f>
        <v>46101</v>
      </c>
      <c r="R10" s="13" t="str">
        <f t="shared" si="2"/>
        <v>OK</v>
      </c>
      <c r="S10" s="10" t="s">
        <v>105</v>
      </c>
    </row>
  </sheetData>
  <conditionalFormatting sqref="J5:J210">
    <cfRule type="expression" dxfId="12" priority="1">
      <formula>ISNUMBER(SEARCH("Alta",J5))</formula>
    </cfRule>
    <cfRule type="expression" dxfId="11" priority="2">
      <formula>ISNUMBER(SEARCH("Média",J5))</formula>
    </cfRule>
    <cfRule type="expression" dxfId="10" priority="3">
      <formula>ISNUMBER(SEARCH("Baixa",J5))</formula>
    </cfRule>
  </conditionalFormatting>
  <conditionalFormatting sqref="R5:R210">
    <cfRule type="expression" dxfId="9" priority="4">
      <formula>ISNUMBER(SEARCH("Nunca",R5))</formula>
    </cfRule>
    <cfRule type="expression" dxfId="8" priority="5">
      <formula>ISNUMBER(SEARCH("atraso",R5))</formula>
    </cfRule>
    <cfRule type="expression" dxfId="7" priority="6">
      <formula>ISNUMBER(SEARCH("OK",R5))</formula>
    </cfRule>
  </conditionalFormatting>
  <conditionalFormatting sqref="S5:S210">
    <cfRule type="expression" dxfId="6" priority="7">
      <formula>ISNUMBER(SEARCH("Sim",S5))</formula>
    </cfRule>
  </conditionalFormatting>
  <dataValidations count="1">
    <dataValidation type="list" allowBlank="1" showErrorMessage="1" errorTitle="Valor inválido" error="Valor fora da lista controlada (ver folha Listas)." sqref="G5:H210" xr:uid="{00000000-0002-0000-0100-000000000000}">
      <formula1>lst_Escala13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2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" customWidth="1"/>
    <col min="3" max="3" width="20" customWidth="1"/>
    <col min="4" max="4" width="80" customWidth="1"/>
    <col min="5" max="5" width="30" customWidth="1"/>
    <col min="6" max="6" width="9" customWidth="1"/>
    <col min="7" max="7" width="34" customWidth="1"/>
  </cols>
  <sheetData>
    <row r="1" spans="1:7" ht="26.4" x14ac:dyDescent="0.3">
      <c r="A1" s="8" t="s">
        <v>146</v>
      </c>
      <c r="B1" s="8" t="s">
        <v>147</v>
      </c>
      <c r="C1" s="8" t="s">
        <v>148</v>
      </c>
      <c r="D1" s="8" t="s">
        <v>149</v>
      </c>
      <c r="E1" s="8" t="s">
        <v>74</v>
      </c>
      <c r="F1" s="8" t="s">
        <v>150</v>
      </c>
      <c r="G1" s="8" t="s">
        <v>151</v>
      </c>
    </row>
    <row r="2" spans="1:7" ht="45" customHeight="1" x14ac:dyDescent="0.3">
      <c r="A2" s="10" t="s">
        <v>88</v>
      </c>
      <c r="B2" s="11">
        <v>1</v>
      </c>
      <c r="C2" s="10" t="s">
        <v>152</v>
      </c>
      <c r="D2" s="10" t="s">
        <v>153</v>
      </c>
      <c r="E2" s="10" t="s">
        <v>154</v>
      </c>
      <c r="F2" s="11">
        <v>1</v>
      </c>
      <c r="G2" s="10" t="s">
        <v>155</v>
      </c>
    </row>
    <row r="3" spans="1:7" ht="45" customHeight="1" x14ac:dyDescent="0.3">
      <c r="A3" s="10" t="s">
        <v>88</v>
      </c>
      <c r="B3" s="11">
        <v>2</v>
      </c>
      <c r="C3" s="10" t="s">
        <v>156</v>
      </c>
      <c r="D3" s="10" t="s">
        <v>157</v>
      </c>
      <c r="E3" s="10" t="s">
        <v>158</v>
      </c>
      <c r="F3" s="11">
        <v>2</v>
      </c>
      <c r="G3" s="10" t="s">
        <v>159</v>
      </c>
    </row>
    <row r="4" spans="1:7" ht="45" customHeight="1" x14ac:dyDescent="0.3">
      <c r="A4" s="10" t="s">
        <v>88</v>
      </c>
      <c r="B4" s="11">
        <v>3</v>
      </c>
      <c r="C4" s="10" t="s">
        <v>160</v>
      </c>
      <c r="D4" s="10" t="s">
        <v>161</v>
      </c>
      <c r="E4" s="10" t="s">
        <v>162</v>
      </c>
      <c r="F4" s="11">
        <v>2</v>
      </c>
      <c r="G4" s="10" t="s">
        <v>163</v>
      </c>
    </row>
    <row r="5" spans="1:7" ht="45" customHeight="1" x14ac:dyDescent="0.3">
      <c r="A5" s="10" t="s">
        <v>88</v>
      </c>
      <c r="B5" s="11">
        <v>4</v>
      </c>
      <c r="C5" s="10" t="s">
        <v>164</v>
      </c>
      <c r="D5" s="10" t="s">
        <v>165</v>
      </c>
      <c r="E5" s="10" t="s">
        <v>162</v>
      </c>
      <c r="F5" s="11">
        <v>3</v>
      </c>
      <c r="G5" s="10" t="s">
        <v>166</v>
      </c>
    </row>
    <row r="6" spans="1:7" ht="45" customHeight="1" x14ac:dyDescent="0.3">
      <c r="A6" s="10" t="s">
        <v>88</v>
      </c>
      <c r="B6" s="11">
        <v>5</v>
      </c>
      <c r="C6" s="10" t="s">
        <v>167</v>
      </c>
      <c r="D6" s="10" t="s">
        <v>168</v>
      </c>
      <c r="E6" s="10" t="s">
        <v>162</v>
      </c>
      <c r="F6" s="11">
        <v>5</v>
      </c>
      <c r="G6" s="10" t="s">
        <v>169</v>
      </c>
    </row>
    <row r="7" spans="1:7" ht="45" customHeight="1" x14ac:dyDescent="0.3">
      <c r="A7" s="10" t="s">
        <v>88</v>
      </c>
      <c r="B7" s="11">
        <v>6</v>
      </c>
      <c r="C7" s="10" t="s">
        <v>170</v>
      </c>
      <c r="D7" s="10" t="s">
        <v>171</v>
      </c>
      <c r="E7" s="10" t="s">
        <v>162</v>
      </c>
      <c r="F7" s="11">
        <v>10</v>
      </c>
      <c r="G7" s="10" t="s">
        <v>172</v>
      </c>
    </row>
    <row r="8" spans="1:7" ht="45" customHeight="1" x14ac:dyDescent="0.3">
      <c r="A8" s="10" t="s">
        <v>88</v>
      </c>
      <c r="B8" s="11">
        <v>7</v>
      </c>
      <c r="C8" s="10" t="s">
        <v>173</v>
      </c>
      <c r="D8" s="10" t="s">
        <v>174</v>
      </c>
      <c r="E8" s="10" t="s">
        <v>162</v>
      </c>
      <c r="F8" s="11">
        <v>20</v>
      </c>
      <c r="G8" s="10" t="s">
        <v>175</v>
      </c>
    </row>
    <row r="9" spans="1:7" ht="45" customHeight="1" x14ac:dyDescent="0.3">
      <c r="A9" s="10" t="s">
        <v>88</v>
      </c>
      <c r="B9" s="11">
        <v>8</v>
      </c>
      <c r="C9" s="10" t="s">
        <v>176</v>
      </c>
      <c r="D9" s="10" t="s">
        <v>177</v>
      </c>
      <c r="E9" s="10" t="s">
        <v>178</v>
      </c>
      <c r="F9" s="11">
        <v>30</v>
      </c>
      <c r="G9" s="10" t="s">
        <v>179</v>
      </c>
    </row>
    <row r="10" spans="1:7" ht="45" customHeight="1" x14ac:dyDescent="0.3">
      <c r="A10" s="10" t="s">
        <v>88</v>
      </c>
      <c r="B10" s="11">
        <v>9</v>
      </c>
      <c r="C10" s="10" t="s">
        <v>180</v>
      </c>
      <c r="D10" s="10" t="s">
        <v>181</v>
      </c>
      <c r="E10" s="10" t="s">
        <v>89</v>
      </c>
      <c r="F10" s="11">
        <v>30</v>
      </c>
      <c r="G10" s="10" t="s">
        <v>182</v>
      </c>
    </row>
    <row r="11" spans="1:7" ht="45" customHeight="1" x14ac:dyDescent="0.3">
      <c r="A11" s="10" t="s">
        <v>88</v>
      </c>
      <c r="B11" s="11">
        <v>10</v>
      </c>
      <c r="C11" s="10" t="s">
        <v>183</v>
      </c>
      <c r="D11" s="10" t="s">
        <v>184</v>
      </c>
      <c r="E11" s="10" t="s">
        <v>185</v>
      </c>
      <c r="F11" s="11">
        <v>60</v>
      </c>
      <c r="G11" s="10" t="s">
        <v>186</v>
      </c>
    </row>
    <row r="12" spans="1:7" ht="45" customHeight="1" x14ac:dyDescent="0.3">
      <c r="A12" s="10" t="s">
        <v>88</v>
      </c>
      <c r="B12" s="11">
        <v>11</v>
      </c>
      <c r="C12" s="10" t="s">
        <v>187</v>
      </c>
      <c r="D12" s="10" t="s">
        <v>188</v>
      </c>
      <c r="E12" s="10" t="s">
        <v>189</v>
      </c>
      <c r="F12" s="11">
        <v>2880</v>
      </c>
      <c r="G12" s="10" t="s">
        <v>190</v>
      </c>
    </row>
  </sheetData>
  <dataValidations count="1">
    <dataValidation type="list" allowBlank="1" showErrorMessage="1" errorTitle="Valor inválido" error="Valor fora da lista controlada (ver folha Listas)." sqref="C2:C212" xr:uid="{00000000-0002-0000-0200-000000000000}">
      <formula1>lst_Fase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6" customWidth="1"/>
    <col min="3" max="3" width="30" customWidth="1"/>
    <col min="4" max="4" width="9" customWidth="1"/>
    <col min="5" max="5" width="11" customWidth="1"/>
    <col min="6" max="6" width="50" customWidth="1"/>
    <col min="7" max="7" width="9" customWidth="1"/>
    <col min="8" max="8" width="14" customWidth="1"/>
  </cols>
  <sheetData>
    <row r="1" spans="1:8" ht="26.4" x14ac:dyDescent="0.3">
      <c r="A1" s="8" t="s">
        <v>191</v>
      </c>
      <c r="B1" s="8" t="s">
        <v>192</v>
      </c>
      <c r="C1" s="8" t="s">
        <v>193</v>
      </c>
      <c r="D1" s="8" t="s">
        <v>62</v>
      </c>
      <c r="E1" s="8" t="s">
        <v>194</v>
      </c>
      <c r="F1" s="8" t="s">
        <v>14</v>
      </c>
      <c r="G1" s="9" t="s">
        <v>195</v>
      </c>
      <c r="H1" s="9" t="s">
        <v>78</v>
      </c>
    </row>
    <row r="2" spans="1:8" ht="30" customHeight="1" x14ac:dyDescent="0.3">
      <c r="A2" s="10" t="s">
        <v>196</v>
      </c>
      <c r="B2" s="10" t="s">
        <v>197</v>
      </c>
      <c r="C2" s="10" t="s">
        <v>198</v>
      </c>
      <c r="D2" s="10" t="s">
        <v>80</v>
      </c>
      <c r="E2" s="15">
        <v>46370</v>
      </c>
      <c r="F2" s="10" t="s">
        <v>199</v>
      </c>
      <c r="G2" s="12">
        <f t="shared" ref="G2:G9" si="0">DataRef-E2</f>
        <v>17</v>
      </c>
      <c r="H2" s="13" t="str">
        <f t="shared" ref="H2:H9" si="1">IF(G2&gt;31,"Verificar","OK")</f>
        <v>OK</v>
      </c>
    </row>
    <row r="3" spans="1:8" ht="30" customHeight="1" x14ac:dyDescent="0.3">
      <c r="A3" s="10" t="s">
        <v>200</v>
      </c>
      <c r="B3" s="10" t="s">
        <v>201</v>
      </c>
      <c r="C3" s="10" t="s">
        <v>202</v>
      </c>
      <c r="D3" s="10" t="s">
        <v>106</v>
      </c>
      <c r="E3" s="15">
        <v>46370</v>
      </c>
      <c r="F3" s="10" t="s">
        <v>203</v>
      </c>
      <c r="G3" s="12">
        <f t="shared" si="0"/>
        <v>17</v>
      </c>
      <c r="H3" s="13" t="str">
        <f t="shared" si="1"/>
        <v>OK</v>
      </c>
    </row>
    <row r="4" spans="1:8" ht="30" customHeight="1" x14ac:dyDescent="0.3">
      <c r="A4" s="10" t="s">
        <v>204</v>
      </c>
      <c r="B4" s="10" t="s">
        <v>201</v>
      </c>
      <c r="C4" s="10" t="s">
        <v>205</v>
      </c>
      <c r="D4" s="10" t="s">
        <v>80</v>
      </c>
      <c r="E4" s="15">
        <v>46370</v>
      </c>
      <c r="F4" s="10" t="s">
        <v>206</v>
      </c>
      <c r="G4" s="12">
        <f t="shared" si="0"/>
        <v>17</v>
      </c>
      <c r="H4" s="13" t="str">
        <f t="shared" si="1"/>
        <v>OK</v>
      </c>
    </row>
    <row r="5" spans="1:8" ht="30" customHeight="1" x14ac:dyDescent="0.3">
      <c r="A5" s="10" t="s">
        <v>207</v>
      </c>
      <c r="B5" s="10" t="s">
        <v>201</v>
      </c>
      <c r="C5" s="10" t="s">
        <v>208</v>
      </c>
      <c r="D5" s="10" t="s">
        <v>80</v>
      </c>
      <c r="E5" s="15">
        <v>46370</v>
      </c>
      <c r="F5" s="10" t="s">
        <v>209</v>
      </c>
      <c r="G5" s="12">
        <f t="shared" si="0"/>
        <v>17</v>
      </c>
      <c r="H5" s="13" t="str">
        <f t="shared" si="1"/>
        <v>OK</v>
      </c>
    </row>
    <row r="6" spans="1:8" ht="30" customHeight="1" x14ac:dyDescent="0.3">
      <c r="A6" s="10" t="s">
        <v>210</v>
      </c>
      <c r="B6" s="10" t="s">
        <v>201</v>
      </c>
      <c r="C6" s="10" t="s">
        <v>211</v>
      </c>
      <c r="D6" s="10" t="s">
        <v>80</v>
      </c>
      <c r="E6" s="15">
        <v>46370</v>
      </c>
      <c r="F6" s="10" t="s">
        <v>212</v>
      </c>
      <c r="G6" s="12">
        <f t="shared" si="0"/>
        <v>17</v>
      </c>
      <c r="H6" s="13" t="str">
        <f t="shared" si="1"/>
        <v>OK</v>
      </c>
    </row>
    <row r="7" spans="1:8" ht="30" customHeight="1" x14ac:dyDescent="0.3">
      <c r="A7" s="10" t="s">
        <v>213</v>
      </c>
      <c r="B7" s="10" t="s">
        <v>214</v>
      </c>
      <c r="C7" s="10" t="s">
        <v>215</v>
      </c>
      <c r="D7" s="10" t="s">
        <v>93</v>
      </c>
      <c r="E7" s="15">
        <v>46367</v>
      </c>
      <c r="F7" s="10" t="s">
        <v>216</v>
      </c>
      <c r="G7" s="12">
        <f t="shared" si="0"/>
        <v>20</v>
      </c>
      <c r="H7" s="13" t="str">
        <f t="shared" si="1"/>
        <v>OK</v>
      </c>
    </row>
    <row r="8" spans="1:8" ht="30" customHeight="1" x14ac:dyDescent="0.3">
      <c r="A8" s="10" t="s">
        <v>217</v>
      </c>
      <c r="B8" s="10" t="s">
        <v>218</v>
      </c>
      <c r="C8" s="10" t="s">
        <v>219</v>
      </c>
      <c r="D8" s="10" t="s">
        <v>93</v>
      </c>
      <c r="E8" s="15">
        <v>46367</v>
      </c>
      <c r="F8" s="10" t="s">
        <v>220</v>
      </c>
      <c r="G8" s="12">
        <f t="shared" si="0"/>
        <v>20</v>
      </c>
      <c r="H8" s="13" t="str">
        <f t="shared" si="1"/>
        <v>OK</v>
      </c>
    </row>
    <row r="9" spans="1:8" ht="30" customHeight="1" x14ac:dyDescent="0.3">
      <c r="A9" s="10" t="s">
        <v>221</v>
      </c>
      <c r="B9" s="10" t="s">
        <v>222</v>
      </c>
      <c r="C9" s="10" t="s">
        <v>223</v>
      </c>
      <c r="D9" s="10" t="s">
        <v>80</v>
      </c>
      <c r="E9" s="15">
        <v>46370</v>
      </c>
      <c r="F9" s="10" t="s">
        <v>224</v>
      </c>
      <c r="G9" s="12">
        <f t="shared" si="0"/>
        <v>17</v>
      </c>
      <c r="H9" s="13" t="str">
        <f t="shared" si="1"/>
        <v>OK</v>
      </c>
    </row>
  </sheetData>
  <conditionalFormatting sqref="H2:H209">
    <cfRule type="expression" dxfId="5" priority="1">
      <formula>ISNUMBER(SEARCH("Verificar",H2))</formula>
    </cfRule>
    <cfRule type="expression" dxfId="4" priority="2">
      <formula>ISNUMBER(SEARCH("OK",H2))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9" customWidth="1"/>
    <col min="4" max="4" width="36" customWidth="1"/>
    <col min="5" max="5" width="9" customWidth="1"/>
    <col min="6" max="7" width="10" customWidth="1"/>
    <col min="8" max="8" width="50" customWidth="1"/>
    <col min="9" max="9" width="14" customWidth="1"/>
    <col min="10" max="10" width="10" customWidth="1"/>
  </cols>
  <sheetData>
    <row r="1" spans="1:10" ht="39.6" x14ac:dyDescent="0.3">
      <c r="A1" s="8" t="s">
        <v>225</v>
      </c>
      <c r="B1" s="8" t="s">
        <v>226</v>
      </c>
      <c r="C1" s="8" t="s">
        <v>62</v>
      </c>
      <c r="D1" s="8" t="s">
        <v>192</v>
      </c>
      <c r="E1" s="8" t="s">
        <v>227</v>
      </c>
      <c r="F1" s="8" t="s">
        <v>228</v>
      </c>
      <c r="G1" s="8" t="s">
        <v>229</v>
      </c>
      <c r="H1" s="8" t="s">
        <v>230</v>
      </c>
      <c r="I1" s="8" t="s">
        <v>231</v>
      </c>
      <c r="J1" s="8" t="s">
        <v>232</v>
      </c>
    </row>
    <row r="2" spans="1:10" ht="45" customHeight="1" x14ac:dyDescent="0.3">
      <c r="A2" s="10" t="s">
        <v>233</v>
      </c>
      <c r="B2" s="15">
        <v>45975</v>
      </c>
      <c r="C2" s="10" t="s">
        <v>93</v>
      </c>
      <c r="D2" s="10" t="s">
        <v>234</v>
      </c>
      <c r="E2" s="11">
        <v>48</v>
      </c>
      <c r="F2" s="11">
        <v>6</v>
      </c>
      <c r="G2" s="11">
        <v>9</v>
      </c>
      <c r="H2" s="10" t="s">
        <v>235</v>
      </c>
      <c r="I2" s="10" t="s">
        <v>236</v>
      </c>
      <c r="J2" s="10" t="s">
        <v>237</v>
      </c>
    </row>
    <row r="3" spans="1:10" ht="45" customHeight="1" x14ac:dyDescent="0.3">
      <c r="A3" s="10" t="s">
        <v>238</v>
      </c>
      <c r="B3" s="15">
        <v>46101</v>
      </c>
      <c r="C3" s="10" t="s">
        <v>137</v>
      </c>
      <c r="D3" s="10" t="s">
        <v>239</v>
      </c>
      <c r="E3" s="11">
        <v>6</v>
      </c>
      <c r="F3" s="11"/>
      <c r="G3" s="11">
        <v>25</v>
      </c>
      <c r="H3" s="10" t="s">
        <v>240</v>
      </c>
      <c r="I3" s="10" t="s">
        <v>236</v>
      </c>
      <c r="J3" s="10" t="s">
        <v>241</v>
      </c>
    </row>
    <row r="4" spans="1:10" ht="45" customHeight="1" x14ac:dyDescent="0.3">
      <c r="A4" s="10" t="s">
        <v>242</v>
      </c>
      <c r="B4" s="15">
        <v>46352</v>
      </c>
      <c r="C4" s="10" t="s">
        <v>80</v>
      </c>
      <c r="D4" s="10" t="s">
        <v>243</v>
      </c>
      <c r="E4" s="11">
        <v>14</v>
      </c>
      <c r="F4" s="11"/>
      <c r="G4" s="11">
        <v>7</v>
      </c>
      <c r="H4" s="10" t="s">
        <v>244</v>
      </c>
      <c r="I4" s="10" t="s">
        <v>245</v>
      </c>
      <c r="J4" s="10" t="s">
        <v>237</v>
      </c>
    </row>
    <row r="5" spans="1:10" ht="45" customHeight="1" x14ac:dyDescent="0.3">
      <c r="A5" s="10" t="s">
        <v>246</v>
      </c>
      <c r="B5" s="15">
        <v>46367</v>
      </c>
      <c r="C5" s="10" t="s">
        <v>93</v>
      </c>
      <c r="D5" s="10" t="s">
        <v>247</v>
      </c>
      <c r="E5" s="11">
        <v>52</v>
      </c>
      <c r="F5" s="11">
        <v>5</v>
      </c>
      <c r="G5" s="11">
        <v>4</v>
      </c>
      <c r="H5" s="10" t="s">
        <v>248</v>
      </c>
      <c r="I5" s="10" t="s">
        <v>245</v>
      </c>
      <c r="J5" s="10" t="s">
        <v>237</v>
      </c>
    </row>
  </sheetData>
  <conditionalFormatting sqref="I2:I205">
    <cfRule type="expression" dxfId="3" priority="1">
      <formula>ISNUMBER(SEARCH("Não",I2))</formula>
    </cfRule>
    <cfRule type="expression" dxfId="2" priority="2">
      <formula>ISNUMBER(SEARCH("Parcial",I2))</formula>
    </cfRule>
    <cfRule type="expression" dxfId="1" priority="3">
      <formula>ISNUMBER(SEARCH("Eficaz",I2))</formula>
    </cfRule>
    <cfRule type="expression" dxfId="0" priority="4">
      <formula>ISNUMBER(SEARCH("Planeado",I2))</formula>
    </cfRule>
  </conditionalFormatting>
  <dataValidations count="1">
    <dataValidation type="list" allowBlank="1" showErrorMessage="1" errorTitle="Valor inválido" error="Valor fora da lista controlada (ver folha Listas)." sqref="I2:I205" xr:uid="{00000000-0002-0000-0400-000000000000}">
      <formula1>lst_ResultadoSim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F26"/>
  <sheetViews>
    <sheetView showGridLines="0" workbookViewId="0"/>
  </sheetViews>
  <sheetFormatPr defaultRowHeight="14.4" x14ac:dyDescent="0.3"/>
  <cols>
    <col min="1" max="1" width="7" customWidth="1"/>
    <col min="2" max="2" width="20" customWidth="1"/>
    <col min="3" max="3" width="70" customWidth="1"/>
    <col min="4" max="4" width="26" customWidth="1"/>
    <col min="5" max="5" width="10" customWidth="1"/>
    <col min="6" max="6" width="28" customWidth="1"/>
  </cols>
  <sheetData>
    <row r="1" spans="1:6" ht="21" x14ac:dyDescent="0.4">
      <c r="A1" s="16" t="s">
        <v>249</v>
      </c>
      <c r="B1" s="17" t="s">
        <v>250</v>
      </c>
      <c r="F1" s="18" t="s">
        <v>251</v>
      </c>
    </row>
    <row r="2" spans="1:6" x14ac:dyDescent="0.3">
      <c r="B2" s="2" t="s">
        <v>252</v>
      </c>
      <c r="F2" s="19" t="s">
        <v>253</v>
      </c>
    </row>
    <row r="3" spans="1:6" x14ac:dyDescent="0.3">
      <c r="A3" s="20"/>
      <c r="B3" s="20"/>
      <c r="C3" s="20"/>
      <c r="D3" s="20"/>
      <c r="E3" s="20"/>
      <c r="F3" s="20"/>
    </row>
    <row r="5" spans="1:6" ht="48" customHeight="1" x14ac:dyDescent="0.3">
      <c r="A5" s="31" t="s">
        <v>254</v>
      </c>
      <c r="B5" s="30"/>
      <c r="C5" s="29" t="s">
        <v>255</v>
      </c>
      <c r="D5" s="30"/>
      <c r="E5" s="30"/>
      <c r="F5" s="30"/>
    </row>
    <row r="6" spans="1:6" ht="48" customHeight="1" x14ac:dyDescent="0.3">
      <c r="A6" s="31" t="s">
        <v>256</v>
      </c>
      <c r="B6" s="30"/>
      <c r="C6" s="29" t="s">
        <v>257</v>
      </c>
      <c r="D6" s="30"/>
      <c r="E6" s="30"/>
      <c r="F6" s="30"/>
    </row>
    <row r="7" spans="1:6" ht="48" customHeight="1" x14ac:dyDescent="0.3">
      <c r="A7" s="31" t="s">
        <v>258</v>
      </c>
      <c r="B7" s="30"/>
      <c r="C7" s="29" t="s">
        <v>259</v>
      </c>
      <c r="D7" s="30"/>
      <c r="E7" s="30"/>
      <c r="F7" s="30"/>
    </row>
    <row r="8" spans="1:6" ht="48" customHeight="1" x14ac:dyDescent="0.3">
      <c r="A8" s="31" t="s">
        <v>260</v>
      </c>
      <c r="B8" s="30"/>
      <c r="C8" s="29" t="s">
        <v>261</v>
      </c>
      <c r="D8" s="30"/>
      <c r="E8" s="30"/>
      <c r="F8" s="30"/>
    </row>
    <row r="9" spans="1:6" ht="48" customHeight="1" x14ac:dyDescent="0.3">
      <c r="A9" s="31" t="s">
        <v>262</v>
      </c>
      <c r="B9" s="30"/>
      <c r="C9" s="29" t="s">
        <v>263</v>
      </c>
      <c r="D9" s="30"/>
      <c r="E9" s="30"/>
      <c r="F9" s="30"/>
    </row>
    <row r="11" spans="1:6" x14ac:dyDescent="0.3">
      <c r="A11" s="8" t="s">
        <v>147</v>
      </c>
      <c r="B11" s="8" t="s">
        <v>148</v>
      </c>
      <c r="C11" s="8" t="s">
        <v>264</v>
      </c>
      <c r="D11" s="8" t="s">
        <v>265</v>
      </c>
      <c r="E11" s="8" t="s">
        <v>266</v>
      </c>
      <c r="F11" s="8" t="s">
        <v>151</v>
      </c>
    </row>
    <row r="12" spans="1:6" ht="48" customHeight="1" x14ac:dyDescent="0.3">
      <c r="A12" s="22">
        <f>INDEX(IT_Passos!$B$2:$B$12,1)</f>
        <v>1</v>
      </c>
      <c r="B12" s="23" t="str">
        <f>INDEX(IT_Passos!$C$2:$C$12,1)</f>
        <v>1. Alerta</v>
      </c>
      <c r="C12" s="21" t="str">
        <f>INDEX(IT_Passos!$D$2:$D$12,1)</f>
        <v>Dar o alerta: gritar 'DERRAME!' e avisar o chefe de turno (ext. 222). Se houver fogo, cheiro forte ou feridos, ligar 112 e ativar o alarme.</v>
      </c>
      <c r="D12" s="21" t="str">
        <f>INDEX(IT_Passos!$E$2:$E$12,1)</f>
        <v>Quem deteta</v>
      </c>
      <c r="E12" s="22">
        <f>INDEX(IT_Passos!$F$2:$F$12,1)</f>
        <v>1</v>
      </c>
      <c r="F12" s="21" t="str">
        <f>INDEX(IT_Passos!$G$2:$G$12,1)</f>
        <v>Telefone interno / botoneira</v>
      </c>
    </row>
    <row r="13" spans="1:6" ht="48" customHeight="1" x14ac:dyDescent="0.3">
      <c r="A13" s="22">
        <f>INDEX(IT_Passos!$B$2:$B$12,2)</f>
        <v>2</v>
      </c>
      <c r="B13" s="23" t="str">
        <f>INDEX(IT_Passos!$C$2:$C$12,2)</f>
        <v>2. Proteção</v>
      </c>
      <c r="C13" s="21" t="str">
        <f>INDEX(IT_Passos!$D$2:$D$12,2)</f>
        <v>Afastar pessoas e fontes de ignição (parar máquinas próximas, não fumar, não usar telemóvel junto a solventes). Consultar a FDS do produto.</v>
      </c>
      <c r="D13" s="21" t="str">
        <f>INDEX(IT_Passos!$E$2:$E$12,2)</f>
        <v>Quem deteta + chefe de turno</v>
      </c>
      <c r="E13" s="22">
        <f>INDEX(IT_Passos!$F$2:$F$12,2)</f>
        <v>2</v>
      </c>
      <c r="F13" s="21" t="str">
        <f>INDEX(IT_Passos!$G$2:$G$12,2)</f>
        <v>FDS no ponto de uso</v>
      </c>
    </row>
    <row r="14" spans="1:6" ht="48" customHeight="1" x14ac:dyDescent="0.3">
      <c r="A14" s="22">
        <f>INDEX(IT_Passos!$B$2:$B$12,3)</f>
        <v>3</v>
      </c>
      <c r="B14" s="23" t="str">
        <f>INDEX(IT_Passos!$C$2:$C$12,3)</f>
        <v>3. Proteção</v>
      </c>
      <c r="C14" s="21" t="str">
        <f>INDEX(IT_Passos!$D$2:$D$12,3)</f>
        <v>Vestir o EPI do kit: luvas nitrílicas, óculos, máscara se o produto for volátil.</v>
      </c>
      <c r="D14" s="21" t="str">
        <f>INDEX(IT_Passos!$E$2:$E$12,3)</f>
        <v>Equipa de 1.ª intervenção</v>
      </c>
      <c r="E14" s="22">
        <f>INDEX(IT_Passos!$F$2:$F$12,3)</f>
        <v>2</v>
      </c>
      <c r="F14" s="21" t="str">
        <f>INDEX(IT_Passos!$G$2:$G$12,3)</f>
        <v>EPI do kit antipoluição</v>
      </c>
    </row>
    <row r="15" spans="1:6" ht="48" customHeight="1" x14ac:dyDescent="0.3">
      <c r="A15" s="22">
        <f>INDEX(IT_Passos!$B$2:$B$12,4)</f>
        <v>4</v>
      </c>
      <c r="B15" s="23" t="str">
        <f>INDEX(IT_Passos!$C$2:$C$12,4)</f>
        <v>4. Parar a fonte</v>
      </c>
      <c r="C15" s="21" t="str">
        <f>INDEX(IT_Passos!$D$2:$D$12,4)</f>
        <v>Se for seguro: levantar o recipiente, fechar a válvula ou colocar o recipiente danificado dentro de uma bacia.</v>
      </c>
      <c r="D15" s="21" t="str">
        <f>INDEX(IT_Passos!$E$2:$E$12,4)</f>
        <v>Equipa de 1.ª intervenção</v>
      </c>
      <c r="E15" s="22">
        <f>INDEX(IT_Passos!$F$2:$F$12,4)</f>
        <v>3</v>
      </c>
      <c r="F15" s="21" t="str">
        <f>INDEX(IT_Passos!$G$2:$G$12,4)</f>
        <v>Bacia de retenção móvel</v>
      </c>
    </row>
    <row r="16" spans="1:6" ht="48" customHeight="1" x14ac:dyDescent="0.3">
      <c r="A16" s="22">
        <f>INDEX(IT_Passos!$B$2:$B$12,5)</f>
        <v>5</v>
      </c>
      <c r="B16" s="23" t="str">
        <f>INDEX(IT_Passos!$C$2:$C$12,5)</f>
        <v>5. Contenção</v>
      </c>
      <c r="C16" s="21" t="str">
        <f>INDEX(IT_Passos!$D$2:$D$12,5)</f>
        <v>Tapar as sarjetas e ralos próximos com o tampão do kit e rodear o derrame com as barreiras absorventes (do exterior para o interior).</v>
      </c>
      <c r="D16" s="21" t="str">
        <f>INDEX(IT_Passos!$E$2:$E$12,5)</f>
        <v>Equipa de 1.ª intervenção</v>
      </c>
      <c r="E16" s="22">
        <f>INDEX(IT_Passos!$F$2:$F$12,5)</f>
        <v>5</v>
      </c>
      <c r="F16" s="21" t="str">
        <f>INDEX(IT_Passos!$G$2:$G$12,5)</f>
        <v>Tampões de sarjeta; barreiras</v>
      </c>
    </row>
    <row r="17" spans="1:6" ht="48" customHeight="1" x14ac:dyDescent="0.3">
      <c r="A17" s="22">
        <f>INDEX(IT_Passos!$B$2:$B$12,6)</f>
        <v>6</v>
      </c>
      <c r="B17" s="23" t="str">
        <f>INDEX(IT_Passos!$C$2:$C$12,6)</f>
        <v>6. Absorção</v>
      </c>
      <c r="C17" s="21" t="str">
        <f>INDEX(IT_Passos!$D$2:$D$12,6)</f>
        <v>Cobrir o líquido com almofadas/granulado absorvente até não haver líquido livre. Não usar água.</v>
      </c>
      <c r="D17" s="21" t="str">
        <f>INDEX(IT_Passos!$E$2:$E$12,6)</f>
        <v>Equipa de 1.ª intervenção</v>
      </c>
      <c r="E17" s="22">
        <f>INDEX(IT_Passos!$F$2:$F$12,6)</f>
        <v>10</v>
      </c>
      <c r="F17" s="21" t="str">
        <f>INDEX(IT_Passos!$G$2:$G$12,6)</f>
        <v>Almofadas e granulado absorvente</v>
      </c>
    </row>
    <row r="18" spans="1:6" ht="48" customHeight="1" x14ac:dyDescent="0.3">
      <c r="A18" s="22">
        <f>INDEX(IT_Passos!$B$2:$B$12,7)</f>
        <v>7</v>
      </c>
      <c r="B18" s="23" t="str">
        <f>INDEX(IT_Passos!$C$2:$C$12,7)</f>
        <v>7. Recolha</v>
      </c>
      <c r="C18" s="21" t="str">
        <f>INDEX(IT_Passos!$D$2:$D$12,7)</f>
        <v>Recolher o absorvente com a pá antifaísca para o saco/contentor do kit; fechar e etiquetar como LER 15 02 02* (ou 08 03 12* para tinta).</v>
      </c>
      <c r="D18" s="21" t="str">
        <f>INDEX(IT_Passos!$E$2:$E$12,7)</f>
        <v>Equipa de 1.ª intervenção</v>
      </c>
      <c r="E18" s="22">
        <f>INDEX(IT_Passos!$F$2:$F$12,7)</f>
        <v>20</v>
      </c>
      <c r="F18" s="21" t="str">
        <f>INDEX(IT_Passos!$G$2:$G$12,7)</f>
        <v>Pá antifaísca; sacos; etiquetas LER</v>
      </c>
    </row>
    <row r="19" spans="1:6" ht="48" customHeight="1" x14ac:dyDescent="0.3">
      <c r="A19" s="22">
        <f>INDEX(IT_Passos!$B$2:$B$12,8)</f>
        <v>8</v>
      </c>
      <c r="B19" s="23" t="str">
        <f>INDEX(IT_Passos!$C$2:$C$12,8)</f>
        <v>8. Encaminhamento</v>
      </c>
      <c r="C19" s="21" t="str">
        <f>INDEX(IT_Passos!$D$2:$D$12,8)</f>
        <v>Colocar o contentor no parque de resíduos perigosos (em bacia, fechado) e informar o Responsável de Armazém.</v>
      </c>
      <c r="D19" s="21" t="str">
        <f>INDEX(IT_Passos!$E$2:$E$12,8)</f>
        <v>Operador + Responsável de Armazém</v>
      </c>
      <c r="E19" s="22">
        <f>INDEX(IT_Passos!$F$2:$F$12,8)</f>
        <v>30</v>
      </c>
      <c r="F19" s="21" t="str">
        <f>INDEX(IT_Passos!$G$2:$G$12,8)</f>
        <v>Parque de resíduos perigosos</v>
      </c>
    </row>
    <row r="20" spans="1:6" ht="48" customHeight="1" x14ac:dyDescent="0.3">
      <c r="A20" s="22">
        <f>INDEX(IT_Passos!$B$2:$B$12,9)</f>
        <v>9</v>
      </c>
      <c r="B20" s="23" t="str">
        <f>INDEX(IT_Passos!$C$2:$C$12,9)</f>
        <v>9. Comunicação</v>
      </c>
      <c r="C20" s="21" t="str">
        <f>INDEX(IT_Passos!$D$2:$D$12,9)</f>
        <v>Se o produto chegou à rede pluvial ou ao solo não impermeável: fechar a válvula de corte VC-01, avisar o Gestor do SGA, que comunica à entidade gestora/APA.</v>
      </c>
      <c r="D20" s="21" t="str">
        <f>INDEX(IT_Passos!$E$2:$E$12,9)</f>
        <v>Chefe de turno + Gestor do SGA</v>
      </c>
      <c r="E20" s="22">
        <f>INDEX(IT_Passos!$F$2:$F$12,9)</f>
        <v>30</v>
      </c>
      <c r="F20" s="21" t="str">
        <f>INDEX(IT_Passos!$G$2:$G$12,9)</f>
        <v>Válvula de corte VC-01; lista de contactos</v>
      </c>
    </row>
    <row r="21" spans="1:6" ht="48" customHeight="1" x14ac:dyDescent="0.3">
      <c r="A21" s="24">
        <f>INDEX(IT_Passos!$B$2:$B$12,10)</f>
        <v>10</v>
      </c>
      <c r="B21" s="25" t="str">
        <f>INDEX(IT_Passos!$C$2:$C$12,10)</f>
        <v>10. Pós-uso (obrigatório)</v>
      </c>
      <c r="C21" s="26" t="str">
        <f>INDEX(IT_Passos!$D$2:$D$12,10)</f>
        <v>Registar o incidente (formulário INC), pedir a reposição do kit ao armazém e voltar a selar o kit com selo numerado. O kit nunca fica incompleto.</v>
      </c>
      <c r="D21" s="26" t="str">
        <f>INDEX(IT_Passos!$E$2:$E$12,10)</f>
        <v>Quem usou o kit + Responsável de Armazém</v>
      </c>
      <c r="E21" s="24">
        <f>INDEX(IT_Passos!$F$2:$F$12,10)</f>
        <v>60</v>
      </c>
      <c r="F21" s="26" t="str">
        <f>INDEX(IT_Passos!$G$2:$G$12,10)</f>
        <v>Formulário INC; stock mínimo de 2 kits; selos numerados</v>
      </c>
    </row>
    <row r="22" spans="1:6" ht="48" customHeight="1" x14ac:dyDescent="0.3">
      <c r="A22" s="22">
        <f>INDEX(IT_Passos!$B$2:$B$12,11)</f>
        <v>11</v>
      </c>
      <c r="B22" s="23" t="str">
        <f>INDEX(IT_Passos!$C$2:$C$12,11)</f>
        <v>11. Investigação</v>
      </c>
      <c r="C22" s="21" t="str">
        <f>INDEX(IT_Passos!$D$2:$D$12,11)</f>
        <v>O Gestor do SGA investiga a causa (5 Porquês) e abre ação no PAM se necessário.</v>
      </c>
      <c r="D22" s="21" t="str">
        <f>INDEX(IT_Passos!$E$2:$E$12,11)</f>
        <v>Gestor do SGA</v>
      </c>
      <c r="E22" s="22">
        <f>INDEX(IT_Passos!$F$2:$F$12,11)</f>
        <v>2880</v>
      </c>
      <c r="F22" s="21" t="str">
        <f>INDEX(IT_Passos!$G$2:$G$12,11)</f>
        <v>RG-SGA-07 / RG-SGA-06</v>
      </c>
    </row>
    <row r="24" spans="1:6" ht="36" customHeight="1" x14ac:dyDescent="0.3">
      <c r="A24" s="31" t="s">
        <v>267</v>
      </c>
      <c r="B24" s="30"/>
      <c r="C24" s="29" t="s">
        <v>268</v>
      </c>
      <c r="D24" s="30"/>
      <c r="E24" s="30"/>
      <c r="F24" s="30"/>
    </row>
    <row r="25" spans="1:6" ht="36" customHeight="1" x14ac:dyDescent="0.3">
      <c r="A25" s="31" t="s">
        <v>269</v>
      </c>
      <c r="B25" s="30"/>
      <c r="C25" s="29" t="s">
        <v>270</v>
      </c>
      <c r="D25" s="30"/>
      <c r="E25" s="30"/>
      <c r="F25" s="30"/>
    </row>
    <row r="26" spans="1:6" ht="36" customHeight="1" x14ac:dyDescent="0.3">
      <c r="A26" s="31" t="s">
        <v>271</v>
      </c>
      <c r="B26" s="30"/>
      <c r="C26" s="29" t="s">
        <v>272</v>
      </c>
      <c r="D26" s="30"/>
      <c r="E26" s="30"/>
      <c r="F26" s="30"/>
    </row>
  </sheetData>
  <mergeCells count="16">
    <mergeCell ref="A5:B5"/>
    <mergeCell ref="C6:F6"/>
    <mergeCell ref="C7:F7"/>
    <mergeCell ref="C25:F25"/>
    <mergeCell ref="C24:F24"/>
    <mergeCell ref="A9:B9"/>
    <mergeCell ref="C5:F5"/>
    <mergeCell ref="A8:B8"/>
    <mergeCell ref="A6:B6"/>
    <mergeCell ref="C9:F9"/>
    <mergeCell ref="A24:B24"/>
    <mergeCell ref="A26:B26"/>
    <mergeCell ref="A7:B7"/>
    <mergeCell ref="C8:F8"/>
    <mergeCell ref="A25:B25"/>
    <mergeCell ref="C26:F26"/>
  </mergeCells>
  <pageMargins left="0.75" right="0.7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8" customWidth="1"/>
    <col min="4" max="4" width="27" customWidth="1"/>
    <col min="5" max="5" width="21" customWidth="1"/>
  </cols>
  <sheetData>
    <row r="1" spans="1:5" x14ac:dyDescent="0.3">
      <c r="A1" s="18" t="s">
        <v>273</v>
      </c>
    </row>
    <row r="2" spans="1:5" x14ac:dyDescent="0.3">
      <c r="A2" s="27" t="s">
        <v>274</v>
      </c>
      <c r="B2" s="27" t="s">
        <v>275</v>
      </c>
      <c r="C2" s="27" t="s">
        <v>276</v>
      </c>
      <c r="D2" s="27" t="s">
        <v>148</v>
      </c>
      <c r="E2" s="27" t="s">
        <v>277</v>
      </c>
    </row>
    <row r="3" spans="1:5" x14ac:dyDescent="0.3">
      <c r="A3" s="28">
        <v>46387</v>
      </c>
      <c r="B3" s="6">
        <v>1</v>
      </c>
      <c r="C3" s="6" t="s">
        <v>278</v>
      </c>
      <c r="D3" s="6" t="s">
        <v>152</v>
      </c>
      <c r="E3" s="6" t="s">
        <v>245</v>
      </c>
    </row>
    <row r="4" spans="1:5" x14ac:dyDescent="0.3">
      <c r="B4" s="6">
        <v>2</v>
      </c>
      <c r="C4" s="6" t="s">
        <v>279</v>
      </c>
      <c r="D4" s="6" t="s">
        <v>156</v>
      </c>
      <c r="E4" s="6" t="s">
        <v>236</v>
      </c>
    </row>
    <row r="5" spans="1:5" x14ac:dyDescent="0.3">
      <c r="B5" s="6">
        <v>3</v>
      </c>
      <c r="C5" s="6" t="s">
        <v>280</v>
      </c>
      <c r="D5" s="6" t="s">
        <v>160</v>
      </c>
      <c r="E5" s="6" t="s">
        <v>281</v>
      </c>
    </row>
    <row r="6" spans="1:5" x14ac:dyDescent="0.3">
      <c r="C6" s="6" t="s">
        <v>282</v>
      </c>
      <c r="D6" s="6" t="s">
        <v>164</v>
      </c>
      <c r="E6" s="6" t="s">
        <v>283</v>
      </c>
    </row>
    <row r="7" spans="1:5" x14ac:dyDescent="0.3">
      <c r="C7" s="6" t="s">
        <v>125</v>
      </c>
      <c r="D7" s="6" t="s">
        <v>167</v>
      </c>
    </row>
    <row r="8" spans="1:5" x14ac:dyDescent="0.3">
      <c r="C8" s="6" t="s">
        <v>284</v>
      </c>
      <c r="D8" s="6" t="s">
        <v>170</v>
      </c>
    </row>
    <row r="9" spans="1:5" x14ac:dyDescent="0.3">
      <c r="C9" s="6" t="s">
        <v>285</v>
      </c>
      <c r="D9" s="6" t="s">
        <v>173</v>
      </c>
    </row>
    <row r="10" spans="1:5" x14ac:dyDescent="0.3">
      <c r="C10" s="6" t="s">
        <v>286</v>
      </c>
      <c r="D10" s="6" t="s">
        <v>176</v>
      </c>
    </row>
    <row r="11" spans="1:5" x14ac:dyDescent="0.3">
      <c r="C11" s="6" t="s">
        <v>287</v>
      </c>
      <c r="D11" s="6" t="s">
        <v>180</v>
      </c>
    </row>
    <row r="12" spans="1:5" x14ac:dyDescent="0.3">
      <c r="C12" s="6" t="s">
        <v>288</v>
      </c>
      <c r="D12" s="6" t="s">
        <v>183</v>
      </c>
    </row>
    <row r="13" spans="1:5" x14ac:dyDescent="0.3">
      <c r="C13" s="6" t="s">
        <v>289</v>
      </c>
      <c r="D13" s="6" t="s">
        <v>187</v>
      </c>
    </row>
    <row r="14" spans="1:5" x14ac:dyDescent="0.3">
      <c r="C14" s="6" t="s">
        <v>290</v>
      </c>
    </row>
    <row r="15" spans="1:5" x14ac:dyDescent="0.3">
      <c r="C15" s="6" t="s">
        <v>291</v>
      </c>
    </row>
    <row r="16" spans="1:5" x14ac:dyDescent="0.3">
      <c r="C16" s="6" t="s">
        <v>292</v>
      </c>
    </row>
    <row r="17" spans="3:3" x14ac:dyDescent="0.3">
      <c r="C17" s="6" t="s">
        <v>293</v>
      </c>
    </row>
    <row r="18" spans="3:3" x14ac:dyDescent="0.3">
      <c r="C18" s="6" t="s">
        <v>114</v>
      </c>
    </row>
    <row r="19" spans="3:3" x14ac:dyDescent="0.3">
      <c r="C19" s="6" t="s">
        <v>135</v>
      </c>
    </row>
    <row r="20" spans="3:3" x14ac:dyDescent="0.3">
      <c r="C20" s="6" t="s">
        <v>145</v>
      </c>
    </row>
    <row r="21" spans="3:3" x14ac:dyDescent="0.3">
      <c r="C21" s="6" t="s">
        <v>294</v>
      </c>
    </row>
    <row r="22" spans="3:3" x14ac:dyDescent="0.3">
      <c r="C22" s="6" t="s">
        <v>295</v>
      </c>
    </row>
    <row r="23" spans="3:3" x14ac:dyDescent="0.3">
      <c r="C23" s="6" t="s">
        <v>296</v>
      </c>
    </row>
    <row r="24" spans="3:3" x14ac:dyDescent="0.3">
      <c r="C24" s="6" t="s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298</v>
      </c>
      <c r="B1" s="8" t="s">
        <v>299</v>
      </c>
      <c r="C1" s="8" t="s">
        <v>300</v>
      </c>
      <c r="D1" s="8" t="s">
        <v>301</v>
      </c>
      <c r="E1" s="8" t="s">
        <v>302</v>
      </c>
      <c r="F1" s="8" t="s">
        <v>192</v>
      </c>
      <c r="G1" s="8" t="s">
        <v>303</v>
      </c>
      <c r="H1" s="8" t="s">
        <v>304</v>
      </c>
      <c r="I1" s="8" t="s">
        <v>305</v>
      </c>
    </row>
    <row r="2" spans="1:9" x14ac:dyDescent="0.3">
      <c r="A2" s="21" t="s">
        <v>28</v>
      </c>
      <c r="B2" s="21" t="s">
        <v>306</v>
      </c>
      <c r="C2" s="21" t="s">
        <v>62</v>
      </c>
      <c r="D2" s="21" t="s">
        <v>307</v>
      </c>
      <c r="E2" s="21" t="s">
        <v>308</v>
      </c>
      <c r="F2" s="21" t="s">
        <v>309</v>
      </c>
      <c r="G2" s="21"/>
      <c r="H2" s="21" t="s">
        <v>92</v>
      </c>
      <c r="I2" s="21" t="s">
        <v>310</v>
      </c>
    </row>
    <row r="3" spans="1:9" x14ac:dyDescent="0.3">
      <c r="A3" s="21" t="s">
        <v>28</v>
      </c>
      <c r="B3" s="21" t="s">
        <v>306</v>
      </c>
      <c r="C3" s="21" t="s">
        <v>63</v>
      </c>
      <c r="D3" s="21" t="s">
        <v>307</v>
      </c>
      <c r="E3" s="21" t="s">
        <v>308</v>
      </c>
      <c r="F3" s="21" t="s">
        <v>311</v>
      </c>
      <c r="G3" s="21"/>
      <c r="H3" s="21" t="s">
        <v>92</v>
      </c>
      <c r="I3" s="21"/>
    </row>
    <row r="4" spans="1:9" x14ac:dyDescent="0.3">
      <c r="A4" s="21" t="s">
        <v>28</v>
      </c>
      <c r="B4" s="21" t="s">
        <v>306</v>
      </c>
      <c r="C4" s="21" t="s">
        <v>64</v>
      </c>
      <c r="D4" s="21" t="s">
        <v>307</v>
      </c>
      <c r="E4" s="21" t="s">
        <v>308</v>
      </c>
      <c r="F4" s="21" t="s">
        <v>312</v>
      </c>
      <c r="G4" s="21"/>
      <c r="H4" s="21" t="s">
        <v>92</v>
      </c>
      <c r="I4" s="21"/>
    </row>
    <row r="5" spans="1:9" x14ac:dyDescent="0.3">
      <c r="A5" s="21" t="s">
        <v>28</v>
      </c>
      <c r="B5" s="21" t="s">
        <v>306</v>
      </c>
      <c r="C5" s="21" t="s">
        <v>65</v>
      </c>
      <c r="D5" s="21" t="s">
        <v>307</v>
      </c>
      <c r="E5" s="21" t="s">
        <v>308</v>
      </c>
      <c r="F5" s="21" t="s">
        <v>313</v>
      </c>
      <c r="G5" s="21"/>
      <c r="H5" s="21" t="s">
        <v>92</v>
      </c>
      <c r="I5" s="21"/>
    </row>
    <row r="6" spans="1:9" x14ac:dyDescent="0.3">
      <c r="A6" s="21" t="s">
        <v>28</v>
      </c>
      <c r="B6" s="21" t="s">
        <v>306</v>
      </c>
      <c r="C6" s="21" t="s">
        <v>66</v>
      </c>
      <c r="D6" s="21" t="s">
        <v>307</v>
      </c>
      <c r="E6" s="21" t="s">
        <v>308</v>
      </c>
      <c r="F6" s="21" t="s">
        <v>314</v>
      </c>
      <c r="G6" s="21"/>
      <c r="H6" s="21" t="s">
        <v>92</v>
      </c>
      <c r="I6" s="21"/>
    </row>
    <row r="7" spans="1:9" ht="26.4" x14ac:dyDescent="0.3">
      <c r="A7" s="21" t="s">
        <v>28</v>
      </c>
      <c r="B7" s="21" t="s">
        <v>306</v>
      </c>
      <c r="C7" s="21" t="s">
        <v>67</v>
      </c>
      <c r="D7" s="21" t="s">
        <v>307</v>
      </c>
      <c r="E7" s="21" t="s">
        <v>308</v>
      </c>
      <c r="F7" s="21" t="s">
        <v>315</v>
      </c>
      <c r="G7" s="21"/>
      <c r="H7" s="21" t="s">
        <v>92</v>
      </c>
      <c r="I7" s="21" t="s">
        <v>316</v>
      </c>
    </row>
    <row r="8" spans="1:9" x14ac:dyDescent="0.3">
      <c r="A8" s="21" t="s">
        <v>28</v>
      </c>
      <c r="B8" s="21" t="s">
        <v>306</v>
      </c>
      <c r="C8" s="21" t="s">
        <v>68</v>
      </c>
      <c r="D8" s="21" t="s">
        <v>317</v>
      </c>
      <c r="E8" s="21" t="s">
        <v>308</v>
      </c>
      <c r="F8" s="21" t="s">
        <v>318</v>
      </c>
      <c r="G8" s="21" t="s">
        <v>319</v>
      </c>
      <c r="H8" s="21" t="s">
        <v>92</v>
      </c>
      <c r="I8" s="21"/>
    </row>
    <row r="9" spans="1:9" x14ac:dyDescent="0.3">
      <c r="A9" s="21" t="s">
        <v>28</v>
      </c>
      <c r="B9" s="21" t="s">
        <v>306</v>
      </c>
      <c r="C9" s="21" t="s">
        <v>69</v>
      </c>
      <c r="D9" s="21" t="s">
        <v>317</v>
      </c>
      <c r="E9" s="21" t="s">
        <v>308</v>
      </c>
      <c r="F9" s="21" t="s">
        <v>320</v>
      </c>
      <c r="G9" s="21" t="s">
        <v>319</v>
      </c>
      <c r="H9" s="21" t="s">
        <v>92</v>
      </c>
      <c r="I9" s="21"/>
    </row>
    <row r="10" spans="1:9" x14ac:dyDescent="0.3">
      <c r="A10" s="21" t="s">
        <v>28</v>
      </c>
      <c r="B10" s="21" t="s">
        <v>306</v>
      </c>
      <c r="C10" s="21" t="s">
        <v>70</v>
      </c>
      <c r="D10" s="21" t="s">
        <v>317</v>
      </c>
      <c r="E10" s="21" t="s">
        <v>321</v>
      </c>
      <c r="F10" s="21" t="s">
        <v>322</v>
      </c>
      <c r="G10" s="21"/>
      <c r="H10" s="21" t="s">
        <v>92</v>
      </c>
      <c r="I10" s="21"/>
    </row>
    <row r="11" spans="1:9" x14ac:dyDescent="0.3">
      <c r="A11" s="21" t="s">
        <v>28</v>
      </c>
      <c r="B11" s="21" t="s">
        <v>306</v>
      </c>
      <c r="C11" s="21" t="s">
        <v>71</v>
      </c>
      <c r="D11" s="21" t="s">
        <v>307</v>
      </c>
      <c r="E11" s="21" t="s">
        <v>321</v>
      </c>
      <c r="F11" s="21" t="s">
        <v>323</v>
      </c>
      <c r="G11" s="21"/>
      <c r="H11" s="21" t="s">
        <v>92</v>
      </c>
      <c r="I11" s="21"/>
    </row>
    <row r="12" spans="1:9" x14ac:dyDescent="0.3">
      <c r="A12" s="21" t="s">
        <v>28</v>
      </c>
      <c r="B12" s="21" t="s">
        <v>306</v>
      </c>
      <c r="C12" s="21" t="s">
        <v>72</v>
      </c>
      <c r="D12" s="21" t="s">
        <v>307</v>
      </c>
      <c r="E12" s="21" t="s">
        <v>308</v>
      </c>
      <c r="F12" s="21" t="s">
        <v>324</v>
      </c>
      <c r="G12" s="21"/>
      <c r="H12" s="21" t="s">
        <v>92</v>
      </c>
      <c r="I12" s="21"/>
    </row>
    <row r="13" spans="1:9" x14ac:dyDescent="0.3">
      <c r="A13" s="21" t="s">
        <v>28</v>
      </c>
      <c r="B13" s="21" t="s">
        <v>306</v>
      </c>
      <c r="C13" s="21" t="s">
        <v>32</v>
      </c>
      <c r="D13" s="21" t="s">
        <v>307</v>
      </c>
      <c r="E13" s="21" t="s">
        <v>308</v>
      </c>
      <c r="F13" s="21" t="s">
        <v>325</v>
      </c>
      <c r="G13" s="21"/>
      <c r="H13" s="21" t="s">
        <v>92</v>
      </c>
      <c r="I13" s="21"/>
    </row>
    <row r="14" spans="1:9" x14ac:dyDescent="0.3">
      <c r="A14" s="21" t="s">
        <v>28</v>
      </c>
      <c r="B14" s="21" t="s">
        <v>306</v>
      </c>
      <c r="C14" s="21" t="s">
        <v>73</v>
      </c>
      <c r="D14" s="21" t="s">
        <v>307</v>
      </c>
      <c r="E14" s="21" t="s">
        <v>308</v>
      </c>
      <c r="F14" s="21" t="s">
        <v>326</v>
      </c>
      <c r="G14" s="21"/>
      <c r="H14" s="21" t="s">
        <v>92</v>
      </c>
      <c r="I14" s="21"/>
    </row>
    <row r="15" spans="1:9" x14ac:dyDescent="0.3">
      <c r="A15" s="21" t="s">
        <v>28</v>
      </c>
      <c r="B15" s="21" t="s">
        <v>306</v>
      </c>
      <c r="C15" s="21" t="s">
        <v>74</v>
      </c>
      <c r="D15" s="21" t="s">
        <v>307</v>
      </c>
      <c r="E15" s="21" t="s">
        <v>308</v>
      </c>
      <c r="F15" s="21" t="s">
        <v>327</v>
      </c>
      <c r="G15" s="21"/>
      <c r="H15" s="21" t="s">
        <v>92</v>
      </c>
      <c r="I15" s="21"/>
    </row>
    <row r="16" spans="1:9" x14ac:dyDescent="0.3">
      <c r="A16" s="21" t="s">
        <v>28</v>
      </c>
      <c r="B16" s="21" t="s">
        <v>306</v>
      </c>
      <c r="C16" s="21" t="s">
        <v>75</v>
      </c>
      <c r="D16" s="21" t="s">
        <v>307</v>
      </c>
      <c r="E16" s="21" t="s">
        <v>308</v>
      </c>
      <c r="F16" s="21" t="s">
        <v>328</v>
      </c>
      <c r="G16" s="21"/>
      <c r="H16" s="21" t="s">
        <v>92</v>
      </c>
      <c r="I16" s="21"/>
    </row>
    <row r="17" spans="1:9" x14ac:dyDescent="0.3">
      <c r="A17" s="21" t="s">
        <v>28</v>
      </c>
      <c r="B17" s="21" t="s">
        <v>306</v>
      </c>
      <c r="C17" s="21" t="s">
        <v>76</v>
      </c>
      <c r="D17" s="21" t="s">
        <v>307</v>
      </c>
      <c r="E17" s="21" t="s">
        <v>308</v>
      </c>
      <c r="F17" s="21" t="s">
        <v>329</v>
      </c>
      <c r="G17" s="21"/>
      <c r="H17" s="21" t="s">
        <v>92</v>
      </c>
      <c r="I17" s="21"/>
    </row>
    <row r="18" spans="1:9" ht="26.4" x14ac:dyDescent="0.3">
      <c r="A18" s="21" t="s">
        <v>28</v>
      </c>
      <c r="B18" s="21" t="s">
        <v>306</v>
      </c>
      <c r="C18" s="21" t="s">
        <v>77</v>
      </c>
      <c r="D18" s="21" t="s">
        <v>330</v>
      </c>
      <c r="E18" s="21" t="s">
        <v>321</v>
      </c>
      <c r="F18" s="21" t="s">
        <v>331</v>
      </c>
      <c r="G18" s="21"/>
      <c r="H18" s="21" t="s">
        <v>92</v>
      </c>
      <c r="I18" s="21"/>
    </row>
    <row r="19" spans="1:9" x14ac:dyDescent="0.3">
      <c r="A19" s="21" t="s">
        <v>28</v>
      </c>
      <c r="B19" s="21" t="s">
        <v>306</v>
      </c>
      <c r="C19" s="21" t="s">
        <v>78</v>
      </c>
      <c r="D19" s="21" t="s">
        <v>307</v>
      </c>
      <c r="E19" s="21" t="s">
        <v>321</v>
      </c>
      <c r="F19" s="21" t="s">
        <v>332</v>
      </c>
      <c r="G19" s="21"/>
      <c r="H19" s="21" t="s">
        <v>92</v>
      </c>
      <c r="I19" s="21"/>
    </row>
    <row r="20" spans="1:9" x14ac:dyDescent="0.3">
      <c r="A20" s="21" t="s">
        <v>28</v>
      </c>
      <c r="B20" s="21" t="s">
        <v>306</v>
      </c>
      <c r="C20" s="21" t="s">
        <v>79</v>
      </c>
      <c r="D20" s="21" t="s">
        <v>307</v>
      </c>
      <c r="E20" s="21" t="s">
        <v>308</v>
      </c>
      <c r="F20" s="21" t="s">
        <v>333</v>
      </c>
      <c r="G20" s="21"/>
      <c r="H20" s="21" t="s">
        <v>92</v>
      </c>
      <c r="I20" s="21"/>
    </row>
    <row r="21" spans="1:9" x14ac:dyDescent="0.3">
      <c r="A21" s="21" t="s">
        <v>30</v>
      </c>
      <c r="B21" s="21" t="s">
        <v>334</v>
      </c>
      <c r="C21" s="21" t="s">
        <v>146</v>
      </c>
      <c r="D21" s="21" t="s">
        <v>307</v>
      </c>
      <c r="E21" s="21" t="s">
        <v>308</v>
      </c>
      <c r="F21" s="21" t="s">
        <v>335</v>
      </c>
      <c r="G21" s="21"/>
      <c r="H21" s="21" t="s">
        <v>92</v>
      </c>
      <c r="I21" s="21" t="s">
        <v>336</v>
      </c>
    </row>
    <row r="22" spans="1:9" x14ac:dyDescent="0.3">
      <c r="A22" s="21" t="s">
        <v>30</v>
      </c>
      <c r="B22" s="21" t="s">
        <v>334</v>
      </c>
      <c r="C22" s="21" t="s">
        <v>147</v>
      </c>
      <c r="D22" s="21" t="s">
        <v>317</v>
      </c>
      <c r="E22" s="21" t="s">
        <v>308</v>
      </c>
      <c r="F22" s="21" t="s">
        <v>337</v>
      </c>
      <c r="G22" s="21"/>
      <c r="H22" s="21" t="s">
        <v>92</v>
      </c>
      <c r="I22" s="21"/>
    </row>
    <row r="23" spans="1:9" x14ac:dyDescent="0.3">
      <c r="A23" s="21" t="s">
        <v>30</v>
      </c>
      <c r="B23" s="21" t="s">
        <v>334</v>
      </c>
      <c r="C23" s="21" t="s">
        <v>148</v>
      </c>
      <c r="D23" s="21" t="s">
        <v>307</v>
      </c>
      <c r="E23" s="21" t="s">
        <v>308</v>
      </c>
      <c r="F23" s="21" t="s">
        <v>338</v>
      </c>
      <c r="G23" s="21" t="s">
        <v>339</v>
      </c>
      <c r="H23" s="21" t="s">
        <v>92</v>
      </c>
      <c r="I23" s="21"/>
    </row>
    <row r="24" spans="1:9" x14ac:dyDescent="0.3">
      <c r="A24" s="21" t="s">
        <v>30</v>
      </c>
      <c r="B24" s="21" t="s">
        <v>334</v>
      </c>
      <c r="C24" s="21" t="s">
        <v>149</v>
      </c>
      <c r="D24" s="21" t="s">
        <v>307</v>
      </c>
      <c r="E24" s="21" t="s">
        <v>308</v>
      </c>
      <c r="F24" s="21" t="s">
        <v>340</v>
      </c>
      <c r="G24" s="21"/>
      <c r="H24" s="21" t="s">
        <v>92</v>
      </c>
      <c r="I24" s="21"/>
    </row>
    <row r="25" spans="1:9" x14ac:dyDescent="0.3">
      <c r="A25" s="21" t="s">
        <v>30</v>
      </c>
      <c r="B25" s="21" t="s">
        <v>334</v>
      </c>
      <c r="C25" s="21" t="s">
        <v>74</v>
      </c>
      <c r="D25" s="21" t="s">
        <v>307</v>
      </c>
      <c r="E25" s="21" t="s">
        <v>308</v>
      </c>
      <c r="F25" s="21" t="s">
        <v>341</v>
      </c>
      <c r="G25" s="21"/>
      <c r="H25" s="21" t="s">
        <v>92</v>
      </c>
      <c r="I25" s="21"/>
    </row>
    <row r="26" spans="1:9" x14ac:dyDescent="0.3">
      <c r="A26" s="21" t="s">
        <v>30</v>
      </c>
      <c r="B26" s="21" t="s">
        <v>334</v>
      </c>
      <c r="C26" s="21" t="s">
        <v>150</v>
      </c>
      <c r="D26" s="21" t="s">
        <v>317</v>
      </c>
      <c r="E26" s="21" t="s">
        <v>308</v>
      </c>
      <c r="F26" s="21" t="s">
        <v>342</v>
      </c>
      <c r="G26" s="21"/>
      <c r="H26" s="21" t="s">
        <v>92</v>
      </c>
      <c r="I26" s="21"/>
    </row>
    <row r="27" spans="1:9" x14ac:dyDescent="0.3">
      <c r="A27" s="21" t="s">
        <v>30</v>
      </c>
      <c r="B27" s="21" t="s">
        <v>334</v>
      </c>
      <c r="C27" s="21" t="s">
        <v>151</v>
      </c>
      <c r="D27" s="21" t="s">
        <v>307</v>
      </c>
      <c r="E27" s="21" t="s">
        <v>308</v>
      </c>
      <c r="F27" s="21" t="s">
        <v>343</v>
      </c>
      <c r="G27" s="21"/>
      <c r="H27" s="21" t="s">
        <v>92</v>
      </c>
      <c r="I27" s="21"/>
    </row>
    <row r="28" spans="1:9" x14ac:dyDescent="0.3">
      <c r="A28" s="21" t="s">
        <v>32</v>
      </c>
      <c r="B28" s="21" t="s">
        <v>344</v>
      </c>
      <c r="C28" s="21" t="s">
        <v>191</v>
      </c>
      <c r="D28" s="21" t="s">
        <v>307</v>
      </c>
      <c r="E28" s="21" t="s">
        <v>308</v>
      </c>
      <c r="F28" s="21" t="s">
        <v>345</v>
      </c>
      <c r="G28" s="21"/>
      <c r="H28" s="21" t="s">
        <v>92</v>
      </c>
      <c r="I28" s="21" t="s">
        <v>310</v>
      </c>
    </row>
    <row r="29" spans="1:9" x14ac:dyDescent="0.3">
      <c r="A29" s="21" t="s">
        <v>32</v>
      </c>
      <c r="B29" s="21" t="s">
        <v>344</v>
      </c>
      <c r="C29" s="21" t="s">
        <v>192</v>
      </c>
      <c r="D29" s="21" t="s">
        <v>307</v>
      </c>
      <c r="E29" s="21" t="s">
        <v>308</v>
      </c>
      <c r="F29" s="21" t="s">
        <v>346</v>
      </c>
      <c r="G29" s="21"/>
      <c r="H29" s="21" t="s">
        <v>92</v>
      </c>
      <c r="I29" s="21"/>
    </row>
    <row r="30" spans="1:9" x14ac:dyDescent="0.3">
      <c r="A30" s="21" t="s">
        <v>32</v>
      </c>
      <c r="B30" s="21" t="s">
        <v>344</v>
      </c>
      <c r="C30" s="21" t="s">
        <v>193</v>
      </c>
      <c r="D30" s="21" t="s">
        <v>307</v>
      </c>
      <c r="E30" s="21" t="s">
        <v>308</v>
      </c>
      <c r="F30" s="21" t="s">
        <v>347</v>
      </c>
      <c r="G30" s="21"/>
      <c r="H30" s="21" t="s">
        <v>92</v>
      </c>
      <c r="I30" s="21"/>
    </row>
    <row r="31" spans="1:9" ht="26.4" x14ac:dyDescent="0.3">
      <c r="A31" s="21" t="s">
        <v>32</v>
      </c>
      <c r="B31" s="21" t="s">
        <v>344</v>
      </c>
      <c r="C31" s="21" t="s">
        <v>62</v>
      </c>
      <c r="D31" s="21" t="s">
        <v>307</v>
      </c>
      <c r="E31" s="21" t="s">
        <v>308</v>
      </c>
      <c r="F31" s="21" t="s">
        <v>309</v>
      </c>
      <c r="G31" s="21"/>
      <c r="H31" s="21" t="s">
        <v>92</v>
      </c>
      <c r="I31" s="21" t="s">
        <v>348</v>
      </c>
    </row>
    <row r="32" spans="1:9" ht="26.4" x14ac:dyDescent="0.3">
      <c r="A32" s="21" t="s">
        <v>32</v>
      </c>
      <c r="B32" s="21" t="s">
        <v>344</v>
      </c>
      <c r="C32" s="21" t="s">
        <v>194</v>
      </c>
      <c r="D32" s="21" t="s">
        <v>330</v>
      </c>
      <c r="E32" s="21" t="s">
        <v>308</v>
      </c>
      <c r="F32" s="21" t="s">
        <v>349</v>
      </c>
      <c r="G32" s="21"/>
      <c r="H32" s="21" t="s">
        <v>92</v>
      </c>
      <c r="I32" s="21"/>
    </row>
    <row r="33" spans="1:9" x14ac:dyDescent="0.3">
      <c r="A33" s="21" t="s">
        <v>32</v>
      </c>
      <c r="B33" s="21" t="s">
        <v>344</v>
      </c>
      <c r="C33" s="21" t="s">
        <v>14</v>
      </c>
      <c r="D33" s="21" t="s">
        <v>307</v>
      </c>
      <c r="E33" s="21" t="s">
        <v>308</v>
      </c>
      <c r="F33" s="21" t="s">
        <v>350</v>
      </c>
      <c r="G33" s="21"/>
      <c r="H33" s="21" t="s">
        <v>92</v>
      </c>
      <c r="I33" s="21"/>
    </row>
    <row r="34" spans="1:9" x14ac:dyDescent="0.3">
      <c r="A34" s="21" t="s">
        <v>32</v>
      </c>
      <c r="B34" s="21" t="s">
        <v>344</v>
      </c>
      <c r="C34" s="21" t="s">
        <v>195</v>
      </c>
      <c r="D34" s="21" t="s">
        <v>317</v>
      </c>
      <c r="E34" s="21" t="s">
        <v>321</v>
      </c>
      <c r="F34" s="21" t="s">
        <v>351</v>
      </c>
      <c r="G34" s="21"/>
      <c r="H34" s="21" t="s">
        <v>92</v>
      </c>
      <c r="I34" s="21"/>
    </row>
    <row r="35" spans="1:9" x14ac:dyDescent="0.3">
      <c r="A35" s="21" t="s">
        <v>32</v>
      </c>
      <c r="B35" s="21" t="s">
        <v>344</v>
      </c>
      <c r="C35" s="21" t="s">
        <v>78</v>
      </c>
      <c r="D35" s="21" t="s">
        <v>307</v>
      </c>
      <c r="E35" s="21" t="s">
        <v>321</v>
      </c>
      <c r="F35" s="21" t="s">
        <v>352</v>
      </c>
      <c r="G35" s="21"/>
      <c r="H35" s="21" t="s">
        <v>92</v>
      </c>
      <c r="I35" s="21"/>
    </row>
    <row r="36" spans="1:9" x14ac:dyDescent="0.3">
      <c r="A36" s="21" t="s">
        <v>34</v>
      </c>
      <c r="B36" s="21" t="s">
        <v>353</v>
      </c>
      <c r="C36" s="21" t="s">
        <v>225</v>
      </c>
      <c r="D36" s="21" t="s">
        <v>307</v>
      </c>
      <c r="E36" s="21" t="s">
        <v>308</v>
      </c>
      <c r="F36" s="21" t="s">
        <v>354</v>
      </c>
      <c r="G36" s="21"/>
      <c r="H36" s="21" t="s">
        <v>92</v>
      </c>
      <c r="I36" s="21" t="s">
        <v>310</v>
      </c>
    </row>
    <row r="37" spans="1:9" ht="26.4" x14ac:dyDescent="0.3">
      <c r="A37" s="21" t="s">
        <v>34</v>
      </c>
      <c r="B37" s="21" t="s">
        <v>353</v>
      </c>
      <c r="C37" s="21" t="s">
        <v>226</v>
      </c>
      <c r="D37" s="21" t="s">
        <v>330</v>
      </c>
      <c r="E37" s="21" t="s">
        <v>308</v>
      </c>
      <c r="F37" s="21" t="s">
        <v>355</v>
      </c>
      <c r="G37" s="21"/>
      <c r="H37" s="21" t="s">
        <v>92</v>
      </c>
      <c r="I37" s="21"/>
    </row>
    <row r="38" spans="1:9" ht="26.4" x14ac:dyDescent="0.3">
      <c r="A38" s="21" t="s">
        <v>34</v>
      </c>
      <c r="B38" s="21" t="s">
        <v>353</v>
      </c>
      <c r="C38" s="21" t="s">
        <v>62</v>
      </c>
      <c r="D38" s="21" t="s">
        <v>307</v>
      </c>
      <c r="E38" s="21" t="s">
        <v>308</v>
      </c>
      <c r="F38" s="21" t="s">
        <v>309</v>
      </c>
      <c r="G38" s="21"/>
      <c r="H38" s="21" t="s">
        <v>92</v>
      </c>
      <c r="I38" s="21" t="s">
        <v>348</v>
      </c>
    </row>
    <row r="39" spans="1:9" x14ac:dyDescent="0.3">
      <c r="A39" s="21" t="s">
        <v>34</v>
      </c>
      <c r="B39" s="21" t="s">
        <v>353</v>
      </c>
      <c r="C39" s="21" t="s">
        <v>192</v>
      </c>
      <c r="D39" s="21" t="s">
        <v>307</v>
      </c>
      <c r="E39" s="21" t="s">
        <v>308</v>
      </c>
      <c r="F39" s="21" t="s">
        <v>356</v>
      </c>
      <c r="G39" s="21"/>
      <c r="H39" s="21" t="s">
        <v>92</v>
      </c>
      <c r="I39" s="21"/>
    </row>
    <row r="40" spans="1:9" x14ac:dyDescent="0.3">
      <c r="A40" s="21" t="s">
        <v>34</v>
      </c>
      <c r="B40" s="21" t="s">
        <v>353</v>
      </c>
      <c r="C40" s="21" t="s">
        <v>227</v>
      </c>
      <c r="D40" s="21" t="s">
        <v>317</v>
      </c>
      <c r="E40" s="21" t="s">
        <v>308</v>
      </c>
      <c r="F40" s="21" t="s">
        <v>357</v>
      </c>
      <c r="G40" s="21"/>
      <c r="H40" s="21" t="s">
        <v>105</v>
      </c>
      <c r="I40" s="21"/>
    </row>
    <row r="41" spans="1:9" x14ac:dyDescent="0.3">
      <c r="A41" s="21" t="s">
        <v>34</v>
      </c>
      <c r="B41" s="21" t="s">
        <v>353</v>
      </c>
      <c r="C41" s="21" t="s">
        <v>228</v>
      </c>
      <c r="D41" s="21" t="s">
        <v>317</v>
      </c>
      <c r="E41" s="21" t="s">
        <v>308</v>
      </c>
      <c r="F41" s="21" t="s">
        <v>358</v>
      </c>
      <c r="G41" s="21"/>
      <c r="H41" s="21" t="s">
        <v>105</v>
      </c>
      <c r="I41" s="21"/>
    </row>
    <row r="42" spans="1:9" x14ac:dyDescent="0.3">
      <c r="A42" s="21" t="s">
        <v>34</v>
      </c>
      <c r="B42" s="21" t="s">
        <v>353</v>
      </c>
      <c r="C42" s="21" t="s">
        <v>229</v>
      </c>
      <c r="D42" s="21" t="s">
        <v>317</v>
      </c>
      <c r="E42" s="21" t="s">
        <v>308</v>
      </c>
      <c r="F42" s="21" t="s">
        <v>359</v>
      </c>
      <c r="G42" s="21"/>
      <c r="H42" s="21" t="s">
        <v>105</v>
      </c>
      <c r="I42" s="21"/>
    </row>
    <row r="43" spans="1:9" x14ac:dyDescent="0.3">
      <c r="A43" s="21" t="s">
        <v>34</v>
      </c>
      <c r="B43" s="21" t="s">
        <v>353</v>
      </c>
      <c r="C43" s="21" t="s">
        <v>230</v>
      </c>
      <c r="D43" s="21" t="s">
        <v>307</v>
      </c>
      <c r="E43" s="21" t="s">
        <v>308</v>
      </c>
      <c r="F43" s="21" t="s">
        <v>360</v>
      </c>
      <c r="G43" s="21"/>
      <c r="H43" s="21" t="s">
        <v>92</v>
      </c>
      <c r="I43" s="21"/>
    </row>
    <row r="44" spans="1:9" x14ac:dyDescent="0.3">
      <c r="A44" s="21" t="s">
        <v>34</v>
      </c>
      <c r="B44" s="21" t="s">
        <v>353</v>
      </c>
      <c r="C44" s="21" t="s">
        <v>231</v>
      </c>
      <c r="D44" s="21" t="s">
        <v>307</v>
      </c>
      <c r="E44" s="21" t="s">
        <v>308</v>
      </c>
      <c r="F44" s="21" t="s">
        <v>361</v>
      </c>
      <c r="G44" s="21" t="s">
        <v>362</v>
      </c>
      <c r="H44" s="21" t="s">
        <v>92</v>
      </c>
      <c r="I44" s="21"/>
    </row>
    <row r="45" spans="1:9" ht="26.4" x14ac:dyDescent="0.3">
      <c r="A45" s="21" t="s">
        <v>34</v>
      </c>
      <c r="B45" s="21" t="s">
        <v>353</v>
      </c>
      <c r="C45" s="21" t="s">
        <v>232</v>
      </c>
      <c r="D45" s="21" t="s">
        <v>307</v>
      </c>
      <c r="E45" s="21" t="s">
        <v>308</v>
      </c>
      <c r="F45" s="21" t="s">
        <v>363</v>
      </c>
      <c r="G45" s="21"/>
      <c r="H45" s="21" t="s">
        <v>92</v>
      </c>
      <c r="I45" s="21" t="s">
        <v>364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10</vt:i4>
      </vt:variant>
    </vt:vector>
  </HeadingPairs>
  <TitlesOfParts>
    <vt:vector size="18" baseType="lpstr">
      <vt:lpstr>00_LEIA-ME</vt:lpstr>
      <vt:lpstr>Cenarios</vt:lpstr>
      <vt:lpstr>IT_Passos</vt:lpstr>
      <vt:lpstr>Meios_Resposta</vt:lpstr>
      <vt:lpstr>Simulacros</vt:lpstr>
      <vt:lpstr>IT-SGA-01_Derrames</vt:lpstr>
      <vt:lpstr>Listas</vt:lpstr>
      <vt:lpstr>Dicionario_Dados</vt:lpstr>
      <vt:lpstr>DataRef</vt:lpstr>
      <vt:lpstr>lst_DataReferencia</vt:lpstr>
      <vt:lpstr>lst_Escala13</vt:lpstr>
      <vt:lpstr>lst_Fase</vt:lpstr>
      <vt:lpstr>lst_Funcao</vt:lpstr>
      <vt:lpstr>lst_ResultadoSim</vt:lpstr>
      <vt:lpstr>Cenarios!Títulos_de_Impressão</vt:lpstr>
      <vt:lpstr>IT_Passos!Títulos_de_Impressão</vt:lpstr>
      <vt:lpstr>Meios_Resposta!Títulos_de_Impressão</vt:lpstr>
      <vt:lpstr>Simulacros!Títulos_de_Impressão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RG-SGA-12 Preparação e Resposta a Emergências Ambientais</dc:title>
  <dc:subject>SGA NP EN ISO 14001:2026 — Plasticom</dc:subject>
  <dc:creator>Gestor(a) do SGA / EHS</dc:creator>
  <cp:lastModifiedBy>Aline Meireles</cp:lastModifiedBy>
  <dcterms:created xsi:type="dcterms:W3CDTF">2026-09-30T09:57:15Z</dcterms:created>
  <dcterms:modified xsi:type="dcterms:W3CDTF">2026-09-30T09:57:41Z</dcterms:modified>
</cp:coreProperties>
</file>